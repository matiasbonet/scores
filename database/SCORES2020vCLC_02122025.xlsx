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35" windowWidth="19440" windowHeight="10035" activeTab="5"/>
  </bookViews>
  <sheets>
    <sheet name="TOB" sheetId="12" r:id="rId1"/>
    <sheet name="VC" sheetId="17" r:id="rId2"/>
    <sheet name="SCORES" sheetId="18" r:id="rId3"/>
    <sheet name="VC_NEW" sheetId="19" r:id="rId4"/>
    <sheet name="Hoja1" sheetId="20" r:id="rId5"/>
    <sheet name="VC_NEW2" sheetId="21" r:id="rId6"/>
  </sheets>
  <definedNames>
    <definedName name="_xlnm._FilterDatabase" localSheetId="4" hidden="1">Hoja1!$A$1:$HC$97</definedName>
    <definedName name="_xlnm._FilterDatabase" localSheetId="2" hidden="1">SCORES!$A$1:$HC$97</definedName>
    <definedName name="_xlnm._FilterDatabase" localSheetId="0" hidden="1">TOB!$A$1:$HC$94</definedName>
  </definedNames>
  <calcPr calcId="145621"/>
</workbook>
</file>

<file path=xl/calcChain.xml><?xml version="1.0" encoding="utf-8"?>
<calcChain xmlns="http://schemas.openxmlformats.org/spreadsheetml/2006/main">
  <c r="DN94" i="18" l="1"/>
  <c r="BR3" i="20"/>
  <c r="N2" i="20"/>
  <c r="Y7" i="20" l="1"/>
  <c r="Z7" i="20"/>
  <c r="AA7" i="20"/>
  <c r="AB7" i="20"/>
  <c r="AC7" i="20"/>
  <c r="AD7" i="20"/>
  <c r="AE7" i="20"/>
  <c r="AF7" i="20"/>
  <c r="AG7" i="20"/>
  <c r="AH7" i="20"/>
  <c r="AI7" i="20"/>
  <c r="AJ7" i="20"/>
  <c r="AK7" i="20"/>
  <c r="AL7" i="20"/>
  <c r="AM7" i="20"/>
  <c r="AN7" i="20"/>
  <c r="AO7" i="20"/>
  <c r="AP7" i="20"/>
  <c r="AQ7" i="20"/>
  <c r="AR7" i="20"/>
  <c r="AS7" i="20"/>
  <c r="AT7" i="20"/>
  <c r="AU7" i="20"/>
  <c r="AV7" i="20"/>
  <c r="AW7" i="20"/>
  <c r="AX7" i="20"/>
  <c r="AY7" i="20"/>
  <c r="AZ7" i="20"/>
  <c r="BA7" i="20"/>
  <c r="BB7" i="20"/>
  <c r="BC7" i="20"/>
  <c r="BD7" i="20"/>
  <c r="BE7" i="20"/>
  <c r="BF7" i="20"/>
  <c r="BG7" i="20"/>
  <c r="BH7" i="20"/>
  <c r="BI7" i="20"/>
  <c r="BJ7" i="20"/>
  <c r="BK7" i="20"/>
  <c r="BL7" i="20"/>
  <c r="BM7" i="20"/>
  <c r="BN7" i="20"/>
  <c r="BO7" i="20"/>
  <c r="BP7" i="20"/>
  <c r="BQ7" i="20"/>
  <c r="BR7" i="20"/>
  <c r="BS7" i="20"/>
  <c r="BT7" i="20"/>
  <c r="BU7" i="20"/>
  <c r="BV7" i="20"/>
  <c r="BW7" i="20"/>
  <c r="BX7" i="20"/>
  <c r="BY7" i="20"/>
  <c r="BZ7" i="20"/>
  <c r="CA7" i="20"/>
  <c r="CB7" i="20"/>
  <c r="CC7" i="20"/>
  <c r="CD7" i="20"/>
  <c r="CE7" i="20"/>
  <c r="CF7" i="20"/>
  <c r="CG7" i="20"/>
  <c r="CH7" i="20"/>
  <c r="CI7" i="20"/>
  <c r="CJ7" i="20"/>
  <c r="CK7" i="20"/>
  <c r="CL7" i="20"/>
  <c r="CM7" i="20"/>
  <c r="CN7" i="20"/>
  <c r="CO7" i="20"/>
  <c r="CP7" i="20"/>
  <c r="CQ7" i="20"/>
  <c r="CR7" i="20"/>
  <c r="CS7" i="20"/>
  <c r="CT7" i="20"/>
  <c r="CU7" i="20"/>
  <c r="CV7" i="20"/>
  <c r="CW7" i="20"/>
  <c r="CX7" i="20"/>
  <c r="CY7" i="20"/>
  <c r="CZ7" i="20"/>
  <c r="DA7" i="20"/>
  <c r="DB7" i="20"/>
  <c r="DC7" i="20"/>
  <c r="DD7" i="20"/>
  <c r="DE7" i="20"/>
  <c r="DF7" i="20"/>
  <c r="DG7" i="20"/>
  <c r="DH7" i="20"/>
  <c r="DI7" i="20"/>
  <c r="DJ7" i="20"/>
  <c r="DK7" i="20"/>
  <c r="DL7" i="20"/>
  <c r="DM7" i="20"/>
  <c r="DN7" i="20"/>
  <c r="DO7" i="20"/>
  <c r="DP7" i="20"/>
  <c r="DQ7" i="20"/>
  <c r="DR7" i="20"/>
  <c r="DS7" i="20"/>
  <c r="DT7" i="20"/>
  <c r="DU7" i="20"/>
  <c r="DV7" i="20"/>
  <c r="DW7" i="20"/>
  <c r="DX7" i="20"/>
  <c r="DY7" i="20"/>
  <c r="DZ7" i="20"/>
  <c r="EA7" i="20"/>
  <c r="EB7" i="20"/>
  <c r="EC7" i="20"/>
  <c r="ED7" i="20"/>
  <c r="EE7" i="20"/>
  <c r="EF7" i="20"/>
  <c r="EG7" i="20"/>
  <c r="EH7" i="20"/>
  <c r="EI7" i="20"/>
  <c r="EJ7" i="20"/>
  <c r="EK7" i="20"/>
  <c r="EL7" i="20"/>
  <c r="EM7" i="20"/>
  <c r="EN7" i="20"/>
  <c r="EO7" i="20"/>
  <c r="EP7" i="20"/>
  <c r="EQ7" i="20"/>
  <c r="ER7" i="20"/>
  <c r="ES7" i="20"/>
  <c r="ET7" i="20"/>
  <c r="EU7" i="20"/>
  <c r="EV7" i="20"/>
  <c r="EW7" i="20"/>
  <c r="EX7" i="20"/>
  <c r="EY7" i="20"/>
  <c r="EZ7" i="20"/>
  <c r="FA7" i="20"/>
  <c r="FB7" i="20"/>
  <c r="FC7" i="20"/>
  <c r="FD7" i="20"/>
  <c r="FE7" i="20"/>
  <c r="FF7" i="20"/>
  <c r="FG7" i="20"/>
  <c r="FH7" i="20"/>
  <c r="FI7" i="20"/>
  <c r="FJ7" i="20"/>
  <c r="FK7" i="20"/>
  <c r="FL7" i="20"/>
  <c r="FM7" i="20"/>
  <c r="FN7" i="20"/>
  <c r="FO7" i="20"/>
  <c r="FP7" i="20"/>
  <c r="FQ7" i="20"/>
  <c r="FR7" i="20"/>
  <c r="FS7" i="20"/>
  <c r="FT7" i="20"/>
  <c r="FU7" i="20"/>
  <c r="FV7" i="20"/>
  <c r="FW7" i="20"/>
  <c r="FX7" i="20"/>
  <c r="FY7" i="20"/>
  <c r="FZ7" i="20"/>
  <c r="GA7" i="20"/>
  <c r="GB7" i="20"/>
  <c r="GC7" i="20"/>
  <c r="GD7" i="20"/>
  <c r="GE7" i="20"/>
  <c r="GF7" i="20"/>
  <c r="GG7" i="20"/>
  <c r="GH7" i="20"/>
  <c r="GI7" i="20"/>
  <c r="GJ7" i="20"/>
  <c r="GK7" i="20"/>
  <c r="GL7" i="20"/>
  <c r="GM7" i="20"/>
  <c r="GN7" i="20"/>
  <c r="GO7" i="20"/>
  <c r="GP7" i="20"/>
  <c r="GQ7" i="20"/>
  <c r="GR7" i="20"/>
  <c r="GS7" i="20"/>
  <c r="GT7" i="20"/>
  <c r="GU7" i="20"/>
  <c r="GV7" i="20"/>
  <c r="GW7" i="20"/>
  <c r="GX7" i="20"/>
  <c r="GY7" i="20"/>
  <c r="GZ7" i="20"/>
  <c r="HA7" i="20"/>
  <c r="HB7" i="20"/>
  <c r="HC7" i="20"/>
  <c r="O7" i="20"/>
  <c r="P7" i="20"/>
  <c r="Q7" i="20"/>
  <c r="R7" i="20"/>
  <c r="S7" i="20"/>
  <c r="T7" i="20"/>
  <c r="U7" i="20"/>
  <c r="V7" i="20"/>
  <c r="W7" i="20"/>
  <c r="X7" i="20"/>
  <c r="I7" i="20"/>
  <c r="J7" i="20"/>
  <c r="K7" i="20"/>
  <c r="L7" i="20"/>
  <c r="M7" i="20"/>
  <c r="N7" i="20"/>
  <c r="EB62" i="20"/>
  <c r="AM74" i="20"/>
  <c r="BY91" i="20"/>
  <c r="GT2" i="20"/>
  <c r="GU2" i="20"/>
  <c r="GV2" i="20"/>
  <c r="GW2" i="20"/>
  <c r="GX2" i="20"/>
  <c r="GY2" i="20"/>
  <c r="GZ2" i="20"/>
  <c r="HA2" i="20"/>
  <c r="HB2" i="20"/>
  <c r="HC2" i="20"/>
  <c r="GT3" i="20"/>
  <c r="GU3" i="20"/>
  <c r="GV3" i="20"/>
  <c r="GW3" i="20"/>
  <c r="GX3" i="20"/>
  <c r="GY3" i="20"/>
  <c r="GZ3" i="20"/>
  <c r="HA3" i="20"/>
  <c r="HB3" i="20"/>
  <c r="HC3" i="20"/>
  <c r="GT4" i="20"/>
  <c r="GU4" i="20"/>
  <c r="GV4" i="20"/>
  <c r="GW4" i="20"/>
  <c r="GX4" i="20"/>
  <c r="GY4" i="20"/>
  <c r="GZ4" i="20"/>
  <c r="HA4" i="20"/>
  <c r="HB4" i="20"/>
  <c r="HC4" i="20"/>
  <c r="GT5" i="20"/>
  <c r="GU5" i="20"/>
  <c r="GV5" i="20"/>
  <c r="GW5" i="20"/>
  <c r="GX5" i="20"/>
  <c r="GY5" i="20"/>
  <c r="GZ5" i="20"/>
  <c r="HA5" i="20"/>
  <c r="HB5" i="20"/>
  <c r="HC5" i="20"/>
  <c r="GT6" i="20"/>
  <c r="GU6" i="20"/>
  <c r="GV6" i="20"/>
  <c r="GW6" i="20"/>
  <c r="GX6" i="20"/>
  <c r="GY6" i="20"/>
  <c r="GZ6" i="20"/>
  <c r="HA6" i="20"/>
  <c r="HB6" i="20"/>
  <c r="HC6" i="20"/>
  <c r="BN2" i="20"/>
  <c r="BO2" i="20"/>
  <c r="BP2" i="20"/>
  <c r="BQ2" i="20"/>
  <c r="BR2" i="20"/>
  <c r="BS2" i="20"/>
  <c r="BT2" i="20"/>
  <c r="BU2" i="20"/>
  <c r="BV2" i="20"/>
  <c r="BW2" i="20"/>
  <c r="BX2" i="20"/>
  <c r="BY2" i="20"/>
  <c r="BZ2" i="20"/>
  <c r="CA2" i="20"/>
  <c r="CB2" i="20"/>
  <c r="CC2" i="20"/>
  <c r="CD2" i="20"/>
  <c r="CE2" i="20"/>
  <c r="CF2" i="20"/>
  <c r="CG2" i="20"/>
  <c r="CH2" i="20"/>
  <c r="CI2" i="20"/>
  <c r="CJ2" i="20"/>
  <c r="CK2" i="20"/>
  <c r="CL2" i="20"/>
  <c r="CM2" i="20"/>
  <c r="CN2" i="20"/>
  <c r="CO2" i="20"/>
  <c r="CP2" i="20"/>
  <c r="CQ2" i="20"/>
  <c r="CR2" i="20"/>
  <c r="CS2" i="20"/>
  <c r="CT2" i="20"/>
  <c r="CU2" i="20"/>
  <c r="CV2" i="20"/>
  <c r="CW2" i="20"/>
  <c r="CX2" i="20"/>
  <c r="CY2" i="20"/>
  <c r="CZ2" i="20"/>
  <c r="DA2" i="20"/>
  <c r="DB2" i="20"/>
  <c r="DC2" i="20"/>
  <c r="DD2" i="20"/>
  <c r="DE2" i="20"/>
  <c r="DF2" i="20"/>
  <c r="DG2" i="20"/>
  <c r="DH2" i="20"/>
  <c r="DI2" i="20"/>
  <c r="DJ2" i="20"/>
  <c r="DK2" i="20"/>
  <c r="DL2" i="20"/>
  <c r="DM2" i="20"/>
  <c r="DN2" i="20"/>
  <c r="DO2" i="20"/>
  <c r="DP2" i="20"/>
  <c r="DQ2" i="20"/>
  <c r="DR2" i="20"/>
  <c r="DS2" i="20"/>
  <c r="DT2" i="20"/>
  <c r="DU2" i="20"/>
  <c r="DV2" i="20"/>
  <c r="DW2" i="20"/>
  <c r="DX2" i="20"/>
  <c r="DY2" i="20"/>
  <c r="DZ2" i="20"/>
  <c r="EA2" i="20"/>
  <c r="EB2" i="20"/>
  <c r="EC2" i="20"/>
  <c r="ED2" i="20"/>
  <c r="EE2" i="20"/>
  <c r="EF2" i="20"/>
  <c r="EG2" i="20"/>
  <c r="EH2" i="20"/>
  <c r="EI2" i="20"/>
  <c r="EJ2" i="20"/>
  <c r="EK2" i="20"/>
  <c r="EL2" i="20"/>
  <c r="EM2" i="20"/>
  <c r="EN2" i="20"/>
  <c r="EO2" i="20"/>
  <c r="EP2" i="20"/>
  <c r="EQ2" i="20"/>
  <c r="ER2" i="20"/>
  <c r="ES2" i="20"/>
  <c r="ET2" i="20"/>
  <c r="EU2" i="20"/>
  <c r="EV2" i="20"/>
  <c r="EW2" i="20"/>
  <c r="EX2" i="20"/>
  <c r="EY2" i="20"/>
  <c r="EZ2" i="20"/>
  <c r="FA2" i="20"/>
  <c r="FB2" i="20"/>
  <c r="FC2" i="20"/>
  <c r="FD2" i="20"/>
  <c r="FE2" i="20"/>
  <c r="FF2" i="20"/>
  <c r="FG2" i="20"/>
  <c r="FH2" i="20"/>
  <c r="FI2" i="20"/>
  <c r="FJ2" i="20"/>
  <c r="FK2" i="20"/>
  <c r="FL2" i="20"/>
  <c r="FM2" i="20"/>
  <c r="FN2" i="20"/>
  <c r="FO2" i="20"/>
  <c r="FP2" i="20"/>
  <c r="FQ2" i="20"/>
  <c r="FR2" i="20"/>
  <c r="FS2" i="20"/>
  <c r="FT2" i="20"/>
  <c r="FU2" i="20"/>
  <c r="FV2" i="20"/>
  <c r="FW2" i="20"/>
  <c r="FX2" i="20"/>
  <c r="FY2" i="20"/>
  <c r="FZ2" i="20"/>
  <c r="GA2" i="20"/>
  <c r="GB2" i="20"/>
  <c r="GC2" i="20"/>
  <c r="GD2" i="20"/>
  <c r="GE2" i="20"/>
  <c r="GF2" i="20"/>
  <c r="GG2" i="20"/>
  <c r="GH2" i="20"/>
  <c r="GI2" i="20"/>
  <c r="GJ2" i="20"/>
  <c r="GK2" i="20"/>
  <c r="GL2" i="20"/>
  <c r="GM2" i="20"/>
  <c r="GN2" i="20"/>
  <c r="GO2" i="20"/>
  <c r="GP2" i="20"/>
  <c r="GQ2" i="20"/>
  <c r="GR2" i="20"/>
  <c r="GS2" i="20"/>
  <c r="BN3" i="20"/>
  <c r="BO3" i="20"/>
  <c r="BP3" i="20"/>
  <c r="BQ3" i="20"/>
  <c r="BS3" i="20"/>
  <c r="BT3" i="20"/>
  <c r="BU3" i="20"/>
  <c r="BV3" i="20"/>
  <c r="BW3" i="20"/>
  <c r="BX3" i="20"/>
  <c r="BY3" i="20"/>
  <c r="BZ3" i="20"/>
  <c r="CA3" i="20"/>
  <c r="CB3" i="20"/>
  <c r="CC3" i="20"/>
  <c r="CD3" i="20"/>
  <c r="CE3" i="20"/>
  <c r="CF3" i="20"/>
  <c r="CG3" i="20"/>
  <c r="CH3" i="20"/>
  <c r="CI3" i="20"/>
  <c r="CJ3" i="20"/>
  <c r="CK3" i="20"/>
  <c r="CL3" i="20"/>
  <c r="CM3" i="20"/>
  <c r="CN3" i="20"/>
  <c r="CO3" i="20"/>
  <c r="CP3" i="20"/>
  <c r="CQ3" i="20"/>
  <c r="CR3" i="20"/>
  <c r="CS3" i="20"/>
  <c r="CT3" i="20"/>
  <c r="CU3" i="20"/>
  <c r="CV3" i="20"/>
  <c r="CW3" i="20"/>
  <c r="CX3" i="20"/>
  <c r="CY3" i="20"/>
  <c r="CZ3" i="20"/>
  <c r="DA3" i="20"/>
  <c r="DB3" i="20"/>
  <c r="DC3" i="20"/>
  <c r="DD3" i="20"/>
  <c r="DE3" i="20"/>
  <c r="DF3" i="20"/>
  <c r="DG3" i="20"/>
  <c r="DH3" i="20"/>
  <c r="DI3" i="20"/>
  <c r="DJ3" i="20"/>
  <c r="DK3" i="20"/>
  <c r="DL3" i="20"/>
  <c r="DM3" i="20"/>
  <c r="DN3" i="20"/>
  <c r="DO3" i="20"/>
  <c r="DP3" i="20"/>
  <c r="DQ3" i="20"/>
  <c r="DR3" i="20"/>
  <c r="DS3" i="20"/>
  <c r="DT3" i="20"/>
  <c r="DU3" i="20"/>
  <c r="DV3" i="20"/>
  <c r="DW3" i="20"/>
  <c r="DX3" i="20"/>
  <c r="DY3" i="20"/>
  <c r="DZ3" i="20"/>
  <c r="EA3" i="20"/>
  <c r="EB3" i="20"/>
  <c r="EC3" i="20"/>
  <c r="ED3" i="20"/>
  <c r="EE3" i="20"/>
  <c r="EF3" i="20"/>
  <c r="EG3" i="20"/>
  <c r="EH3" i="20"/>
  <c r="EI3" i="20"/>
  <c r="EJ3" i="20"/>
  <c r="EK3" i="20"/>
  <c r="EL3" i="20"/>
  <c r="EM3" i="20"/>
  <c r="EN3" i="20"/>
  <c r="EO3" i="20"/>
  <c r="EP3" i="20"/>
  <c r="EQ3" i="20"/>
  <c r="ER3" i="20"/>
  <c r="ES3" i="20"/>
  <c r="ET3" i="20"/>
  <c r="EU3" i="20"/>
  <c r="EV3" i="20"/>
  <c r="EW3" i="20"/>
  <c r="EX3" i="20"/>
  <c r="EY3" i="20"/>
  <c r="EZ3" i="20"/>
  <c r="FA3" i="20"/>
  <c r="FB3" i="20"/>
  <c r="FC3" i="20"/>
  <c r="FD3" i="20"/>
  <c r="FE3" i="20"/>
  <c r="FF3" i="20"/>
  <c r="FG3" i="20"/>
  <c r="FH3" i="20"/>
  <c r="FI3" i="20"/>
  <c r="FJ3" i="20"/>
  <c r="FK3" i="20"/>
  <c r="FL3" i="20"/>
  <c r="FM3" i="20"/>
  <c r="FN3" i="20"/>
  <c r="FO3" i="20"/>
  <c r="FP3" i="20"/>
  <c r="FQ3" i="20"/>
  <c r="FR3" i="20"/>
  <c r="FS3" i="20"/>
  <c r="FT3" i="20"/>
  <c r="FU3" i="20"/>
  <c r="FV3" i="20"/>
  <c r="FW3" i="20"/>
  <c r="FX3" i="20"/>
  <c r="FY3" i="20"/>
  <c r="FZ3" i="20"/>
  <c r="GA3" i="20"/>
  <c r="GB3" i="20"/>
  <c r="GC3" i="20"/>
  <c r="GD3" i="20"/>
  <c r="GE3" i="20"/>
  <c r="GF3" i="20"/>
  <c r="GG3" i="20"/>
  <c r="GH3" i="20"/>
  <c r="GI3" i="20"/>
  <c r="GJ3" i="20"/>
  <c r="GK3" i="20"/>
  <c r="GL3" i="20"/>
  <c r="GM3" i="20"/>
  <c r="GN3" i="20"/>
  <c r="GO3" i="20"/>
  <c r="GP3" i="20"/>
  <c r="GQ3" i="20"/>
  <c r="GR3" i="20"/>
  <c r="GS3" i="20"/>
  <c r="BN4" i="20"/>
  <c r="BO4" i="20"/>
  <c r="BP4" i="20"/>
  <c r="BQ4" i="20"/>
  <c r="BR4" i="20"/>
  <c r="BS4" i="20"/>
  <c r="BT4" i="20"/>
  <c r="BU4" i="20"/>
  <c r="BV4" i="20"/>
  <c r="BW4" i="20"/>
  <c r="BX4" i="20"/>
  <c r="BY4" i="20"/>
  <c r="BZ4" i="20"/>
  <c r="CA4" i="20"/>
  <c r="CB4" i="20"/>
  <c r="CC4" i="20"/>
  <c r="CD4" i="20"/>
  <c r="CE4" i="20"/>
  <c r="CF4" i="20"/>
  <c r="CG4" i="20"/>
  <c r="CH4" i="20"/>
  <c r="CI4" i="20"/>
  <c r="CJ4" i="20"/>
  <c r="CK4" i="20"/>
  <c r="CL4" i="20"/>
  <c r="CM4" i="20"/>
  <c r="CN4" i="20"/>
  <c r="CO4" i="20"/>
  <c r="CP4" i="20"/>
  <c r="CQ4" i="20"/>
  <c r="CR4" i="20"/>
  <c r="CS4" i="20"/>
  <c r="CT4" i="20"/>
  <c r="CU4" i="20"/>
  <c r="CV4" i="20"/>
  <c r="CW4" i="20"/>
  <c r="CX4" i="20"/>
  <c r="CY4" i="20"/>
  <c r="CZ4" i="20"/>
  <c r="DA4" i="20"/>
  <c r="DB4" i="20"/>
  <c r="DC4" i="20"/>
  <c r="DD4" i="20"/>
  <c r="DE4" i="20"/>
  <c r="DF4" i="20"/>
  <c r="DG4" i="20"/>
  <c r="DH4" i="20"/>
  <c r="DI4" i="20"/>
  <c r="DJ4" i="20"/>
  <c r="DK4" i="20"/>
  <c r="DL4" i="20"/>
  <c r="DM4" i="20"/>
  <c r="DN4" i="20"/>
  <c r="DO4" i="20"/>
  <c r="DP4" i="20"/>
  <c r="DQ4" i="20"/>
  <c r="DR4" i="20"/>
  <c r="DS4" i="20"/>
  <c r="DT4" i="20"/>
  <c r="DU4" i="20"/>
  <c r="DV4" i="20"/>
  <c r="DW4" i="20"/>
  <c r="DX4" i="20"/>
  <c r="DY4" i="20"/>
  <c r="DZ4" i="20"/>
  <c r="EA4" i="20"/>
  <c r="EB4" i="20"/>
  <c r="EC4" i="20"/>
  <c r="ED4" i="20"/>
  <c r="EE4" i="20"/>
  <c r="EF4" i="20"/>
  <c r="EG4" i="20"/>
  <c r="EH4" i="20"/>
  <c r="EI4" i="20"/>
  <c r="EJ4" i="20"/>
  <c r="EK4" i="20"/>
  <c r="EL4" i="20"/>
  <c r="EM4" i="20"/>
  <c r="EN4" i="20"/>
  <c r="EO4" i="20"/>
  <c r="EP4" i="20"/>
  <c r="EQ4" i="20"/>
  <c r="ER4" i="20"/>
  <c r="ES4" i="20"/>
  <c r="ET4" i="20"/>
  <c r="EU4" i="20"/>
  <c r="EV4" i="20"/>
  <c r="EW4" i="20"/>
  <c r="EX4" i="20"/>
  <c r="EY4" i="20"/>
  <c r="EZ4" i="20"/>
  <c r="FA4" i="20"/>
  <c r="FB4" i="20"/>
  <c r="FC4" i="20"/>
  <c r="FD4" i="20"/>
  <c r="FE4" i="20"/>
  <c r="FF4" i="20"/>
  <c r="FG4" i="20"/>
  <c r="FH4" i="20"/>
  <c r="FI4" i="20"/>
  <c r="FJ4" i="20"/>
  <c r="FK4" i="20"/>
  <c r="FL4" i="20"/>
  <c r="FM4" i="20"/>
  <c r="FN4" i="20"/>
  <c r="FO4" i="20"/>
  <c r="FP4" i="20"/>
  <c r="FQ4" i="20"/>
  <c r="FR4" i="20"/>
  <c r="FS4" i="20"/>
  <c r="FT4" i="20"/>
  <c r="FU4" i="20"/>
  <c r="FV4" i="20"/>
  <c r="FW4" i="20"/>
  <c r="FX4" i="20"/>
  <c r="FY4" i="20"/>
  <c r="FZ4" i="20"/>
  <c r="GA4" i="20"/>
  <c r="GB4" i="20"/>
  <c r="GC4" i="20"/>
  <c r="GD4" i="20"/>
  <c r="GE4" i="20"/>
  <c r="GF4" i="20"/>
  <c r="GG4" i="20"/>
  <c r="GH4" i="20"/>
  <c r="GI4" i="20"/>
  <c r="GJ4" i="20"/>
  <c r="GK4" i="20"/>
  <c r="GL4" i="20"/>
  <c r="GM4" i="20"/>
  <c r="GN4" i="20"/>
  <c r="GO4" i="20"/>
  <c r="GP4" i="20"/>
  <c r="GQ4" i="20"/>
  <c r="GR4" i="20"/>
  <c r="GS4" i="20"/>
  <c r="BN5" i="20"/>
  <c r="BO5" i="20"/>
  <c r="BP5" i="20"/>
  <c r="BQ5" i="20"/>
  <c r="BR5" i="20"/>
  <c r="BS5" i="20"/>
  <c r="BT5" i="20"/>
  <c r="BU5" i="20"/>
  <c r="BV5" i="20"/>
  <c r="BW5" i="20"/>
  <c r="BX5" i="20"/>
  <c r="BY5" i="20"/>
  <c r="BZ5" i="20"/>
  <c r="CA5" i="20"/>
  <c r="CB5" i="20"/>
  <c r="CC5" i="20"/>
  <c r="CD5" i="20"/>
  <c r="CE5" i="20"/>
  <c r="CF5" i="20"/>
  <c r="CG5" i="20"/>
  <c r="CH5" i="20"/>
  <c r="CI5" i="20"/>
  <c r="CJ5" i="20"/>
  <c r="CK5" i="20"/>
  <c r="CL5" i="20"/>
  <c r="CM5" i="20"/>
  <c r="CN5" i="20"/>
  <c r="CO5" i="20"/>
  <c r="CP5" i="20"/>
  <c r="CQ5" i="20"/>
  <c r="CR5" i="20"/>
  <c r="CS5" i="20"/>
  <c r="CT5" i="20"/>
  <c r="CU5" i="20"/>
  <c r="CV5" i="20"/>
  <c r="CW5" i="20"/>
  <c r="CX5" i="20"/>
  <c r="CY5" i="20"/>
  <c r="CZ5" i="20"/>
  <c r="DA5" i="20"/>
  <c r="DB5" i="20"/>
  <c r="DC5" i="20"/>
  <c r="DD5" i="20"/>
  <c r="DE5" i="20"/>
  <c r="DF5" i="20"/>
  <c r="DG5" i="20"/>
  <c r="DH5" i="20"/>
  <c r="DI5" i="20"/>
  <c r="DJ5" i="20"/>
  <c r="DK5" i="20"/>
  <c r="DL5" i="20"/>
  <c r="DM5" i="20"/>
  <c r="DN5" i="20"/>
  <c r="DO5" i="20"/>
  <c r="DP5" i="20"/>
  <c r="DQ5" i="20"/>
  <c r="DR5" i="20"/>
  <c r="DS5" i="20"/>
  <c r="DT5" i="20"/>
  <c r="DU5" i="20"/>
  <c r="DV5" i="20"/>
  <c r="DW5" i="20"/>
  <c r="DX5" i="20"/>
  <c r="DY5" i="20"/>
  <c r="DZ5" i="20"/>
  <c r="EA5" i="20"/>
  <c r="EB5" i="20"/>
  <c r="EC5" i="20"/>
  <c r="ED5" i="20"/>
  <c r="EE5" i="20"/>
  <c r="EF5" i="20"/>
  <c r="EG5" i="20"/>
  <c r="EH5" i="20"/>
  <c r="EI5" i="20"/>
  <c r="EJ5" i="20"/>
  <c r="EK5" i="20"/>
  <c r="EL5" i="20"/>
  <c r="EM5" i="20"/>
  <c r="EN5" i="20"/>
  <c r="EO5" i="20"/>
  <c r="EP5" i="20"/>
  <c r="EQ5" i="20"/>
  <c r="ER5" i="20"/>
  <c r="ES5" i="20"/>
  <c r="ET5" i="20"/>
  <c r="EU5" i="20"/>
  <c r="EV5" i="20"/>
  <c r="EW5" i="20"/>
  <c r="EX5" i="20"/>
  <c r="EY5" i="20"/>
  <c r="EZ5" i="20"/>
  <c r="FA5" i="20"/>
  <c r="FB5" i="20"/>
  <c r="FC5" i="20"/>
  <c r="FD5" i="20"/>
  <c r="FE5" i="20"/>
  <c r="FF5" i="20"/>
  <c r="FG5" i="20"/>
  <c r="FH5" i="20"/>
  <c r="FI5" i="20"/>
  <c r="FJ5" i="20"/>
  <c r="FK5" i="20"/>
  <c r="FL5" i="20"/>
  <c r="FM5" i="20"/>
  <c r="FN5" i="20"/>
  <c r="FO5" i="20"/>
  <c r="FP5" i="20"/>
  <c r="FQ5" i="20"/>
  <c r="FR5" i="20"/>
  <c r="FS5" i="20"/>
  <c r="FT5" i="20"/>
  <c r="FU5" i="20"/>
  <c r="FV5" i="20"/>
  <c r="FW5" i="20"/>
  <c r="FX5" i="20"/>
  <c r="FY5" i="20"/>
  <c r="FZ5" i="20"/>
  <c r="GA5" i="20"/>
  <c r="GB5" i="20"/>
  <c r="GC5" i="20"/>
  <c r="GD5" i="20"/>
  <c r="GE5" i="20"/>
  <c r="GF5" i="20"/>
  <c r="GG5" i="20"/>
  <c r="GH5" i="20"/>
  <c r="GI5" i="20"/>
  <c r="GJ5" i="20"/>
  <c r="GK5" i="20"/>
  <c r="GL5" i="20"/>
  <c r="GM5" i="20"/>
  <c r="GN5" i="20"/>
  <c r="GO5" i="20"/>
  <c r="GP5" i="20"/>
  <c r="GQ5" i="20"/>
  <c r="GR5" i="20"/>
  <c r="GS5" i="20"/>
  <c r="BN6" i="20"/>
  <c r="BO6" i="20"/>
  <c r="BP6" i="20"/>
  <c r="BQ6" i="20"/>
  <c r="BR6" i="20"/>
  <c r="BS6" i="20"/>
  <c r="BT6" i="20"/>
  <c r="BU6" i="20"/>
  <c r="BV6" i="20"/>
  <c r="BW6" i="20"/>
  <c r="BX6" i="20"/>
  <c r="BY6" i="20"/>
  <c r="BZ6" i="20"/>
  <c r="CA6" i="20"/>
  <c r="CB6" i="20"/>
  <c r="CC6" i="20"/>
  <c r="CD6" i="20"/>
  <c r="CE6" i="20"/>
  <c r="CF6" i="20"/>
  <c r="CG6" i="20"/>
  <c r="CH6" i="20"/>
  <c r="CI6" i="20"/>
  <c r="CJ6" i="20"/>
  <c r="CK6" i="20"/>
  <c r="CL6" i="20"/>
  <c r="CM6" i="20"/>
  <c r="CN6" i="20"/>
  <c r="CO6" i="20"/>
  <c r="CP6" i="20"/>
  <c r="CQ6" i="20"/>
  <c r="CR6" i="20"/>
  <c r="CS6" i="20"/>
  <c r="CT6" i="20"/>
  <c r="CU6" i="20"/>
  <c r="CV6" i="20"/>
  <c r="CW6" i="20"/>
  <c r="CX6" i="20"/>
  <c r="CY6" i="20"/>
  <c r="CZ6" i="20"/>
  <c r="DA6" i="20"/>
  <c r="DB6" i="20"/>
  <c r="DC6" i="20"/>
  <c r="DD6" i="20"/>
  <c r="DE6" i="20"/>
  <c r="DF6" i="20"/>
  <c r="DG6" i="20"/>
  <c r="DH6" i="20"/>
  <c r="DI6" i="20"/>
  <c r="DJ6" i="20"/>
  <c r="DK6" i="20"/>
  <c r="DL6" i="20"/>
  <c r="DM6" i="20"/>
  <c r="DN6" i="20"/>
  <c r="DO6" i="20"/>
  <c r="DP6" i="20"/>
  <c r="DQ6" i="20"/>
  <c r="DR6" i="20"/>
  <c r="DS6" i="20"/>
  <c r="DT6" i="20"/>
  <c r="DU6" i="20"/>
  <c r="DV6" i="20"/>
  <c r="DW6" i="20"/>
  <c r="DX6" i="20"/>
  <c r="DY6" i="20"/>
  <c r="DZ6" i="20"/>
  <c r="EA6" i="20"/>
  <c r="EB6" i="20"/>
  <c r="EC6" i="20"/>
  <c r="ED6" i="20"/>
  <c r="EE6" i="20"/>
  <c r="EF6" i="20"/>
  <c r="EG6" i="20"/>
  <c r="EH6" i="20"/>
  <c r="EI6" i="20"/>
  <c r="EJ6" i="20"/>
  <c r="EK6" i="20"/>
  <c r="EL6" i="20"/>
  <c r="EM6" i="20"/>
  <c r="EN6" i="20"/>
  <c r="EO6" i="20"/>
  <c r="EP6" i="20"/>
  <c r="EQ6" i="20"/>
  <c r="ER6" i="20"/>
  <c r="ES6" i="20"/>
  <c r="ET6" i="20"/>
  <c r="EU6" i="20"/>
  <c r="EV6" i="20"/>
  <c r="EW6" i="20"/>
  <c r="EX6" i="20"/>
  <c r="EY6" i="20"/>
  <c r="EZ6" i="20"/>
  <c r="FA6" i="20"/>
  <c r="FB6" i="20"/>
  <c r="FC6" i="20"/>
  <c r="FD6" i="20"/>
  <c r="FE6" i="20"/>
  <c r="FF6" i="20"/>
  <c r="FG6" i="20"/>
  <c r="FH6" i="20"/>
  <c r="FI6" i="20"/>
  <c r="FJ6" i="20"/>
  <c r="FK6" i="20"/>
  <c r="FL6" i="20"/>
  <c r="FM6" i="20"/>
  <c r="FN6" i="20"/>
  <c r="FO6" i="20"/>
  <c r="FP6" i="20"/>
  <c r="FQ6" i="20"/>
  <c r="FR6" i="20"/>
  <c r="FS6" i="20"/>
  <c r="FT6" i="20"/>
  <c r="FU6" i="20"/>
  <c r="FV6" i="20"/>
  <c r="FW6" i="20"/>
  <c r="FX6" i="20"/>
  <c r="FY6" i="20"/>
  <c r="FZ6" i="20"/>
  <c r="GA6" i="20"/>
  <c r="GB6" i="20"/>
  <c r="GC6" i="20"/>
  <c r="GD6" i="20"/>
  <c r="GE6" i="20"/>
  <c r="GF6" i="20"/>
  <c r="GG6" i="20"/>
  <c r="GH6" i="20"/>
  <c r="GI6" i="20"/>
  <c r="GJ6" i="20"/>
  <c r="GK6" i="20"/>
  <c r="GL6" i="20"/>
  <c r="GM6" i="20"/>
  <c r="GN6" i="20"/>
  <c r="GO6" i="20"/>
  <c r="GP6" i="20"/>
  <c r="GQ6" i="20"/>
  <c r="GR6" i="20"/>
  <c r="GS6" i="20"/>
  <c r="AP2" i="20"/>
  <c r="AQ2" i="20"/>
  <c r="AR2" i="20"/>
  <c r="AS2" i="20"/>
  <c r="AT2" i="20"/>
  <c r="AU2" i="20"/>
  <c r="AV2" i="20"/>
  <c r="AW2" i="20"/>
  <c r="AX2" i="20"/>
  <c r="AY2" i="20"/>
  <c r="AZ2" i="20"/>
  <c r="BA2" i="20"/>
  <c r="BB2" i="20"/>
  <c r="BC2" i="20"/>
  <c r="BD2" i="20"/>
  <c r="BE2" i="20"/>
  <c r="BF2" i="20"/>
  <c r="BG2" i="20"/>
  <c r="BH2" i="20"/>
  <c r="BI2" i="20"/>
  <c r="BJ2" i="20"/>
  <c r="BK2" i="20"/>
  <c r="BL2" i="20"/>
  <c r="BM2" i="20"/>
  <c r="AP3" i="20"/>
  <c r="AQ3" i="20"/>
  <c r="AR3" i="20"/>
  <c r="AS3" i="20"/>
  <c r="AT3" i="20"/>
  <c r="AU3" i="20"/>
  <c r="AV3" i="20"/>
  <c r="AW3" i="20"/>
  <c r="AX3" i="20"/>
  <c r="AY3" i="20"/>
  <c r="AZ3" i="20"/>
  <c r="BA3" i="20"/>
  <c r="BB3" i="20"/>
  <c r="BC3" i="20"/>
  <c r="BD3" i="20"/>
  <c r="BE3" i="20"/>
  <c r="BF3" i="20"/>
  <c r="BG3" i="20"/>
  <c r="BH3" i="20"/>
  <c r="BI3" i="20"/>
  <c r="BJ3" i="20"/>
  <c r="BK3" i="20"/>
  <c r="BL3" i="20"/>
  <c r="BM3" i="20"/>
  <c r="AP4" i="20"/>
  <c r="AQ4" i="20"/>
  <c r="AR4" i="20"/>
  <c r="AS4" i="20"/>
  <c r="AT4" i="20"/>
  <c r="AU4" i="20"/>
  <c r="AV4" i="20"/>
  <c r="AW4" i="20"/>
  <c r="AX4" i="20"/>
  <c r="AY4" i="20"/>
  <c r="AZ4" i="20"/>
  <c r="BA4" i="20"/>
  <c r="BB4" i="20"/>
  <c r="BC4" i="20"/>
  <c r="BD4" i="20"/>
  <c r="BE4" i="20"/>
  <c r="BF4" i="20"/>
  <c r="BG4" i="20"/>
  <c r="BH4" i="20"/>
  <c r="BI4" i="20"/>
  <c r="BJ4" i="20"/>
  <c r="BK4" i="20"/>
  <c r="BL4" i="20"/>
  <c r="BM4" i="20"/>
  <c r="AP5" i="20"/>
  <c r="AQ5" i="20"/>
  <c r="AR5" i="20"/>
  <c r="AS5" i="20"/>
  <c r="AT5" i="20"/>
  <c r="AU5" i="20"/>
  <c r="AV5" i="20"/>
  <c r="AW5" i="20"/>
  <c r="AX5" i="20"/>
  <c r="AY5" i="20"/>
  <c r="AZ5" i="20"/>
  <c r="BA5" i="20"/>
  <c r="BB5" i="20"/>
  <c r="BC5" i="20"/>
  <c r="BD5" i="20"/>
  <c r="BE5" i="20"/>
  <c r="BF5" i="20"/>
  <c r="BG5" i="20"/>
  <c r="BH5" i="20"/>
  <c r="BI5" i="20"/>
  <c r="BJ5" i="20"/>
  <c r="BK5" i="20"/>
  <c r="BL5" i="20"/>
  <c r="BM5" i="20"/>
  <c r="AP6" i="20"/>
  <c r="AQ6" i="20"/>
  <c r="AR6" i="20"/>
  <c r="AS6" i="20"/>
  <c r="AT6" i="20"/>
  <c r="AU6" i="20"/>
  <c r="AV6" i="20"/>
  <c r="AW6" i="20"/>
  <c r="AX6" i="20"/>
  <c r="AY6" i="20"/>
  <c r="AZ6" i="20"/>
  <c r="BA6" i="20"/>
  <c r="BB6" i="20"/>
  <c r="BC6" i="20"/>
  <c r="BD6" i="20"/>
  <c r="BE6" i="20"/>
  <c r="BF6" i="20"/>
  <c r="BG6" i="20"/>
  <c r="BH6" i="20"/>
  <c r="BI6" i="20"/>
  <c r="BJ6" i="20"/>
  <c r="BK6" i="20"/>
  <c r="BL6" i="20"/>
  <c r="BM6" i="20"/>
  <c r="Q2" i="20"/>
  <c r="R2" i="20"/>
  <c r="S2" i="20"/>
  <c r="T2" i="20"/>
  <c r="U2" i="20"/>
  <c r="V2" i="20"/>
  <c r="W2" i="20"/>
  <c r="X2" i="20"/>
  <c r="Y2" i="20"/>
  <c r="Z2" i="20"/>
  <c r="AA2" i="20"/>
  <c r="AB2" i="20"/>
  <c r="AC2" i="20"/>
  <c r="AD2" i="20"/>
  <c r="AE2" i="20"/>
  <c r="AF2" i="20"/>
  <c r="AG2" i="20"/>
  <c r="AH2" i="20"/>
  <c r="AI2" i="20"/>
  <c r="AJ2" i="20"/>
  <c r="AK2" i="20"/>
  <c r="AL2" i="20"/>
  <c r="AM2" i="20"/>
  <c r="AN2" i="20"/>
  <c r="AO2" i="20"/>
  <c r="Q3" i="20"/>
  <c r="R3" i="20"/>
  <c r="S3" i="20"/>
  <c r="T3" i="20"/>
  <c r="U3" i="20"/>
  <c r="V3" i="20"/>
  <c r="W3" i="20"/>
  <c r="X3" i="20"/>
  <c r="Y3" i="20"/>
  <c r="Z3" i="20"/>
  <c r="AA3" i="20"/>
  <c r="AB3" i="20"/>
  <c r="AC3" i="20"/>
  <c r="AD3" i="20"/>
  <c r="AE3" i="20"/>
  <c r="AF3" i="20"/>
  <c r="AG3" i="20"/>
  <c r="AH3" i="20"/>
  <c r="AI3" i="20"/>
  <c r="AJ3" i="20"/>
  <c r="AK3" i="20"/>
  <c r="AL3" i="20"/>
  <c r="AM3" i="20"/>
  <c r="AN3" i="20"/>
  <c r="AO3" i="20"/>
  <c r="Q4" i="20"/>
  <c r="R4" i="20"/>
  <c r="S4" i="20"/>
  <c r="T4" i="20"/>
  <c r="U4" i="20"/>
  <c r="V4" i="20"/>
  <c r="W4" i="20"/>
  <c r="X4" i="20"/>
  <c r="Y4" i="20"/>
  <c r="Z4" i="20"/>
  <c r="AA4" i="20"/>
  <c r="AB4" i="20"/>
  <c r="AC4" i="20"/>
  <c r="AD4" i="20"/>
  <c r="AE4" i="20"/>
  <c r="AF4" i="20"/>
  <c r="AG4" i="20"/>
  <c r="AH4" i="20"/>
  <c r="AI4" i="20"/>
  <c r="AJ4" i="20"/>
  <c r="AK4" i="20"/>
  <c r="AL4" i="20"/>
  <c r="AM4" i="20"/>
  <c r="AN4" i="20"/>
  <c r="AO4" i="20"/>
  <c r="Q5" i="20"/>
  <c r="R5" i="20"/>
  <c r="S5" i="20"/>
  <c r="T5" i="20"/>
  <c r="U5" i="20"/>
  <c r="V5" i="20"/>
  <c r="W5" i="20"/>
  <c r="X5" i="20"/>
  <c r="Y5" i="20"/>
  <c r="Z5" i="20"/>
  <c r="AA5" i="20"/>
  <c r="AB5" i="20"/>
  <c r="AC5" i="20"/>
  <c r="AD5" i="20"/>
  <c r="AE5" i="20"/>
  <c r="AF5" i="20"/>
  <c r="AG5" i="20"/>
  <c r="AH5" i="20"/>
  <c r="AI5" i="20"/>
  <c r="AJ5" i="20"/>
  <c r="AK5" i="20"/>
  <c r="AL5" i="20"/>
  <c r="AM5" i="20"/>
  <c r="AN5" i="20"/>
  <c r="AO5" i="20"/>
  <c r="Q6" i="20"/>
  <c r="R6" i="20"/>
  <c r="S6" i="20"/>
  <c r="T6" i="20"/>
  <c r="U6" i="20"/>
  <c r="V6" i="20"/>
  <c r="W6" i="20"/>
  <c r="X6" i="20"/>
  <c r="Y6" i="20"/>
  <c r="Z6" i="20"/>
  <c r="AA6" i="20"/>
  <c r="AB6" i="20"/>
  <c r="AC6" i="20"/>
  <c r="AD6" i="20"/>
  <c r="AE6" i="20"/>
  <c r="AF6" i="20"/>
  <c r="AG6" i="20"/>
  <c r="AH6" i="20"/>
  <c r="AI6" i="20"/>
  <c r="AJ6" i="20"/>
  <c r="AK6" i="20"/>
  <c r="AL6" i="20"/>
  <c r="AM6" i="20"/>
  <c r="AN6" i="20"/>
  <c r="AO6" i="20"/>
  <c r="I2" i="20"/>
  <c r="J2" i="20"/>
  <c r="K2" i="20"/>
  <c r="L2" i="20"/>
  <c r="M2" i="20"/>
  <c r="O2" i="20"/>
  <c r="P2" i="20"/>
  <c r="I3" i="20"/>
  <c r="J3" i="20"/>
  <c r="K3" i="20"/>
  <c r="L3" i="20"/>
  <c r="M3" i="20"/>
  <c r="N3" i="20"/>
  <c r="O3" i="20"/>
  <c r="P3" i="20"/>
  <c r="I4" i="20"/>
  <c r="J4" i="20"/>
  <c r="K4" i="20"/>
  <c r="L4" i="20"/>
  <c r="M4" i="20"/>
  <c r="N4" i="20"/>
  <c r="O4" i="20"/>
  <c r="P4" i="20"/>
  <c r="I5" i="20"/>
  <c r="J5" i="20"/>
  <c r="K5" i="20"/>
  <c r="L5" i="20"/>
  <c r="M5" i="20"/>
  <c r="N5" i="20"/>
  <c r="O5" i="20"/>
  <c r="P5" i="20"/>
  <c r="I6" i="20"/>
  <c r="J6" i="20"/>
  <c r="K6" i="20"/>
  <c r="L6" i="20"/>
  <c r="M6" i="20"/>
  <c r="N6" i="20"/>
  <c r="O6" i="20"/>
  <c r="P6" i="20"/>
  <c r="H7" i="20"/>
  <c r="H6" i="20"/>
  <c r="H5" i="20"/>
  <c r="H4" i="20"/>
  <c r="H3" i="20"/>
  <c r="H2" i="20"/>
  <c r="I92" i="20"/>
  <c r="J92" i="20"/>
  <c r="K92" i="20"/>
  <c r="L92" i="20"/>
  <c r="M92" i="20"/>
  <c r="N92" i="20"/>
  <c r="O92" i="20"/>
  <c r="P92" i="20"/>
  <c r="Q92" i="20"/>
  <c r="R92" i="20"/>
  <c r="S92" i="20"/>
  <c r="T92" i="20"/>
  <c r="U92" i="20"/>
  <c r="V92" i="20"/>
  <c r="W92" i="20"/>
  <c r="X92" i="20"/>
  <c r="Y92" i="20"/>
  <c r="Z92" i="20"/>
  <c r="AA92" i="20"/>
  <c r="AB92" i="20"/>
  <c r="AC92" i="20"/>
  <c r="AD92" i="20"/>
  <c r="AE92" i="20"/>
  <c r="AF92" i="20"/>
  <c r="AG92" i="20"/>
  <c r="AH92" i="20"/>
  <c r="AI92" i="20"/>
  <c r="AJ92" i="20"/>
  <c r="AK92" i="20"/>
  <c r="AL92" i="20"/>
  <c r="AM92" i="20"/>
  <c r="AN92" i="20"/>
  <c r="AO92" i="20"/>
  <c r="AP92" i="20"/>
  <c r="AQ92" i="20"/>
  <c r="AR92" i="20"/>
  <c r="AS92" i="20"/>
  <c r="AT92" i="20"/>
  <c r="AU92" i="20"/>
  <c r="AV92" i="20"/>
  <c r="AW92" i="20"/>
  <c r="AX92" i="20"/>
  <c r="AY92" i="20"/>
  <c r="AZ92" i="20"/>
  <c r="BA92" i="20"/>
  <c r="BB92" i="20"/>
  <c r="BC92" i="20"/>
  <c r="BD92" i="20"/>
  <c r="BE92" i="20"/>
  <c r="BF92" i="20"/>
  <c r="BG92" i="20"/>
  <c r="BH92" i="20"/>
  <c r="BI92" i="20"/>
  <c r="BJ92" i="20"/>
  <c r="BK92" i="20"/>
  <c r="BL92" i="20"/>
  <c r="BM92" i="20"/>
  <c r="BN92" i="20"/>
  <c r="BO92" i="20"/>
  <c r="BP92" i="20"/>
  <c r="BQ92" i="20"/>
  <c r="BR92" i="20"/>
  <c r="BS92" i="20"/>
  <c r="BT92" i="20"/>
  <c r="BU92" i="20"/>
  <c r="BV92" i="20"/>
  <c r="BW92" i="20"/>
  <c r="BX92" i="20"/>
  <c r="BY92" i="20"/>
  <c r="BZ92" i="20"/>
  <c r="CA92" i="20"/>
  <c r="CB92" i="20"/>
  <c r="CC92" i="20"/>
  <c r="CD92" i="20"/>
  <c r="CE92" i="20"/>
  <c r="CF92" i="20"/>
  <c r="CG92" i="20"/>
  <c r="CH92" i="20"/>
  <c r="CI92" i="20"/>
  <c r="CJ92" i="20"/>
  <c r="CK92" i="20"/>
  <c r="CL92" i="20"/>
  <c r="CM92" i="20"/>
  <c r="CN92" i="20"/>
  <c r="CO92" i="20"/>
  <c r="CP92" i="20"/>
  <c r="CQ92" i="20"/>
  <c r="CR92" i="20"/>
  <c r="CS92" i="20"/>
  <c r="CT92" i="20"/>
  <c r="CU92" i="20"/>
  <c r="CV92" i="20"/>
  <c r="CW92" i="20"/>
  <c r="CX92" i="20"/>
  <c r="CY92" i="20"/>
  <c r="CZ92" i="20"/>
  <c r="DA92" i="20"/>
  <c r="DB92" i="20"/>
  <c r="DC92" i="20"/>
  <c r="DD92" i="20"/>
  <c r="DE92" i="20"/>
  <c r="DF92" i="20"/>
  <c r="DG92" i="20"/>
  <c r="DH92" i="20"/>
  <c r="DI92" i="20"/>
  <c r="DJ92" i="20"/>
  <c r="DK92" i="20"/>
  <c r="DL92" i="20"/>
  <c r="DM92" i="20"/>
  <c r="DN92" i="20"/>
  <c r="DO92" i="20"/>
  <c r="DP92" i="20"/>
  <c r="DQ92" i="20"/>
  <c r="DR92" i="20"/>
  <c r="DS92" i="20"/>
  <c r="DT92" i="20"/>
  <c r="DU92" i="20"/>
  <c r="DV92" i="20"/>
  <c r="DW92" i="20"/>
  <c r="DX92" i="20"/>
  <c r="DY92" i="20"/>
  <c r="DZ92" i="20"/>
  <c r="EA92" i="20"/>
  <c r="EB92" i="20"/>
  <c r="EC92" i="20"/>
  <c r="ED92" i="20"/>
  <c r="EE92" i="20"/>
  <c r="EF92" i="20"/>
  <c r="EG92" i="20"/>
  <c r="EH92" i="20"/>
  <c r="EI92" i="20"/>
  <c r="EJ92" i="20"/>
  <c r="EK92" i="20"/>
  <c r="EL92" i="20"/>
  <c r="EM92" i="20"/>
  <c r="EN92" i="20"/>
  <c r="EO92" i="20"/>
  <c r="EP92" i="20"/>
  <c r="EQ92" i="20"/>
  <c r="ER92" i="20"/>
  <c r="ES92" i="20"/>
  <c r="ET92" i="20"/>
  <c r="EU92" i="20"/>
  <c r="EV92" i="20"/>
  <c r="EW92" i="20"/>
  <c r="EX92" i="20"/>
  <c r="EY92" i="20"/>
  <c r="EZ92" i="20"/>
  <c r="FA92" i="20"/>
  <c r="FB92" i="20"/>
  <c r="FC92" i="20"/>
  <c r="FD92" i="20"/>
  <c r="FE92" i="20"/>
  <c r="FF92" i="20"/>
  <c r="FG92" i="20"/>
  <c r="FH92" i="20"/>
  <c r="FI92" i="20"/>
  <c r="FJ92" i="20"/>
  <c r="FK92" i="20"/>
  <c r="FL92" i="20"/>
  <c r="FM92" i="20"/>
  <c r="FN92" i="20"/>
  <c r="FO92" i="20"/>
  <c r="FP92" i="20"/>
  <c r="FQ92" i="20"/>
  <c r="FR92" i="20"/>
  <c r="FS92" i="20"/>
  <c r="FT92" i="20"/>
  <c r="FU92" i="20"/>
  <c r="FV92" i="20"/>
  <c r="FW92" i="20"/>
  <c r="FX92" i="20"/>
  <c r="FY92" i="20"/>
  <c r="FZ92" i="20"/>
  <c r="GA92" i="20"/>
  <c r="GB92" i="20"/>
  <c r="GC92" i="20"/>
  <c r="GD92" i="20"/>
  <c r="GE92" i="20"/>
  <c r="GF92" i="20"/>
  <c r="GG92" i="20"/>
  <c r="GH92" i="20"/>
  <c r="GI92" i="20"/>
  <c r="GJ92" i="20"/>
  <c r="GK92" i="20"/>
  <c r="GL92" i="20"/>
  <c r="GM92" i="20"/>
  <c r="GN92" i="20"/>
  <c r="GO92" i="20"/>
  <c r="GP92" i="20"/>
  <c r="GQ92" i="20"/>
  <c r="GR92" i="20"/>
  <c r="GS92" i="20"/>
  <c r="GT92" i="20"/>
  <c r="GU92" i="20"/>
  <c r="GV92" i="20"/>
  <c r="GW92" i="20"/>
  <c r="GX92" i="20"/>
  <c r="GY92" i="20"/>
  <c r="GZ92" i="20"/>
  <c r="HA92" i="20"/>
  <c r="HB92" i="20"/>
  <c r="HC92" i="20"/>
  <c r="AR8" i="20"/>
  <c r="AS8" i="20"/>
  <c r="AT8" i="20"/>
  <c r="AU8" i="20"/>
  <c r="AV8" i="20"/>
  <c r="AW8" i="20"/>
  <c r="AX8" i="20"/>
  <c r="AY8" i="20"/>
  <c r="AZ8" i="20"/>
  <c r="BA8" i="20"/>
  <c r="BB8" i="20"/>
  <c r="BC8" i="20"/>
  <c r="BD8" i="20"/>
  <c r="BE8" i="20"/>
  <c r="BF8" i="20"/>
  <c r="BG8" i="20"/>
  <c r="BH8" i="20"/>
  <c r="BI8" i="20"/>
  <c r="BJ8" i="20"/>
  <c r="BK8" i="20"/>
  <c r="BL8" i="20"/>
  <c r="BM8" i="20"/>
  <c r="BN8" i="20"/>
  <c r="BO8" i="20"/>
  <c r="BP8" i="20"/>
  <c r="BQ8" i="20"/>
  <c r="BR8" i="20"/>
  <c r="BS8" i="20"/>
  <c r="BT8" i="20"/>
  <c r="BU8" i="20"/>
  <c r="BV8" i="20"/>
  <c r="BW8" i="20"/>
  <c r="BX8" i="20"/>
  <c r="BY8" i="20"/>
  <c r="BZ8" i="20"/>
  <c r="CA8" i="20"/>
  <c r="CB8" i="20"/>
  <c r="CC8" i="20"/>
  <c r="CD8" i="20"/>
  <c r="CE8" i="20"/>
  <c r="CF8" i="20"/>
  <c r="CG8" i="20"/>
  <c r="CH8" i="20"/>
  <c r="CI8" i="20"/>
  <c r="CJ8" i="20"/>
  <c r="CK8" i="20"/>
  <c r="CL8" i="20"/>
  <c r="CM8" i="20"/>
  <c r="CN8" i="20"/>
  <c r="CO8" i="20"/>
  <c r="CP8" i="20"/>
  <c r="CQ8" i="20"/>
  <c r="CR8" i="20"/>
  <c r="CS8" i="20"/>
  <c r="CT8" i="20"/>
  <c r="CU8" i="20"/>
  <c r="CV8" i="20"/>
  <c r="CW8" i="20"/>
  <c r="CX8" i="20"/>
  <c r="CY8" i="20"/>
  <c r="CZ8" i="20"/>
  <c r="DA8" i="20"/>
  <c r="DB8" i="20"/>
  <c r="DC8" i="20"/>
  <c r="DD8" i="20"/>
  <c r="DE8" i="20"/>
  <c r="DF8" i="20"/>
  <c r="DG8" i="20"/>
  <c r="DH8" i="20"/>
  <c r="DI8" i="20"/>
  <c r="DJ8" i="20"/>
  <c r="DK8" i="20"/>
  <c r="DL8" i="20"/>
  <c r="DM8" i="20"/>
  <c r="DN8" i="20"/>
  <c r="DO8" i="20"/>
  <c r="DP8" i="20"/>
  <c r="DQ8" i="20"/>
  <c r="DR8" i="20"/>
  <c r="DS8" i="20"/>
  <c r="DT8" i="20"/>
  <c r="DU8" i="20"/>
  <c r="DV8" i="20"/>
  <c r="DW8" i="20"/>
  <c r="DX8" i="20"/>
  <c r="DY8" i="20"/>
  <c r="DZ8" i="20"/>
  <c r="EA8" i="20"/>
  <c r="EB8" i="20"/>
  <c r="EC8" i="20"/>
  <c r="ED8" i="20"/>
  <c r="EE8" i="20"/>
  <c r="EF8" i="20"/>
  <c r="EG8" i="20"/>
  <c r="EH8" i="20"/>
  <c r="EI8" i="20"/>
  <c r="EJ8" i="20"/>
  <c r="EK8" i="20"/>
  <c r="EL8" i="20"/>
  <c r="EM8" i="20"/>
  <c r="EN8" i="20"/>
  <c r="EO8" i="20"/>
  <c r="EP8" i="20"/>
  <c r="EQ8" i="20"/>
  <c r="ER8" i="20"/>
  <c r="ES8" i="20"/>
  <c r="ET8" i="20"/>
  <c r="EU8" i="20"/>
  <c r="EV8" i="20"/>
  <c r="EW8" i="20"/>
  <c r="EX8" i="20"/>
  <c r="EY8" i="20"/>
  <c r="EZ8" i="20"/>
  <c r="FA8" i="20"/>
  <c r="FB8" i="20"/>
  <c r="FC8" i="20"/>
  <c r="FD8" i="20"/>
  <c r="FE8" i="20"/>
  <c r="FF8" i="20"/>
  <c r="FG8" i="20"/>
  <c r="FH8" i="20"/>
  <c r="FI8" i="20"/>
  <c r="FJ8" i="20"/>
  <c r="FK8" i="20"/>
  <c r="FL8" i="20"/>
  <c r="FM8" i="20"/>
  <c r="FN8" i="20"/>
  <c r="FO8" i="20"/>
  <c r="FP8" i="20"/>
  <c r="FQ8" i="20"/>
  <c r="FR8" i="20"/>
  <c r="FS8" i="20"/>
  <c r="FT8" i="20"/>
  <c r="FU8" i="20"/>
  <c r="FV8" i="20"/>
  <c r="FW8" i="20"/>
  <c r="FX8" i="20"/>
  <c r="FY8" i="20"/>
  <c r="FZ8" i="20"/>
  <c r="GA8" i="20"/>
  <c r="GB8" i="20"/>
  <c r="GC8" i="20"/>
  <c r="GD8" i="20"/>
  <c r="GE8" i="20"/>
  <c r="GF8" i="20"/>
  <c r="GG8" i="20"/>
  <c r="GH8" i="20"/>
  <c r="GI8" i="20"/>
  <c r="GJ8" i="20"/>
  <c r="GK8" i="20"/>
  <c r="GL8" i="20"/>
  <c r="GM8" i="20"/>
  <c r="GN8" i="20"/>
  <c r="GO8" i="20"/>
  <c r="GP8" i="20"/>
  <c r="GQ8" i="20"/>
  <c r="GR8" i="20"/>
  <c r="GS8" i="20"/>
  <c r="GT8" i="20"/>
  <c r="GU8" i="20"/>
  <c r="GV8" i="20"/>
  <c r="GW8" i="20"/>
  <c r="GX8" i="20"/>
  <c r="GY8" i="20"/>
  <c r="GZ8" i="20"/>
  <c r="HA8" i="20"/>
  <c r="HB8" i="20"/>
  <c r="HC8" i="20"/>
  <c r="AR9" i="20"/>
  <c r="AS9" i="20"/>
  <c r="AT9" i="20"/>
  <c r="AU9" i="20"/>
  <c r="AV9" i="20"/>
  <c r="AW9" i="20"/>
  <c r="AX9" i="20"/>
  <c r="AY9" i="20"/>
  <c r="AZ9" i="20"/>
  <c r="BA9" i="20"/>
  <c r="BB9" i="20"/>
  <c r="BC9" i="20"/>
  <c r="BD9" i="20"/>
  <c r="BE9" i="20"/>
  <c r="BF9" i="20"/>
  <c r="BG9" i="20"/>
  <c r="BH9" i="20"/>
  <c r="BI9" i="20"/>
  <c r="BJ9" i="20"/>
  <c r="BK9" i="20"/>
  <c r="BL9" i="20"/>
  <c r="BM9" i="20"/>
  <c r="BN9" i="20"/>
  <c r="BO9" i="20"/>
  <c r="BP9" i="20"/>
  <c r="BQ9" i="20"/>
  <c r="BR9" i="20"/>
  <c r="BS9" i="20"/>
  <c r="BT9" i="20"/>
  <c r="BU9" i="20"/>
  <c r="BV9" i="20"/>
  <c r="BW9" i="20"/>
  <c r="BX9" i="20"/>
  <c r="BY9" i="20"/>
  <c r="BZ9" i="20"/>
  <c r="CA9" i="20"/>
  <c r="CB9" i="20"/>
  <c r="CC9" i="20"/>
  <c r="CD9" i="20"/>
  <c r="CE9" i="20"/>
  <c r="CF9" i="20"/>
  <c r="CG9" i="20"/>
  <c r="CH9" i="20"/>
  <c r="CI9" i="20"/>
  <c r="CJ9" i="20"/>
  <c r="CK9" i="20"/>
  <c r="CL9" i="20"/>
  <c r="CM9" i="20"/>
  <c r="CN9" i="20"/>
  <c r="CO9" i="20"/>
  <c r="CP9" i="20"/>
  <c r="CQ9" i="20"/>
  <c r="CR9" i="20"/>
  <c r="CS9" i="20"/>
  <c r="CT9" i="20"/>
  <c r="CU9" i="20"/>
  <c r="CV9" i="20"/>
  <c r="CW9" i="20"/>
  <c r="CX9" i="20"/>
  <c r="CY9" i="20"/>
  <c r="CZ9" i="20"/>
  <c r="DA9" i="20"/>
  <c r="DB9" i="20"/>
  <c r="DC9" i="20"/>
  <c r="DD9" i="20"/>
  <c r="DE9" i="20"/>
  <c r="DF9" i="20"/>
  <c r="DG9" i="20"/>
  <c r="DH9" i="20"/>
  <c r="DI9" i="20"/>
  <c r="DJ9" i="20"/>
  <c r="DK9" i="20"/>
  <c r="DL9" i="20"/>
  <c r="DM9" i="20"/>
  <c r="DN9" i="20"/>
  <c r="DO9" i="20"/>
  <c r="DP9" i="20"/>
  <c r="DQ9" i="20"/>
  <c r="DR9" i="20"/>
  <c r="DS9" i="20"/>
  <c r="DT9" i="20"/>
  <c r="DU9" i="20"/>
  <c r="DV9" i="20"/>
  <c r="DW9" i="20"/>
  <c r="DX9" i="20"/>
  <c r="DY9" i="20"/>
  <c r="DZ9" i="20"/>
  <c r="EA9" i="20"/>
  <c r="EB9" i="20"/>
  <c r="EC9" i="20"/>
  <c r="ED9" i="20"/>
  <c r="EE9" i="20"/>
  <c r="EF9" i="20"/>
  <c r="EG9" i="20"/>
  <c r="EH9" i="20"/>
  <c r="EI9" i="20"/>
  <c r="EJ9" i="20"/>
  <c r="EK9" i="20"/>
  <c r="EL9" i="20"/>
  <c r="EM9" i="20"/>
  <c r="EN9" i="20"/>
  <c r="EO9" i="20"/>
  <c r="EP9" i="20"/>
  <c r="EQ9" i="20"/>
  <c r="ER9" i="20"/>
  <c r="ES9" i="20"/>
  <c r="ET9" i="20"/>
  <c r="EU9" i="20"/>
  <c r="EV9" i="20"/>
  <c r="EW9" i="20"/>
  <c r="EX9" i="20"/>
  <c r="EY9" i="20"/>
  <c r="EZ9" i="20"/>
  <c r="FA9" i="20"/>
  <c r="FB9" i="20"/>
  <c r="FC9" i="20"/>
  <c r="FD9" i="20"/>
  <c r="FE9" i="20"/>
  <c r="FF9" i="20"/>
  <c r="FG9" i="20"/>
  <c r="FH9" i="20"/>
  <c r="FI9" i="20"/>
  <c r="FJ9" i="20"/>
  <c r="FK9" i="20"/>
  <c r="FL9" i="20"/>
  <c r="FM9" i="20"/>
  <c r="FN9" i="20"/>
  <c r="FO9" i="20"/>
  <c r="FP9" i="20"/>
  <c r="FQ9" i="20"/>
  <c r="FR9" i="20"/>
  <c r="FS9" i="20"/>
  <c r="FT9" i="20"/>
  <c r="FU9" i="20"/>
  <c r="FV9" i="20"/>
  <c r="FW9" i="20"/>
  <c r="FX9" i="20"/>
  <c r="FY9" i="20"/>
  <c r="FZ9" i="20"/>
  <c r="GA9" i="20"/>
  <c r="GB9" i="20"/>
  <c r="GC9" i="20"/>
  <c r="GD9" i="20"/>
  <c r="GE9" i="20"/>
  <c r="GF9" i="20"/>
  <c r="GG9" i="20"/>
  <c r="GH9" i="20"/>
  <c r="GI9" i="20"/>
  <c r="GJ9" i="20"/>
  <c r="GK9" i="20"/>
  <c r="GL9" i="20"/>
  <c r="GM9" i="20"/>
  <c r="GN9" i="20"/>
  <c r="GO9" i="20"/>
  <c r="GP9" i="20"/>
  <c r="GQ9" i="20"/>
  <c r="GR9" i="20"/>
  <c r="GS9" i="20"/>
  <c r="GT9" i="20"/>
  <c r="GU9" i="20"/>
  <c r="GV9" i="20"/>
  <c r="GW9" i="20"/>
  <c r="GX9" i="20"/>
  <c r="GY9" i="20"/>
  <c r="GZ9" i="20"/>
  <c r="HA9" i="20"/>
  <c r="HB9" i="20"/>
  <c r="HC9" i="20"/>
  <c r="AR10" i="20"/>
  <c r="AS10" i="20"/>
  <c r="AT10" i="20"/>
  <c r="AU10" i="20"/>
  <c r="AV10" i="20"/>
  <c r="AW10" i="20"/>
  <c r="AX10" i="20"/>
  <c r="AY10" i="20"/>
  <c r="AZ10" i="20"/>
  <c r="BA10" i="20"/>
  <c r="BB10" i="20"/>
  <c r="BC10" i="20"/>
  <c r="BD10" i="20"/>
  <c r="BE10" i="20"/>
  <c r="BF10" i="20"/>
  <c r="BG10" i="20"/>
  <c r="BH10" i="20"/>
  <c r="BI10" i="20"/>
  <c r="BJ10" i="20"/>
  <c r="BK10" i="20"/>
  <c r="BL10" i="20"/>
  <c r="BM10" i="20"/>
  <c r="BN10" i="20"/>
  <c r="BO10" i="20"/>
  <c r="BP10" i="20"/>
  <c r="BQ10" i="20"/>
  <c r="BR10" i="20"/>
  <c r="BS10" i="20"/>
  <c r="BT10" i="20"/>
  <c r="BU10" i="20"/>
  <c r="BV10" i="20"/>
  <c r="BW10" i="20"/>
  <c r="BX10" i="20"/>
  <c r="BY10" i="20"/>
  <c r="BZ10" i="20"/>
  <c r="CA10" i="20"/>
  <c r="CB10" i="20"/>
  <c r="CC10" i="20"/>
  <c r="CD10" i="20"/>
  <c r="CE10" i="20"/>
  <c r="CF10" i="20"/>
  <c r="CG10" i="20"/>
  <c r="CH10" i="20"/>
  <c r="CI10" i="20"/>
  <c r="CJ10" i="20"/>
  <c r="CK10" i="20"/>
  <c r="CL10" i="20"/>
  <c r="CM10" i="20"/>
  <c r="CN10" i="20"/>
  <c r="CO10" i="20"/>
  <c r="CP10" i="20"/>
  <c r="CQ10" i="20"/>
  <c r="CR10" i="20"/>
  <c r="CS10" i="20"/>
  <c r="CT10" i="20"/>
  <c r="CU10" i="20"/>
  <c r="CV10" i="20"/>
  <c r="CW10" i="20"/>
  <c r="CX10" i="20"/>
  <c r="CY10" i="20"/>
  <c r="CZ10" i="20"/>
  <c r="DA10" i="20"/>
  <c r="DB10" i="20"/>
  <c r="DC10" i="20"/>
  <c r="DD10" i="20"/>
  <c r="DE10" i="20"/>
  <c r="DF10" i="20"/>
  <c r="DG10" i="20"/>
  <c r="DH10" i="20"/>
  <c r="DI10" i="20"/>
  <c r="DJ10" i="20"/>
  <c r="DK10" i="20"/>
  <c r="DL10" i="20"/>
  <c r="DM10" i="20"/>
  <c r="DN10" i="20"/>
  <c r="DO10" i="20"/>
  <c r="DP10" i="20"/>
  <c r="DQ10" i="20"/>
  <c r="DR10" i="20"/>
  <c r="DS10" i="20"/>
  <c r="DT10" i="20"/>
  <c r="DU10" i="20"/>
  <c r="DV10" i="20"/>
  <c r="DW10" i="20"/>
  <c r="DX10" i="20"/>
  <c r="DY10" i="20"/>
  <c r="DZ10" i="20"/>
  <c r="EA10" i="20"/>
  <c r="EB10" i="20"/>
  <c r="EC10" i="20"/>
  <c r="ED10" i="20"/>
  <c r="EE10" i="20"/>
  <c r="EF10" i="20"/>
  <c r="EG10" i="20"/>
  <c r="EH10" i="20"/>
  <c r="EI10" i="20"/>
  <c r="EJ10" i="20"/>
  <c r="EK10" i="20"/>
  <c r="EL10" i="20"/>
  <c r="EM10" i="20"/>
  <c r="EN10" i="20"/>
  <c r="EO10" i="20"/>
  <c r="EP10" i="20"/>
  <c r="EQ10" i="20"/>
  <c r="ER10" i="20"/>
  <c r="ES10" i="20"/>
  <c r="ET10" i="20"/>
  <c r="EU10" i="20"/>
  <c r="EV10" i="20"/>
  <c r="EW10" i="20"/>
  <c r="EX10" i="20"/>
  <c r="EY10" i="20"/>
  <c r="EZ10" i="20"/>
  <c r="FA10" i="20"/>
  <c r="FB10" i="20"/>
  <c r="FC10" i="20"/>
  <c r="FD10" i="20"/>
  <c r="FE10" i="20"/>
  <c r="FF10" i="20"/>
  <c r="FG10" i="20"/>
  <c r="FH10" i="20"/>
  <c r="FI10" i="20"/>
  <c r="FJ10" i="20"/>
  <c r="FK10" i="20"/>
  <c r="FL10" i="20"/>
  <c r="FM10" i="20"/>
  <c r="FN10" i="20"/>
  <c r="FO10" i="20"/>
  <c r="FP10" i="20"/>
  <c r="FQ10" i="20"/>
  <c r="FR10" i="20"/>
  <c r="FS10" i="20"/>
  <c r="FT10" i="20"/>
  <c r="FU10" i="20"/>
  <c r="FV10" i="20"/>
  <c r="FW10" i="20"/>
  <c r="FX10" i="20"/>
  <c r="FY10" i="20"/>
  <c r="FZ10" i="20"/>
  <c r="GA10" i="20"/>
  <c r="GB10" i="20"/>
  <c r="GC10" i="20"/>
  <c r="GD10" i="20"/>
  <c r="GE10" i="20"/>
  <c r="GF10" i="20"/>
  <c r="GG10" i="20"/>
  <c r="GH10" i="20"/>
  <c r="GI10" i="20"/>
  <c r="GJ10" i="20"/>
  <c r="GK10" i="20"/>
  <c r="GL10" i="20"/>
  <c r="GM10" i="20"/>
  <c r="GN10" i="20"/>
  <c r="GO10" i="20"/>
  <c r="GP10" i="20"/>
  <c r="GQ10" i="20"/>
  <c r="GR10" i="20"/>
  <c r="GS10" i="20"/>
  <c r="GT10" i="20"/>
  <c r="GU10" i="20"/>
  <c r="GV10" i="20"/>
  <c r="GW10" i="20"/>
  <c r="GX10" i="20"/>
  <c r="GY10" i="20"/>
  <c r="GZ10" i="20"/>
  <c r="HA10" i="20"/>
  <c r="HB10" i="20"/>
  <c r="HC10" i="20"/>
  <c r="AR11" i="20"/>
  <c r="AS11" i="20"/>
  <c r="AT11" i="20"/>
  <c r="AU11" i="20"/>
  <c r="AV11" i="20"/>
  <c r="AW11" i="20"/>
  <c r="AX11" i="20"/>
  <c r="AY11" i="20"/>
  <c r="AZ11" i="20"/>
  <c r="BA11" i="20"/>
  <c r="BB11" i="20"/>
  <c r="BC11" i="20"/>
  <c r="BD11" i="20"/>
  <c r="BE11" i="20"/>
  <c r="BF11" i="20"/>
  <c r="BG11" i="20"/>
  <c r="BH11" i="20"/>
  <c r="BI11" i="20"/>
  <c r="BJ11" i="20"/>
  <c r="BK11" i="20"/>
  <c r="BL11" i="20"/>
  <c r="BM11" i="20"/>
  <c r="BN11" i="20"/>
  <c r="BO11" i="20"/>
  <c r="BP11" i="20"/>
  <c r="BQ11" i="20"/>
  <c r="BR11" i="20"/>
  <c r="BS11" i="20"/>
  <c r="BT11" i="20"/>
  <c r="BU11" i="20"/>
  <c r="BV11" i="20"/>
  <c r="BW11" i="20"/>
  <c r="BX11" i="20"/>
  <c r="BY11" i="20"/>
  <c r="BZ11" i="20"/>
  <c r="CA11" i="20"/>
  <c r="CB11" i="20"/>
  <c r="CC11" i="20"/>
  <c r="CD11" i="20"/>
  <c r="CE11" i="20"/>
  <c r="CF11" i="20"/>
  <c r="CG11" i="20"/>
  <c r="CH11" i="20"/>
  <c r="CI11" i="20"/>
  <c r="CJ11" i="20"/>
  <c r="CK11" i="20"/>
  <c r="CL11" i="20"/>
  <c r="CM11" i="20"/>
  <c r="CN11" i="20"/>
  <c r="CO11" i="20"/>
  <c r="CP11" i="20"/>
  <c r="CQ11" i="20"/>
  <c r="CR11" i="20"/>
  <c r="CS11" i="20"/>
  <c r="CT11" i="20"/>
  <c r="CU11" i="20"/>
  <c r="CV11" i="20"/>
  <c r="CW11" i="20"/>
  <c r="CX11" i="20"/>
  <c r="CY11" i="20"/>
  <c r="CZ11" i="20"/>
  <c r="DA11" i="20"/>
  <c r="DB11" i="20"/>
  <c r="DC11" i="20"/>
  <c r="DD11" i="20"/>
  <c r="DE11" i="20"/>
  <c r="DF11" i="20"/>
  <c r="DG11" i="20"/>
  <c r="DH11" i="20"/>
  <c r="DI11" i="20"/>
  <c r="DJ11" i="20"/>
  <c r="DK11" i="20"/>
  <c r="DL11" i="20"/>
  <c r="DM11" i="20"/>
  <c r="DN11" i="20"/>
  <c r="DO11" i="20"/>
  <c r="DP11" i="20"/>
  <c r="DQ11" i="20"/>
  <c r="DR11" i="20"/>
  <c r="DS11" i="20"/>
  <c r="DT11" i="20"/>
  <c r="DU11" i="20"/>
  <c r="DV11" i="20"/>
  <c r="DW11" i="20"/>
  <c r="DX11" i="20"/>
  <c r="DY11" i="20"/>
  <c r="DZ11" i="20"/>
  <c r="EA11" i="20"/>
  <c r="EB11" i="20"/>
  <c r="EC11" i="20"/>
  <c r="ED11" i="20"/>
  <c r="EE11" i="20"/>
  <c r="EF11" i="20"/>
  <c r="EG11" i="20"/>
  <c r="EH11" i="20"/>
  <c r="EI11" i="20"/>
  <c r="EJ11" i="20"/>
  <c r="EK11" i="20"/>
  <c r="EL11" i="20"/>
  <c r="EM11" i="20"/>
  <c r="EN11" i="20"/>
  <c r="EO11" i="20"/>
  <c r="EP11" i="20"/>
  <c r="EQ11" i="20"/>
  <c r="ER11" i="20"/>
  <c r="ES11" i="20"/>
  <c r="ET11" i="20"/>
  <c r="EU11" i="20"/>
  <c r="EV11" i="20"/>
  <c r="EW11" i="20"/>
  <c r="EX11" i="20"/>
  <c r="EY11" i="20"/>
  <c r="EZ11" i="20"/>
  <c r="FA11" i="20"/>
  <c r="FB11" i="20"/>
  <c r="FC11" i="20"/>
  <c r="FD11" i="20"/>
  <c r="FE11" i="20"/>
  <c r="FF11" i="20"/>
  <c r="FG11" i="20"/>
  <c r="FH11" i="20"/>
  <c r="FI11" i="20"/>
  <c r="FJ11" i="20"/>
  <c r="FK11" i="20"/>
  <c r="FL11" i="20"/>
  <c r="FM11" i="20"/>
  <c r="FN11" i="20"/>
  <c r="FO11" i="20"/>
  <c r="FP11" i="20"/>
  <c r="FQ11" i="20"/>
  <c r="FR11" i="20"/>
  <c r="FS11" i="20"/>
  <c r="FT11" i="20"/>
  <c r="FU11" i="20"/>
  <c r="FV11" i="20"/>
  <c r="FW11" i="20"/>
  <c r="FX11" i="20"/>
  <c r="FY11" i="20"/>
  <c r="FZ11" i="20"/>
  <c r="GA11" i="20"/>
  <c r="GB11" i="20"/>
  <c r="GC11" i="20"/>
  <c r="GD11" i="20"/>
  <c r="GE11" i="20"/>
  <c r="GF11" i="20"/>
  <c r="GG11" i="20"/>
  <c r="GH11" i="20"/>
  <c r="GI11" i="20"/>
  <c r="GJ11" i="20"/>
  <c r="GK11" i="20"/>
  <c r="GL11" i="20"/>
  <c r="GM11" i="20"/>
  <c r="GN11" i="20"/>
  <c r="GO11" i="20"/>
  <c r="GP11" i="20"/>
  <c r="GQ11" i="20"/>
  <c r="GR11" i="20"/>
  <c r="GS11" i="20"/>
  <c r="GT11" i="20"/>
  <c r="GU11" i="20"/>
  <c r="GV11" i="20"/>
  <c r="GW11" i="20"/>
  <c r="GX11" i="20"/>
  <c r="GY11" i="20"/>
  <c r="GZ11" i="20"/>
  <c r="HA11" i="20"/>
  <c r="HB11" i="20"/>
  <c r="HC11" i="20"/>
  <c r="AR12" i="20"/>
  <c r="AS12" i="20"/>
  <c r="AT12" i="20"/>
  <c r="AU12" i="20"/>
  <c r="AV12" i="20"/>
  <c r="AW12" i="20"/>
  <c r="AX12" i="20"/>
  <c r="AY12" i="20"/>
  <c r="AZ12" i="20"/>
  <c r="BA12" i="20"/>
  <c r="BB12" i="20"/>
  <c r="BC12" i="20"/>
  <c r="BD12" i="20"/>
  <c r="BE12" i="20"/>
  <c r="BF12" i="20"/>
  <c r="BG12" i="20"/>
  <c r="BH12" i="20"/>
  <c r="BI12" i="20"/>
  <c r="BJ12" i="20"/>
  <c r="BK12" i="20"/>
  <c r="BL12" i="20"/>
  <c r="BM12" i="20"/>
  <c r="BN12" i="20"/>
  <c r="BO12" i="20"/>
  <c r="BP12" i="20"/>
  <c r="BQ12" i="20"/>
  <c r="BR12" i="20"/>
  <c r="BS12" i="20"/>
  <c r="BT12" i="20"/>
  <c r="BU12" i="20"/>
  <c r="BV12" i="20"/>
  <c r="BW12" i="20"/>
  <c r="BX12" i="20"/>
  <c r="BY12" i="20"/>
  <c r="BZ12" i="20"/>
  <c r="CA12" i="20"/>
  <c r="CB12" i="20"/>
  <c r="CC12" i="20"/>
  <c r="CD12" i="20"/>
  <c r="CE12" i="20"/>
  <c r="CF12" i="20"/>
  <c r="CG12" i="20"/>
  <c r="CH12" i="20"/>
  <c r="CI12" i="20"/>
  <c r="CJ12" i="20"/>
  <c r="CK12" i="20"/>
  <c r="CL12" i="20"/>
  <c r="CM12" i="20"/>
  <c r="CN12" i="20"/>
  <c r="CO12" i="20"/>
  <c r="CP12" i="20"/>
  <c r="CQ12" i="20"/>
  <c r="CR12" i="20"/>
  <c r="CS12" i="20"/>
  <c r="CT12" i="20"/>
  <c r="CU12" i="20"/>
  <c r="CV12" i="20"/>
  <c r="CW12" i="20"/>
  <c r="CX12" i="20"/>
  <c r="CY12" i="20"/>
  <c r="CZ12" i="20"/>
  <c r="DA12" i="20"/>
  <c r="DB12" i="20"/>
  <c r="DC12" i="20"/>
  <c r="DD12" i="20"/>
  <c r="DE12" i="20"/>
  <c r="DF12" i="20"/>
  <c r="DG12" i="20"/>
  <c r="DH12" i="20"/>
  <c r="DI12" i="20"/>
  <c r="DJ12" i="20"/>
  <c r="DK12" i="20"/>
  <c r="DL12" i="20"/>
  <c r="DM12" i="20"/>
  <c r="DN12" i="20"/>
  <c r="DO12" i="20"/>
  <c r="DP12" i="20"/>
  <c r="DQ12" i="20"/>
  <c r="DR12" i="20"/>
  <c r="DS12" i="20"/>
  <c r="DT12" i="20"/>
  <c r="DU12" i="20"/>
  <c r="DV12" i="20"/>
  <c r="DW12" i="20"/>
  <c r="DX12" i="20"/>
  <c r="DY12" i="20"/>
  <c r="DZ12" i="20"/>
  <c r="EA12" i="20"/>
  <c r="EB12" i="20"/>
  <c r="EC12" i="20"/>
  <c r="ED12" i="20"/>
  <c r="EE12" i="20"/>
  <c r="EF12" i="20"/>
  <c r="EG12" i="20"/>
  <c r="EH12" i="20"/>
  <c r="EI12" i="20"/>
  <c r="EJ12" i="20"/>
  <c r="EK12" i="20"/>
  <c r="EL12" i="20"/>
  <c r="EM12" i="20"/>
  <c r="EN12" i="20"/>
  <c r="EO12" i="20"/>
  <c r="EP12" i="20"/>
  <c r="EQ12" i="20"/>
  <c r="ER12" i="20"/>
  <c r="ES12" i="20"/>
  <c r="ET12" i="20"/>
  <c r="EU12" i="20"/>
  <c r="EV12" i="20"/>
  <c r="EW12" i="20"/>
  <c r="EX12" i="20"/>
  <c r="EY12" i="20"/>
  <c r="EZ12" i="20"/>
  <c r="FA12" i="20"/>
  <c r="FB12" i="20"/>
  <c r="FC12" i="20"/>
  <c r="FD12" i="20"/>
  <c r="FE12" i="20"/>
  <c r="FF12" i="20"/>
  <c r="FG12" i="20"/>
  <c r="FH12" i="20"/>
  <c r="FI12" i="20"/>
  <c r="FJ12" i="20"/>
  <c r="FK12" i="20"/>
  <c r="FL12" i="20"/>
  <c r="FM12" i="20"/>
  <c r="FN12" i="20"/>
  <c r="FO12" i="20"/>
  <c r="FP12" i="20"/>
  <c r="FQ12" i="20"/>
  <c r="FR12" i="20"/>
  <c r="FS12" i="20"/>
  <c r="FT12" i="20"/>
  <c r="FU12" i="20"/>
  <c r="FV12" i="20"/>
  <c r="FW12" i="20"/>
  <c r="FX12" i="20"/>
  <c r="FY12" i="20"/>
  <c r="FZ12" i="20"/>
  <c r="GA12" i="20"/>
  <c r="GB12" i="20"/>
  <c r="GC12" i="20"/>
  <c r="GD12" i="20"/>
  <c r="GE12" i="20"/>
  <c r="GF12" i="20"/>
  <c r="GG12" i="20"/>
  <c r="GH12" i="20"/>
  <c r="GI12" i="20"/>
  <c r="GJ12" i="20"/>
  <c r="GK12" i="20"/>
  <c r="GL12" i="20"/>
  <c r="GM12" i="20"/>
  <c r="GN12" i="20"/>
  <c r="GO12" i="20"/>
  <c r="GP12" i="20"/>
  <c r="GQ12" i="20"/>
  <c r="GR12" i="20"/>
  <c r="GS12" i="20"/>
  <c r="GT12" i="20"/>
  <c r="GU12" i="20"/>
  <c r="GV12" i="20"/>
  <c r="GW12" i="20"/>
  <c r="GX12" i="20"/>
  <c r="GY12" i="20"/>
  <c r="GZ12" i="20"/>
  <c r="HA12" i="20"/>
  <c r="HB12" i="20"/>
  <c r="HC12" i="20"/>
  <c r="AR13" i="20"/>
  <c r="AS13" i="20"/>
  <c r="AT13" i="20"/>
  <c r="AU13" i="20"/>
  <c r="AV13" i="20"/>
  <c r="AW13" i="20"/>
  <c r="AX13" i="20"/>
  <c r="AY13" i="20"/>
  <c r="AZ13" i="20"/>
  <c r="BA13" i="20"/>
  <c r="BB13" i="20"/>
  <c r="BC13" i="20"/>
  <c r="BD13" i="20"/>
  <c r="BE13" i="20"/>
  <c r="BF13" i="20"/>
  <c r="BG13" i="20"/>
  <c r="BH13" i="20"/>
  <c r="BI13" i="20"/>
  <c r="BJ13" i="20"/>
  <c r="BK13" i="20"/>
  <c r="BL13" i="20"/>
  <c r="BM13" i="20"/>
  <c r="BN13" i="20"/>
  <c r="BO13" i="20"/>
  <c r="BP13" i="20"/>
  <c r="BQ13" i="20"/>
  <c r="BR13" i="20"/>
  <c r="BS13" i="20"/>
  <c r="BT13" i="20"/>
  <c r="BU13" i="20"/>
  <c r="BV13" i="20"/>
  <c r="BW13" i="20"/>
  <c r="BX13" i="20"/>
  <c r="BY13" i="20"/>
  <c r="BZ13" i="20"/>
  <c r="CA13" i="20"/>
  <c r="CB13" i="20"/>
  <c r="CC13" i="20"/>
  <c r="CD13" i="20"/>
  <c r="CE13" i="20"/>
  <c r="CF13" i="20"/>
  <c r="CG13" i="20"/>
  <c r="CH13" i="20"/>
  <c r="CI13" i="20"/>
  <c r="CJ13" i="20"/>
  <c r="CK13" i="20"/>
  <c r="CL13" i="20"/>
  <c r="CM13" i="20"/>
  <c r="CN13" i="20"/>
  <c r="CO13" i="20"/>
  <c r="CP13" i="20"/>
  <c r="CQ13" i="20"/>
  <c r="CR13" i="20"/>
  <c r="CS13" i="20"/>
  <c r="CT13" i="20"/>
  <c r="CU13" i="20"/>
  <c r="CV13" i="20"/>
  <c r="CW13" i="20"/>
  <c r="CX13" i="20"/>
  <c r="CY13" i="20"/>
  <c r="CZ13" i="20"/>
  <c r="DA13" i="20"/>
  <c r="DB13" i="20"/>
  <c r="DC13" i="20"/>
  <c r="DD13" i="20"/>
  <c r="DE13" i="20"/>
  <c r="DF13" i="20"/>
  <c r="DG13" i="20"/>
  <c r="DH13" i="20"/>
  <c r="DI13" i="20"/>
  <c r="DJ13" i="20"/>
  <c r="DK13" i="20"/>
  <c r="DL13" i="20"/>
  <c r="DM13" i="20"/>
  <c r="DN13" i="20"/>
  <c r="DO13" i="20"/>
  <c r="DP13" i="20"/>
  <c r="DQ13" i="20"/>
  <c r="DR13" i="20"/>
  <c r="DS13" i="20"/>
  <c r="DT13" i="20"/>
  <c r="DU13" i="20"/>
  <c r="DV13" i="20"/>
  <c r="DW13" i="20"/>
  <c r="DX13" i="20"/>
  <c r="DY13" i="20"/>
  <c r="DZ13" i="20"/>
  <c r="EA13" i="20"/>
  <c r="EB13" i="20"/>
  <c r="EC13" i="20"/>
  <c r="ED13" i="20"/>
  <c r="EE13" i="20"/>
  <c r="EF13" i="20"/>
  <c r="EG13" i="20"/>
  <c r="EH13" i="20"/>
  <c r="EI13" i="20"/>
  <c r="EJ13" i="20"/>
  <c r="EK13" i="20"/>
  <c r="EL13" i="20"/>
  <c r="EM13" i="20"/>
  <c r="EN13" i="20"/>
  <c r="EO13" i="20"/>
  <c r="EP13" i="20"/>
  <c r="EQ13" i="20"/>
  <c r="ER13" i="20"/>
  <c r="ES13" i="20"/>
  <c r="ET13" i="20"/>
  <c r="EU13" i="20"/>
  <c r="EV13" i="20"/>
  <c r="EW13" i="20"/>
  <c r="EX13" i="20"/>
  <c r="EY13" i="20"/>
  <c r="EZ13" i="20"/>
  <c r="FA13" i="20"/>
  <c r="FB13" i="20"/>
  <c r="FC13" i="20"/>
  <c r="FD13" i="20"/>
  <c r="FE13" i="20"/>
  <c r="FF13" i="20"/>
  <c r="FG13" i="20"/>
  <c r="FH13" i="20"/>
  <c r="FI13" i="20"/>
  <c r="FJ13" i="20"/>
  <c r="FK13" i="20"/>
  <c r="FL13" i="20"/>
  <c r="FM13" i="20"/>
  <c r="FN13" i="20"/>
  <c r="FO13" i="20"/>
  <c r="FP13" i="20"/>
  <c r="FQ13" i="20"/>
  <c r="FR13" i="20"/>
  <c r="FS13" i="20"/>
  <c r="FT13" i="20"/>
  <c r="FU13" i="20"/>
  <c r="FV13" i="20"/>
  <c r="FW13" i="20"/>
  <c r="FX13" i="20"/>
  <c r="FY13" i="20"/>
  <c r="FZ13" i="20"/>
  <c r="GA13" i="20"/>
  <c r="GB13" i="20"/>
  <c r="GC13" i="20"/>
  <c r="GD13" i="20"/>
  <c r="GE13" i="20"/>
  <c r="GF13" i="20"/>
  <c r="GG13" i="20"/>
  <c r="GH13" i="20"/>
  <c r="GI13" i="20"/>
  <c r="GJ13" i="20"/>
  <c r="GK13" i="20"/>
  <c r="GL13" i="20"/>
  <c r="GM13" i="20"/>
  <c r="GN13" i="20"/>
  <c r="GO13" i="20"/>
  <c r="GP13" i="20"/>
  <c r="GQ13" i="20"/>
  <c r="GR13" i="20"/>
  <c r="GS13" i="20"/>
  <c r="GT13" i="20"/>
  <c r="GU13" i="20"/>
  <c r="GV13" i="20"/>
  <c r="GW13" i="20"/>
  <c r="GX13" i="20"/>
  <c r="GY13" i="20"/>
  <c r="GZ13" i="20"/>
  <c r="HA13" i="20"/>
  <c r="HB13" i="20"/>
  <c r="HC13" i="20"/>
  <c r="AR14" i="20"/>
  <c r="AS14" i="20"/>
  <c r="AT14" i="20"/>
  <c r="AU14" i="20"/>
  <c r="AV14" i="20"/>
  <c r="AW14" i="20"/>
  <c r="AX14" i="20"/>
  <c r="AY14" i="20"/>
  <c r="AZ14" i="20"/>
  <c r="BA14" i="20"/>
  <c r="BB14" i="20"/>
  <c r="BC14" i="20"/>
  <c r="BD14" i="20"/>
  <c r="BE14" i="20"/>
  <c r="BF14" i="20"/>
  <c r="BG14" i="20"/>
  <c r="BH14" i="20"/>
  <c r="BI14" i="20"/>
  <c r="BJ14" i="20"/>
  <c r="BK14" i="20"/>
  <c r="BL14" i="20"/>
  <c r="BM14" i="20"/>
  <c r="BN14" i="20"/>
  <c r="BO14" i="20"/>
  <c r="BP14" i="20"/>
  <c r="BQ14" i="20"/>
  <c r="BR14" i="20"/>
  <c r="BS14" i="20"/>
  <c r="BT14" i="20"/>
  <c r="BU14" i="20"/>
  <c r="BV14" i="20"/>
  <c r="BW14" i="20"/>
  <c r="BX14" i="20"/>
  <c r="BY14" i="20"/>
  <c r="BZ14" i="20"/>
  <c r="CA14" i="20"/>
  <c r="CB14" i="20"/>
  <c r="CC14" i="20"/>
  <c r="CD14" i="20"/>
  <c r="CE14" i="20"/>
  <c r="CF14" i="20"/>
  <c r="CG14" i="20"/>
  <c r="CH14" i="20"/>
  <c r="CI14" i="20"/>
  <c r="CJ14" i="20"/>
  <c r="CK14" i="20"/>
  <c r="CL14" i="20"/>
  <c r="CM14" i="20"/>
  <c r="CN14" i="20"/>
  <c r="CO14" i="20"/>
  <c r="CP14" i="20"/>
  <c r="CQ14" i="20"/>
  <c r="CR14" i="20"/>
  <c r="CS14" i="20"/>
  <c r="CT14" i="20"/>
  <c r="CU14" i="20"/>
  <c r="CV14" i="20"/>
  <c r="CW14" i="20"/>
  <c r="CX14" i="20"/>
  <c r="CY14" i="20"/>
  <c r="CZ14" i="20"/>
  <c r="DA14" i="20"/>
  <c r="DB14" i="20"/>
  <c r="DC14" i="20"/>
  <c r="DD14" i="20"/>
  <c r="DE14" i="20"/>
  <c r="DF14" i="20"/>
  <c r="DG14" i="20"/>
  <c r="DH14" i="20"/>
  <c r="DI14" i="20"/>
  <c r="DJ14" i="20"/>
  <c r="DK14" i="20"/>
  <c r="DL14" i="20"/>
  <c r="DM14" i="20"/>
  <c r="DN14" i="20"/>
  <c r="DO14" i="20"/>
  <c r="DP14" i="20"/>
  <c r="DQ14" i="20"/>
  <c r="DR14" i="20"/>
  <c r="DS14" i="20"/>
  <c r="DT14" i="20"/>
  <c r="DU14" i="20"/>
  <c r="DV14" i="20"/>
  <c r="DW14" i="20"/>
  <c r="DX14" i="20"/>
  <c r="DY14" i="20"/>
  <c r="DZ14" i="20"/>
  <c r="EA14" i="20"/>
  <c r="EB14" i="20"/>
  <c r="EC14" i="20"/>
  <c r="ED14" i="20"/>
  <c r="EE14" i="20"/>
  <c r="EF14" i="20"/>
  <c r="EG14" i="20"/>
  <c r="EH14" i="20"/>
  <c r="EI14" i="20"/>
  <c r="EJ14" i="20"/>
  <c r="EK14" i="20"/>
  <c r="EL14" i="20"/>
  <c r="EM14" i="20"/>
  <c r="EN14" i="20"/>
  <c r="EO14" i="20"/>
  <c r="EP14" i="20"/>
  <c r="EQ14" i="20"/>
  <c r="ER14" i="20"/>
  <c r="ES14" i="20"/>
  <c r="ET14" i="20"/>
  <c r="EU14" i="20"/>
  <c r="EV14" i="20"/>
  <c r="EW14" i="20"/>
  <c r="EX14" i="20"/>
  <c r="EY14" i="20"/>
  <c r="EZ14" i="20"/>
  <c r="FA14" i="20"/>
  <c r="FB14" i="20"/>
  <c r="FC14" i="20"/>
  <c r="FD14" i="20"/>
  <c r="FE14" i="20"/>
  <c r="FF14" i="20"/>
  <c r="FG14" i="20"/>
  <c r="FH14" i="20"/>
  <c r="FI14" i="20"/>
  <c r="FJ14" i="20"/>
  <c r="FK14" i="20"/>
  <c r="FL14" i="20"/>
  <c r="FM14" i="20"/>
  <c r="FN14" i="20"/>
  <c r="FO14" i="20"/>
  <c r="FP14" i="20"/>
  <c r="FQ14" i="20"/>
  <c r="FR14" i="20"/>
  <c r="FS14" i="20"/>
  <c r="FT14" i="20"/>
  <c r="FU14" i="20"/>
  <c r="FV14" i="20"/>
  <c r="FW14" i="20"/>
  <c r="FX14" i="20"/>
  <c r="FY14" i="20"/>
  <c r="FZ14" i="20"/>
  <c r="GA14" i="20"/>
  <c r="GB14" i="20"/>
  <c r="GC14" i="20"/>
  <c r="GD14" i="20"/>
  <c r="GE14" i="20"/>
  <c r="GF14" i="20"/>
  <c r="GG14" i="20"/>
  <c r="GH14" i="20"/>
  <c r="GI14" i="20"/>
  <c r="GJ14" i="20"/>
  <c r="GK14" i="20"/>
  <c r="GL14" i="20"/>
  <c r="GM14" i="20"/>
  <c r="GN14" i="20"/>
  <c r="GO14" i="20"/>
  <c r="GP14" i="20"/>
  <c r="GQ14" i="20"/>
  <c r="GR14" i="20"/>
  <c r="GS14" i="20"/>
  <c r="GT14" i="20"/>
  <c r="GU14" i="20"/>
  <c r="GV14" i="20"/>
  <c r="GW14" i="20"/>
  <c r="GX14" i="20"/>
  <c r="GY14" i="20"/>
  <c r="GZ14" i="20"/>
  <c r="HA14" i="20"/>
  <c r="HB14" i="20"/>
  <c r="HC14" i="20"/>
  <c r="AR15" i="20"/>
  <c r="AS15" i="20"/>
  <c r="AT15" i="20"/>
  <c r="AU15" i="20"/>
  <c r="AV15" i="20"/>
  <c r="AW15" i="20"/>
  <c r="AX15" i="20"/>
  <c r="AY15" i="20"/>
  <c r="AZ15" i="20"/>
  <c r="BA15" i="20"/>
  <c r="BB15" i="20"/>
  <c r="BC15" i="20"/>
  <c r="BD15" i="20"/>
  <c r="BE15" i="20"/>
  <c r="BF15" i="20"/>
  <c r="BG15" i="20"/>
  <c r="BH15" i="20"/>
  <c r="BI15" i="20"/>
  <c r="BJ15" i="20"/>
  <c r="BK15" i="20"/>
  <c r="BL15" i="20"/>
  <c r="BM15" i="20"/>
  <c r="BN15" i="20"/>
  <c r="BO15" i="20"/>
  <c r="BP15" i="20"/>
  <c r="BQ15" i="20"/>
  <c r="BR15" i="20"/>
  <c r="BS15" i="20"/>
  <c r="BT15" i="20"/>
  <c r="BU15" i="20"/>
  <c r="BV15" i="20"/>
  <c r="BW15" i="20"/>
  <c r="BX15" i="20"/>
  <c r="BY15" i="20"/>
  <c r="BZ15" i="20"/>
  <c r="CA15" i="20"/>
  <c r="CB15" i="20"/>
  <c r="CC15" i="20"/>
  <c r="CD15" i="20"/>
  <c r="CE15" i="20"/>
  <c r="CF15" i="20"/>
  <c r="CG15" i="20"/>
  <c r="CH15" i="20"/>
  <c r="CI15" i="20"/>
  <c r="CJ15" i="20"/>
  <c r="CK15" i="20"/>
  <c r="CL15" i="20"/>
  <c r="CM15" i="20"/>
  <c r="CN15" i="20"/>
  <c r="CO15" i="20"/>
  <c r="CP15" i="20"/>
  <c r="CQ15" i="20"/>
  <c r="CR15" i="20"/>
  <c r="CS15" i="20"/>
  <c r="CT15" i="20"/>
  <c r="CU15" i="20"/>
  <c r="CV15" i="20"/>
  <c r="CW15" i="20"/>
  <c r="CX15" i="20"/>
  <c r="CY15" i="20"/>
  <c r="CZ15" i="20"/>
  <c r="DA15" i="20"/>
  <c r="DB15" i="20"/>
  <c r="DC15" i="20"/>
  <c r="DD15" i="20"/>
  <c r="DE15" i="20"/>
  <c r="DF15" i="20"/>
  <c r="DG15" i="20"/>
  <c r="DH15" i="20"/>
  <c r="DI15" i="20"/>
  <c r="DJ15" i="20"/>
  <c r="DK15" i="20"/>
  <c r="DL15" i="20"/>
  <c r="DM15" i="20"/>
  <c r="DN15" i="20"/>
  <c r="DO15" i="20"/>
  <c r="DP15" i="20"/>
  <c r="DQ15" i="20"/>
  <c r="DR15" i="20"/>
  <c r="DS15" i="20"/>
  <c r="DT15" i="20"/>
  <c r="DU15" i="20"/>
  <c r="DV15" i="20"/>
  <c r="DW15" i="20"/>
  <c r="DX15" i="20"/>
  <c r="DY15" i="20"/>
  <c r="DZ15" i="20"/>
  <c r="EA15" i="20"/>
  <c r="EB15" i="20"/>
  <c r="EC15" i="20"/>
  <c r="ED15" i="20"/>
  <c r="EE15" i="20"/>
  <c r="EF15" i="20"/>
  <c r="EG15" i="20"/>
  <c r="EH15" i="20"/>
  <c r="EI15" i="20"/>
  <c r="EJ15" i="20"/>
  <c r="EK15" i="20"/>
  <c r="EL15" i="20"/>
  <c r="EM15" i="20"/>
  <c r="EN15" i="20"/>
  <c r="EO15" i="20"/>
  <c r="EP15" i="20"/>
  <c r="EQ15" i="20"/>
  <c r="ER15" i="20"/>
  <c r="ES15" i="20"/>
  <c r="ET15" i="20"/>
  <c r="EU15" i="20"/>
  <c r="EV15" i="20"/>
  <c r="EW15" i="20"/>
  <c r="EX15" i="20"/>
  <c r="EY15" i="20"/>
  <c r="EZ15" i="20"/>
  <c r="FA15" i="20"/>
  <c r="FB15" i="20"/>
  <c r="FC15" i="20"/>
  <c r="FD15" i="20"/>
  <c r="FE15" i="20"/>
  <c r="FF15" i="20"/>
  <c r="FG15" i="20"/>
  <c r="FH15" i="20"/>
  <c r="FI15" i="20"/>
  <c r="FJ15" i="20"/>
  <c r="FK15" i="20"/>
  <c r="FL15" i="20"/>
  <c r="FM15" i="20"/>
  <c r="FN15" i="20"/>
  <c r="FO15" i="20"/>
  <c r="FP15" i="20"/>
  <c r="FQ15" i="20"/>
  <c r="FR15" i="20"/>
  <c r="FS15" i="20"/>
  <c r="FT15" i="20"/>
  <c r="FU15" i="20"/>
  <c r="FV15" i="20"/>
  <c r="FW15" i="20"/>
  <c r="FX15" i="20"/>
  <c r="FY15" i="20"/>
  <c r="FZ15" i="20"/>
  <c r="GA15" i="20"/>
  <c r="GB15" i="20"/>
  <c r="GC15" i="20"/>
  <c r="GD15" i="20"/>
  <c r="GE15" i="20"/>
  <c r="GF15" i="20"/>
  <c r="GG15" i="20"/>
  <c r="GH15" i="20"/>
  <c r="GI15" i="20"/>
  <c r="GJ15" i="20"/>
  <c r="GK15" i="20"/>
  <c r="GL15" i="20"/>
  <c r="GM15" i="20"/>
  <c r="GN15" i="20"/>
  <c r="GO15" i="20"/>
  <c r="GP15" i="20"/>
  <c r="GQ15" i="20"/>
  <c r="GR15" i="20"/>
  <c r="GS15" i="20"/>
  <c r="GT15" i="20"/>
  <c r="GU15" i="20"/>
  <c r="GV15" i="20"/>
  <c r="GW15" i="20"/>
  <c r="GX15" i="20"/>
  <c r="GY15" i="20"/>
  <c r="GZ15" i="20"/>
  <c r="HA15" i="20"/>
  <c r="HB15" i="20"/>
  <c r="HC15" i="20"/>
  <c r="AR16" i="20"/>
  <c r="AS16" i="20"/>
  <c r="AT16" i="20"/>
  <c r="AU16" i="20"/>
  <c r="AV16" i="20"/>
  <c r="AW16" i="20"/>
  <c r="AX16" i="20"/>
  <c r="AY16" i="20"/>
  <c r="AZ16" i="20"/>
  <c r="BA16" i="20"/>
  <c r="BB16" i="20"/>
  <c r="BC16" i="20"/>
  <c r="BD16" i="20"/>
  <c r="BE16" i="20"/>
  <c r="BF16" i="20"/>
  <c r="BG16" i="20"/>
  <c r="BH16" i="20"/>
  <c r="BI16" i="20"/>
  <c r="BJ16" i="20"/>
  <c r="BK16" i="20"/>
  <c r="BL16" i="20"/>
  <c r="BM16" i="20"/>
  <c r="BN16" i="20"/>
  <c r="BO16" i="20"/>
  <c r="BP16" i="20"/>
  <c r="BQ16" i="20"/>
  <c r="BR16" i="20"/>
  <c r="BS16" i="20"/>
  <c r="BT16" i="20"/>
  <c r="BU16" i="20"/>
  <c r="BV16" i="20"/>
  <c r="BW16" i="20"/>
  <c r="BX16" i="20"/>
  <c r="BY16" i="20"/>
  <c r="BZ16" i="20"/>
  <c r="CA16" i="20"/>
  <c r="CB16" i="20"/>
  <c r="CC16" i="20"/>
  <c r="CD16" i="20"/>
  <c r="CE16" i="20"/>
  <c r="CF16" i="20"/>
  <c r="CG16" i="20"/>
  <c r="CH16" i="20"/>
  <c r="CI16" i="20"/>
  <c r="CJ16" i="20"/>
  <c r="CK16" i="20"/>
  <c r="CL16" i="20"/>
  <c r="CM16" i="20"/>
  <c r="CN16" i="20"/>
  <c r="CO16" i="20"/>
  <c r="CP16" i="20"/>
  <c r="CQ16" i="20"/>
  <c r="CR16" i="20"/>
  <c r="CS16" i="20"/>
  <c r="CT16" i="20"/>
  <c r="CU16" i="20"/>
  <c r="CV16" i="20"/>
  <c r="CW16" i="20"/>
  <c r="CX16" i="20"/>
  <c r="CY16" i="20"/>
  <c r="CZ16" i="20"/>
  <c r="DA16" i="20"/>
  <c r="DB16" i="20"/>
  <c r="DC16" i="20"/>
  <c r="DD16" i="20"/>
  <c r="DE16" i="20"/>
  <c r="DF16" i="20"/>
  <c r="DG16" i="20"/>
  <c r="DH16" i="20"/>
  <c r="DI16" i="20"/>
  <c r="DJ16" i="20"/>
  <c r="DK16" i="20"/>
  <c r="DL16" i="20"/>
  <c r="DM16" i="20"/>
  <c r="DN16" i="20"/>
  <c r="DO16" i="20"/>
  <c r="DP16" i="20"/>
  <c r="DQ16" i="20"/>
  <c r="DR16" i="20"/>
  <c r="DS16" i="20"/>
  <c r="DT16" i="20"/>
  <c r="DU16" i="20"/>
  <c r="DV16" i="20"/>
  <c r="DW16" i="20"/>
  <c r="DX16" i="20"/>
  <c r="DY16" i="20"/>
  <c r="DZ16" i="20"/>
  <c r="EA16" i="20"/>
  <c r="EB16" i="20"/>
  <c r="EC16" i="20"/>
  <c r="ED16" i="20"/>
  <c r="EE16" i="20"/>
  <c r="EF16" i="20"/>
  <c r="EG16" i="20"/>
  <c r="EH16" i="20"/>
  <c r="EI16" i="20"/>
  <c r="EJ16" i="20"/>
  <c r="EK16" i="20"/>
  <c r="EL16" i="20"/>
  <c r="EM16" i="20"/>
  <c r="EN16" i="20"/>
  <c r="EO16" i="20"/>
  <c r="EP16" i="20"/>
  <c r="EQ16" i="20"/>
  <c r="ER16" i="20"/>
  <c r="ES16" i="20"/>
  <c r="ET16" i="20"/>
  <c r="EU16" i="20"/>
  <c r="EV16" i="20"/>
  <c r="EW16" i="20"/>
  <c r="EX16" i="20"/>
  <c r="EY16" i="20"/>
  <c r="EZ16" i="20"/>
  <c r="FA16" i="20"/>
  <c r="FB16" i="20"/>
  <c r="FC16" i="20"/>
  <c r="FD16" i="20"/>
  <c r="FE16" i="20"/>
  <c r="FF16" i="20"/>
  <c r="FG16" i="20"/>
  <c r="FH16" i="20"/>
  <c r="FI16" i="20"/>
  <c r="FJ16" i="20"/>
  <c r="FK16" i="20"/>
  <c r="FL16" i="20"/>
  <c r="FM16" i="20"/>
  <c r="FN16" i="20"/>
  <c r="FO16" i="20"/>
  <c r="FP16" i="20"/>
  <c r="FQ16" i="20"/>
  <c r="FR16" i="20"/>
  <c r="FS16" i="20"/>
  <c r="FT16" i="20"/>
  <c r="FU16" i="20"/>
  <c r="FV16" i="20"/>
  <c r="FW16" i="20"/>
  <c r="FX16" i="20"/>
  <c r="FY16" i="20"/>
  <c r="FZ16" i="20"/>
  <c r="GA16" i="20"/>
  <c r="GB16" i="20"/>
  <c r="GC16" i="20"/>
  <c r="GD16" i="20"/>
  <c r="GE16" i="20"/>
  <c r="GF16" i="20"/>
  <c r="GG16" i="20"/>
  <c r="GH16" i="20"/>
  <c r="GI16" i="20"/>
  <c r="GJ16" i="20"/>
  <c r="GK16" i="20"/>
  <c r="GL16" i="20"/>
  <c r="GM16" i="20"/>
  <c r="GN16" i="20"/>
  <c r="GO16" i="20"/>
  <c r="GP16" i="20"/>
  <c r="GQ16" i="20"/>
  <c r="GR16" i="20"/>
  <c r="GS16" i="20"/>
  <c r="GT16" i="20"/>
  <c r="GU16" i="20"/>
  <c r="GV16" i="20"/>
  <c r="GW16" i="20"/>
  <c r="GX16" i="20"/>
  <c r="GY16" i="20"/>
  <c r="GZ16" i="20"/>
  <c r="HA16" i="20"/>
  <c r="HB16" i="20"/>
  <c r="HC16" i="20"/>
  <c r="AR17" i="20"/>
  <c r="AS17" i="20"/>
  <c r="AT17" i="20"/>
  <c r="AU17" i="20"/>
  <c r="AV17" i="20"/>
  <c r="AW17" i="20"/>
  <c r="AX17" i="20"/>
  <c r="AY17" i="20"/>
  <c r="AZ17" i="20"/>
  <c r="BA17" i="20"/>
  <c r="BB17" i="20"/>
  <c r="BC17" i="20"/>
  <c r="BD17" i="20"/>
  <c r="BE17" i="20"/>
  <c r="BF17" i="20"/>
  <c r="BG17" i="20"/>
  <c r="BH17" i="20"/>
  <c r="BI17" i="20"/>
  <c r="BJ17" i="20"/>
  <c r="BK17" i="20"/>
  <c r="BL17" i="20"/>
  <c r="BM17" i="20"/>
  <c r="BN17" i="20"/>
  <c r="BO17" i="20"/>
  <c r="BP17" i="20"/>
  <c r="BQ17" i="20"/>
  <c r="BR17" i="20"/>
  <c r="BS17" i="20"/>
  <c r="BT17" i="20"/>
  <c r="BU17" i="20"/>
  <c r="BV17" i="20"/>
  <c r="BW17" i="20"/>
  <c r="BX17" i="20"/>
  <c r="BY17" i="20"/>
  <c r="BZ17" i="20"/>
  <c r="CA17" i="20"/>
  <c r="CB17" i="20"/>
  <c r="CC17" i="20"/>
  <c r="CD17" i="20"/>
  <c r="CE17" i="20"/>
  <c r="CF17" i="20"/>
  <c r="CG17" i="20"/>
  <c r="CH17" i="20"/>
  <c r="CI17" i="20"/>
  <c r="CJ17" i="20"/>
  <c r="CK17" i="20"/>
  <c r="CL17" i="20"/>
  <c r="CM17" i="20"/>
  <c r="CN17" i="20"/>
  <c r="CO17" i="20"/>
  <c r="CP17" i="20"/>
  <c r="CQ17" i="20"/>
  <c r="CR17" i="20"/>
  <c r="CS17" i="20"/>
  <c r="CT17" i="20"/>
  <c r="CU17" i="20"/>
  <c r="CV17" i="20"/>
  <c r="CW17" i="20"/>
  <c r="CX17" i="20"/>
  <c r="CY17" i="20"/>
  <c r="CZ17" i="20"/>
  <c r="DA17" i="20"/>
  <c r="DB17" i="20"/>
  <c r="DC17" i="20"/>
  <c r="DD17" i="20"/>
  <c r="DE17" i="20"/>
  <c r="DF17" i="20"/>
  <c r="DG17" i="20"/>
  <c r="DH17" i="20"/>
  <c r="DI17" i="20"/>
  <c r="DJ17" i="20"/>
  <c r="DK17" i="20"/>
  <c r="DL17" i="20"/>
  <c r="DM17" i="20"/>
  <c r="DN17" i="20"/>
  <c r="DO17" i="20"/>
  <c r="DP17" i="20"/>
  <c r="DQ17" i="20"/>
  <c r="DR17" i="20"/>
  <c r="DS17" i="20"/>
  <c r="DT17" i="20"/>
  <c r="DU17" i="20"/>
  <c r="DV17" i="20"/>
  <c r="DW17" i="20"/>
  <c r="DX17" i="20"/>
  <c r="DY17" i="20"/>
  <c r="DZ17" i="20"/>
  <c r="EA17" i="20"/>
  <c r="EB17" i="20"/>
  <c r="EC17" i="20"/>
  <c r="ED17" i="20"/>
  <c r="EE17" i="20"/>
  <c r="EF17" i="20"/>
  <c r="EG17" i="20"/>
  <c r="EH17" i="20"/>
  <c r="EI17" i="20"/>
  <c r="EJ17" i="20"/>
  <c r="EK17" i="20"/>
  <c r="EL17" i="20"/>
  <c r="EM17" i="20"/>
  <c r="EN17" i="20"/>
  <c r="EO17" i="20"/>
  <c r="EP17" i="20"/>
  <c r="EQ17" i="20"/>
  <c r="ER17" i="20"/>
  <c r="ES17" i="20"/>
  <c r="ET17" i="20"/>
  <c r="EU17" i="20"/>
  <c r="EV17" i="20"/>
  <c r="EW17" i="20"/>
  <c r="EX17" i="20"/>
  <c r="EY17" i="20"/>
  <c r="EZ17" i="20"/>
  <c r="FA17" i="20"/>
  <c r="FB17" i="20"/>
  <c r="FC17" i="20"/>
  <c r="FD17" i="20"/>
  <c r="FE17" i="20"/>
  <c r="FF17" i="20"/>
  <c r="FG17" i="20"/>
  <c r="FH17" i="20"/>
  <c r="FI17" i="20"/>
  <c r="FJ17" i="20"/>
  <c r="FK17" i="20"/>
  <c r="FL17" i="20"/>
  <c r="FM17" i="20"/>
  <c r="FN17" i="20"/>
  <c r="FO17" i="20"/>
  <c r="FP17" i="20"/>
  <c r="FQ17" i="20"/>
  <c r="FR17" i="20"/>
  <c r="FS17" i="20"/>
  <c r="FT17" i="20"/>
  <c r="FU17" i="20"/>
  <c r="FV17" i="20"/>
  <c r="FW17" i="20"/>
  <c r="FX17" i="20"/>
  <c r="FY17" i="20"/>
  <c r="FZ17" i="20"/>
  <c r="GA17" i="20"/>
  <c r="GB17" i="20"/>
  <c r="GC17" i="20"/>
  <c r="GD17" i="20"/>
  <c r="GE17" i="20"/>
  <c r="GF17" i="20"/>
  <c r="GG17" i="20"/>
  <c r="GH17" i="20"/>
  <c r="GI17" i="20"/>
  <c r="GJ17" i="20"/>
  <c r="GK17" i="20"/>
  <c r="GL17" i="20"/>
  <c r="GM17" i="20"/>
  <c r="GN17" i="20"/>
  <c r="GO17" i="20"/>
  <c r="GP17" i="20"/>
  <c r="GQ17" i="20"/>
  <c r="GR17" i="20"/>
  <c r="GS17" i="20"/>
  <c r="GT17" i="20"/>
  <c r="GU17" i="20"/>
  <c r="GV17" i="20"/>
  <c r="GW17" i="20"/>
  <c r="GX17" i="20"/>
  <c r="GY17" i="20"/>
  <c r="GZ17" i="20"/>
  <c r="HA17" i="20"/>
  <c r="HB17" i="20"/>
  <c r="HC17" i="20"/>
  <c r="AR18" i="20"/>
  <c r="AS18" i="20"/>
  <c r="AT18" i="20"/>
  <c r="AU18" i="20"/>
  <c r="AV18" i="20"/>
  <c r="AW18" i="20"/>
  <c r="AX18" i="20"/>
  <c r="AY18" i="20"/>
  <c r="AZ18" i="20"/>
  <c r="BA18" i="20"/>
  <c r="BB18" i="20"/>
  <c r="BC18" i="20"/>
  <c r="BD18" i="20"/>
  <c r="BE18" i="20"/>
  <c r="BF18" i="20"/>
  <c r="BG18" i="20"/>
  <c r="BH18" i="20"/>
  <c r="BI18" i="20"/>
  <c r="BJ18" i="20"/>
  <c r="BK18" i="20"/>
  <c r="BL18" i="20"/>
  <c r="BM18" i="20"/>
  <c r="BN18" i="20"/>
  <c r="BO18" i="20"/>
  <c r="BP18" i="20"/>
  <c r="BQ18" i="20"/>
  <c r="BR18" i="20"/>
  <c r="BS18" i="20"/>
  <c r="BT18" i="20"/>
  <c r="BU18" i="20"/>
  <c r="BV18" i="20"/>
  <c r="BW18" i="20"/>
  <c r="BX18" i="20"/>
  <c r="BY18" i="20"/>
  <c r="BZ18" i="20"/>
  <c r="CA18" i="20"/>
  <c r="CB18" i="20"/>
  <c r="CC18" i="20"/>
  <c r="CD18" i="20"/>
  <c r="CE18" i="20"/>
  <c r="CF18" i="20"/>
  <c r="CG18" i="20"/>
  <c r="CH18" i="20"/>
  <c r="CI18" i="20"/>
  <c r="CJ18" i="20"/>
  <c r="CK18" i="20"/>
  <c r="CL18" i="20"/>
  <c r="CM18" i="20"/>
  <c r="CN18" i="20"/>
  <c r="CO18" i="20"/>
  <c r="CP18" i="20"/>
  <c r="CQ18" i="20"/>
  <c r="CR18" i="20"/>
  <c r="CS18" i="20"/>
  <c r="CT18" i="20"/>
  <c r="CU18" i="20"/>
  <c r="CV18" i="20"/>
  <c r="CW18" i="20"/>
  <c r="CX18" i="20"/>
  <c r="CY18" i="20"/>
  <c r="CZ18" i="20"/>
  <c r="DA18" i="20"/>
  <c r="DB18" i="20"/>
  <c r="DC18" i="20"/>
  <c r="DD18" i="20"/>
  <c r="DE18" i="20"/>
  <c r="DF18" i="20"/>
  <c r="DG18" i="20"/>
  <c r="DH18" i="20"/>
  <c r="DI18" i="20"/>
  <c r="DJ18" i="20"/>
  <c r="DK18" i="20"/>
  <c r="DL18" i="20"/>
  <c r="DM18" i="20"/>
  <c r="DN18" i="20"/>
  <c r="DO18" i="20"/>
  <c r="DP18" i="20"/>
  <c r="DQ18" i="20"/>
  <c r="DR18" i="20"/>
  <c r="DS18" i="20"/>
  <c r="DT18" i="20"/>
  <c r="DU18" i="20"/>
  <c r="DV18" i="20"/>
  <c r="DW18" i="20"/>
  <c r="DX18" i="20"/>
  <c r="DY18" i="20"/>
  <c r="DZ18" i="20"/>
  <c r="EA18" i="20"/>
  <c r="EB18" i="20"/>
  <c r="EC18" i="20"/>
  <c r="ED18" i="20"/>
  <c r="EE18" i="20"/>
  <c r="EF18" i="20"/>
  <c r="EG18" i="20"/>
  <c r="EH18" i="20"/>
  <c r="EI18" i="20"/>
  <c r="EJ18" i="20"/>
  <c r="EK18" i="20"/>
  <c r="EL18" i="20"/>
  <c r="EM18" i="20"/>
  <c r="EN18" i="20"/>
  <c r="EO18" i="20"/>
  <c r="EP18" i="20"/>
  <c r="EQ18" i="20"/>
  <c r="ER18" i="20"/>
  <c r="ES18" i="20"/>
  <c r="ET18" i="20"/>
  <c r="EU18" i="20"/>
  <c r="EV18" i="20"/>
  <c r="EW18" i="20"/>
  <c r="EX18" i="20"/>
  <c r="EY18" i="20"/>
  <c r="EZ18" i="20"/>
  <c r="FA18" i="20"/>
  <c r="FB18" i="20"/>
  <c r="FC18" i="20"/>
  <c r="FD18" i="20"/>
  <c r="FE18" i="20"/>
  <c r="FF18" i="20"/>
  <c r="FG18" i="20"/>
  <c r="FH18" i="20"/>
  <c r="FI18" i="20"/>
  <c r="FJ18" i="20"/>
  <c r="FK18" i="20"/>
  <c r="FL18" i="20"/>
  <c r="FM18" i="20"/>
  <c r="FN18" i="20"/>
  <c r="FO18" i="20"/>
  <c r="FP18" i="20"/>
  <c r="FQ18" i="20"/>
  <c r="FR18" i="20"/>
  <c r="FS18" i="20"/>
  <c r="FT18" i="20"/>
  <c r="FU18" i="20"/>
  <c r="FV18" i="20"/>
  <c r="FW18" i="20"/>
  <c r="FX18" i="20"/>
  <c r="FY18" i="20"/>
  <c r="FZ18" i="20"/>
  <c r="GA18" i="20"/>
  <c r="GB18" i="20"/>
  <c r="GC18" i="20"/>
  <c r="GD18" i="20"/>
  <c r="GE18" i="20"/>
  <c r="GF18" i="20"/>
  <c r="GG18" i="20"/>
  <c r="GH18" i="20"/>
  <c r="GI18" i="20"/>
  <c r="GJ18" i="20"/>
  <c r="GK18" i="20"/>
  <c r="GL18" i="20"/>
  <c r="GM18" i="20"/>
  <c r="GN18" i="20"/>
  <c r="GO18" i="20"/>
  <c r="GP18" i="20"/>
  <c r="GQ18" i="20"/>
  <c r="GR18" i="20"/>
  <c r="GS18" i="20"/>
  <c r="GT18" i="20"/>
  <c r="GU18" i="20"/>
  <c r="GV18" i="20"/>
  <c r="GW18" i="20"/>
  <c r="GX18" i="20"/>
  <c r="GY18" i="20"/>
  <c r="GZ18" i="20"/>
  <c r="HA18" i="20"/>
  <c r="HB18" i="20"/>
  <c r="HC18" i="20"/>
  <c r="AR19" i="20"/>
  <c r="AS19" i="20"/>
  <c r="AT19" i="20"/>
  <c r="AU19" i="20"/>
  <c r="AV19" i="20"/>
  <c r="AW19" i="20"/>
  <c r="AX19" i="20"/>
  <c r="AY19" i="20"/>
  <c r="AZ19" i="20"/>
  <c r="BA19" i="20"/>
  <c r="BB19" i="20"/>
  <c r="BC19" i="20"/>
  <c r="BD19" i="20"/>
  <c r="BE19" i="20"/>
  <c r="BF19" i="20"/>
  <c r="BG19" i="20"/>
  <c r="BH19" i="20"/>
  <c r="BI19" i="20"/>
  <c r="BJ19" i="20"/>
  <c r="BK19" i="20"/>
  <c r="BL19" i="20"/>
  <c r="BM19" i="20"/>
  <c r="BN19" i="20"/>
  <c r="BO19" i="20"/>
  <c r="BP19" i="20"/>
  <c r="BQ19" i="20"/>
  <c r="BR19" i="20"/>
  <c r="BS19" i="20"/>
  <c r="BT19" i="20"/>
  <c r="BU19" i="20"/>
  <c r="BV19" i="20"/>
  <c r="BW19" i="20"/>
  <c r="BX19" i="20"/>
  <c r="BY19" i="20"/>
  <c r="BZ19" i="20"/>
  <c r="CA19" i="20"/>
  <c r="CB19" i="20"/>
  <c r="CC19" i="20"/>
  <c r="CD19" i="20"/>
  <c r="CE19" i="20"/>
  <c r="CF19" i="20"/>
  <c r="CG19" i="20"/>
  <c r="CH19" i="20"/>
  <c r="CI19" i="20"/>
  <c r="CJ19" i="20"/>
  <c r="CK19" i="20"/>
  <c r="CL19" i="20"/>
  <c r="CM19" i="20"/>
  <c r="CN19" i="20"/>
  <c r="CO19" i="20"/>
  <c r="CP19" i="20"/>
  <c r="CQ19" i="20"/>
  <c r="CR19" i="20"/>
  <c r="CS19" i="20"/>
  <c r="CT19" i="20"/>
  <c r="CU19" i="20"/>
  <c r="CV19" i="20"/>
  <c r="CW19" i="20"/>
  <c r="CX19" i="20"/>
  <c r="CY19" i="20"/>
  <c r="CZ19" i="20"/>
  <c r="DA19" i="20"/>
  <c r="DB19" i="20"/>
  <c r="DC19" i="20"/>
  <c r="DD19" i="20"/>
  <c r="DE19" i="20"/>
  <c r="DF19" i="20"/>
  <c r="DG19" i="20"/>
  <c r="DH19" i="20"/>
  <c r="DI19" i="20"/>
  <c r="DJ19" i="20"/>
  <c r="DK19" i="20"/>
  <c r="DL19" i="20"/>
  <c r="DM19" i="20"/>
  <c r="DN19" i="20"/>
  <c r="DO19" i="20"/>
  <c r="DP19" i="20"/>
  <c r="DQ19" i="20"/>
  <c r="DR19" i="20"/>
  <c r="DS19" i="20"/>
  <c r="DT19" i="20"/>
  <c r="DU19" i="20"/>
  <c r="DV19" i="20"/>
  <c r="DW19" i="20"/>
  <c r="DX19" i="20"/>
  <c r="DY19" i="20"/>
  <c r="DZ19" i="20"/>
  <c r="EA19" i="20"/>
  <c r="EB19" i="20"/>
  <c r="EC19" i="20"/>
  <c r="ED19" i="20"/>
  <c r="EE19" i="20"/>
  <c r="EF19" i="20"/>
  <c r="EG19" i="20"/>
  <c r="EH19" i="20"/>
  <c r="EI19" i="20"/>
  <c r="EJ19" i="20"/>
  <c r="EK19" i="20"/>
  <c r="EL19" i="20"/>
  <c r="EM19" i="20"/>
  <c r="EN19" i="20"/>
  <c r="EO19" i="20"/>
  <c r="EP19" i="20"/>
  <c r="EQ19" i="20"/>
  <c r="ER19" i="20"/>
  <c r="ES19" i="20"/>
  <c r="ET19" i="20"/>
  <c r="EU19" i="20"/>
  <c r="EV19" i="20"/>
  <c r="EW19" i="20"/>
  <c r="EX19" i="20"/>
  <c r="EY19" i="20"/>
  <c r="EZ19" i="20"/>
  <c r="FA19" i="20"/>
  <c r="FB19" i="20"/>
  <c r="FC19" i="20"/>
  <c r="FD19" i="20"/>
  <c r="FE19" i="20"/>
  <c r="FF19" i="20"/>
  <c r="FG19" i="20"/>
  <c r="FH19" i="20"/>
  <c r="FI19" i="20"/>
  <c r="FJ19" i="20"/>
  <c r="FK19" i="20"/>
  <c r="FL19" i="20"/>
  <c r="FM19" i="20"/>
  <c r="FN19" i="20"/>
  <c r="FO19" i="20"/>
  <c r="FP19" i="20"/>
  <c r="FQ19" i="20"/>
  <c r="FR19" i="20"/>
  <c r="FS19" i="20"/>
  <c r="FT19" i="20"/>
  <c r="FU19" i="20"/>
  <c r="FV19" i="20"/>
  <c r="FW19" i="20"/>
  <c r="FX19" i="20"/>
  <c r="FY19" i="20"/>
  <c r="FZ19" i="20"/>
  <c r="GA19" i="20"/>
  <c r="GB19" i="20"/>
  <c r="GC19" i="20"/>
  <c r="GD19" i="20"/>
  <c r="GE19" i="20"/>
  <c r="GF19" i="20"/>
  <c r="GG19" i="20"/>
  <c r="GH19" i="20"/>
  <c r="GI19" i="20"/>
  <c r="GJ19" i="20"/>
  <c r="GK19" i="20"/>
  <c r="GL19" i="20"/>
  <c r="GM19" i="20"/>
  <c r="GN19" i="20"/>
  <c r="GO19" i="20"/>
  <c r="GP19" i="20"/>
  <c r="GQ19" i="20"/>
  <c r="GR19" i="20"/>
  <c r="GS19" i="20"/>
  <c r="GT19" i="20"/>
  <c r="GU19" i="20"/>
  <c r="GV19" i="20"/>
  <c r="GW19" i="20"/>
  <c r="GX19" i="20"/>
  <c r="GY19" i="20"/>
  <c r="GZ19" i="20"/>
  <c r="HA19" i="20"/>
  <c r="HB19" i="20"/>
  <c r="HC19" i="20"/>
  <c r="AR20" i="20"/>
  <c r="AS20" i="20"/>
  <c r="AT20" i="20"/>
  <c r="AU20" i="20"/>
  <c r="AV20" i="20"/>
  <c r="AW20" i="20"/>
  <c r="AX20" i="20"/>
  <c r="AY20" i="20"/>
  <c r="AZ20" i="20"/>
  <c r="BA20" i="20"/>
  <c r="BB20" i="20"/>
  <c r="BC20" i="20"/>
  <c r="BD20" i="20"/>
  <c r="BE20" i="20"/>
  <c r="BF20" i="20"/>
  <c r="BG20" i="20"/>
  <c r="BH20" i="20"/>
  <c r="BI20" i="20"/>
  <c r="BJ20" i="20"/>
  <c r="BK20" i="20"/>
  <c r="BL20" i="20"/>
  <c r="BM20" i="20"/>
  <c r="BN20" i="20"/>
  <c r="BO20" i="20"/>
  <c r="BP20" i="20"/>
  <c r="BQ20" i="20"/>
  <c r="BR20" i="20"/>
  <c r="BS20" i="20"/>
  <c r="BT20" i="20"/>
  <c r="BU20" i="20"/>
  <c r="BV20" i="20"/>
  <c r="BW20" i="20"/>
  <c r="BX20" i="20"/>
  <c r="BY20" i="20"/>
  <c r="BZ20" i="20"/>
  <c r="CA20" i="20"/>
  <c r="CB20" i="20"/>
  <c r="CC20" i="20"/>
  <c r="CD20" i="20"/>
  <c r="CE20" i="20"/>
  <c r="CF20" i="20"/>
  <c r="CG20" i="20"/>
  <c r="CH20" i="20"/>
  <c r="CI20" i="20"/>
  <c r="CJ20" i="20"/>
  <c r="CK20" i="20"/>
  <c r="CL20" i="20"/>
  <c r="CM20" i="20"/>
  <c r="CN20" i="20"/>
  <c r="CO20" i="20"/>
  <c r="CP20" i="20"/>
  <c r="CQ20" i="20"/>
  <c r="CR20" i="20"/>
  <c r="CS20" i="20"/>
  <c r="CT20" i="20"/>
  <c r="CU20" i="20"/>
  <c r="CV20" i="20"/>
  <c r="CW20" i="20"/>
  <c r="CX20" i="20"/>
  <c r="CY20" i="20"/>
  <c r="CZ20" i="20"/>
  <c r="DA20" i="20"/>
  <c r="DB20" i="20"/>
  <c r="DC20" i="20"/>
  <c r="DD20" i="20"/>
  <c r="DE20" i="20"/>
  <c r="DF20" i="20"/>
  <c r="DG20" i="20"/>
  <c r="DH20" i="20"/>
  <c r="DI20" i="20"/>
  <c r="DJ20" i="20"/>
  <c r="DK20" i="20"/>
  <c r="DL20" i="20"/>
  <c r="DM20" i="20"/>
  <c r="DN20" i="20"/>
  <c r="DO20" i="20"/>
  <c r="DP20" i="20"/>
  <c r="DQ20" i="20"/>
  <c r="DR20" i="20"/>
  <c r="DS20" i="20"/>
  <c r="DT20" i="20"/>
  <c r="DU20" i="20"/>
  <c r="DV20" i="20"/>
  <c r="DW20" i="20"/>
  <c r="DX20" i="20"/>
  <c r="DY20" i="20"/>
  <c r="DZ20" i="20"/>
  <c r="EA20" i="20"/>
  <c r="EB20" i="20"/>
  <c r="EC20" i="20"/>
  <c r="ED20" i="20"/>
  <c r="EE20" i="20"/>
  <c r="EF20" i="20"/>
  <c r="EG20" i="20"/>
  <c r="EH20" i="20"/>
  <c r="EI20" i="20"/>
  <c r="EJ20" i="20"/>
  <c r="EK20" i="20"/>
  <c r="EL20" i="20"/>
  <c r="EM20" i="20"/>
  <c r="EN20" i="20"/>
  <c r="EO20" i="20"/>
  <c r="EP20" i="20"/>
  <c r="EQ20" i="20"/>
  <c r="ER20" i="20"/>
  <c r="ES20" i="20"/>
  <c r="ET20" i="20"/>
  <c r="EU20" i="20"/>
  <c r="EV20" i="20"/>
  <c r="EW20" i="20"/>
  <c r="EX20" i="20"/>
  <c r="EY20" i="20"/>
  <c r="EZ20" i="20"/>
  <c r="FA20" i="20"/>
  <c r="FB20" i="20"/>
  <c r="FC20" i="20"/>
  <c r="FD20" i="20"/>
  <c r="FE20" i="20"/>
  <c r="FF20" i="20"/>
  <c r="FG20" i="20"/>
  <c r="FH20" i="20"/>
  <c r="FI20" i="20"/>
  <c r="FJ20" i="20"/>
  <c r="FK20" i="20"/>
  <c r="FL20" i="20"/>
  <c r="FM20" i="20"/>
  <c r="FN20" i="20"/>
  <c r="FO20" i="20"/>
  <c r="FP20" i="20"/>
  <c r="FQ20" i="20"/>
  <c r="FR20" i="20"/>
  <c r="FS20" i="20"/>
  <c r="FT20" i="20"/>
  <c r="FU20" i="20"/>
  <c r="FV20" i="20"/>
  <c r="FW20" i="20"/>
  <c r="FX20" i="20"/>
  <c r="FY20" i="20"/>
  <c r="FZ20" i="20"/>
  <c r="GA20" i="20"/>
  <c r="GB20" i="20"/>
  <c r="GC20" i="20"/>
  <c r="GD20" i="20"/>
  <c r="GE20" i="20"/>
  <c r="GF20" i="20"/>
  <c r="GG20" i="20"/>
  <c r="GH20" i="20"/>
  <c r="GI20" i="20"/>
  <c r="GJ20" i="20"/>
  <c r="GK20" i="20"/>
  <c r="GL20" i="20"/>
  <c r="GM20" i="20"/>
  <c r="GN20" i="20"/>
  <c r="GO20" i="20"/>
  <c r="GP20" i="20"/>
  <c r="GQ20" i="20"/>
  <c r="GR20" i="20"/>
  <c r="GS20" i="20"/>
  <c r="GT20" i="20"/>
  <c r="GU20" i="20"/>
  <c r="GV20" i="20"/>
  <c r="GW20" i="20"/>
  <c r="GX20" i="20"/>
  <c r="GY20" i="20"/>
  <c r="GZ20" i="20"/>
  <c r="HA20" i="20"/>
  <c r="HB20" i="20"/>
  <c r="HC20" i="20"/>
  <c r="AR21" i="20"/>
  <c r="AS21" i="20"/>
  <c r="AT21" i="20"/>
  <c r="AU21" i="20"/>
  <c r="AV21" i="20"/>
  <c r="AW21" i="20"/>
  <c r="AX21" i="20"/>
  <c r="AY21" i="20"/>
  <c r="AZ21" i="20"/>
  <c r="BA21" i="20"/>
  <c r="BB21" i="20"/>
  <c r="BC21" i="20"/>
  <c r="BD21" i="20"/>
  <c r="BE21" i="20"/>
  <c r="BF21" i="20"/>
  <c r="BG21" i="20"/>
  <c r="BH21" i="20"/>
  <c r="BI21" i="20"/>
  <c r="BJ21" i="20"/>
  <c r="BK21" i="20"/>
  <c r="BL21" i="20"/>
  <c r="BM21" i="20"/>
  <c r="BN21" i="20"/>
  <c r="BO21" i="20"/>
  <c r="BP21" i="20"/>
  <c r="BQ21" i="20"/>
  <c r="BR21" i="20"/>
  <c r="BS21" i="20"/>
  <c r="BT21" i="20"/>
  <c r="BU21" i="20"/>
  <c r="BV21" i="20"/>
  <c r="BW21" i="20"/>
  <c r="BX21" i="20"/>
  <c r="BY21" i="20"/>
  <c r="BZ21" i="20"/>
  <c r="CA21" i="20"/>
  <c r="CB21" i="20"/>
  <c r="CC21" i="20"/>
  <c r="CD21" i="20"/>
  <c r="CE21" i="20"/>
  <c r="CF21" i="20"/>
  <c r="CG21" i="20"/>
  <c r="CH21" i="20"/>
  <c r="CI21" i="20"/>
  <c r="CJ21" i="20"/>
  <c r="CK21" i="20"/>
  <c r="CL21" i="20"/>
  <c r="CM21" i="20"/>
  <c r="CN21" i="20"/>
  <c r="CO21" i="20"/>
  <c r="CP21" i="20"/>
  <c r="CQ21" i="20"/>
  <c r="CR21" i="20"/>
  <c r="CS21" i="20"/>
  <c r="CT21" i="20"/>
  <c r="CU21" i="20"/>
  <c r="CV21" i="20"/>
  <c r="CW21" i="20"/>
  <c r="CX21" i="20"/>
  <c r="CY21" i="20"/>
  <c r="CZ21" i="20"/>
  <c r="DA21" i="20"/>
  <c r="DB21" i="20"/>
  <c r="DC21" i="20"/>
  <c r="DD21" i="20"/>
  <c r="DE21" i="20"/>
  <c r="DF21" i="20"/>
  <c r="DG21" i="20"/>
  <c r="DH21" i="20"/>
  <c r="DI21" i="20"/>
  <c r="DJ21" i="20"/>
  <c r="DK21" i="20"/>
  <c r="DL21" i="20"/>
  <c r="DM21" i="20"/>
  <c r="DN21" i="20"/>
  <c r="DO21" i="20"/>
  <c r="DP21" i="20"/>
  <c r="DQ21" i="20"/>
  <c r="DR21" i="20"/>
  <c r="DS21" i="20"/>
  <c r="DT21" i="20"/>
  <c r="DU21" i="20"/>
  <c r="DV21" i="20"/>
  <c r="DW21" i="20"/>
  <c r="DX21" i="20"/>
  <c r="DY21" i="20"/>
  <c r="DZ21" i="20"/>
  <c r="EA21" i="20"/>
  <c r="EB21" i="20"/>
  <c r="EC21" i="20"/>
  <c r="ED21" i="20"/>
  <c r="EE21" i="20"/>
  <c r="EF21" i="20"/>
  <c r="EG21" i="20"/>
  <c r="EH21" i="20"/>
  <c r="EI21" i="20"/>
  <c r="EJ21" i="20"/>
  <c r="EK21" i="20"/>
  <c r="EL21" i="20"/>
  <c r="EM21" i="20"/>
  <c r="EN21" i="20"/>
  <c r="EO21" i="20"/>
  <c r="EP21" i="20"/>
  <c r="EQ21" i="20"/>
  <c r="ER21" i="20"/>
  <c r="ES21" i="20"/>
  <c r="ET21" i="20"/>
  <c r="EU21" i="20"/>
  <c r="EV21" i="20"/>
  <c r="EW21" i="20"/>
  <c r="EX21" i="20"/>
  <c r="EY21" i="20"/>
  <c r="EZ21" i="20"/>
  <c r="FA21" i="20"/>
  <c r="FB21" i="20"/>
  <c r="FC21" i="20"/>
  <c r="FD21" i="20"/>
  <c r="FE21" i="20"/>
  <c r="FF21" i="20"/>
  <c r="FG21" i="20"/>
  <c r="FH21" i="20"/>
  <c r="FI21" i="20"/>
  <c r="FJ21" i="20"/>
  <c r="FK21" i="20"/>
  <c r="FL21" i="20"/>
  <c r="FM21" i="20"/>
  <c r="FN21" i="20"/>
  <c r="FO21" i="20"/>
  <c r="FP21" i="20"/>
  <c r="FQ21" i="20"/>
  <c r="FR21" i="20"/>
  <c r="FS21" i="20"/>
  <c r="FT21" i="20"/>
  <c r="FU21" i="20"/>
  <c r="FV21" i="20"/>
  <c r="FW21" i="20"/>
  <c r="FX21" i="20"/>
  <c r="FY21" i="20"/>
  <c r="FZ21" i="20"/>
  <c r="GA21" i="20"/>
  <c r="GB21" i="20"/>
  <c r="GC21" i="20"/>
  <c r="GD21" i="20"/>
  <c r="GE21" i="20"/>
  <c r="GF21" i="20"/>
  <c r="GG21" i="20"/>
  <c r="GH21" i="20"/>
  <c r="GI21" i="20"/>
  <c r="GJ21" i="20"/>
  <c r="GK21" i="20"/>
  <c r="GL21" i="20"/>
  <c r="GM21" i="20"/>
  <c r="GN21" i="20"/>
  <c r="GO21" i="20"/>
  <c r="GP21" i="20"/>
  <c r="GQ21" i="20"/>
  <c r="GR21" i="20"/>
  <c r="GS21" i="20"/>
  <c r="GT21" i="20"/>
  <c r="GU21" i="20"/>
  <c r="GV21" i="20"/>
  <c r="GW21" i="20"/>
  <c r="GX21" i="20"/>
  <c r="GY21" i="20"/>
  <c r="GZ21" i="20"/>
  <c r="HA21" i="20"/>
  <c r="HB21" i="20"/>
  <c r="HC21" i="20"/>
  <c r="AR22" i="20"/>
  <c r="AS22" i="20"/>
  <c r="AT22" i="20"/>
  <c r="AU22" i="20"/>
  <c r="AV22" i="20"/>
  <c r="AW22" i="20"/>
  <c r="AX22" i="20"/>
  <c r="AY22" i="20"/>
  <c r="AZ22" i="20"/>
  <c r="BA22" i="20"/>
  <c r="BB22" i="20"/>
  <c r="BC22" i="20"/>
  <c r="BD22" i="20"/>
  <c r="BE22" i="20"/>
  <c r="BF22" i="20"/>
  <c r="BG22" i="20"/>
  <c r="BH22" i="20"/>
  <c r="BI22" i="20"/>
  <c r="BJ22" i="20"/>
  <c r="BK22" i="20"/>
  <c r="BL22" i="20"/>
  <c r="BM22" i="20"/>
  <c r="BN22" i="20"/>
  <c r="BO22" i="20"/>
  <c r="BP22" i="20"/>
  <c r="BQ22" i="20"/>
  <c r="BR22" i="20"/>
  <c r="BS22" i="20"/>
  <c r="BT22" i="20"/>
  <c r="BU22" i="20"/>
  <c r="BV22" i="20"/>
  <c r="BW22" i="20"/>
  <c r="BX22" i="20"/>
  <c r="BY22" i="20"/>
  <c r="BZ22" i="20"/>
  <c r="CA22" i="20"/>
  <c r="CB22" i="20"/>
  <c r="CC22" i="20"/>
  <c r="CD22" i="20"/>
  <c r="CE22" i="20"/>
  <c r="CF22" i="20"/>
  <c r="CG22" i="20"/>
  <c r="CH22" i="20"/>
  <c r="CI22" i="20"/>
  <c r="CJ22" i="20"/>
  <c r="CK22" i="20"/>
  <c r="CL22" i="20"/>
  <c r="CM22" i="20"/>
  <c r="CN22" i="20"/>
  <c r="CO22" i="20"/>
  <c r="CP22" i="20"/>
  <c r="CQ22" i="20"/>
  <c r="CR22" i="20"/>
  <c r="CS22" i="20"/>
  <c r="CT22" i="20"/>
  <c r="CU22" i="20"/>
  <c r="CV22" i="20"/>
  <c r="CW22" i="20"/>
  <c r="CX22" i="20"/>
  <c r="CY22" i="20"/>
  <c r="CZ22" i="20"/>
  <c r="DA22" i="20"/>
  <c r="DB22" i="20"/>
  <c r="DC22" i="20"/>
  <c r="DD22" i="20"/>
  <c r="DE22" i="20"/>
  <c r="DF22" i="20"/>
  <c r="DG22" i="20"/>
  <c r="DH22" i="20"/>
  <c r="DI22" i="20"/>
  <c r="DJ22" i="20"/>
  <c r="DK22" i="20"/>
  <c r="DL22" i="20"/>
  <c r="DM22" i="20"/>
  <c r="DN22" i="20"/>
  <c r="DO22" i="20"/>
  <c r="DP22" i="20"/>
  <c r="DQ22" i="20"/>
  <c r="DR22" i="20"/>
  <c r="DS22" i="20"/>
  <c r="DT22" i="20"/>
  <c r="DU22" i="20"/>
  <c r="DV22" i="20"/>
  <c r="DW22" i="20"/>
  <c r="DX22" i="20"/>
  <c r="DY22" i="20"/>
  <c r="DZ22" i="20"/>
  <c r="EA22" i="20"/>
  <c r="EB22" i="20"/>
  <c r="EC22" i="20"/>
  <c r="ED22" i="20"/>
  <c r="EE22" i="20"/>
  <c r="EF22" i="20"/>
  <c r="EG22" i="20"/>
  <c r="EH22" i="20"/>
  <c r="EI22" i="20"/>
  <c r="EJ22" i="20"/>
  <c r="EK22" i="20"/>
  <c r="EL22" i="20"/>
  <c r="EM22" i="20"/>
  <c r="EN22" i="20"/>
  <c r="EO22" i="20"/>
  <c r="EP22" i="20"/>
  <c r="EQ22" i="20"/>
  <c r="ER22" i="20"/>
  <c r="ES22" i="20"/>
  <c r="ET22" i="20"/>
  <c r="EU22" i="20"/>
  <c r="EV22" i="20"/>
  <c r="EW22" i="20"/>
  <c r="EX22" i="20"/>
  <c r="EY22" i="20"/>
  <c r="EZ22" i="20"/>
  <c r="FA22" i="20"/>
  <c r="FB22" i="20"/>
  <c r="FC22" i="20"/>
  <c r="FD22" i="20"/>
  <c r="FE22" i="20"/>
  <c r="FF22" i="20"/>
  <c r="FG22" i="20"/>
  <c r="FH22" i="20"/>
  <c r="FI22" i="20"/>
  <c r="FJ22" i="20"/>
  <c r="FK22" i="20"/>
  <c r="FL22" i="20"/>
  <c r="FM22" i="20"/>
  <c r="FN22" i="20"/>
  <c r="FO22" i="20"/>
  <c r="FP22" i="20"/>
  <c r="FQ22" i="20"/>
  <c r="FR22" i="20"/>
  <c r="FS22" i="20"/>
  <c r="FT22" i="20"/>
  <c r="FU22" i="20"/>
  <c r="FV22" i="20"/>
  <c r="FW22" i="20"/>
  <c r="FX22" i="20"/>
  <c r="FY22" i="20"/>
  <c r="FZ22" i="20"/>
  <c r="GA22" i="20"/>
  <c r="GB22" i="20"/>
  <c r="GC22" i="20"/>
  <c r="GD22" i="20"/>
  <c r="GE22" i="20"/>
  <c r="GF22" i="20"/>
  <c r="GG22" i="20"/>
  <c r="GH22" i="20"/>
  <c r="GI22" i="20"/>
  <c r="GJ22" i="20"/>
  <c r="GK22" i="20"/>
  <c r="GL22" i="20"/>
  <c r="GM22" i="20"/>
  <c r="GN22" i="20"/>
  <c r="GO22" i="20"/>
  <c r="GP22" i="20"/>
  <c r="GQ22" i="20"/>
  <c r="GR22" i="20"/>
  <c r="GS22" i="20"/>
  <c r="GT22" i="20"/>
  <c r="GU22" i="20"/>
  <c r="GV22" i="20"/>
  <c r="GW22" i="20"/>
  <c r="GX22" i="20"/>
  <c r="GY22" i="20"/>
  <c r="GZ22" i="20"/>
  <c r="HA22" i="20"/>
  <c r="HB22" i="20"/>
  <c r="HC22" i="20"/>
  <c r="AR23" i="20"/>
  <c r="AS23" i="20"/>
  <c r="AT23" i="20"/>
  <c r="AU23" i="20"/>
  <c r="AV23" i="20"/>
  <c r="AW23" i="20"/>
  <c r="AX23" i="20"/>
  <c r="AY23" i="20"/>
  <c r="AZ23" i="20"/>
  <c r="BA23" i="20"/>
  <c r="BB23" i="20"/>
  <c r="BC23" i="20"/>
  <c r="BD23" i="20"/>
  <c r="BE23" i="20"/>
  <c r="BF23" i="20"/>
  <c r="BG23" i="20"/>
  <c r="BH23" i="20"/>
  <c r="BI23" i="20"/>
  <c r="BJ23" i="20"/>
  <c r="BK23" i="20"/>
  <c r="BL23" i="20"/>
  <c r="BM23" i="20"/>
  <c r="BN23" i="20"/>
  <c r="BO23" i="20"/>
  <c r="BP23" i="20"/>
  <c r="BQ23" i="20"/>
  <c r="BR23" i="20"/>
  <c r="BS23" i="20"/>
  <c r="BT23" i="20"/>
  <c r="BU23" i="20"/>
  <c r="BV23" i="20"/>
  <c r="BW23" i="20"/>
  <c r="BX23" i="20"/>
  <c r="BY23" i="20"/>
  <c r="BZ23" i="20"/>
  <c r="CA23" i="20"/>
  <c r="CB23" i="20"/>
  <c r="CC23" i="20"/>
  <c r="CD23" i="20"/>
  <c r="CE23" i="20"/>
  <c r="CF23" i="20"/>
  <c r="CG23" i="20"/>
  <c r="CH23" i="20"/>
  <c r="CI23" i="20"/>
  <c r="CJ23" i="20"/>
  <c r="CK23" i="20"/>
  <c r="CL23" i="20"/>
  <c r="CM23" i="20"/>
  <c r="CN23" i="20"/>
  <c r="CO23" i="20"/>
  <c r="CP23" i="20"/>
  <c r="CQ23" i="20"/>
  <c r="CR23" i="20"/>
  <c r="CS23" i="20"/>
  <c r="CT23" i="20"/>
  <c r="CU23" i="20"/>
  <c r="CV23" i="20"/>
  <c r="CW23" i="20"/>
  <c r="CX23" i="20"/>
  <c r="CY23" i="20"/>
  <c r="CZ23" i="20"/>
  <c r="DA23" i="20"/>
  <c r="DB23" i="20"/>
  <c r="DC23" i="20"/>
  <c r="DD23" i="20"/>
  <c r="DE23" i="20"/>
  <c r="DF23" i="20"/>
  <c r="DG23" i="20"/>
  <c r="DH23" i="20"/>
  <c r="DI23" i="20"/>
  <c r="DJ23" i="20"/>
  <c r="DK23" i="20"/>
  <c r="DL23" i="20"/>
  <c r="DM23" i="20"/>
  <c r="DN23" i="20"/>
  <c r="DO23" i="20"/>
  <c r="DP23" i="20"/>
  <c r="DQ23" i="20"/>
  <c r="DR23" i="20"/>
  <c r="DS23" i="20"/>
  <c r="DT23" i="20"/>
  <c r="DU23" i="20"/>
  <c r="DV23" i="20"/>
  <c r="DW23" i="20"/>
  <c r="DX23" i="20"/>
  <c r="DY23" i="20"/>
  <c r="DZ23" i="20"/>
  <c r="EA23" i="20"/>
  <c r="EB23" i="20"/>
  <c r="EC23" i="20"/>
  <c r="ED23" i="20"/>
  <c r="EE23" i="20"/>
  <c r="EF23" i="20"/>
  <c r="EG23" i="20"/>
  <c r="EH23" i="20"/>
  <c r="EI23" i="20"/>
  <c r="EJ23" i="20"/>
  <c r="EK23" i="20"/>
  <c r="EL23" i="20"/>
  <c r="EM23" i="20"/>
  <c r="EN23" i="20"/>
  <c r="EO23" i="20"/>
  <c r="EP23" i="20"/>
  <c r="EQ23" i="20"/>
  <c r="ER23" i="20"/>
  <c r="ES23" i="20"/>
  <c r="ET23" i="20"/>
  <c r="EU23" i="20"/>
  <c r="EV23" i="20"/>
  <c r="EW23" i="20"/>
  <c r="EX23" i="20"/>
  <c r="EY23" i="20"/>
  <c r="EZ23" i="20"/>
  <c r="FA23" i="20"/>
  <c r="FB23" i="20"/>
  <c r="FC23" i="20"/>
  <c r="FD23" i="20"/>
  <c r="FE23" i="20"/>
  <c r="FF23" i="20"/>
  <c r="FG23" i="20"/>
  <c r="FH23" i="20"/>
  <c r="FI23" i="20"/>
  <c r="FJ23" i="20"/>
  <c r="FK23" i="20"/>
  <c r="FL23" i="20"/>
  <c r="FM23" i="20"/>
  <c r="FN23" i="20"/>
  <c r="FO23" i="20"/>
  <c r="FP23" i="20"/>
  <c r="FQ23" i="20"/>
  <c r="FR23" i="20"/>
  <c r="FS23" i="20"/>
  <c r="FT23" i="20"/>
  <c r="FU23" i="20"/>
  <c r="FV23" i="20"/>
  <c r="FW23" i="20"/>
  <c r="FX23" i="20"/>
  <c r="FY23" i="20"/>
  <c r="FZ23" i="20"/>
  <c r="GA23" i="20"/>
  <c r="GB23" i="20"/>
  <c r="GC23" i="20"/>
  <c r="GD23" i="20"/>
  <c r="GE23" i="20"/>
  <c r="GF23" i="20"/>
  <c r="GG23" i="20"/>
  <c r="GH23" i="20"/>
  <c r="GI23" i="20"/>
  <c r="GJ23" i="20"/>
  <c r="GK23" i="20"/>
  <c r="GL23" i="20"/>
  <c r="GM23" i="20"/>
  <c r="GN23" i="20"/>
  <c r="GO23" i="20"/>
  <c r="GP23" i="20"/>
  <c r="GQ23" i="20"/>
  <c r="GR23" i="20"/>
  <c r="GS23" i="20"/>
  <c r="GT23" i="20"/>
  <c r="GU23" i="20"/>
  <c r="GV23" i="20"/>
  <c r="GW23" i="20"/>
  <c r="GX23" i="20"/>
  <c r="GY23" i="20"/>
  <c r="GZ23" i="20"/>
  <c r="HA23" i="20"/>
  <c r="HB23" i="20"/>
  <c r="HC23" i="20"/>
  <c r="AR24" i="20"/>
  <c r="AS24" i="20"/>
  <c r="AT24" i="20"/>
  <c r="AU24" i="20"/>
  <c r="AV24" i="20"/>
  <c r="AW24" i="20"/>
  <c r="AX24" i="20"/>
  <c r="AY24" i="20"/>
  <c r="AZ24" i="20"/>
  <c r="BA24" i="20"/>
  <c r="BB24" i="20"/>
  <c r="BC24" i="20"/>
  <c r="BD24" i="20"/>
  <c r="BE24" i="20"/>
  <c r="BF24" i="20"/>
  <c r="BG24" i="20"/>
  <c r="BH24" i="20"/>
  <c r="BI24" i="20"/>
  <c r="BJ24" i="20"/>
  <c r="BK24" i="20"/>
  <c r="BL24" i="20"/>
  <c r="BM24" i="20"/>
  <c r="BN24" i="20"/>
  <c r="BO24" i="20"/>
  <c r="BP24" i="20"/>
  <c r="BQ24" i="20"/>
  <c r="BR24" i="20"/>
  <c r="BS24" i="20"/>
  <c r="BT24" i="20"/>
  <c r="BU24" i="20"/>
  <c r="BV24" i="20"/>
  <c r="BW24" i="20"/>
  <c r="BX24" i="20"/>
  <c r="BY24" i="20"/>
  <c r="BZ24" i="20"/>
  <c r="CA24" i="20"/>
  <c r="CB24" i="20"/>
  <c r="CC24" i="20"/>
  <c r="CD24" i="20"/>
  <c r="CE24" i="20"/>
  <c r="CF24" i="20"/>
  <c r="CG24" i="20"/>
  <c r="CH24" i="20"/>
  <c r="CI24" i="20"/>
  <c r="CJ24" i="20"/>
  <c r="CK24" i="20"/>
  <c r="CL24" i="20"/>
  <c r="CM24" i="20"/>
  <c r="CN24" i="20"/>
  <c r="CO24" i="20"/>
  <c r="CP24" i="20"/>
  <c r="CQ24" i="20"/>
  <c r="CR24" i="20"/>
  <c r="CS24" i="20"/>
  <c r="CT24" i="20"/>
  <c r="CU24" i="20"/>
  <c r="CV24" i="20"/>
  <c r="CW24" i="20"/>
  <c r="CX24" i="20"/>
  <c r="CY24" i="20"/>
  <c r="CZ24" i="20"/>
  <c r="DA24" i="20"/>
  <c r="DB24" i="20"/>
  <c r="DC24" i="20"/>
  <c r="DD24" i="20"/>
  <c r="DE24" i="20"/>
  <c r="DF24" i="20"/>
  <c r="DG24" i="20"/>
  <c r="DH24" i="20"/>
  <c r="DI24" i="20"/>
  <c r="DJ24" i="20"/>
  <c r="DK24" i="20"/>
  <c r="DL24" i="20"/>
  <c r="DM24" i="20"/>
  <c r="DN24" i="20"/>
  <c r="DO24" i="20"/>
  <c r="DP24" i="20"/>
  <c r="DQ24" i="20"/>
  <c r="DR24" i="20"/>
  <c r="DS24" i="20"/>
  <c r="DT24" i="20"/>
  <c r="DU24" i="20"/>
  <c r="DV24" i="20"/>
  <c r="DW24" i="20"/>
  <c r="DX24" i="20"/>
  <c r="DY24" i="20"/>
  <c r="DZ24" i="20"/>
  <c r="EA24" i="20"/>
  <c r="EB24" i="20"/>
  <c r="EC24" i="20"/>
  <c r="ED24" i="20"/>
  <c r="EE24" i="20"/>
  <c r="EF24" i="20"/>
  <c r="EG24" i="20"/>
  <c r="EH24" i="20"/>
  <c r="EI24" i="20"/>
  <c r="EJ24" i="20"/>
  <c r="EK24" i="20"/>
  <c r="EL24" i="20"/>
  <c r="EM24" i="20"/>
  <c r="EN24" i="20"/>
  <c r="EO24" i="20"/>
  <c r="EP24" i="20"/>
  <c r="EQ24" i="20"/>
  <c r="ER24" i="20"/>
  <c r="ES24" i="20"/>
  <c r="ET24" i="20"/>
  <c r="EU24" i="20"/>
  <c r="EV24" i="20"/>
  <c r="EW24" i="20"/>
  <c r="EX24" i="20"/>
  <c r="EY24" i="20"/>
  <c r="EZ24" i="20"/>
  <c r="FA24" i="20"/>
  <c r="FB24" i="20"/>
  <c r="FC24" i="20"/>
  <c r="FD24" i="20"/>
  <c r="FE24" i="20"/>
  <c r="FF24" i="20"/>
  <c r="FG24" i="20"/>
  <c r="FH24" i="20"/>
  <c r="FI24" i="20"/>
  <c r="FJ24" i="20"/>
  <c r="FK24" i="20"/>
  <c r="FL24" i="20"/>
  <c r="FM24" i="20"/>
  <c r="FN24" i="20"/>
  <c r="FO24" i="20"/>
  <c r="FP24" i="20"/>
  <c r="FQ24" i="20"/>
  <c r="FR24" i="20"/>
  <c r="FS24" i="20"/>
  <c r="FT24" i="20"/>
  <c r="FU24" i="20"/>
  <c r="FV24" i="20"/>
  <c r="FW24" i="20"/>
  <c r="FX24" i="20"/>
  <c r="FY24" i="20"/>
  <c r="FZ24" i="20"/>
  <c r="GA24" i="20"/>
  <c r="GB24" i="20"/>
  <c r="GC24" i="20"/>
  <c r="GD24" i="20"/>
  <c r="GE24" i="20"/>
  <c r="GF24" i="20"/>
  <c r="GG24" i="20"/>
  <c r="GH24" i="20"/>
  <c r="GI24" i="20"/>
  <c r="GJ24" i="20"/>
  <c r="GK24" i="20"/>
  <c r="GL24" i="20"/>
  <c r="GM24" i="20"/>
  <c r="GN24" i="20"/>
  <c r="GO24" i="20"/>
  <c r="GP24" i="20"/>
  <c r="GQ24" i="20"/>
  <c r="GR24" i="20"/>
  <c r="GS24" i="20"/>
  <c r="GT24" i="20"/>
  <c r="GU24" i="20"/>
  <c r="GV24" i="20"/>
  <c r="GW24" i="20"/>
  <c r="GX24" i="20"/>
  <c r="GY24" i="20"/>
  <c r="GZ24" i="20"/>
  <c r="HA24" i="20"/>
  <c r="HB24" i="20"/>
  <c r="HC24" i="20"/>
  <c r="AR25" i="20"/>
  <c r="AS25" i="20"/>
  <c r="AT25" i="20"/>
  <c r="AU25" i="20"/>
  <c r="AV25" i="20"/>
  <c r="AW25" i="20"/>
  <c r="AX25" i="20"/>
  <c r="AY25" i="20"/>
  <c r="AZ25" i="20"/>
  <c r="BA25" i="20"/>
  <c r="BB25" i="20"/>
  <c r="BC25" i="20"/>
  <c r="BD25" i="20"/>
  <c r="BE25" i="20"/>
  <c r="BF25" i="20"/>
  <c r="BG25" i="20"/>
  <c r="BH25" i="20"/>
  <c r="BI25" i="20"/>
  <c r="BJ25" i="20"/>
  <c r="BK25" i="20"/>
  <c r="BL25" i="20"/>
  <c r="BM25" i="20"/>
  <c r="BN25" i="20"/>
  <c r="BO25" i="20"/>
  <c r="BP25" i="20"/>
  <c r="BQ25" i="20"/>
  <c r="BR25" i="20"/>
  <c r="BS25" i="20"/>
  <c r="BT25" i="20"/>
  <c r="BU25" i="20"/>
  <c r="BV25" i="20"/>
  <c r="BW25" i="20"/>
  <c r="BX25" i="20"/>
  <c r="BY25" i="20"/>
  <c r="BZ25" i="20"/>
  <c r="CA25" i="20"/>
  <c r="CB25" i="20"/>
  <c r="CC25" i="20"/>
  <c r="CD25" i="20"/>
  <c r="CE25" i="20"/>
  <c r="CF25" i="20"/>
  <c r="CG25" i="20"/>
  <c r="CH25" i="20"/>
  <c r="CI25" i="20"/>
  <c r="CJ25" i="20"/>
  <c r="CK25" i="20"/>
  <c r="CL25" i="20"/>
  <c r="CM25" i="20"/>
  <c r="CN25" i="20"/>
  <c r="CO25" i="20"/>
  <c r="CP25" i="20"/>
  <c r="CQ25" i="20"/>
  <c r="CR25" i="20"/>
  <c r="CS25" i="20"/>
  <c r="CT25" i="20"/>
  <c r="CU25" i="20"/>
  <c r="CV25" i="20"/>
  <c r="CW25" i="20"/>
  <c r="CX25" i="20"/>
  <c r="CY25" i="20"/>
  <c r="CZ25" i="20"/>
  <c r="DA25" i="20"/>
  <c r="DB25" i="20"/>
  <c r="DC25" i="20"/>
  <c r="DD25" i="20"/>
  <c r="DE25" i="20"/>
  <c r="DF25" i="20"/>
  <c r="DG25" i="20"/>
  <c r="DH25" i="20"/>
  <c r="DI25" i="20"/>
  <c r="DJ25" i="20"/>
  <c r="DK25" i="20"/>
  <c r="DL25" i="20"/>
  <c r="DM25" i="20"/>
  <c r="DN25" i="20"/>
  <c r="DO25" i="20"/>
  <c r="DP25" i="20"/>
  <c r="DQ25" i="20"/>
  <c r="DR25" i="20"/>
  <c r="DS25" i="20"/>
  <c r="DT25" i="20"/>
  <c r="DU25" i="20"/>
  <c r="DV25" i="20"/>
  <c r="DW25" i="20"/>
  <c r="DX25" i="20"/>
  <c r="DY25" i="20"/>
  <c r="DZ25" i="20"/>
  <c r="EA25" i="20"/>
  <c r="EB25" i="20"/>
  <c r="EC25" i="20"/>
  <c r="ED25" i="20"/>
  <c r="EE25" i="20"/>
  <c r="EF25" i="20"/>
  <c r="EG25" i="20"/>
  <c r="EH25" i="20"/>
  <c r="EI25" i="20"/>
  <c r="EJ25" i="20"/>
  <c r="EK25" i="20"/>
  <c r="EL25" i="20"/>
  <c r="EM25" i="20"/>
  <c r="EN25" i="20"/>
  <c r="EO25" i="20"/>
  <c r="EP25" i="20"/>
  <c r="EQ25" i="20"/>
  <c r="ER25" i="20"/>
  <c r="ES25" i="20"/>
  <c r="ET25" i="20"/>
  <c r="EU25" i="20"/>
  <c r="EV25" i="20"/>
  <c r="EW25" i="20"/>
  <c r="EX25" i="20"/>
  <c r="EY25" i="20"/>
  <c r="EZ25" i="20"/>
  <c r="FA25" i="20"/>
  <c r="FB25" i="20"/>
  <c r="FC25" i="20"/>
  <c r="FD25" i="20"/>
  <c r="FE25" i="20"/>
  <c r="FF25" i="20"/>
  <c r="FG25" i="20"/>
  <c r="FH25" i="20"/>
  <c r="FI25" i="20"/>
  <c r="FJ25" i="20"/>
  <c r="FK25" i="20"/>
  <c r="FL25" i="20"/>
  <c r="FM25" i="20"/>
  <c r="FN25" i="20"/>
  <c r="FO25" i="20"/>
  <c r="FP25" i="20"/>
  <c r="FQ25" i="20"/>
  <c r="FR25" i="20"/>
  <c r="FS25" i="20"/>
  <c r="FT25" i="20"/>
  <c r="FU25" i="20"/>
  <c r="FV25" i="20"/>
  <c r="FW25" i="20"/>
  <c r="FX25" i="20"/>
  <c r="FY25" i="20"/>
  <c r="FZ25" i="20"/>
  <c r="GA25" i="20"/>
  <c r="GB25" i="20"/>
  <c r="GC25" i="20"/>
  <c r="GD25" i="20"/>
  <c r="GE25" i="20"/>
  <c r="GF25" i="20"/>
  <c r="GG25" i="20"/>
  <c r="GH25" i="20"/>
  <c r="GI25" i="20"/>
  <c r="GJ25" i="20"/>
  <c r="GK25" i="20"/>
  <c r="GL25" i="20"/>
  <c r="GM25" i="20"/>
  <c r="GN25" i="20"/>
  <c r="GO25" i="20"/>
  <c r="GP25" i="20"/>
  <c r="GQ25" i="20"/>
  <c r="GR25" i="20"/>
  <c r="GS25" i="20"/>
  <c r="GT25" i="20"/>
  <c r="GU25" i="20"/>
  <c r="GV25" i="20"/>
  <c r="GW25" i="20"/>
  <c r="GX25" i="20"/>
  <c r="GY25" i="20"/>
  <c r="GZ25" i="20"/>
  <c r="HA25" i="20"/>
  <c r="HB25" i="20"/>
  <c r="HC25" i="20"/>
  <c r="AR26" i="20"/>
  <c r="AS26" i="20"/>
  <c r="AT26" i="20"/>
  <c r="AU26" i="20"/>
  <c r="AV26" i="20"/>
  <c r="AW26" i="20"/>
  <c r="AX26" i="20"/>
  <c r="AY26" i="20"/>
  <c r="AZ26" i="20"/>
  <c r="BA26" i="20"/>
  <c r="BB26" i="20"/>
  <c r="BC26" i="20"/>
  <c r="BD26" i="20"/>
  <c r="BE26" i="20"/>
  <c r="BF26" i="20"/>
  <c r="BG26" i="20"/>
  <c r="BH26" i="20"/>
  <c r="BI26" i="20"/>
  <c r="BJ26" i="20"/>
  <c r="BK26" i="20"/>
  <c r="BL26" i="20"/>
  <c r="BM26" i="20"/>
  <c r="BN26" i="20"/>
  <c r="BO26" i="20"/>
  <c r="BP26" i="20"/>
  <c r="BQ26" i="20"/>
  <c r="BR26" i="20"/>
  <c r="BS26" i="20"/>
  <c r="BT26" i="20"/>
  <c r="BU26" i="20"/>
  <c r="BV26" i="20"/>
  <c r="BW26" i="20"/>
  <c r="BX26" i="20"/>
  <c r="BY26" i="20"/>
  <c r="BZ26" i="20"/>
  <c r="CA26" i="20"/>
  <c r="CB26" i="20"/>
  <c r="CC26" i="20"/>
  <c r="CD26" i="20"/>
  <c r="CE26" i="20"/>
  <c r="CF26" i="20"/>
  <c r="CG26" i="20"/>
  <c r="CH26" i="20"/>
  <c r="CI26" i="20"/>
  <c r="CJ26" i="20"/>
  <c r="CK26" i="20"/>
  <c r="CL26" i="20"/>
  <c r="CM26" i="20"/>
  <c r="CN26" i="20"/>
  <c r="CO26" i="20"/>
  <c r="CP26" i="20"/>
  <c r="CQ26" i="20"/>
  <c r="CR26" i="20"/>
  <c r="CS26" i="20"/>
  <c r="CT26" i="20"/>
  <c r="CU26" i="20"/>
  <c r="CV26" i="20"/>
  <c r="CW26" i="20"/>
  <c r="CX26" i="20"/>
  <c r="CY26" i="20"/>
  <c r="CZ26" i="20"/>
  <c r="DA26" i="20"/>
  <c r="DB26" i="20"/>
  <c r="DC26" i="20"/>
  <c r="DD26" i="20"/>
  <c r="DE26" i="20"/>
  <c r="DF26" i="20"/>
  <c r="DG26" i="20"/>
  <c r="DH26" i="20"/>
  <c r="DI26" i="20"/>
  <c r="DJ26" i="20"/>
  <c r="DK26" i="20"/>
  <c r="DL26" i="20"/>
  <c r="DM26" i="20"/>
  <c r="DN26" i="20"/>
  <c r="DO26" i="20"/>
  <c r="DP26" i="20"/>
  <c r="DQ26" i="20"/>
  <c r="DR26" i="20"/>
  <c r="DS26" i="20"/>
  <c r="DT26" i="20"/>
  <c r="DU26" i="20"/>
  <c r="DV26" i="20"/>
  <c r="DW26" i="20"/>
  <c r="DX26" i="20"/>
  <c r="DY26" i="20"/>
  <c r="DZ26" i="20"/>
  <c r="EA26" i="20"/>
  <c r="EB26" i="20"/>
  <c r="EC26" i="20"/>
  <c r="ED26" i="20"/>
  <c r="EE26" i="20"/>
  <c r="EF26" i="20"/>
  <c r="EG26" i="20"/>
  <c r="EH26" i="20"/>
  <c r="EI26" i="20"/>
  <c r="EJ26" i="20"/>
  <c r="EK26" i="20"/>
  <c r="EL26" i="20"/>
  <c r="EM26" i="20"/>
  <c r="EN26" i="20"/>
  <c r="EO26" i="20"/>
  <c r="EP26" i="20"/>
  <c r="EQ26" i="20"/>
  <c r="ER26" i="20"/>
  <c r="ES26" i="20"/>
  <c r="ET26" i="20"/>
  <c r="EU26" i="20"/>
  <c r="EV26" i="20"/>
  <c r="EW26" i="20"/>
  <c r="EX26" i="20"/>
  <c r="EY26" i="20"/>
  <c r="EZ26" i="20"/>
  <c r="FA26" i="20"/>
  <c r="FB26" i="20"/>
  <c r="FC26" i="20"/>
  <c r="FD26" i="20"/>
  <c r="FE26" i="20"/>
  <c r="FF26" i="20"/>
  <c r="FG26" i="20"/>
  <c r="FH26" i="20"/>
  <c r="FI26" i="20"/>
  <c r="FJ26" i="20"/>
  <c r="FK26" i="20"/>
  <c r="FL26" i="20"/>
  <c r="FM26" i="20"/>
  <c r="FN26" i="20"/>
  <c r="FO26" i="20"/>
  <c r="FP26" i="20"/>
  <c r="FQ26" i="20"/>
  <c r="FR26" i="20"/>
  <c r="FS26" i="20"/>
  <c r="FT26" i="20"/>
  <c r="FU26" i="20"/>
  <c r="FV26" i="20"/>
  <c r="FW26" i="20"/>
  <c r="FX26" i="20"/>
  <c r="FY26" i="20"/>
  <c r="FZ26" i="20"/>
  <c r="GA26" i="20"/>
  <c r="GB26" i="20"/>
  <c r="GC26" i="20"/>
  <c r="GD26" i="20"/>
  <c r="GE26" i="20"/>
  <c r="GF26" i="20"/>
  <c r="GG26" i="20"/>
  <c r="GH26" i="20"/>
  <c r="GI26" i="20"/>
  <c r="GJ26" i="20"/>
  <c r="GK26" i="20"/>
  <c r="GL26" i="20"/>
  <c r="GM26" i="20"/>
  <c r="GN26" i="20"/>
  <c r="GO26" i="20"/>
  <c r="GP26" i="20"/>
  <c r="GQ26" i="20"/>
  <c r="GR26" i="20"/>
  <c r="GS26" i="20"/>
  <c r="GT26" i="20"/>
  <c r="GU26" i="20"/>
  <c r="GV26" i="20"/>
  <c r="GW26" i="20"/>
  <c r="GX26" i="20"/>
  <c r="GY26" i="20"/>
  <c r="GZ26" i="20"/>
  <c r="HA26" i="20"/>
  <c r="HB26" i="20"/>
  <c r="HC26" i="20"/>
  <c r="AR27" i="20"/>
  <c r="AS27" i="20"/>
  <c r="AT27" i="20"/>
  <c r="AU27" i="20"/>
  <c r="AV27" i="20"/>
  <c r="AW27" i="20"/>
  <c r="AX27" i="20"/>
  <c r="AY27" i="20"/>
  <c r="AZ27" i="20"/>
  <c r="BA27" i="20"/>
  <c r="BB27" i="20"/>
  <c r="BC27" i="20"/>
  <c r="BD27" i="20"/>
  <c r="BE27" i="20"/>
  <c r="BF27" i="20"/>
  <c r="BG27" i="20"/>
  <c r="BH27" i="20"/>
  <c r="BI27" i="20"/>
  <c r="BJ27" i="20"/>
  <c r="BK27" i="20"/>
  <c r="BL27" i="20"/>
  <c r="BM27" i="20"/>
  <c r="BN27" i="20"/>
  <c r="BO27" i="20"/>
  <c r="BP27" i="20"/>
  <c r="BQ27" i="20"/>
  <c r="BR27" i="20"/>
  <c r="BS27" i="20"/>
  <c r="BT27" i="20"/>
  <c r="BU27" i="20"/>
  <c r="BV27" i="20"/>
  <c r="BW27" i="20"/>
  <c r="BX27" i="20"/>
  <c r="BY27" i="20"/>
  <c r="BZ27" i="20"/>
  <c r="CA27" i="20"/>
  <c r="CB27" i="20"/>
  <c r="CC27" i="20"/>
  <c r="CD27" i="20"/>
  <c r="CE27" i="20"/>
  <c r="CF27" i="20"/>
  <c r="CG27" i="20"/>
  <c r="CH27" i="20"/>
  <c r="CI27" i="20"/>
  <c r="CJ27" i="20"/>
  <c r="CK27" i="20"/>
  <c r="CL27" i="20"/>
  <c r="CM27" i="20"/>
  <c r="CN27" i="20"/>
  <c r="CO27" i="20"/>
  <c r="CP27" i="20"/>
  <c r="CQ27" i="20"/>
  <c r="CR27" i="20"/>
  <c r="CS27" i="20"/>
  <c r="CT27" i="20"/>
  <c r="CU27" i="20"/>
  <c r="CV27" i="20"/>
  <c r="CW27" i="20"/>
  <c r="CX27" i="20"/>
  <c r="CY27" i="20"/>
  <c r="CZ27" i="20"/>
  <c r="DA27" i="20"/>
  <c r="DB27" i="20"/>
  <c r="DC27" i="20"/>
  <c r="DD27" i="20"/>
  <c r="DE27" i="20"/>
  <c r="DF27" i="20"/>
  <c r="DG27" i="20"/>
  <c r="DH27" i="20"/>
  <c r="DI27" i="20"/>
  <c r="DJ27" i="20"/>
  <c r="DK27" i="20"/>
  <c r="DL27" i="20"/>
  <c r="DM27" i="20"/>
  <c r="DN27" i="20"/>
  <c r="DO27" i="20"/>
  <c r="DP27" i="20"/>
  <c r="DQ27" i="20"/>
  <c r="DR27" i="20"/>
  <c r="DS27" i="20"/>
  <c r="DT27" i="20"/>
  <c r="DU27" i="20"/>
  <c r="DV27" i="20"/>
  <c r="DW27" i="20"/>
  <c r="DX27" i="20"/>
  <c r="DY27" i="20"/>
  <c r="DZ27" i="20"/>
  <c r="EA27" i="20"/>
  <c r="EB27" i="20"/>
  <c r="EC27" i="20"/>
  <c r="ED27" i="20"/>
  <c r="EE27" i="20"/>
  <c r="EF27" i="20"/>
  <c r="EG27" i="20"/>
  <c r="EH27" i="20"/>
  <c r="EI27" i="20"/>
  <c r="EJ27" i="20"/>
  <c r="EK27" i="20"/>
  <c r="EL27" i="20"/>
  <c r="EM27" i="20"/>
  <c r="EN27" i="20"/>
  <c r="EO27" i="20"/>
  <c r="EP27" i="20"/>
  <c r="EQ27" i="20"/>
  <c r="ER27" i="20"/>
  <c r="ES27" i="20"/>
  <c r="ET27" i="20"/>
  <c r="EU27" i="20"/>
  <c r="EV27" i="20"/>
  <c r="EW27" i="20"/>
  <c r="EX27" i="20"/>
  <c r="EY27" i="20"/>
  <c r="EZ27" i="20"/>
  <c r="FA27" i="20"/>
  <c r="FB27" i="20"/>
  <c r="FC27" i="20"/>
  <c r="FD27" i="20"/>
  <c r="FE27" i="20"/>
  <c r="FF27" i="20"/>
  <c r="FG27" i="20"/>
  <c r="FH27" i="20"/>
  <c r="FI27" i="20"/>
  <c r="FJ27" i="20"/>
  <c r="FK27" i="20"/>
  <c r="FL27" i="20"/>
  <c r="FM27" i="20"/>
  <c r="FN27" i="20"/>
  <c r="FO27" i="20"/>
  <c r="FP27" i="20"/>
  <c r="FQ27" i="20"/>
  <c r="FR27" i="20"/>
  <c r="FS27" i="20"/>
  <c r="FT27" i="20"/>
  <c r="FU27" i="20"/>
  <c r="FV27" i="20"/>
  <c r="FW27" i="20"/>
  <c r="FX27" i="20"/>
  <c r="FY27" i="20"/>
  <c r="FZ27" i="20"/>
  <c r="GA27" i="20"/>
  <c r="GB27" i="20"/>
  <c r="GC27" i="20"/>
  <c r="GD27" i="20"/>
  <c r="GE27" i="20"/>
  <c r="GF27" i="20"/>
  <c r="GG27" i="20"/>
  <c r="GH27" i="20"/>
  <c r="GI27" i="20"/>
  <c r="GJ27" i="20"/>
  <c r="GK27" i="20"/>
  <c r="GL27" i="20"/>
  <c r="GM27" i="20"/>
  <c r="GN27" i="20"/>
  <c r="GO27" i="20"/>
  <c r="GP27" i="20"/>
  <c r="GQ27" i="20"/>
  <c r="GR27" i="20"/>
  <c r="GS27" i="20"/>
  <c r="GT27" i="20"/>
  <c r="GU27" i="20"/>
  <c r="GV27" i="20"/>
  <c r="GW27" i="20"/>
  <c r="GX27" i="20"/>
  <c r="GY27" i="20"/>
  <c r="GZ27" i="20"/>
  <c r="HA27" i="20"/>
  <c r="HB27" i="20"/>
  <c r="HC27" i="20"/>
  <c r="AR28" i="20"/>
  <c r="AS28" i="20"/>
  <c r="AT28" i="20"/>
  <c r="AU28" i="20"/>
  <c r="AV28" i="20"/>
  <c r="AW28" i="20"/>
  <c r="AX28" i="20"/>
  <c r="AY28" i="20"/>
  <c r="AZ28" i="20"/>
  <c r="BA28" i="20"/>
  <c r="BB28" i="20"/>
  <c r="BC28" i="20"/>
  <c r="BD28" i="20"/>
  <c r="BE28" i="20"/>
  <c r="BF28" i="20"/>
  <c r="BG28" i="20"/>
  <c r="BH28" i="20"/>
  <c r="BI28" i="20"/>
  <c r="BJ28" i="20"/>
  <c r="BK28" i="20"/>
  <c r="BL28" i="20"/>
  <c r="BM28" i="20"/>
  <c r="BN28" i="20"/>
  <c r="BO28" i="20"/>
  <c r="BP28" i="20"/>
  <c r="BQ28" i="20"/>
  <c r="BR28" i="20"/>
  <c r="BS28" i="20"/>
  <c r="BT28" i="20"/>
  <c r="BU28" i="20"/>
  <c r="BV28" i="20"/>
  <c r="BW28" i="20"/>
  <c r="BX28" i="20"/>
  <c r="BY28" i="20"/>
  <c r="BZ28" i="20"/>
  <c r="CA28" i="20"/>
  <c r="CB28" i="20"/>
  <c r="CC28" i="20"/>
  <c r="CD28" i="20"/>
  <c r="CE28" i="20"/>
  <c r="CF28" i="20"/>
  <c r="CG28" i="20"/>
  <c r="CH28" i="20"/>
  <c r="CI28" i="20"/>
  <c r="CJ28" i="20"/>
  <c r="CK28" i="20"/>
  <c r="CL28" i="20"/>
  <c r="CM28" i="20"/>
  <c r="CN28" i="20"/>
  <c r="CO28" i="20"/>
  <c r="CP28" i="20"/>
  <c r="CQ28" i="20"/>
  <c r="CR28" i="20"/>
  <c r="CS28" i="20"/>
  <c r="CT28" i="20"/>
  <c r="CU28" i="20"/>
  <c r="CV28" i="20"/>
  <c r="CW28" i="20"/>
  <c r="CX28" i="20"/>
  <c r="CY28" i="20"/>
  <c r="CZ28" i="20"/>
  <c r="DA28" i="20"/>
  <c r="DB28" i="20"/>
  <c r="DC28" i="20"/>
  <c r="DD28" i="20"/>
  <c r="DE28" i="20"/>
  <c r="DF28" i="20"/>
  <c r="DG28" i="20"/>
  <c r="DH28" i="20"/>
  <c r="DI28" i="20"/>
  <c r="DJ28" i="20"/>
  <c r="DK28" i="20"/>
  <c r="DL28" i="20"/>
  <c r="DM28" i="20"/>
  <c r="DN28" i="20"/>
  <c r="DO28" i="20"/>
  <c r="DP28" i="20"/>
  <c r="DQ28" i="20"/>
  <c r="DR28" i="20"/>
  <c r="DS28" i="20"/>
  <c r="DT28" i="20"/>
  <c r="DU28" i="20"/>
  <c r="DV28" i="20"/>
  <c r="DW28" i="20"/>
  <c r="DX28" i="20"/>
  <c r="DY28" i="20"/>
  <c r="DZ28" i="20"/>
  <c r="EA28" i="20"/>
  <c r="EB28" i="20"/>
  <c r="EC28" i="20"/>
  <c r="ED28" i="20"/>
  <c r="EE28" i="20"/>
  <c r="EF28" i="20"/>
  <c r="EG28" i="20"/>
  <c r="EH28" i="20"/>
  <c r="EI28" i="20"/>
  <c r="EJ28" i="20"/>
  <c r="EK28" i="20"/>
  <c r="EL28" i="20"/>
  <c r="EM28" i="20"/>
  <c r="EN28" i="20"/>
  <c r="EO28" i="20"/>
  <c r="EP28" i="20"/>
  <c r="EQ28" i="20"/>
  <c r="ER28" i="20"/>
  <c r="ES28" i="20"/>
  <c r="ET28" i="20"/>
  <c r="EU28" i="20"/>
  <c r="EV28" i="20"/>
  <c r="EW28" i="20"/>
  <c r="EX28" i="20"/>
  <c r="EY28" i="20"/>
  <c r="EZ28" i="20"/>
  <c r="FA28" i="20"/>
  <c r="FB28" i="20"/>
  <c r="FC28" i="20"/>
  <c r="FD28" i="20"/>
  <c r="FE28" i="20"/>
  <c r="FF28" i="20"/>
  <c r="FG28" i="20"/>
  <c r="FH28" i="20"/>
  <c r="FI28" i="20"/>
  <c r="FJ28" i="20"/>
  <c r="FK28" i="20"/>
  <c r="FL28" i="20"/>
  <c r="FM28" i="20"/>
  <c r="FN28" i="20"/>
  <c r="FO28" i="20"/>
  <c r="FP28" i="20"/>
  <c r="FQ28" i="20"/>
  <c r="FR28" i="20"/>
  <c r="FS28" i="20"/>
  <c r="FT28" i="20"/>
  <c r="FU28" i="20"/>
  <c r="FV28" i="20"/>
  <c r="FW28" i="20"/>
  <c r="FX28" i="20"/>
  <c r="FY28" i="20"/>
  <c r="FZ28" i="20"/>
  <c r="GA28" i="20"/>
  <c r="GB28" i="20"/>
  <c r="GC28" i="20"/>
  <c r="GD28" i="20"/>
  <c r="GE28" i="20"/>
  <c r="GF28" i="20"/>
  <c r="GG28" i="20"/>
  <c r="GH28" i="20"/>
  <c r="GI28" i="20"/>
  <c r="GJ28" i="20"/>
  <c r="GK28" i="20"/>
  <c r="GL28" i="20"/>
  <c r="GM28" i="20"/>
  <c r="GN28" i="20"/>
  <c r="GO28" i="20"/>
  <c r="GP28" i="20"/>
  <c r="GQ28" i="20"/>
  <c r="GR28" i="20"/>
  <c r="GS28" i="20"/>
  <c r="GT28" i="20"/>
  <c r="GU28" i="20"/>
  <c r="GV28" i="20"/>
  <c r="GW28" i="20"/>
  <c r="GX28" i="20"/>
  <c r="GY28" i="20"/>
  <c r="GZ28" i="20"/>
  <c r="HA28" i="20"/>
  <c r="HB28" i="20"/>
  <c r="HC28" i="20"/>
  <c r="AR29" i="20"/>
  <c r="AS29" i="20"/>
  <c r="AT29" i="20"/>
  <c r="AU29" i="20"/>
  <c r="AV29" i="20"/>
  <c r="AW29" i="20"/>
  <c r="AX29" i="20"/>
  <c r="AY29" i="20"/>
  <c r="AZ29" i="20"/>
  <c r="BA29" i="20"/>
  <c r="BB29" i="20"/>
  <c r="BC29" i="20"/>
  <c r="BD29" i="20"/>
  <c r="BE29" i="20"/>
  <c r="BF29" i="20"/>
  <c r="BG29" i="20"/>
  <c r="BH29" i="20"/>
  <c r="BI29" i="20"/>
  <c r="BJ29" i="20"/>
  <c r="BK29" i="20"/>
  <c r="BL29" i="20"/>
  <c r="BM29" i="20"/>
  <c r="BN29" i="20"/>
  <c r="BO29" i="20"/>
  <c r="BP29" i="20"/>
  <c r="BQ29" i="20"/>
  <c r="BR29" i="20"/>
  <c r="BS29" i="20"/>
  <c r="BT29" i="20"/>
  <c r="BU29" i="20"/>
  <c r="BV29" i="20"/>
  <c r="BW29" i="20"/>
  <c r="BX29" i="20"/>
  <c r="BY29" i="20"/>
  <c r="BZ29" i="20"/>
  <c r="CA29" i="20"/>
  <c r="CB29" i="20"/>
  <c r="CC29" i="20"/>
  <c r="CD29" i="20"/>
  <c r="CE29" i="20"/>
  <c r="CF29" i="20"/>
  <c r="CG29" i="20"/>
  <c r="CH29" i="20"/>
  <c r="CI29" i="20"/>
  <c r="CJ29" i="20"/>
  <c r="CK29" i="20"/>
  <c r="CL29" i="20"/>
  <c r="CM29" i="20"/>
  <c r="CN29" i="20"/>
  <c r="CO29" i="20"/>
  <c r="CP29" i="20"/>
  <c r="CQ29" i="20"/>
  <c r="CR29" i="20"/>
  <c r="CS29" i="20"/>
  <c r="CT29" i="20"/>
  <c r="CU29" i="20"/>
  <c r="CV29" i="20"/>
  <c r="CW29" i="20"/>
  <c r="CX29" i="20"/>
  <c r="CY29" i="20"/>
  <c r="CZ29" i="20"/>
  <c r="DA29" i="20"/>
  <c r="DB29" i="20"/>
  <c r="DC29" i="20"/>
  <c r="DD29" i="20"/>
  <c r="DE29" i="20"/>
  <c r="DF29" i="20"/>
  <c r="DG29" i="20"/>
  <c r="DH29" i="20"/>
  <c r="DI29" i="20"/>
  <c r="DJ29" i="20"/>
  <c r="DK29" i="20"/>
  <c r="DL29" i="20"/>
  <c r="DM29" i="20"/>
  <c r="DN29" i="20"/>
  <c r="DO29" i="20"/>
  <c r="DP29" i="20"/>
  <c r="DQ29" i="20"/>
  <c r="DR29" i="20"/>
  <c r="DS29" i="20"/>
  <c r="DT29" i="20"/>
  <c r="DU29" i="20"/>
  <c r="DV29" i="20"/>
  <c r="DW29" i="20"/>
  <c r="DX29" i="20"/>
  <c r="DY29" i="20"/>
  <c r="DZ29" i="20"/>
  <c r="EA29" i="20"/>
  <c r="EB29" i="20"/>
  <c r="EC29" i="20"/>
  <c r="ED29" i="20"/>
  <c r="EE29" i="20"/>
  <c r="EF29" i="20"/>
  <c r="EG29" i="20"/>
  <c r="EH29" i="20"/>
  <c r="EI29" i="20"/>
  <c r="EJ29" i="20"/>
  <c r="EK29" i="20"/>
  <c r="EL29" i="20"/>
  <c r="EM29" i="20"/>
  <c r="EN29" i="20"/>
  <c r="EO29" i="20"/>
  <c r="EP29" i="20"/>
  <c r="EQ29" i="20"/>
  <c r="ER29" i="20"/>
  <c r="ES29" i="20"/>
  <c r="ET29" i="20"/>
  <c r="EU29" i="20"/>
  <c r="EV29" i="20"/>
  <c r="EW29" i="20"/>
  <c r="EX29" i="20"/>
  <c r="EY29" i="20"/>
  <c r="EZ29" i="20"/>
  <c r="FA29" i="20"/>
  <c r="FB29" i="20"/>
  <c r="FC29" i="20"/>
  <c r="FD29" i="20"/>
  <c r="FE29" i="20"/>
  <c r="FF29" i="20"/>
  <c r="FG29" i="20"/>
  <c r="FH29" i="20"/>
  <c r="FI29" i="20"/>
  <c r="FJ29" i="20"/>
  <c r="FK29" i="20"/>
  <c r="FL29" i="20"/>
  <c r="FM29" i="20"/>
  <c r="FN29" i="20"/>
  <c r="FO29" i="20"/>
  <c r="FP29" i="20"/>
  <c r="FQ29" i="20"/>
  <c r="FR29" i="20"/>
  <c r="FS29" i="20"/>
  <c r="FT29" i="20"/>
  <c r="FU29" i="20"/>
  <c r="FV29" i="20"/>
  <c r="FW29" i="20"/>
  <c r="FX29" i="20"/>
  <c r="FY29" i="20"/>
  <c r="FZ29" i="20"/>
  <c r="GA29" i="20"/>
  <c r="GB29" i="20"/>
  <c r="GC29" i="20"/>
  <c r="GD29" i="20"/>
  <c r="GE29" i="20"/>
  <c r="GF29" i="20"/>
  <c r="GG29" i="20"/>
  <c r="GH29" i="20"/>
  <c r="GI29" i="20"/>
  <c r="GJ29" i="20"/>
  <c r="GK29" i="20"/>
  <c r="GL29" i="20"/>
  <c r="GM29" i="20"/>
  <c r="GN29" i="20"/>
  <c r="GO29" i="20"/>
  <c r="GP29" i="20"/>
  <c r="GQ29" i="20"/>
  <c r="GR29" i="20"/>
  <c r="GS29" i="20"/>
  <c r="GT29" i="20"/>
  <c r="GU29" i="20"/>
  <c r="GV29" i="20"/>
  <c r="GW29" i="20"/>
  <c r="GX29" i="20"/>
  <c r="GY29" i="20"/>
  <c r="GZ29" i="20"/>
  <c r="HA29" i="20"/>
  <c r="HB29" i="20"/>
  <c r="HC29" i="20"/>
  <c r="AR30" i="20"/>
  <c r="AS30" i="20"/>
  <c r="AT30" i="20"/>
  <c r="AU30" i="20"/>
  <c r="AV30" i="20"/>
  <c r="AW30" i="20"/>
  <c r="AX30" i="20"/>
  <c r="AY30" i="20"/>
  <c r="AZ30" i="20"/>
  <c r="BA30" i="20"/>
  <c r="BB30" i="20"/>
  <c r="BC30" i="20"/>
  <c r="BD30" i="20"/>
  <c r="BE30" i="20"/>
  <c r="BF30" i="20"/>
  <c r="BG30" i="20"/>
  <c r="BH30" i="20"/>
  <c r="BI30" i="20"/>
  <c r="BJ30" i="20"/>
  <c r="BK30" i="20"/>
  <c r="BL30" i="20"/>
  <c r="BM30" i="20"/>
  <c r="BN30" i="20"/>
  <c r="BO30" i="20"/>
  <c r="BP30" i="20"/>
  <c r="BQ30" i="20"/>
  <c r="BR30" i="20"/>
  <c r="BS30" i="20"/>
  <c r="BT30" i="20"/>
  <c r="BU30" i="20"/>
  <c r="BV30" i="20"/>
  <c r="BW30" i="20"/>
  <c r="BX30" i="20"/>
  <c r="BY30" i="20"/>
  <c r="BZ30" i="20"/>
  <c r="CA30" i="20"/>
  <c r="CB30" i="20"/>
  <c r="CC30" i="20"/>
  <c r="CD30" i="20"/>
  <c r="CE30" i="20"/>
  <c r="CF30" i="20"/>
  <c r="CG30" i="20"/>
  <c r="CH30" i="20"/>
  <c r="CI30" i="20"/>
  <c r="CJ30" i="20"/>
  <c r="CK30" i="20"/>
  <c r="CL30" i="20"/>
  <c r="CM30" i="20"/>
  <c r="CN30" i="20"/>
  <c r="CO30" i="20"/>
  <c r="CP30" i="20"/>
  <c r="CQ30" i="20"/>
  <c r="CR30" i="20"/>
  <c r="CS30" i="20"/>
  <c r="CT30" i="20"/>
  <c r="CU30" i="20"/>
  <c r="CV30" i="20"/>
  <c r="CW30" i="20"/>
  <c r="CX30" i="20"/>
  <c r="CY30" i="20"/>
  <c r="CZ30" i="20"/>
  <c r="DA30" i="20"/>
  <c r="DB30" i="20"/>
  <c r="DC30" i="20"/>
  <c r="DD30" i="20"/>
  <c r="DE30" i="20"/>
  <c r="DF30" i="20"/>
  <c r="DG30" i="20"/>
  <c r="DH30" i="20"/>
  <c r="DI30" i="20"/>
  <c r="DJ30" i="20"/>
  <c r="DK30" i="20"/>
  <c r="DL30" i="20"/>
  <c r="DM30" i="20"/>
  <c r="DN30" i="20"/>
  <c r="DO30" i="20"/>
  <c r="DP30" i="20"/>
  <c r="DQ30" i="20"/>
  <c r="DR30" i="20"/>
  <c r="DS30" i="20"/>
  <c r="DT30" i="20"/>
  <c r="DU30" i="20"/>
  <c r="DV30" i="20"/>
  <c r="DW30" i="20"/>
  <c r="DX30" i="20"/>
  <c r="DY30" i="20"/>
  <c r="DZ30" i="20"/>
  <c r="EA30" i="20"/>
  <c r="EB30" i="20"/>
  <c r="EC30" i="20"/>
  <c r="ED30" i="20"/>
  <c r="EE30" i="20"/>
  <c r="EF30" i="20"/>
  <c r="EG30" i="20"/>
  <c r="EH30" i="20"/>
  <c r="EI30" i="20"/>
  <c r="EJ30" i="20"/>
  <c r="EK30" i="20"/>
  <c r="EL30" i="20"/>
  <c r="EM30" i="20"/>
  <c r="EN30" i="20"/>
  <c r="EO30" i="20"/>
  <c r="EP30" i="20"/>
  <c r="EQ30" i="20"/>
  <c r="ER30" i="20"/>
  <c r="ES30" i="20"/>
  <c r="ET30" i="20"/>
  <c r="EU30" i="20"/>
  <c r="EV30" i="20"/>
  <c r="EW30" i="20"/>
  <c r="EX30" i="20"/>
  <c r="EY30" i="20"/>
  <c r="EZ30" i="20"/>
  <c r="FA30" i="20"/>
  <c r="FB30" i="20"/>
  <c r="FC30" i="20"/>
  <c r="FD30" i="20"/>
  <c r="FE30" i="20"/>
  <c r="FF30" i="20"/>
  <c r="FG30" i="20"/>
  <c r="FH30" i="20"/>
  <c r="FI30" i="20"/>
  <c r="FJ30" i="20"/>
  <c r="FK30" i="20"/>
  <c r="FL30" i="20"/>
  <c r="FM30" i="20"/>
  <c r="FN30" i="20"/>
  <c r="FO30" i="20"/>
  <c r="FP30" i="20"/>
  <c r="FQ30" i="20"/>
  <c r="FR30" i="20"/>
  <c r="FS30" i="20"/>
  <c r="FT30" i="20"/>
  <c r="FU30" i="20"/>
  <c r="FV30" i="20"/>
  <c r="FW30" i="20"/>
  <c r="FX30" i="20"/>
  <c r="FY30" i="20"/>
  <c r="FZ30" i="20"/>
  <c r="GA30" i="20"/>
  <c r="GB30" i="20"/>
  <c r="GC30" i="20"/>
  <c r="GD30" i="20"/>
  <c r="GE30" i="20"/>
  <c r="GF30" i="20"/>
  <c r="GG30" i="20"/>
  <c r="GH30" i="20"/>
  <c r="GI30" i="20"/>
  <c r="GJ30" i="20"/>
  <c r="GK30" i="20"/>
  <c r="GL30" i="20"/>
  <c r="GM30" i="20"/>
  <c r="GN30" i="20"/>
  <c r="GO30" i="20"/>
  <c r="GP30" i="20"/>
  <c r="GQ30" i="20"/>
  <c r="GR30" i="20"/>
  <c r="GS30" i="20"/>
  <c r="GT30" i="20"/>
  <c r="GU30" i="20"/>
  <c r="GV30" i="20"/>
  <c r="GW30" i="20"/>
  <c r="GX30" i="20"/>
  <c r="GY30" i="20"/>
  <c r="GZ30" i="20"/>
  <c r="HA30" i="20"/>
  <c r="HB30" i="20"/>
  <c r="HC30" i="20"/>
  <c r="AR31" i="20"/>
  <c r="AS31" i="20"/>
  <c r="AT31" i="20"/>
  <c r="AU31" i="20"/>
  <c r="AV31" i="20"/>
  <c r="AW31" i="20"/>
  <c r="AX31" i="20"/>
  <c r="AY31" i="20"/>
  <c r="AZ31" i="20"/>
  <c r="BA31" i="20"/>
  <c r="BB31" i="20"/>
  <c r="BC31" i="20"/>
  <c r="BD31" i="20"/>
  <c r="BE31" i="20"/>
  <c r="BF31" i="20"/>
  <c r="BG31" i="20"/>
  <c r="BH31" i="20"/>
  <c r="BI31" i="20"/>
  <c r="BJ31" i="20"/>
  <c r="BK31" i="20"/>
  <c r="BL31" i="20"/>
  <c r="BM31" i="20"/>
  <c r="BN31" i="20"/>
  <c r="BO31" i="20"/>
  <c r="BP31" i="20"/>
  <c r="BQ31" i="20"/>
  <c r="BR31" i="20"/>
  <c r="BS31" i="20"/>
  <c r="BT31" i="20"/>
  <c r="BU31" i="20"/>
  <c r="BV31" i="20"/>
  <c r="BW31" i="20"/>
  <c r="BX31" i="20"/>
  <c r="BY31" i="20"/>
  <c r="BZ31" i="20"/>
  <c r="CA31" i="20"/>
  <c r="CB31" i="20"/>
  <c r="CC31" i="20"/>
  <c r="CD31" i="20"/>
  <c r="CE31" i="20"/>
  <c r="CF31" i="20"/>
  <c r="CG31" i="20"/>
  <c r="CH31" i="20"/>
  <c r="CI31" i="20"/>
  <c r="CJ31" i="20"/>
  <c r="CK31" i="20"/>
  <c r="CL31" i="20"/>
  <c r="CM31" i="20"/>
  <c r="CN31" i="20"/>
  <c r="CO31" i="20"/>
  <c r="CP31" i="20"/>
  <c r="CQ31" i="20"/>
  <c r="CR31" i="20"/>
  <c r="CS31" i="20"/>
  <c r="CT31" i="20"/>
  <c r="CU31" i="20"/>
  <c r="CV31" i="20"/>
  <c r="CW31" i="20"/>
  <c r="CX31" i="20"/>
  <c r="CY31" i="20"/>
  <c r="CZ31" i="20"/>
  <c r="DA31" i="20"/>
  <c r="DB31" i="20"/>
  <c r="DC31" i="20"/>
  <c r="DD31" i="20"/>
  <c r="DE31" i="20"/>
  <c r="DF31" i="20"/>
  <c r="DG31" i="20"/>
  <c r="DH31" i="20"/>
  <c r="DI31" i="20"/>
  <c r="DJ31" i="20"/>
  <c r="DK31" i="20"/>
  <c r="DL31" i="20"/>
  <c r="DM31" i="20"/>
  <c r="DN31" i="20"/>
  <c r="DO31" i="20"/>
  <c r="DP31" i="20"/>
  <c r="DQ31" i="20"/>
  <c r="DR31" i="20"/>
  <c r="DS31" i="20"/>
  <c r="DT31" i="20"/>
  <c r="DU31" i="20"/>
  <c r="DV31" i="20"/>
  <c r="DW31" i="20"/>
  <c r="DX31" i="20"/>
  <c r="DY31" i="20"/>
  <c r="DZ31" i="20"/>
  <c r="EA31" i="20"/>
  <c r="EB31" i="20"/>
  <c r="EC31" i="20"/>
  <c r="ED31" i="20"/>
  <c r="EE31" i="20"/>
  <c r="EF31" i="20"/>
  <c r="EG31" i="20"/>
  <c r="EH31" i="20"/>
  <c r="EI31" i="20"/>
  <c r="EJ31" i="20"/>
  <c r="EK31" i="20"/>
  <c r="EL31" i="20"/>
  <c r="EM31" i="20"/>
  <c r="EN31" i="20"/>
  <c r="EO31" i="20"/>
  <c r="EP31" i="20"/>
  <c r="EQ31" i="20"/>
  <c r="ER31" i="20"/>
  <c r="ES31" i="20"/>
  <c r="ET31" i="20"/>
  <c r="EU31" i="20"/>
  <c r="EV31" i="20"/>
  <c r="EW31" i="20"/>
  <c r="EX31" i="20"/>
  <c r="EY31" i="20"/>
  <c r="EZ31" i="20"/>
  <c r="FA31" i="20"/>
  <c r="FB31" i="20"/>
  <c r="FC31" i="20"/>
  <c r="FD31" i="20"/>
  <c r="FE31" i="20"/>
  <c r="FF31" i="20"/>
  <c r="FG31" i="20"/>
  <c r="FH31" i="20"/>
  <c r="FI31" i="20"/>
  <c r="FJ31" i="20"/>
  <c r="FK31" i="20"/>
  <c r="FL31" i="20"/>
  <c r="FM31" i="20"/>
  <c r="FN31" i="20"/>
  <c r="FO31" i="20"/>
  <c r="FP31" i="20"/>
  <c r="FQ31" i="20"/>
  <c r="FR31" i="20"/>
  <c r="FS31" i="20"/>
  <c r="FT31" i="20"/>
  <c r="FU31" i="20"/>
  <c r="FV31" i="20"/>
  <c r="FW31" i="20"/>
  <c r="FX31" i="20"/>
  <c r="FY31" i="20"/>
  <c r="FZ31" i="20"/>
  <c r="GA31" i="20"/>
  <c r="GB31" i="20"/>
  <c r="GC31" i="20"/>
  <c r="GD31" i="20"/>
  <c r="GE31" i="20"/>
  <c r="GF31" i="20"/>
  <c r="GG31" i="20"/>
  <c r="GH31" i="20"/>
  <c r="GI31" i="20"/>
  <c r="GJ31" i="20"/>
  <c r="GK31" i="20"/>
  <c r="GL31" i="20"/>
  <c r="GM31" i="20"/>
  <c r="GN31" i="20"/>
  <c r="GO31" i="20"/>
  <c r="GP31" i="20"/>
  <c r="GQ31" i="20"/>
  <c r="GR31" i="20"/>
  <c r="GS31" i="20"/>
  <c r="GT31" i="20"/>
  <c r="GU31" i="20"/>
  <c r="GV31" i="20"/>
  <c r="GW31" i="20"/>
  <c r="GX31" i="20"/>
  <c r="GY31" i="20"/>
  <c r="GZ31" i="20"/>
  <c r="HA31" i="20"/>
  <c r="HB31" i="20"/>
  <c r="HC31" i="20"/>
  <c r="AR32" i="20"/>
  <c r="AS32" i="20"/>
  <c r="AT32" i="20"/>
  <c r="AU32" i="20"/>
  <c r="AV32" i="20"/>
  <c r="AW32" i="20"/>
  <c r="AX32" i="20"/>
  <c r="AY32" i="20"/>
  <c r="AZ32" i="20"/>
  <c r="BA32" i="20"/>
  <c r="BB32" i="20"/>
  <c r="BC32" i="20"/>
  <c r="BD32" i="20"/>
  <c r="BE32" i="20"/>
  <c r="BF32" i="20"/>
  <c r="BG32" i="20"/>
  <c r="BH32" i="20"/>
  <c r="BI32" i="20"/>
  <c r="BJ32" i="20"/>
  <c r="BK32" i="20"/>
  <c r="BL32" i="20"/>
  <c r="BM32" i="20"/>
  <c r="BN32" i="20"/>
  <c r="BO32" i="20"/>
  <c r="BP32" i="20"/>
  <c r="BQ32" i="20"/>
  <c r="BR32" i="20"/>
  <c r="BS32" i="20"/>
  <c r="BT32" i="20"/>
  <c r="BU32" i="20"/>
  <c r="BV32" i="20"/>
  <c r="BW32" i="20"/>
  <c r="BX32" i="20"/>
  <c r="BY32" i="20"/>
  <c r="BZ32" i="20"/>
  <c r="CA32" i="20"/>
  <c r="CB32" i="20"/>
  <c r="CC32" i="20"/>
  <c r="CD32" i="20"/>
  <c r="CE32" i="20"/>
  <c r="CF32" i="20"/>
  <c r="CG32" i="20"/>
  <c r="CH32" i="20"/>
  <c r="CI32" i="20"/>
  <c r="CJ32" i="20"/>
  <c r="CK32" i="20"/>
  <c r="CL32" i="20"/>
  <c r="CM32" i="20"/>
  <c r="CN32" i="20"/>
  <c r="CO32" i="20"/>
  <c r="CP32" i="20"/>
  <c r="CQ32" i="20"/>
  <c r="CR32" i="20"/>
  <c r="CS32" i="20"/>
  <c r="CT32" i="20"/>
  <c r="CU32" i="20"/>
  <c r="CV32" i="20"/>
  <c r="CW32" i="20"/>
  <c r="CX32" i="20"/>
  <c r="CY32" i="20"/>
  <c r="CZ32" i="20"/>
  <c r="DA32" i="20"/>
  <c r="DB32" i="20"/>
  <c r="DC32" i="20"/>
  <c r="DD32" i="20"/>
  <c r="DE32" i="20"/>
  <c r="DF32" i="20"/>
  <c r="DG32" i="20"/>
  <c r="DH32" i="20"/>
  <c r="DI32" i="20"/>
  <c r="DJ32" i="20"/>
  <c r="DK32" i="20"/>
  <c r="DL32" i="20"/>
  <c r="DM32" i="20"/>
  <c r="DN32" i="20"/>
  <c r="DO32" i="20"/>
  <c r="DP32" i="20"/>
  <c r="DQ32" i="20"/>
  <c r="DR32" i="20"/>
  <c r="DS32" i="20"/>
  <c r="DT32" i="20"/>
  <c r="DU32" i="20"/>
  <c r="DV32" i="20"/>
  <c r="DW32" i="20"/>
  <c r="DX32" i="20"/>
  <c r="DY32" i="20"/>
  <c r="DZ32" i="20"/>
  <c r="EA32" i="20"/>
  <c r="EB32" i="20"/>
  <c r="EC32" i="20"/>
  <c r="ED32" i="20"/>
  <c r="EE32" i="20"/>
  <c r="EF32" i="20"/>
  <c r="EG32" i="20"/>
  <c r="EH32" i="20"/>
  <c r="EI32" i="20"/>
  <c r="EJ32" i="20"/>
  <c r="EK32" i="20"/>
  <c r="EL32" i="20"/>
  <c r="EM32" i="20"/>
  <c r="EN32" i="20"/>
  <c r="EO32" i="20"/>
  <c r="EP32" i="20"/>
  <c r="EQ32" i="20"/>
  <c r="ER32" i="20"/>
  <c r="ES32" i="20"/>
  <c r="ET32" i="20"/>
  <c r="EU32" i="20"/>
  <c r="EV32" i="20"/>
  <c r="EW32" i="20"/>
  <c r="EX32" i="20"/>
  <c r="EY32" i="20"/>
  <c r="EZ32" i="20"/>
  <c r="FA32" i="20"/>
  <c r="FB32" i="20"/>
  <c r="FC32" i="20"/>
  <c r="FD32" i="20"/>
  <c r="FE32" i="20"/>
  <c r="FF32" i="20"/>
  <c r="FG32" i="20"/>
  <c r="FH32" i="20"/>
  <c r="FI32" i="20"/>
  <c r="FJ32" i="20"/>
  <c r="FK32" i="20"/>
  <c r="FL32" i="20"/>
  <c r="FM32" i="20"/>
  <c r="FN32" i="20"/>
  <c r="FO32" i="20"/>
  <c r="FP32" i="20"/>
  <c r="FQ32" i="20"/>
  <c r="FR32" i="20"/>
  <c r="FS32" i="20"/>
  <c r="FT32" i="20"/>
  <c r="FU32" i="20"/>
  <c r="FV32" i="20"/>
  <c r="FW32" i="20"/>
  <c r="FX32" i="20"/>
  <c r="FY32" i="20"/>
  <c r="FZ32" i="20"/>
  <c r="GA32" i="20"/>
  <c r="GB32" i="20"/>
  <c r="GC32" i="20"/>
  <c r="GD32" i="20"/>
  <c r="GE32" i="20"/>
  <c r="GF32" i="20"/>
  <c r="GG32" i="20"/>
  <c r="GH32" i="20"/>
  <c r="GI32" i="20"/>
  <c r="GJ32" i="20"/>
  <c r="GK32" i="20"/>
  <c r="GL32" i="20"/>
  <c r="GM32" i="20"/>
  <c r="GN32" i="20"/>
  <c r="GO32" i="20"/>
  <c r="GP32" i="20"/>
  <c r="GQ32" i="20"/>
  <c r="GR32" i="20"/>
  <c r="GS32" i="20"/>
  <c r="GT32" i="20"/>
  <c r="GU32" i="20"/>
  <c r="GV32" i="20"/>
  <c r="GW32" i="20"/>
  <c r="GX32" i="20"/>
  <c r="GY32" i="20"/>
  <c r="GZ32" i="20"/>
  <c r="HA32" i="20"/>
  <c r="HB32" i="20"/>
  <c r="HC32" i="20"/>
  <c r="AR33" i="20"/>
  <c r="AS33" i="20"/>
  <c r="AT33" i="20"/>
  <c r="AU33" i="20"/>
  <c r="AV33" i="20"/>
  <c r="AW33" i="20"/>
  <c r="AX33" i="20"/>
  <c r="AY33" i="20"/>
  <c r="AZ33" i="20"/>
  <c r="BA33" i="20"/>
  <c r="BB33" i="20"/>
  <c r="BC33" i="20"/>
  <c r="BD33" i="20"/>
  <c r="BE33" i="20"/>
  <c r="BF33" i="20"/>
  <c r="BG33" i="20"/>
  <c r="BH33" i="20"/>
  <c r="BI33" i="20"/>
  <c r="BJ33" i="20"/>
  <c r="BK33" i="20"/>
  <c r="BL33" i="20"/>
  <c r="BM33" i="20"/>
  <c r="BN33" i="20"/>
  <c r="BO33" i="20"/>
  <c r="BP33" i="20"/>
  <c r="BQ33" i="20"/>
  <c r="BR33" i="20"/>
  <c r="BS33" i="20"/>
  <c r="BT33" i="20"/>
  <c r="BU33" i="20"/>
  <c r="BV33" i="20"/>
  <c r="BW33" i="20"/>
  <c r="BX33" i="20"/>
  <c r="BY33" i="20"/>
  <c r="BZ33" i="20"/>
  <c r="CA33" i="20"/>
  <c r="CB33" i="20"/>
  <c r="CC33" i="20"/>
  <c r="CD33" i="20"/>
  <c r="CE33" i="20"/>
  <c r="CF33" i="20"/>
  <c r="CG33" i="20"/>
  <c r="CH33" i="20"/>
  <c r="CI33" i="20"/>
  <c r="CJ33" i="20"/>
  <c r="CK33" i="20"/>
  <c r="CL33" i="20"/>
  <c r="CM33" i="20"/>
  <c r="CN33" i="20"/>
  <c r="CO33" i="20"/>
  <c r="CP33" i="20"/>
  <c r="CQ33" i="20"/>
  <c r="CR33" i="20"/>
  <c r="CS33" i="20"/>
  <c r="CT33" i="20"/>
  <c r="CU33" i="20"/>
  <c r="CV33" i="20"/>
  <c r="CW33" i="20"/>
  <c r="CX33" i="20"/>
  <c r="CY33" i="20"/>
  <c r="CZ33" i="20"/>
  <c r="DA33" i="20"/>
  <c r="DB33" i="20"/>
  <c r="DC33" i="20"/>
  <c r="DD33" i="20"/>
  <c r="DE33" i="20"/>
  <c r="DF33" i="20"/>
  <c r="DG33" i="20"/>
  <c r="DH33" i="20"/>
  <c r="DI33" i="20"/>
  <c r="DJ33" i="20"/>
  <c r="DK33" i="20"/>
  <c r="DL33" i="20"/>
  <c r="DM33" i="20"/>
  <c r="DN33" i="20"/>
  <c r="DO33" i="20"/>
  <c r="DP33" i="20"/>
  <c r="DQ33" i="20"/>
  <c r="DR33" i="20"/>
  <c r="DS33" i="20"/>
  <c r="DT33" i="20"/>
  <c r="DU33" i="20"/>
  <c r="DV33" i="20"/>
  <c r="DW33" i="20"/>
  <c r="DX33" i="20"/>
  <c r="DY33" i="20"/>
  <c r="DZ33" i="20"/>
  <c r="EA33" i="20"/>
  <c r="EB33" i="20"/>
  <c r="EC33" i="20"/>
  <c r="ED33" i="20"/>
  <c r="EE33" i="20"/>
  <c r="EF33" i="20"/>
  <c r="EG33" i="20"/>
  <c r="EH33" i="20"/>
  <c r="EI33" i="20"/>
  <c r="EJ33" i="20"/>
  <c r="EK33" i="20"/>
  <c r="EL33" i="20"/>
  <c r="EM33" i="20"/>
  <c r="EN33" i="20"/>
  <c r="EO33" i="20"/>
  <c r="EP33" i="20"/>
  <c r="EQ33" i="20"/>
  <c r="ER33" i="20"/>
  <c r="ES33" i="20"/>
  <c r="ET33" i="20"/>
  <c r="EU33" i="20"/>
  <c r="EV33" i="20"/>
  <c r="EW33" i="20"/>
  <c r="EX33" i="20"/>
  <c r="EY33" i="20"/>
  <c r="EZ33" i="20"/>
  <c r="FA33" i="20"/>
  <c r="FB33" i="20"/>
  <c r="FC33" i="20"/>
  <c r="FD33" i="20"/>
  <c r="FE33" i="20"/>
  <c r="FF33" i="20"/>
  <c r="FG33" i="20"/>
  <c r="FH33" i="20"/>
  <c r="FI33" i="20"/>
  <c r="FJ33" i="20"/>
  <c r="FK33" i="20"/>
  <c r="FL33" i="20"/>
  <c r="FM33" i="20"/>
  <c r="FN33" i="20"/>
  <c r="FO33" i="20"/>
  <c r="FP33" i="20"/>
  <c r="FQ33" i="20"/>
  <c r="FR33" i="20"/>
  <c r="FS33" i="20"/>
  <c r="FT33" i="20"/>
  <c r="FU33" i="20"/>
  <c r="FV33" i="20"/>
  <c r="FW33" i="20"/>
  <c r="FX33" i="20"/>
  <c r="FY33" i="20"/>
  <c r="FZ33" i="20"/>
  <c r="GA33" i="20"/>
  <c r="GB33" i="20"/>
  <c r="GC33" i="20"/>
  <c r="GD33" i="20"/>
  <c r="GE33" i="20"/>
  <c r="GF33" i="20"/>
  <c r="GG33" i="20"/>
  <c r="GH33" i="20"/>
  <c r="GI33" i="20"/>
  <c r="GJ33" i="20"/>
  <c r="GK33" i="20"/>
  <c r="GL33" i="20"/>
  <c r="GM33" i="20"/>
  <c r="GN33" i="20"/>
  <c r="GO33" i="20"/>
  <c r="GP33" i="20"/>
  <c r="GQ33" i="20"/>
  <c r="GR33" i="20"/>
  <c r="GS33" i="20"/>
  <c r="GT33" i="20"/>
  <c r="GU33" i="20"/>
  <c r="GV33" i="20"/>
  <c r="GW33" i="20"/>
  <c r="GX33" i="20"/>
  <c r="GY33" i="20"/>
  <c r="GZ33" i="20"/>
  <c r="HA33" i="20"/>
  <c r="HB33" i="20"/>
  <c r="HC33" i="20"/>
  <c r="AR34" i="20"/>
  <c r="AS34" i="20"/>
  <c r="AT34" i="20"/>
  <c r="AU34" i="20"/>
  <c r="AV34" i="20"/>
  <c r="AW34" i="20"/>
  <c r="AX34" i="20"/>
  <c r="AY34" i="20"/>
  <c r="AZ34" i="20"/>
  <c r="BA34" i="20"/>
  <c r="BB34" i="20"/>
  <c r="BC34" i="20"/>
  <c r="BD34" i="20"/>
  <c r="BE34" i="20"/>
  <c r="BF34" i="20"/>
  <c r="BG34" i="20"/>
  <c r="BH34" i="20"/>
  <c r="BI34" i="20"/>
  <c r="BJ34" i="20"/>
  <c r="BK34" i="20"/>
  <c r="BL34" i="20"/>
  <c r="BM34" i="20"/>
  <c r="BN34" i="20"/>
  <c r="BO34" i="20"/>
  <c r="BP34" i="20"/>
  <c r="BQ34" i="20"/>
  <c r="BR34" i="20"/>
  <c r="BS34" i="20"/>
  <c r="BT34" i="20"/>
  <c r="BU34" i="20"/>
  <c r="BV34" i="20"/>
  <c r="BW34" i="20"/>
  <c r="BX34" i="20"/>
  <c r="BY34" i="20"/>
  <c r="BZ34" i="20"/>
  <c r="CA34" i="20"/>
  <c r="CB34" i="20"/>
  <c r="CC34" i="20"/>
  <c r="CD34" i="20"/>
  <c r="CE34" i="20"/>
  <c r="CF34" i="20"/>
  <c r="CG34" i="20"/>
  <c r="CH34" i="20"/>
  <c r="CI34" i="20"/>
  <c r="CJ34" i="20"/>
  <c r="CK34" i="20"/>
  <c r="CL34" i="20"/>
  <c r="CM34" i="20"/>
  <c r="CN34" i="20"/>
  <c r="CO34" i="20"/>
  <c r="CP34" i="20"/>
  <c r="CQ34" i="20"/>
  <c r="CR34" i="20"/>
  <c r="CS34" i="20"/>
  <c r="CT34" i="20"/>
  <c r="CU34" i="20"/>
  <c r="CV34" i="20"/>
  <c r="CW34" i="20"/>
  <c r="CX34" i="20"/>
  <c r="CY34" i="20"/>
  <c r="CZ34" i="20"/>
  <c r="DA34" i="20"/>
  <c r="DB34" i="20"/>
  <c r="DC34" i="20"/>
  <c r="DD34" i="20"/>
  <c r="DE34" i="20"/>
  <c r="DF34" i="20"/>
  <c r="DG34" i="20"/>
  <c r="DH34" i="20"/>
  <c r="DI34" i="20"/>
  <c r="DJ34" i="20"/>
  <c r="DK34" i="20"/>
  <c r="DL34" i="20"/>
  <c r="DM34" i="20"/>
  <c r="DN34" i="20"/>
  <c r="DO34" i="20"/>
  <c r="DP34" i="20"/>
  <c r="DQ34" i="20"/>
  <c r="DR34" i="20"/>
  <c r="DS34" i="20"/>
  <c r="DT34" i="20"/>
  <c r="DU34" i="20"/>
  <c r="DV34" i="20"/>
  <c r="DW34" i="20"/>
  <c r="DX34" i="20"/>
  <c r="DY34" i="20"/>
  <c r="DZ34" i="20"/>
  <c r="EA34" i="20"/>
  <c r="EB34" i="20"/>
  <c r="EC34" i="20"/>
  <c r="ED34" i="20"/>
  <c r="EE34" i="20"/>
  <c r="EF34" i="20"/>
  <c r="EG34" i="20"/>
  <c r="EH34" i="20"/>
  <c r="EI34" i="20"/>
  <c r="EJ34" i="20"/>
  <c r="EK34" i="20"/>
  <c r="EL34" i="20"/>
  <c r="EM34" i="20"/>
  <c r="EN34" i="20"/>
  <c r="EO34" i="20"/>
  <c r="EP34" i="20"/>
  <c r="EQ34" i="20"/>
  <c r="ER34" i="20"/>
  <c r="ES34" i="20"/>
  <c r="ET34" i="20"/>
  <c r="EU34" i="20"/>
  <c r="EV34" i="20"/>
  <c r="EW34" i="20"/>
  <c r="EX34" i="20"/>
  <c r="EY34" i="20"/>
  <c r="EZ34" i="20"/>
  <c r="FA34" i="20"/>
  <c r="FB34" i="20"/>
  <c r="FC34" i="20"/>
  <c r="FD34" i="20"/>
  <c r="FE34" i="20"/>
  <c r="FF34" i="20"/>
  <c r="FG34" i="20"/>
  <c r="FH34" i="20"/>
  <c r="FI34" i="20"/>
  <c r="FJ34" i="20"/>
  <c r="FK34" i="20"/>
  <c r="FL34" i="20"/>
  <c r="FM34" i="20"/>
  <c r="FN34" i="20"/>
  <c r="FO34" i="20"/>
  <c r="FP34" i="20"/>
  <c r="FQ34" i="20"/>
  <c r="FR34" i="20"/>
  <c r="FS34" i="20"/>
  <c r="FT34" i="20"/>
  <c r="FU34" i="20"/>
  <c r="FV34" i="20"/>
  <c r="FW34" i="20"/>
  <c r="FX34" i="20"/>
  <c r="FY34" i="20"/>
  <c r="FZ34" i="20"/>
  <c r="GA34" i="20"/>
  <c r="GB34" i="20"/>
  <c r="GC34" i="20"/>
  <c r="GD34" i="20"/>
  <c r="GE34" i="20"/>
  <c r="GF34" i="20"/>
  <c r="GG34" i="20"/>
  <c r="GH34" i="20"/>
  <c r="GI34" i="20"/>
  <c r="GJ34" i="20"/>
  <c r="GK34" i="20"/>
  <c r="GL34" i="20"/>
  <c r="GM34" i="20"/>
  <c r="GN34" i="20"/>
  <c r="GO34" i="20"/>
  <c r="GP34" i="20"/>
  <c r="GQ34" i="20"/>
  <c r="GR34" i="20"/>
  <c r="GS34" i="20"/>
  <c r="GT34" i="20"/>
  <c r="GU34" i="20"/>
  <c r="GV34" i="20"/>
  <c r="GW34" i="20"/>
  <c r="GX34" i="20"/>
  <c r="GY34" i="20"/>
  <c r="GZ34" i="20"/>
  <c r="HA34" i="20"/>
  <c r="HB34" i="20"/>
  <c r="HC34" i="20"/>
  <c r="AR35" i="20"/>
  <c r="AS35" i="20"/>
  <c r="AT35" i="20"/>
  <c r="AU35" i="20"/>
  <c r="AV35" i="20"/>
  <c r="AW35" i="20"/>
  <c r="AX35" i="20"/>
  <c r="AY35" i="20"/>
  <c r="AZ35" i="20"/>
  <c r="BA35" i="20"/>
  <c r="BB35" i="20"/>
  <c r="BC35" i="20"/>
  <c r="BD35" i="20"/>
  <c r="BE35" i="20"/>
  <c r="BF35" i="20"/>
  <c r="BG35" i="20"/>
  <c r="BH35" i="20"/>
  <c r="BI35" i="20"/>
  <c r="BJ35" i="20"/>
  <c r="BK35" i="20"/>
  <c r="BL35" i="20"/>
  <c r="BM35" i="20"/>
  <c r="BN35" i="20"/>
  <c r="BO35" i="20"/>
  <c r="BP35" i="20"/>
  <c r="BQ35" i="20"/>
  <c r="BR35" i="20"/>
  <c r="BS35" i="20"/>
  <c r="BT35" i="20"/>
  <c r="BU35" i="20"/>
  <c r="BV35" i="20"/>
  <c r="BW35" i="20"/>
  <c r="BX35" i="20"/>
  <c r="BY35" i="20"/>
  <c r="BZ35" i="20"/>
  <c r="CA35" i="20"/>
  <c r="CB35" i="20"/>
  <c r="CC35" i="20"/>
  <c r="CD35" i="20"/>
  <c r="CE35" i="20"/>
  <c r="CF35" i="20"/>
  <c r="CG35" i="20"/>
  <c r="CH35" i="20"/>
  <c r="CI35" i="20"/>
  <c r="CJ35" i="20"/>
  <c r="CK35" i="20"/>
  <c r="CL35" i="20"/>
  <c r="CM35" i="20"/>
  <c r="CN35" i="20"/>
  <c r="CO35" i="20"/>
  <c r="CP35" i="20"/>
  <c r="CQ35" i="20"/>
  <c r="CR35" i="20"/>
  <c r="CS35" i="20"/>
  <c r="CT35" i="20"/>
  <c r="CU35" i="20"/>
  <c r="CV35" i="20"/>
  <c r="CW35" i="20"/>
  <c r="CX35" i="20"/>
  <c r="CY35" i="20"/>
  <c r="CZ35" i="20"/>
  <c r="DA35" i="20"/>
  <c r="DB35" i="20"/>
  <c r="DC35" i="20"/>
  <c r="DD35" i="20"/>
  <c r="DE35" i="20"/>
  <c r="DF35" i="20"/>
  <c r="DG35" i="20"/>
  <c r="DH35" i="20"/>
  <c r="DI35" i="20"/>
  <c r="DJ35" i="20"/>
  <c r="DK35" i="20"/>
  <c r="DL35" i="20"/>
  <c r="DM35" i="20"/>
  <c r="DN35" i="20"/>
  <c r="DO35" i="20"/>
  <c r="DP35" i="20"/>
  <c r="DQ35" i="20"/>
  <c r="DR35" i="20"/>
  <c r="DS35" i="20"/>
  <c r="DT35" i="20"/>
  <c r="DU35" i="20"/>
  <c r="DV35" i="20"/>
  <c r="DW35" i="20"/>
  <c r="DX35" i="20"/>
  <c r="DY35" i="20"/>
  <c r="DZ35" i="20"/>
  <c r="EA35" i="20"/>
  <c r="EB35" i="20"/>
  <c r="EC35" i="20"/>
  <c r="ED35" i="20"/>
  <c r="EE35" i="20"/>
  <c r="EF35" i="20"/>
  <c r="EG35" i="20"/>
  <c r="EH35" i="20"/>
  <c r="EI35" i="20"/>
  <c r="EJ35" i="20"/>
  <c r="EK35" i="20"/>
  <c r="EL35" i="20"/>
  <c r="EM35" i="20"/>
  <c r="EN35" i="20"/>
  <c r="EO35" i="20"/>
  <c r="EP35" i="20"/>
  <c r="EQ35" i="20"/>
  <c r="ER35" i="20"/>
  <c r="ES35" i="20"/>
  <c r="ET35" i="20"/>
  <c r="EU35" i="20"/>
  <c r="EV35" i="20"/>
  <c r="EW35" i="20"/>
  <c r="EX35" i="20"/>
  <c r="EY35" i="20"/>
  <c r="EZ35" i="20"/>
  <c r="FA35" i="20"/>
  <c r="FB35" i="20"/>
  <c r="FC35" i="20"/>
  <c r="FD35" i="20"/>
  <c r="FE35" i="20"/>
  <c r="FF35" i="20"/>
  <c r="FG35" i="20"/>
  <c r="FH35" i="20"/>
  <c r="FI35" i="20"/>
  <c r="FJ35" i="20"/>
  <c r="FK35" i="20"/>
  <c r="FL35" i="20"/>
  <c r="FM35" i="20"/>
  <c r="FN35" i="20"/>
  <c r="FO35" i="20"/>
  <c r="FP35" i="20"/>
  <c r="FQ35" i="20"/>
  <c r="FR35" i="20"/>
  <c r="FS35" i="20"/>
  <c r="FT35" i="20"/>
  <c r="FU35" i="20"/>
  <c r="FV35" i="20"/>
  <c r="FW35" i="20"/>
  <c r="FX35" i="20"/>
  <c r="FY35" i="20"/>
  <c r="FZ35" i="20"/>
  <c r="GA35" i="20"/>
  <c r="GB35" i="20"/>
  <c r="GC35" i="20"/>
  <c r="GD35" i="20"/>
  <c r="GE35" i="20"/>
  <c r="GF35" i="20"/>
  <c r="GG35" i="20"/>
  <c r="GH35" i="20"/>
  <c r="GI35" i="20"/>
  <c r="GJ35" i="20"/>
  <c r="GK35" i="20"/>
  <c r="GL35" i="20"/>
  <c r="GM35" i="20"/>
  <c r="GN35" i="20"/>
  <c r="GO35" i="20"/>
  <c r="GP35" i="20"/>
  <c r="GQ35" i="20"/>
  <c r="GR35" i="20"/>
  <c r="GS35" i="20"/>
  <c r="GT35" i="20"/>
  <c r="GU35" i="20"/>
  <c r="GV35" i="20"/>
  <c r="GW35" i="20"/>
  <c r="GX35" i="20"/>
  <c r="GY35" i="20"/>
  <c r="GZ35" i="20"/>
  <c r="HA35" i="20"/>
  <c r="HB35" i="20"/>
  <c r="HC35" i="20"/>
  <c r="AR36" i="20"/>
  <c r="AS36" i="20"/>
  <c r="AT36" i="20"/>
  <c r="AU36" i="20"/>
  <c r="AV36" i="20"/>
  <c r="AW36" i="20"/>
  <c r="AX36" i="20"/>
  <c r="AY36" i="20"/>
  <c r="AZ36" i="20"/>
  <c r="BA36" i="20"/>
  <c r="BB36" i="20"/>
  <c r="BC36" i="20"/>
  <c r="BD36" i="20"/>
  <c r="BE36" i="20"/>
  <c r="BF36" i="20"/>
  <c r="BG36" i="20"/>
  <c r="BH36" i="20"/>
  <c r="BI36" i="20"/>
  <c r="BJ36" i="20"/>
  <c r="BK36" i="20"/>
  <c r="BL36" i="20"/>
  <c r="BM36" i="20"/>
  <c r="BN36" i="20"/>
  <c r="BO36" i="20"/>
  <c r="BP36" i="20"/>
  <c r="BQ36" i="20"/>
  <c r="BR36" i="20"/>
  <c r="BS36" i="20"/>
  <c r="BT36" i="20"/>
  <c r="BU36" i="20"/>
  <c r="BV36" i="20"/>
  <c r="BW36" i="20"/>
  <c r="BX36" i="20"/>
  <c r="BY36" i="20"/>
  <c r="BZ36" i="20"/>
  <c r="CA36" i="20"/>
  <c r="CB36" i="20"/>
  <c r="CC36" i="20"/>
  <c r="CD36" i="20"/>
  <c r="CE36" i="20"/>
  <c r="CF36" i="20"/>
  <c r="CG36" i="20"/>
  <c r="CH36" i="20"/>
  <c r="CI36" i="20"/>
  <c r="CJ36" i="20"/>
  <c r="CK36" i="20"/>
  <c r="CL36" i="20"/>
  <c r="CM36" i="20"/>
  <c r="CN36" i="20"/>
  <c r="CO36" i="20"/>
  <c r="CP36" i="20"/>
  <c r="CQ36" i="20"/>
  <c r="CR36" i="20"/>
  <c r="CS36" i="20"/>
  <c r="CT36" i="20"/>
  <c r="CU36" i="20"/>
  <c r="CV36" i="20"/>
  <c r="CW36" i="20"/>
  <c r="CX36" i="20"/>
  <c r="CY36" i="20"/>
  <c r="CZ36" i="20"/>
  <c r="DA36" i="20"/>
  <c r="DB36" i="20"/>
  <c r="DC36" i="20"/>
  <c r="DD36" i="20"/>
  <c r="DE36" i="20"/>
  <c r="DF36" i="20"/>
  <c r="DG36" i="20"/>
  <c r="DH36" i="20"/>
  <c r="DI36" i="20"/>
  <c r="DJ36" i="20"/>
  <c r="DK36" i="20"/>
  <c r="DL36" i="20"/>
  <c r="DM36" i="20"/>
  <c r="DN36" i="20"/>
  <c r="DO36" i="20"/>
  <c r="DP36" i="20"/>
  <c r="DQ36" i="20"/>
  <c r="DR36" i="20"/>
  <c r="DS36" i="20"/>
  <c r="DT36" i="20"/>
  <c r="DU36" i="20"/>
  <c r="DV36" i="20"/>
  <c r="DW36" i="20"/>
  <c r="DX36" i="20"/>
  <c r="DY36" i="20"/>
  <c r="DZ36" i="20"/>
  <c r="EA36" i="20"/>
  <c r="EB36" i="20"/>
  <c r="EC36" i="20"/>
  <c r="ED36" i="20"/>
  <c r="EE36" i="20"/>
  <c r="EF36" i="20"/>
  <c r="EG36" i="20"/>
  <c r="EH36" i="20"/>
  <c r="EI36" i="20"/>
  <c r="EJ36" i="20"/>
  <c r="EK36" i="20"/>
  <c r="EL36" i="20"/>
  <c r="EM36" i="20"/>
  <c r="EN36" i="20"/>
  <c r="EO36" i="20"/>
  <c r="EP36" i="20"/>
  <c r="EQ36" i="20"/>
  <c r="ER36" i="20"/>
  <c r="ES36" i="20"/>
  <c r="ET36" i="20"/>
  <c r="EU36" i="20"/>
  <c r="EV36" i="20"/>
  <c r="EW36" i="20"/>
  <c r="EX36" i="20"/>
  <c r="EY36" i="20"/>
  <c r="EZ36" i="20"/>
  <c r="FA36" i="20"/>
  <c r="FB36" i="20"/>
  <c r="FC36" i="20"/>
  <c r="FD36" i="20"/>
  <c r="FE36" i="20"/>
  <c r="FF36" i="20"/>
  <c r="FG36" i="20"/>
  <c r="FH36" i="20"/>
  <c r="FI36" i="20"/>
  <c r="FJ36" i="20"/>
  <c r="FK36" i="20"/>
  <c r="FL36" i="20"/>
  <c r="FM36" i="20"/>
  <c r="FN36" i="20"/>
  <c r="FO36" i="20"/>
  <c r="FP36" i="20"/>
  <c r="FQ36" i="20"/>
  <c r="FR36" i="20"/>
  <c r="FS36" i="20"/>
  <c r="FT36" i="20"/>
  <c r="FU36" i="20"/>
  <c r="FV36" i="20"/>
  <c r="FW36" i="20"/>
  <c r="FX36" i="20"/>
  <c r="FY36" i="20"/>
  <c r="FZ36" i="20"/>
  <c r="GA36" i="20"/>
  <c r="GB36" i="20"/>
  <c r="GC36" i="20"/>
  <c r="GD36" i="20"/>
  <c r="GE36" i="20"/>
  <c r="GF36" i="20"/>
  <c r="GG36" i="20"/>
  <c r="GH36" i="20"/>
  <c r="GI36" i="20"/>
  <c r="GJ36" i="20"/>
  <c r="GK36" i="20"/>
  <c r="GL36" i="20"/>
  <c r="GM36" i="20"/>
  <c r="GN36" i="20"/>
  <c r="GO36" i="20"/>
  <c r="GP36" i="20"/>
  <c r="GQ36" i="20"/>
  <c r="GR36" i="20"/>
  <c r="GS36" i="20"/>
  <c r="GT36" i="20"/>
  <c r="GU36" i="20"/>
  <c r="GV36" i="20"/>
  <c r="GW36" i="20"/>
  <c r="GX36" i="20"/>
  <c r="GY36" i="20"/>
  <c r="GZ36" i="20"/>
  <c r="HA36" i="20"/>
  <c r="HB36" i="20"/>
  <c r="HC36" i="20"/>
  <c r="AR37" i="20"/>
  <c r="AS37" i="20"/>
  <c r="AT37" i="20"/>
  <c r="AU37" i="20"/>
  <c r="AV37" i="20"/>
  <c r="AW37" i="20"/>
  <c r="AX37" i="20"/>
  <c r="AY37" i="20"/>
  <c r="AZ37" i="20"/>
  <c r="BA37" i="20"/>
  <c r="BB37" i="20"/>
  <c r="BC37" i="20"/>
  <c r="BD37" i="20"/>
  <c r="BE37" i="20"/>
  <c r="BF37" i="20"/>
  <c r="BG37" i="20"/>
  <c r="BH37" i="20"/>
  <c r="BI37" i="20"/>
  <c r="BJ37" i="20"/>
  <c r="BK37" i="20"/>
  <c r="BL37" i="20"/>
  <c r="BM37" i="20"/>
  <c r="BN37" i="20"/>
  <c r="BO37" i="20"/>
  <c r="BP37" i="20"/>
  <c r="BQ37" i="20"/>
  <c r="BR37" i="20"/>
  <c r="BS37" i="20"/>
  <c r="BT37" i="20"/>
  <c r="BU37" i="20"/>
  <c r="BV37" i="20"/>
  <c r="BW37" i="20"/>
  <c r="BX37" i="20"/>
  <c r="BY37" i="20"/>
  <c r="BZ37" i="20"/>
  <c r="CA37" i="20"/>
  <c r="CB37" i="20"/>
  <c r="CC37" i="20"/>
  <c r="CD37" i="20"/>
  <c r="CE37" i="20"/>
  <c r="CF37" i="20"/>
  <c r="CG37" i="20"/>
  <c r="CH37" i="20"/>
  <c r="CI37" i="20"/>
  <c r="CJ37" i="20"/>
  <c r="CK37" i="20"/>
  <c r="CL37" i="20"/>
  <c r="CM37" i="20"/>
  <c r="CN37" i="20"/>
  <c r="CO37" i="20"/>
  <c r="CP37" i="20"/>
  <c r="CQ37" i="20"/>
  <c r="CR37" i="20"/>
  <c r="CS37" i="20"/>
  <c r="CT37" i="20"/>
  <c r="CU37" i="20"/>
  <c r="CV37" i="20"/>
  <c r="CW37" i="20"/>
  <c r="CX37" i="20"/>
  <c r="CY37" i="20"/>
  <c r="CZ37" i="20"/>
  <c r="DA37" i="20"/>
  <c r="DB37" i="20"/>
  <c r="DC37" i="20"/>
  <c r="DD37" i="20"/>
  <c r="DE37" i="20"/>
  <c r="DF37" i="20"/>
  <c r="DG37" i="20"/>
  <c r="DH37" i="20"/>
  <c r="DI37" i="20"/>
  <c r="DJ37" i="20"/>
  <c r="DK37" i="20"/>
  <c r="DL37" i="20"/>
  <c r="DM37" i="20"/>
  <c r="DN37" i="20"/>
  <c r="DO37" i="20"/>
  <c r="DP37" i="20"/>
  <c r="DQ37" i="20"/>
  <c r="DR37" i="20"/>
  <c r="DS37" i="20"/>
  <c r="DT37" i="20"/>
  <c r="DU37" i="20"/>
  <c r="DV37" i="20"/>
  <c r="DW37" i="20"/>
  <c r="DX37" i="20"/>
  <c r="DY37" i="20"/>
  <c r="DZ37" i="20"/>
  <c r="EA37" i="20"/>
  <c r="EB37" i="20"/>
  <c r="EC37" i="20"/>
  <c r="ED37" i="20"/>
  <c r="EE37" i="20"/>
  <c r="EF37" i="20"/>
  <c r="EG37" i="20"/>
  <c r="EH37" i="20"/>
  <c r="EI37" i="20"/>
  <c r="EJ37" i="20"/>
  <c r="EK37" i="20"/>
  <c r="EL37" i="20"/>
  <c r="EM37" i="20"/>
  <c r="EN37" i="20"/>
  <c r="EO37" i="20"/>
  <c r="EP37" i="20"/>
  <c r="EQ37" i="20"/>
  <c r="ER37" i="20"/>
  <c r="ES37" i="20"/>
  <c r="ET37" i="20"/>
  <c r="EU37" i="20"/>
  <c r="EV37" i="20"/>
  <c r="EW37" i="20"/>
  <c r="EX37" i="20"/>
  <c r="EY37" i="20"/>
  <c r="EZ37" i="20"/>
  <c r="FA37" i="20"/>
  <c r="FB37" i="20"/>
  <c r="FC37" i="20"/>
  <c r="FD37" i="20"/>
  <c r="FE37" i="20"/>
  <c r="FF37" i="20"/>
  <c r="FG37" i="20"/>
  <c r="FH37" i="20"/>
  <c r="FI37" i="20"/>
  <c r="FJ37" i="20"/>
  <c r="FK37" i="20"/>
  <c r="FL37" i="20"/>
  <c r="FM37" i="20"/>
  <c r="FN37" i="20"/>
  <c r="FO37" i="20"/>
  <c r="FP37" i="20"/>
  <c r="FQ37" i="20"/>
  <c r="FR37" i="20"/>
  <c r="FS37" i="20"/>
  <c r="FT37" i="20"/>
  <c r="FU37" i="20"/>
  <c r="FV37" i="20"/>
  <c r="FW37" i="20"/>
  <c r="FX37" i="20"/>
  <c r="FY37" i="20"/>
  <c r="FZ37" i="20"/>
  <c r="GA37" i="20"/>
  <c r="GB37" i="20"/>
  <c r="GC37" i="20"/>
  <c r="GD37" i="20"/>
  <c r="GE37" i="20"/>
  <c r="GF37" i="20"/>
  <c r="GG37" i="20"/>
  <c r="GH37" i="20"/>
  <c r="GI37" i="20"/>
  <c r="GJ37" i="20"/>
  <c r="GK37" i="20"/>
  <c r="GL37" i="20"/>
  <c r="GM37" i="20"/>
  <c r="GN37" i="20"/>
  <c r="GO37" i="20"/>
  <c r="GP37" i="20"/>
  <c r="GQ37" i="20"/>
  <c r="GR37" i="20"/>
  <c r="GS37" i="20"/>
  <c r="GT37" i="20"/>
  <c r="GU37" i="20"/>
  <c r="GV37" i="20"/>
  <c r="GW37" i="20"/>
  <c r="GX37" i="20"/>
  <c r="GY37" i="20"/>
  <c r="GZ37" i="20"/>
  <c r="HA37" i="20"/>
  <c r="HB37" i="20"/>
  <c r="HC37" i="20"/>
  <c r="AR38" i="20"/>
  <c r="AS38" i="20"/>
  <c r="AT38" i="20"/>
  <c r="AU38" i="20"/>
  <c r="AV38" i="20"/>
  <c r="AW38" i="20"/>
  <c r="AX38" i="20"/>
  <c r="AY38" i="20"/>
  <c r="AZ38" i="20"/>
  <c r="BA38" i="20"/>
  <c r="BB38" i="20"/>
  <c r="BC38" i="20"/>
  <c r="BD38" i="20"/>
  <c r="BE38" i="20"/>
  <c r="BF38" i="20"/>
  <c r="BG38" i="20"/>
  <c r="BH38" i="20"/>
  <c r="BI38" i="20"/>
  <c r="BJ38" i="20"/>
  <c r="BK38" i="20"/>
  <c r="BL38" i="20"/>
  <c r="BM38" i="20"/>
  <c r="BN38" i="20"/>
  <c r="BO38" i="20"/>
  <c r="BP38" i="20"/>
  <c r="BQ38" i="20"/>
  <c r="BR38" i="20"/>
  <c r="BS38" i="20"/>
  <c r="BT38" i="20"/>
  <c r="BU38" i="20"/>
  <c r="BV38" i="20"/>
  <c r="BW38" i="20"/>
  <c r="BX38" i="20"/>
  <c r="BY38" i="20"/>
  <c r="BZ38" i="20"/>
  <c r="CA38" i="20"/>
  <c r="CB38" i="20"/>
  <c r="CC38" i="20"/>
  <c r="CD38" i="20"/>
  <c r="CE38" i="20"/>
  <c r="CF38" i="20"/>
  <c r="CG38" i="20"/>
  <c r="CH38" i="20"/>
  <c r="CI38" i="20"/>
  <c r="CJ38" i="20"/>
  <c r="CK38" i="20"/>
  <c r="CL38" i="20"/>
  <c r="CM38" i="20"/>
  <c r="CN38" i="20"/>
  <c r="CO38" i="20"/>
  <c r="CP38" i="20"/>
  <c r="CQ38" i="20"/>
  <c r="CR38" i="20"/>
  <c r="CS38" i="20"/>
  <c r="CT38" i="20"/>
  <c r="CU38" i="20"/>
  <c r="CV38" i="20"/>
  <c r="CW38" i="20"/>
  <c r="CX38" i="20"/>
  <c r="CY38" i="20"/>
  <c r="CZ38" i="20"/>
  <c r="DA38" i="20"/>
  <c r="DB38" i="20"/>
  <c r="DC38" i="20"/>
  <c r="DD38" i="20"/>
  <c r="DE38" i="20"/>
  <c r="DF38" i="20"/>
  <c r="DG38" i="20"/>
  <c r="DH38" i="20"/>
  <c r="DI38" i="20"/>
  <c r="DJ38" i="20"/>
  <c r="DK38" i="20"/>
  <c r="DL38" i="20"/>
  <c r="DM38" i="20"/>
  <c r="DN38" i="20"/>
  <c r="DO38" i="20"/>
  <c r="DP38" i="20"/>
  <c r="DQ38" i="20"/>
  <c r="DR38" i="20"/>
  <c r="DS38" i="20"/>
  <c r="DT38" i="20"/>
  <c r="DU38" i="20"/>
  <c r="DV38" i="20"/>
  <c r="DW38" i="20"/>
  <c r="DX38" i="20"/>
  <c r="DY38" i="20"/>
  <c r="DZ38" i="20"/>
  <c r="EA38" i="20"/>
  <c r="EB38" i="20"/>
  <c r="EC38" i="20"/>
  <c r="ED38" i="20"/>
  <c r="EE38" i="20"/>
  <c r="EF38" i="20"/>
  <c r="EG38" i="20"/>
  <c r="EH38" i="20"/>
  <c r="EI38" i="20"/>
  <c r="EJ38" i="20"/>
  <c r="EK38" i="20"/>
  <c r="EL38" i="20"/>
  <c r="EM38" i="20"/>
  <c r="EN38" i="20"/>
  <c r="EO38" i="20"/>
  <c r="EP38" i="20"/>
  <c r="EQ38" i="20"/>
  <c r="ER38" i="20"/>
  <c r="ES38" i="20"/>
  <c r="ET38" i="20"/>
  <c r="EU38" i="20"/>
  <c r="EV38" i="20"/>
  <c r="EW38" i="20"/>
  <c r="EX38" i="20"/>
  <c r="EY38" i="20"/>
  <c r="EZ38" i="20"/>
  <c r="FA38" i="20"/>
  <c r="FB38" i="20"/>
  <c r="FC38" i="20"/>
  <c r="FD38" i="20"/>
  <c r="FE38" i="20"/>
  <c r="FF38" i="20"/>
  <c r="FG38" i="20"/>
  <c r="FH38" i="20"/>
  <c r="FI38" i="20"/>
  <c r="FJ38" i="20"/>
  <c r="FK38" i="20"/>
  <c r="FL38" i="20"/>
  <c r="FM38" i="20"/>
  <c r="FN38" i="20"/>
  <c r="FO38" i="20"/>
  <c r="FP38" i="20"/>
  <c r="FQ38" i="20"/>
  <c r="FR38" i="20"/>
  <c r="FS38" i="20"/>
  <c r="FT38" i="20"/>
  <c r="FU38" i="20"/>
  <c r="FV38" i="20"/>
  <c r="FW38" i="20"/>
  <c r="FX38" i="20"/>
  <c r="FY38" i="20"/>
  <c r="FZ38" i="20"/>
  <c r="GA38" i="20"/>
  <c r="GB38" i="20"/>
  <c r="GC38" i="20"/>
  <c r="GD38" i="20"/>
  <c r="GE38" i="20"/>
  <c r="GF38" i="20"/>
  <c r="GG38" i="20"/>
  <c r="GH38" i="20"/>
  <c r="GI38" i="20"/>
  <c r="GJ38" i="20"/>
  <c r="GK38" i="20"/>
  <c r="GL38" i="20"/>
  <c r="GM38" i="20"/>
  <c r="GN38" i="20"/>
  <c r="GO38" i="20"/>
  <c r="GP38" i="20"/>
  <c r="GQ38" i="20"/>
  <c r="GR38" i="20"/>
  <c r="GS38" i="20"/>
  <c r="GT38" i="20"/>
  <c r="GU38" i="20"/>
  <c r="GV38" i="20"/>
  <c r="GW38" i="20"/>
  <c r="GX38" i="20"/>
  <c r="GY38" i="20"/>
  <c r="GZ38" i="20"/>
  <c r="HA38" i="20"/>
  <c r="HB38" i="20"/>
  <c r="HC38" i="20"/>
  <c r="AR39" i="20"/>
  <c r="AS39" i="20"/>
  <c r="AT39" i="20"/>
  <c r="AU39" i="20"/>
  <c r="AV39" i="20"/>
  <c r="AW39" i="20"/>
  <c r="AX39" i="20"/>
  <c r="AY39" i="20"/>
  <c r="AZ39" i="20"/>
  <c r="BA39" i="20"/>
  <c r="BB39" i="20"/>
  <c r="BC39" i="20"/>
  <c r="BD39" i="20"/>
  <c r="BE39" i="20"/>
  <c r="BF39" i="20"/>
  <c r="BG39" i="20"/>
  <c r="BH39" i="20"/>
  <c r="BI39" i="20"/>
  <c r="BJ39" i="20"/>
  <c r="BK39" i="20"/>
  <c r="BL39" i="20"/>
  <c r="BM39" i="20"/>
  <c r="BN39" i="20"/>
  <c r="BO39" i="20"/>
  <c r="BP39" i="20"/>
  <c r="BQ39" i="20"/>
  <c r="BR39" i="20"/>
  <c r="BS39" i="20"/>
  <c r="BT39" i="20"/>
  <c r="BU39" i="20"/>
  <c r="BV39" i="20"/>
  <c r="BW39" i="20"/>
  <c r="BX39" i="20"/>
  <c r="BY39" i="20"/>
  <c r="BZ39" i="20"/>
  <c r="CA39" i="20"/>
  <c r="CB39" i="20"/>
  <c r="CC39" i="20"/>
  <c r="CD39" i="20"/>
  <c r="CE39" i="20"/>
  <c r="CF39" i="20"/>
  <c r="CG39" i="20"/>
  <c r="CH39" i="20"/>
  <c r="CI39" i="20"/>
  <c r="CJ39" i="20"/>
  <c r="CK39" i="20"/>
  <c r="CL39" i="20"/>
  <c r="CM39" i="20"/>
  <c r="CN39" i="20"/>
  <c r="CO39" i="20"/>
  <c r="CP39" i="20"/>
  <c r="CQ39" i="20"/>
  <c r="CR39" i="20"/>
  <c r="CS39" i="20"/>
  <c r="CT39" i="20"/>
  <c r="CU39" i="20"/>
  <c r="CV39" i="20"/>
  <c r="CW39" i="20"/>
  <c r="CX39" i="20"/>
  <c r="CY39" i="20"/>
  <c r="CZ39" i="20"/>
  <c r="DA39" i="20"/>
  <c r="DB39" i="20"/>
  <c r="DC39" i="20"/>
  <c r="DD39" i="20"/>
  <c r="DE39" i="20"/>
  <c r="DF39" i="20"/>
  <c r="DG39" i="20"/>
  <c r="DH39" i="20"/>
  <c r="DI39" i="20"/>
  <c r="DJ39" i="20"/>
  <c r="DK39" i="20"/>
  <c r="DL39" i="20"/>
  <c r="DM39" i="20"/>
  <c r="DN39" i="20"/>
  <c r="DO39" i="20"/>
  <c r="DP39" i="20"/>
  <c r="DQ39" i="20"/>
  <c r="DR39" i="20"/>
  <c r="DS39" i="20"/>
  <c r="DT39" i="20"/>
  <c r="DU39" i="20"/>
  <c r="DV39" i="20"/>
  <c r="DW39" i="20"/>
  <c r="DX39" i="20"/>
  <c r="DY39" i="20"/>
  <c r="DZ39" i="20"/>
  <c r="EA39" i="20"/>
  <c r="EB39" i="20"/>
  <c r="EC39" i="20"/>
  <c r="ED39" i="20"/>
  <c r="EE39" i="20"/>
  <c r="EF39" i="20"/>
  <c r="EG39" i="20"/>
  <c r="EH39" i="20"/>
  <c r="EI39" i="20"/>
  <c r="EJ39" i="20"/>
  <c r="EK39" i="20"/>
  <c r="EL39" i="20"/>
  <c r="EM39" i="20"/>
  <c r="EN39" i="20"/>
  <c r="EO39" i="20"/>
  <c r="EP39" i="20"/>
  <c r="EQ39" i="20"/>
  <c r="ER39" i="20"/>
  <c r="ES39" i="20"/>
  <c r="ET39" i="20"/>
  <c r="EU39" i="20"/>
  <c r="EV39" i="20"/>
  <c r="EW39" i="20"/>
  <c r="EX39" i="20"/>
  <c r="EY39" i="20"/>
  <c r="EZ39" i="20"/>
  <c r="FA39" i="20"/>
  <c r="FB39" i="20"/>
  <c r="FC39" i="20"/>
  <c r="FD39" i="20"/>
  <c r="FE39" i="20"/>
  <c r="FF39" i="20"/>
  <c r="FG39" i="20"/>
  <c r="FH39" i="20"/>
  <c r="FI39" i="20"/>
  <c r="FJ39" i="20"/>
  <c r="FK39" i="20"/>
  <c r="FL39" i="20"/>
  <c r="FM39" i="20"/>
  <c r="FN39" i="20"/>
  <c r="FO39" i="20"/>
  <c r="FP39" i="20"/>
  <c r="FQ39" i="20"/>
  <c r="FR39" i="20"/>
  <c r="FS39" i="20"/>
  <c r="FT39" i="20"/>
  <c r="FU39" i="20"/>
  <c r="FV39" i="20"/>
  <c r="FW39" i="20"/>
  <c r="FX39" i="20"/>
  <c r="FY39" i="20"/>
  <c r="FZ39" i="20"/>
  <c r="GA39" i="20"/>
  <c r="GB39" i="20"/>
  <c r="GC39" i="20"/>
  <c r="GD39" i="20"/>
  <c r="GE39" i="20"/>
  <c r="GF39" i="20"/>
  <c r="GG39" i="20"/>
  <c r="GH39" i="20"/>
  <c r="GI39" i="20"/>
  <c r="GJ39" i="20"/>
  <c r="GK39" i="20"/>
  <c r="GL39" i="20"/>
  <c r="GM39" i="20"/>
  <c r="GN39" i="20"/>
  <c r="GO39" i="20"/>
  <c r="GP39" i="20"/>
  <c r="GQ39" i="20"/>
  <c r="GR39" i="20"/>
  <c r="GS39" i="20"/>
  <c r="GT39" i="20"/>
  <c r="GU39" i="20"/>
  <c r="GV39" i="20"/>
  <c r="GW39" i="20"/>
  <c r="GX39" i="20"/>
  <c r="GY39" i="20"/>
  <c r="GZ39" i="20"/>
  <c r="HA39" i="20"/>
  <c r="HB39" i="20"/>
  <c r="HC39" i="20"/>
  <c r="AR40" i="20"/>
  <c r="AS40" i="20"/>
  <c r="AT40" i="20"/>
  <c r="AU40" i="20"/>
  <c r="AV40" i="20"/>
  <c r="AW40" i="20"/>
  <c r="AX40" i="20"/>
  <c r="AY40" i="20"/>
  <c r="AZ40" i="20"/>
  <c r="BA40" i="20"/>
  <c r="BB40" i="20"/>
  <c r="BC40" i="20"/>
  <c r="BD40" i="20"/>
  <c r="BE40" i="20"/>
  <c r="BF40" i="20"/>
  <c r="BG40" i="20"/>
  <c r="BH40" i="20"/>
  <c r="BI40" i="20"/>
  <c r="BJ40" i="20"/>
  <c r="BK40" i="20"/>
  <c r="BL40" i="20"/>
  <c r="BM40" i="20"/>
  <c r="BN40" i="20"/>
  <c r="BO40" i="20"/>
  <c r="BP40" i="20"/>
  <c r="BQ40" i="20"/>
  <c r="BR40" i="20"/>
  <c r="BS40" i="20"/>
  <c r="BT40" i="20"/>
  <c r="BU40" i="20"/>
  <c r="BV40" i="20"/>
  <c r="BW40" i="20"/>
  <c r="BX40" i="20"/>
  <c r="BY40" i="20"/>
  <c r="BZ40" i="20"/>
  <c r="CA40" i="20"/>
  <c r="CB40" i="20"/>
  <c r="CC40" i="20"/>
  <c r="CD40" i="20"/>
  <c r="CE40" i="20"/>
  <c r="CF40" i="20"/>
  <c r="CG40" i="20"/>
  <c r="CH40" i="20"/>
  <c r="CI40" i="20"/>
  <c r="CJ40" i="20"/>
  <c r="CK40" i="20"/>
  <c r="CL40" i="20"/>
  <c r="CM40" i="20"/>
  <c r="CN40" i="20"/>
  <c r="CO40" i="20"/>
  <c r="CP40" i="20"/>
  <c r="CQ40" i="20"/>
  <c r="CR40" i="20"/>
  <c r="CS40" i="20"/>
  <c r="CT40" i="20"/>
  <c r="CU40" i="20"/>
  <c r="CV40" i="20"/>
  <c r="CW40" i="20"/>
  <c r="CX40" i="20"/>
  <c r="CY40" i="20"/>
  <c r="CZ40" i="20"/>
  <c r="DA40" i="20"/>
  <c r="DB40" i="20"/>
  <c r="DC40" i="20"/>
  <c r="DD40" i="20"/>
  <c r="DE40" i="20"/>
  <c r="DF40" i="20"/>
  <c r="DG40" i="20"/>
  <c r="DH40" i="20"/>
  <c r="DI40" i="20"/>
  <c r="DJ40" i="20"/>
  <c r="DK40" i="20"/>
  <c r="DL40" i="20"/>
  <c r="DM40" i="20"/>
  <c r="DN40" i="20"/>
  <c r="DO40" i="20"/>
  <c r="DP40" i="20"/>
  <c r="DQ40" i="20"/>
  <c r="DR40" i="20"/>
  <c r="DS40" i="20"/>
  <c r="DT40" i="20"/>
  <c r="DU40" i="20"/>
  <c r="DV40" i="20"/>
  <c r="DW40" i="20"/>
  <c r="DX40" i="20"/>
  <c r="DY40" i="20"/>
  <c r="DZ40" i="20"/>
  <c r="EA40" i="20"/>
  <c r="EB40" i="20"/>
  <c r="EC40" i="20"/>
  <c r="ED40" i="20"/>
  <c r="EE40" i="20"/>
  <c r="EF40" i="20"/>
  <c r="EG40" i="20"/>
  <c r="EH40" i="20"/>
  <c r="EI40" i="20"/>
  <c r="EJ40" i="20"/>
  <c r="EK40" i="20"/>
  <c r="EL40" i="20"/>
  <c r="EM40" i="20"/>
  <c r="EN40" i="20"/>
  <c r="EO40" i="20"/>
  <c r="EP40" i="20"/>
  <c r="EQ40" i="20"/>
  <c r="ER40" i="20"/>
  <c r="ES40" i="20"/>
  <c r="ET40" i="20"/>
  <c r="EU40" i="20"/>
  <c r="EV40" i="20"/>
  <c r="EW40" i="20"/>
  <c r="EX40" i="20"/>
  <c r="EY40" i="20"/>
  <c r="EZ40" i="20"/>
  <c r="FA40" i="20"/>
  <c r="FB40" i="20"/>
  <c r="FC40" i="20"/>
  <c r="FD40" i="20"/>
  <c r="FE40" i="20"/>
  <c r="FF40" i="20"/>
  <c r="FG40" i="20"/>
  <c r="FH40" i="20"/>
  <c r="FI40" i="20"/>
  <c r="FJ40" i="20"/>
  <c r="FK40" i="20"/>
  <c r="FL40" i="20"/>
  <c r="FM40" i="20"/>
  <c r="FN40" i="20"/>
  <c r="FO40" i="20"/>
  <c r="FP40" i="20"/>
  <c r="FQ40" i="20"/>
  <c r="FR40" i="20"/>
  <c r="FS40" i="20"/>
  <c r="FT40" i="20"/>
  <c r="FU40" i="20"/>
  <c r="FV40" i="20"/>
  <c r="FW40" i="20"/>
  <c r="FX40" i="20"/>
  <c r="FY40" i="20"/>
  <c r="FZ40" i="20"/>
  <c r="GA40" i="20"/>
  <c r="GB40" i="20"/>
  <c r="GC40" i="20"/>
  <c r="GD40" i="20"/>
  <c r="GE40" i="20"/>
  <c r="GF40" i="20"/>
  <c r="GG40" i="20"/>
  <c r="GH40" i="20"/>
  <c r="GI40" i="20"/>
  <c r="GJ40" i="20"/>
  <c r="GK40" i="20"/>
  <c r="GL40" i="20"/>
  <c r="GM40" i="20"/>
  <c r="GN40" i="20"/>
  <c r="GO40" i="20"/>
  <c r="GP40" i="20"/>
  <c r="GQ40" i="20"/>
  <c r="GR40" i="20"/>
  <c r="GS40" i="20"/>
  <c r="GT40" i="20"/>
  <c r="GU40" i="20"/>
  <c r="GV40" i="20"/>
  <c r="GW40" i="20"/>
  <c r="GX40" i="20"/>
  <c r="GY40" i="20"/>
  <c r="GZ40" i="20"/>
  <c r="HA40" i="20"/>
  <c r="HB40" i="20"/>
  <c r="HC40" i="20"/>
  <c r="AR41" i="20"/>
  <c r="AS41" i="20"/>
  <c r="AT41" i="20"/>
  <c r="AU41" i="20"/>
  <c r="AV41" i="20"/>
  <c r="AW41" i="20"/>
  <c r="AX41" i="20"/>
  <c r="AY41" i="20"/>
  <c r="AZ41" i="20"/>
  <c r="BA41" i="20"/>
  <c r="BB41" i="20"/>
  <c r="BC41" i="20"/>
  <c r="BD41" i="20"/>
  <c r="BE41" i="20"/>
  <c r="BF41" i="20"/>
  <c r="BG41" i="20"/>
  <c r="BH41" i="20"/>
  <c r="BI41" i="20"/>
  <c r="BJ41" i="20"/>
  <c r="BK41" i="20"/>
  <c r="BL41" i="20"/>
  <c r="BM41" i="20"/>
  <c r="BN41" i="20"/>
  <c r="BO41" i="20"/>
  <c r="BP41" i="20"/>
  <c r="BQ41" i="20"/>
  <c r="BR41" i="20"/>
  <c r="BS41" i="20"/>
  <c r="BT41" i="20"/>
  <c r="BU41" i="20"/>
  <c r="BV41" i="20"/>
  <c r="BW41" i="20"/>
  <c r="BX41" i="20"/>
  <c r="BY41" i="20"/>
  <c r="BZ41" i="20"/>
  <c r="CA41" i="20"/>
  <c r="CB41" i="20"/>
  <c r="CC41" i="20"/>
  <c r="CD41" i="20"/>
  <c r="CE41" i="20"/>
  <c r="CF41" i="20"/>
  <c r="CG41" i="20"/>
  <c r="CH41" i="20"/>
  <c r="CI41" i="20"/>
  <c r="CJ41" i="20"/>
  <c r="CK41" i="20"/>
  <c r="CL41" i="20"/>
  <c r="CM41" i="20"/>
  <c r="CN41" i="20"/>
  <c r="CO41" i="20"/>
  <c r="CP41" i="20"/>
  <c r="CQ41" i="20"/>
  <c r="CR41" i="20"/>
  <c r="CS41" i="20"/>
  <c r="CT41" i="20"/>
  <c r="CU41" i="20"/>
  <c r="CV41" i="20"/>
  <c r="CW41" i="20"/>
  <c r="CX41" i="20"/>
  <c r="CY41" i="20"/>
  <c r="CZ41" i="20"/>
  <c r="DA41" i="20"/>
  <c r="DB41" i="20"/>
  <c r="DC41" i="20"/>
  <c r="DD41" i="20"/>
  <c r="DE41" i="20"/>
  <c r="DF41" i="20"/>
  <c r="DG41" i="20"/>
  <c r="DH41" i="20"/>
  <c r="DI41" i="20"/>
  <c r="DJ41" i="20"/>
  <c r="DK41" i="20"/>
  <c r="DL41" i="20"/>
  <c r="DM41" i="20"/>
  <c r="DN41" i="20"/>
  <c r="DO41" i="20"/>
  <c r="DP41" i="20"/>
  <c r="DQ41" i="20"/>
  <c r="DR41" i="20"/>
  <c r="DS41" i="20"/>
  <c r="DT41" i="20"/>
  <c r="DU41" i="20"/>
  <c r="DV41" i="20"/>
  <c r="DW41" i="20"/>
  <c r="DX41" i="20"/>
  <c r="DY41" i="20"/>
  <c r="DZ41" i="20"/>
  <c r="EA41" i="20"/>
  <c r="EB41" i="20"/>
  <c r="EC41" i="20"/>
  <c r="ED41" i="20"/>
  <c r="EE41" i="20"/>
  <c r="EF41" i="20"/>
  <c r="EG41" i="20"/>
  <c r="EH41" i="20"/>
  <c r="EI41" i="20"/>
  <c r="EJ41" i="20"/>
  <c r="EK41" i="20"/>
  <c r="EL41" i="20"/>
  <c r="EM41" i="20"/>
  <c r="EN41" i="20"/>
  <c r="EO41" i="20"/>
  <c r="EP41" i="20"/>
  <c r="EQ41" i="20"/>
  <c r="ER41" i="20"/>
  <c r="ES41" i="20"/>
  <c r="ET41" i="20"/>
  <c r="EU41" i="20"/>
  <c r="EV41" i="20"/>
  <c r="EW41" i="20"/>
  <c r="EX41" i="20"/>
  <c r="EY41" i="20"/>
  <c r="EZ41" i="20"/>
  <c r="FA41" i="20"/>
  <c r="FB41" i="20"/>
  <c r="FC41" i="20"/>
  <c r="FD41" i="20"/>
  <c r="FE41" i="20"/>
  <c r="FF41" i="20"/>
  <c r="FG41" i="20"/>
  <c r="FH41" i="20"/>
  <c r="FI41" i="20"/>
  <c r="FJ41" i="20"/>
  <c r="FK41" i="20"/>
  <c r="FL41" i="20"/>
  <c r="FM41" i="20"/>
  <c r="FN41" i="20"/>
  <c r="FO41" i="20"/>
  <c r="FP41" i="20"/>
  <c r="FQ41" i="20"/>
  <c r="FR41" i="20"/>
  <c r="FS41" i="20"/>
  <c r="FT41" i="20"/>
  <c r="FU41" i="20"/>
  <c r="FV41" i="20"/>
  <c r="FW41" i="20"/>
  <c r="FX41" i="20"/>
  <c r="FY41" i="20"/>
  <c r="FZ41" i="20"/>
  <c r="GA41" i="20"/>
  <c r="GB41" i="20"/>
  <c r="GC41" i="20"/>
  <c r="GD41" i="20"/>
  <c r="GE41" i="20"/>
  <c r="GF41" i="20"/>
  <c r="GG41" i="20"/>
  <c r="GH41" i="20"/>
  <c r="GI41" i="20"/>
  <c r="GJ41" i="20"/>
  <c r="GK41" i="20"/>
  <c r="GL41" i="20"/>
  <c r="GM41" i="20"/>
  <c r="GN41" i="20"/>
  <c r="GO41" i="20"/>
  <c r="GP41" i="20"/>
  <c r="GQ41" i="20"/>
  <c r="GR41" i="20"/>
  <c r="GS41" i="20"/>
  <c r="GT41" i="20"/>
  <c r="GU41" i="20"/>
  <c r="GV41" i="20"/>
  <c r="GW41" i="20"/>
  <c r="GX41" i="20"/>
  <c r="GY41" i="20"/>
  <c r="GZ41" i="20"/>
  <c r="HA41" i="20"/>
  <c r="HB41" i="20"/>
  <c r="HC41" i="20"/>
  <c r="AR42" i="20"/>
  <c r="AS42" i="20"/>
  <c r="AT42" i="20"/>
  <c r="AU42" i="20"/>
  <c r="AV42" i="20"/>
  <c r="AW42" i="20"/>
  <c r="AX42" i="20"/>
  <c r="AY42" i="20"/>
  <c r="AZ42" i="20"/>
  <c r="BA42" i="20"/>
  <c r="BB42" i="20"/>
  <c r="BC42" i="20"/>
  <c r="BD42" i="20"/>
  <c r="BE42" i="20"/>
  <c r="BF42" i="20"/>
  <c r="BG42" i="20"/>
  <c r="BH42" i="20"/>
  <c r="BI42" i="20"/>
  <c r="BJ42" i="20"/>
  <c r="BK42" i="20"/>
  <c r="BL42" i="20"/>
  <c r="BM42" i="20"/>
  <c r="BN42" i="20"/>
  <c r="BO42" i="20"/>
  <c r="BP42" i="20"/>
  <c r="BQ42" i="20"/>
  <c r="BR42" i="20"/>
  <c r="BS42" i="20"/>
  <c r="BT42" i="20"/>
  <c r="BU42" i="20"/>
  <c r="BV42" i="20"/>
  <c r="BW42" i="20"/>
  <c r="BX42" i="20"/>
  <c r="BY42" i="20"/>
  <c r="BZ42" i="20"/>
  <c r="CA42" i="20"/>
  <c r="CB42" i="20"/>
  <c r="CC42" i="20"/>
  <c r="CD42" i="20"/>
  <c r="CE42" i="20"/>
  <c r="CF42" i="20"/>
  <c r="CG42" i="20"/>
  <c r="CH42" i="20"/>
  <c r="CI42" i="20"/>
  <c r="CJ42" i="20"/>
  <c r="CK42" i="20"/>
  <c r="CL42" i="20"/>
  <c r="CM42" i="20"/>
  <c r="CN42" i="20"/>
  <c r="CO42" i="20"/>
  <c r="CP42" i="20"/>
  <c r="CQ42" i="20"/>
  <c r="CR42" i="20"/>
  <c r="CS42" i="20"/>
  <c r="CT42" i="20"/>
  <c r="CU42" i="20"/>
  <c r="CV42" i="20"/>
  <c r="CW42" i="20"/>
  <c r="CX42" i="20"/>
  <c r="CY42" i="20"/>
  <c r="CZ42" i="20"/>
  <c r="DA42" i="20"/>
  <c r="DB42" i="20"/>
  <c r="DC42" i="20"/>
  <c r="DD42" i="20"/>
  <c r="DE42" i="20"/>
  <c r="DF42" i="20"/>
  <c r="DG42" i="20"/>
  <c r="DH42" i="20"/>
  <c r="DI42" i="20"/>
  <c r="DJ42" i="20"/>
  <c r="DK42" i="20"/>
  <c r="DL42" i="20"/>
  <c r="DM42" i="20"/>
  <c r="DN42" i="20"/>
  <c r="DO42" i="20"/>
  <c r="DP42" i="20"/>
  <c r="DQ42" i="20"/>
  <c r="DR42" i="20"/>
  <c r="DS42" i="20"/>
  <c r="DT42" i="20"/>
  <c r="DU42" i="20"/>
  <c r="DV42" i="20"/>
  <c r="DW42" i="20"/>
  <c r="DX42" i="20"/>
  <c r="DY42" i="20"/>
  <c r="DZ42" i="20"/>
  <c r="EA42" i="20"/>
  <c r="EB42" i="20"/>
  <c r="EC42" i="20"/>
  <c r="ED42" i="20"/>
  <c r="EE42" i="20"/>
  <c r="EF42" i="20"/>
  <c r="EG42" i="20"/>
  <c r="EH42" i="20"/>
  <c r="EI42" i="20"/>
  <c r="EJ42" i="20"/>
  <c r="EK42" i="20"/>
  <c r="EL42" i="20"/>
  <c r="EM42" i="20"/>
  <c r="EN42" i="20"/>
  <c r="EO42" i="20"/>
  <c r="EP42" i="20"/>
  <c r="EQ42" i="20"/>
  <c r="ER42" i="20"/>
  <c r="ES42" i="20"/>
  <c r="ET42" i="20"/>
  <c r="EU42" i="20"/>
  <c r="EV42" i="20"/>
  <c r="EW42" i="20"/>
  <c r="EX42" i="20"/>
  <c r="EY42" i="20"/>
  <c r="EZ42" i="20"/>
  <c r="FA42" i="20"/>
  <c r="FB42" i="20"/>
  <c r="FC42" i="20"/>
  <c r="FD42" i="20"/>
  <c r="FE42" i="20"/>
  <c r="FF42" i="20"/>
  <c r="FG42" i="20"/>
  <c r="FH42" i="20"/>
  <c r="FI42" i="20"/>
  <c r="FJ42" i="20"/>
  <c r="FK42" i="20"/>
  <c r="FL42" i="20"/>
  <c r="FM42" i="20"/>
  <c r="FN42" i="20"/>
  <c r="FO42" i="20"/>
  <c r="FP42" i="20"/>
  <c r="FQ42" i="20"/>
  <c r="FR42" i="20"/>
  <c r="FS42" i="20"/>
  <c r="FT42" i="20"/>
  <c r="FU42" i="20"/>
  <c r="FV42" i="20"/>
  <c r="FW42" i="20"/>
  <c r="FX42" i="20"/>
  <c r="FY42" i="20"/>
  <c r="FZ42" i="20"/>
  <c r="GA42" i="20"/>
  <c r="GB42" i="20"/>
  <c r="GC42" i="20"/>
  <c r="GD42" i="20"/>
  <c r="GE42" i="20"/>
  <c r="GF42" i="20"/>
  <c r="GG42" i="20"/>
  <c r="GH42" i="20"/>
  <c r="GI42" i="20"/>
  <c r="GJ42" i="20"/>
  <c r="GK42" i="20"/>
  <c r="GL42" i="20"/>
  <c r="GM42" i="20"/>
  <c r="GN42" i="20"/>
  <c r="GO42" i="20"/>
  <c r="GP42" i="20"/>
  <c r="GQ42" i="20"/>
  <c r="GR42" i="20"/>
  <c r="GS42" i="20"/>
  <c r="GT42" i="20"/>
  <c r="GU42" i="20"/>
  <c r="GV42" i="20"/>
  <c r="GW42" i="20"/>
  <c r="GX42" i="20"/>
  <c r="GY42" i="20"/>
  <c r="GZ42" i="20"/>
  <c r="HA42" i="20"/>
  <c r="HB42" i="20"/>
  <c r="HC42" i="20"/>
  <c r="AR43" i="20"/>
  <c r="AS43" i="20"/>
  <c r="AT43" i="20"/>
  <c r="AU43" i="20"/>
  <c r="AV43" i="20"/>
  <c r="AW43" i="20"/>
  <c r="AX43" i="20"/>
  <c r="AY43" i="20"/>
  <c r="AZ43" i="20"/>
  <c r="BA43" i="20"/>
  <c r="BB43" i="20"/>
  <c r="BC43" i="20"/>
  <c r="BD43" i="20"/>
  <c r="BE43" i="20"/>
  <c r="BF43" i="20"/>
  <c r="BG43" i="20"/>
  <c r="BH43" i="20"/>
  <c r="BI43" i="20"/>
  <c r="BJ43" i="20"/>
  <c r="BK43" i="20"/>
  <c r="BL43" i="20"/>
  <c r="BM43" i="20"/>
  <c r="BN43" i="20"/>
  <c r="BO43" i="20"/>
  <c r="BP43" i="20"/>
  <c r="BQ43" i="20"/>
  <c r="BR43" i="20"/>
  <c r="BS43" i="20"/>
  <c r="BT43" i="20"/>
  <c r="BU43" i="20"/>
  <c r="BV43" i="20"/>
  <c r="BW43" i="20"/>
  <c r="BX43" i="20"/>
  <c r="BY43" i="20"/>
  <c r="BZ43" i="20"/>
  <c r="CA43" i="20"/>
  <c r="CB43" i="20"/>
  <c r="CC43" i="20"/>
  <c r="CD43" i="20"/>
  <c r="CE43" i="20"/>
  <c r="CF43" i="20"/>
  <c r="CG43" i="20"/>
  <c r="CH43" i="20"/>
  <c r="CI43" i="20"/>
  <c r="CJ43" i="20"/>
  <c r="CK43" i="20"/>
  <c r="CL43" i="20"/>
  <c r="CM43" i="20"/>
  <c r="CN43" i="20"/>
  <c r="CO43" i="20"/>
  <c r="CP43" i="20"/>
  <c r="CQ43" i="20"/>
  <c r="CR43" i="20"/>
  <c r="CS43" i="20"/>
  <c r="CT43" i="20"/>
  <c r="CU43" i="20"/>
  <c r="CV43" i="20"/>
  <c r="CW43" i="20"/>
  <c r="CX43" i="20"/>
  <c r="CY43" i="20"/>
  <c r="CZ43" i="20"/>
  <c r="DA43" i="20"/>
  <c r="DB43" i="20"/>
  <c r="DC43" i="20"/>
  <c r="DD43" i="20"/>
  <c r="DE43" i="20"/>
  <c r="DF43" i="20"/>
  <c r="DG43" i="20"/>
  <c r="DH43" i="20"/>
  <c r="DI43" i="20"/>
  <c r="DJ43" i="20"/>
  <c r="DK43" i="20"/>
  <c r="DL43" i="20"/>
  <c r="DM43" i="20"/>
  <c r="DN43" i="20"/>
  <c r="DO43" i="20"/>
  <c r="DP43" i="20"/>
  <c r="DQ43" i="20"/>
  <c r="DR43" i="20"/>
  <c r="DS43" i="20"/>
  <c r="DT43" i="20"/>
  <c r="DU43" i="20"/>
  <c r="DV43" i="20"/>
  <c r="DW43" i="20"/>
  <c r="DX43" i="20"/>
  <c r="DY43" i="20"/>
  <c r="DZ43" i="20"/>
  <c r="EA43" i="20"/>
  <c r="EB43" i="20"/>
  <c r="EC43" i="20"/>
  <c r="ED43" i="20"/>
  <c r="EE43" i="20"/>
  <c r="EF43" i="20"/>
  <c r="EG43" i="20"/>
  <c r="EH43" i="20"/>
  <c r="EI43" i="20"/>
  <c r="EJ43" i="20"/>
  <c r="EK43" i="20"/>
  <c r="EL43" i="20"/>
  <c r="EM43" i="20"/>
  <c r="EN43" i="20"/>
  <c r="EO43" i="20"/>
  <c r="EP43" i="20"/>
  <c r="EQ43" i="20"/>
  <c r="ER43" i="20"/>
  <c r="ES43" i="20"/>
  <c r="ET43" i="20"/>
  <c r="EU43" i="20"/>
  <c r="EV43" i="20"/>
  <c r="EW43" i="20"/>
  <c r="EX43" i="20"/>
  <c r="EY43" i="20"/>
  <c r="EZ43" i="20"/>
  <c r="FA43" i="20"/>
  <c r="FB43" i="20"/>
  <c r="FC43" i="20"/>
  <c r="FD43" i="20"/>
  <c r="FE43" i="20"/>
  <c r="FF43" i="20"/>
  <c r="FG43" i="20"/>
  <c r="FH43" i="20"/>
  <c r="FI43" i="20"/>
  <c r="FJ43" i="20"/>
  <c r="FK43" i="20"/>
  <c r="FL43" i="20"/>
  <c r="FM43" i="20"/>
  <c r="FN43" i="20"/>
  <c r="FO43" i="20"/>
  <c r="FP43" i="20"/>
  <c r="FQ43" i="20"/>
  <c r="FR43" i="20"/>
  <c r="FS43" i="20"/>
  <c r="FT43" i="20"/>
  <c r="FU43" i="20"/>
  <c r="FV43" i="20"/>
  <c r="FW43" i="20"/>
  <c r="FX43" i="20"/>
  <c r="FY43" i="20"/>
  <c r="FZ43" i="20"/>
  <c r="GA43" i="20"/>
  <c r="GB43" i="20"/>
  <c r="GC43" i="20"/>
  <c r="GD43" i="20"/>
  <c r="GE43" i="20"/>
  <c r="GF43" i="20"/>
  <c r="GG43" i="20"/>
  <c r="GH43" i="20"/>
  <c r="GI43" i="20"/>
  <c r="GJ43" i="20"/>
  <c r="GK43" i="20"/>
  <c r="GL43" i="20"/>
  <c r="GM43" i="20"/>
  <c r="GN43" i="20"/>
  <c r="GO43" i="20"/>
  <c r="GP43" i="20"/>
  <c r="GQ43" i="20"/>
  <c r="GR43" i="20"/>
  <c r="GS43" i="20"/>
  <c r="GT43" i="20"/>
  <c r="GU43" i="20"/>
  <c r="GV43" i="20"/>
  <c r="GW43" i="20"/>
  <c r="GX43" i="20"/>
  <c r="GY43" i="20"/>
  <c r="GZ43" i="20"/>
  <c r="HA43" i="20"/>
  <c r="HB43" i="20"/>
  <c r="HC43" i="20"/>
  <c r="AR44" i="20"/>
  <c r="AS44" i="20"/>
  <c r="AT44" i="20"/>
  <c r="AU44" i="20"/>
  <c r="AV44" i="20"/>
  <c r="AW44" i="20"/>
  <c r="AX44" i="20"/>
  <c r="AY44" i="20"/>
  <c r="AZ44" i="20"/>
  <c r="BA44" i="20"/>
  <c r="BB44" i="20"/>
  <c r="BC44" i="20"/>
  <c r="BD44" i="20"/>
  <c r="BE44" i="20"/>
  <c r="BF44" i="20"/>
  <c r="BG44" i="20"/>
  <c r="BH44" i="20"/>
  <c r="BI44" i="20"/>
  <c r="BJ44" i="20"/>
  <c r="BK44" i="20"/>
  <c r="BL44" i="20"/>
  <c r="BM44" i="20"/>
  <c r="BN44" i="20"/>
  <c r="BO44" i="20"/>
  <c r="BP44" i="20"/>
  <c r="BQ44" i="20"/>
  <c r="BR44" i="20"/>
  <c r="BS44" i="20"/>
  <c r="BT44" i="20"/>
  <c r="BU44" i="20"/>
  <c r="BV44" i="20"/>
  <c r="BW44" i="20"/>
  <c r="BX44" i="20"/>
  <c r="BY44" i="20"/>
  <c r="BZ44" i="20"/>
  <c r="CA44" i="20"/>
  <c r="CB44" i="20"/>
  <c r="CC44" i="20"/>
  <c r="CD44" i="20"/>
  <c r="CE44" i="20"/>
  <c r="CF44" i="20"/>
  <c r="CG44" i="20"/>
  <c r="CH44" i="20"/>
  <c r="CI44" i="20"/>
  <c r="CJ44" i="20"/>
  <c r="CK44" i="20"/>
  <c r="CL44" i="20"/>
  <c r="CM44" i="20"/>
  <c r="CN44" i="20"/>
  <c r="CO44" i="20"/>
  <c r="CP44" i="20"/>
  <c r="CQ44" i="20"/>
  <c r="CR44" i="20"/>
  <c r="CS44" i="20"/>
  <c r="CT44" i="20"/>
  <c r="CU44" i="20"/>
  <c r="CV44" i="20"/>
  <c r="CW44" i="20"/>
  <c r="CX44" i="20"/>
  <c r="CY44" i="20"/>
  <c r="CZ44" i="20"/>
  <c r="DA44" i="20"/>
  <c r="DB44" i="20"/>
  <c r="DC44" i="20"/>
  <c r="DD44" i="20"/>
  <c r="DE44" i="20"/>
  <c r="DF44" i="20"/>
  <c r="DG44" i="20"/>
  <c r="DH44" i="20"/>
  <c r="DI44" i="20"/>
  <c r="DJ44" i="20"/>
  <c r="DK44" i="20"/>
  <c r="DL44" i="20"/>
  <c r="DM44" i="20"/>
  <c r="DN44" i="20"/>
  <c r="DO44" i="20"/>
  <c r="DP44" i="20"/>
  <c r="DQ44" i="20"/>
  <c r="DR44" i="20"/>
  <c r="DS44" i="20"/>
  <c r="DT44" i="20"/>
  <c r="DU44" i="20"/>
  <c r="DV44" i="20"/>
  <c r="DW44" i="20"/>
  <c r="DX44" i="20"/>
  <c r="DY44" i="20"/>
  <c r="DZ44" i="20"/>
  <c r="EA44" i="20"/>
  <c r="EB44" i="20"/>
  <c r="EC44" i="20"/>
  <c r="ED44" i="20"/>
  <c r="EE44" i="20"/>
  <c r="EF44" i="20"/>
  <c r="EG44" i="20"/>
  <c r="EH44" i="20"/>
  <c r="EI44" i="20"/>
  <c r="EJ44" i="20"/>
  <c r="EK44" i="20"/>
  <c r="EL44" i="20"/>
  <c r="EM44" i="20"/>
  <c r="EN44" i="20"/>
  <c r="EO44" i="20"/>
  <c r="EP44" i="20"/>
  <c r="EQ44" i="20"/>
  <c r="ER44" i="20"/>
  <c r="ES44" i="20"/>
  <c r="ET44" i="20"/>
  <c r="EU44" i="20"/>
  <c r="EV44" i="20"/>
  <c r="EW44" i="20"/>
  <c r="EX44" i="20"/>
  <c r="EY44" i="20"/>
  <c r="EZ44" i="20"/>
  <c r="FA44" i="20"/>
  <c r="FB44" i="20"/>
  <c r="FC44" i="20"/>
  <c r="FD44" i="20"/>
  <c r="FE44" i="20"/>
  <c r="FF44" i="20"/>
  <c r="FG44" i="20"/>
  <c r="FH44" i="20"/>
  <c r="FI44" i="20"/>
  <c r="FJ44" i="20"/>
  <c r="FK44" i="20"/>
  <c r="FL44" i="20"/>
  <c r="FM44" i="20"/>
  <c r="FN44" i="20"/>
  <c r="FO44" i="20"/>
  <c r="FP44" i="20"/>
  <c r="FQ44" i="20"/>
  <c r="FR44" i="20"/>
  <c r="FS44" i="20"/>
  <c r="FT44" i="20"/>
  <c r="FU44" i="20"/>
  <c r="FV44" i="20"/>
  <c r="FW44" i="20"/>
  <c r="FX44" i="20"/>
  <c r="FY44" i="20"/>
  <c r="FZ44" i="20"/>
  <c r="GA44" i="20"/>
  <c r="GB44" i="20"/>
  <c r="GC44" i="20"/>
  <c r="GD44" i="20"/>
  <c r="GE44" i="20"/>
  <c r="GF44" i="20"/>
  <c r="GG44" i="20"/>
  <c r="GH44" i="20"/>
  <c r="GI44" i="20"/>
  <c r="GJ44" i="20"/>
  <c r="GK44" i="20"/>
  <c r="GL44" i="20"/>
  <c r="GM44" i="20"/>
  <c r="GN44" i="20"/>
  <c r="GO44" i="20"/>
  <c r="GP44" i="20"/>
  <c r="GQ44" i="20"/>
  <c r="GR44" i="20"/>
  <c r="GS44" i="20"/>
  <c r="GT44" i="20"/>
  <c r="GU44" i="20"/>
  <c r="GV44" i="20"/>
  <c r="GW44" i="20"/>
  <c r="GX44" i="20"/>
  <c r="GY44" i="20"/>
  <c r="GZ44" i="20"/>
  <c r="HA44" i="20"/>
  <c r="HB44" i="20"/>
  <c r="HC44" i="20"/>
  <c r="AR45" i="20"/>
  <c r="AS45" i="20"/>
  <c r="AT45" i="20"/>
  <c r="AU45" i="20"/>
  <c r="AV45" i="20"/>
  <c r="AW45" i="20"/>
  <c r="AX45" i="20"/>
  <c r="AY45" i="20"/>
  <c r="AZ45" i="20"/>
  <c r="BA45" i="20"/>
  <c r="BB45" i="20"/>
  <c r="BC45" i="20"/>
  <c r="BD45" i="20"/>
  <c r="BE45" i="20"/>
  <c r="BF45" i="20"/>
  <c r="BG45" i="20"/>
  <c r="BH45" i="20"/>
  <c r="BI45" i="20"/>
  <c r="BJ45" i="20"/>
  <c r="BK45" i="20"/>
  <c r="BL45" i="20"/>
  <c r="BM45" i="20"/>
  <c r="BN45" i="20"/>
  <c r="BO45" i="20"/>
  <c r="BP45" i="20"/>
  <c r="BQ45" i="20"/>
  <c r="BR45" i="20"/>
  <c r="BS45" i="20"/>
  <c r="BT45" i="20"/>
  <c r="BU45" i="20"/>
  <c r="BV45" i="20"/>
  <c r="BW45" i="20"/>
  <c r="BX45" i="20"/>
  <c r="BY45" i="20"/>
  <c r="BZ45" i="20"/>
  <c r="CA45" i="20"/>
  <c r="CB45" i="20"/>
  <c r="CC45" i="20"/>
  <c r="CD45" i="20"/>
  <c r="CE45" i="20"/>
  <c r="CF45" i="20"/>
  <c r="CG45" i="20"/>
  <c r="CH45" i="20"/>
  <c r="CI45" i="20"/>
  <c r="CJ45" i="20"/>
  <c r="CK45" i="20"/>
  <c r="CL45" i="20"/>
  <c r="CM45" i="20"/>
  <c r="CN45" i="20"/>
  <c r="CO45" i="20"/>
  <c r="CP45" i="20"/>
  <c r="CQ45" i="20"/>
  <c r="CR45" i="20"/>
  <c r="CS45" i="20"/>
  <c r="CT45" i="20"/>
  <c r="CU45" i="20"/>
  <c r="CV45" i="20"/>
  <c r="CW45" i="20"/>
  <c r="CX45" i="20"/>
  <c r="CY45" i="20"/>
  <c r="CZ45" i="20"/>
  <c r="DA45" i="20"/>
  <c r="DB45" i="20"/>
  <c r="DC45" i="20"/>
  <c r="DD45" i="20"/>
  <c r="DE45" i="20"/>
  <c r="DF45" i="20"/>
  <c r="DG45" i="20"/>
  <c r="DH45" i="20"/>
  <c r="DI45" i="20"/>
  <c r="DJ45" i="20"/>
  <c r="DK45" i="20"/>
  <c r="DL45" i="20"/>
  <c r="DM45" i="20"/>
  <c r="DN45" i="20"/>
  <c r="DO45" i="20"/>
  <c r="DP45" i="20"/>
  <c r="DQ45" i="20"/>
  <c r="DR45" i="20"/>
  <c r="DS45" i="20"/>
  <c r="DT45" i="20"/>
  <c r="DU45" i="20"/>
  <c r="DV45" i="20"/>
  <c r="DW45" i="20"/>
  <c r="DX45" i="20"/>
  <c r="DY45" i="20"/>
  <c r="DZ45" i="20"/>
  <c r="EA45" i="20"/>
  <c r="EB45" i="20"/>
  <c r="EC45" i="20"/>
  <c r="ED45" i="20"/>
  <c r="EE45" i="20"/>
  <c r="EF45" i="20"/>
  <c r="EG45" i="20"/>
  <c r="EH45" i="20"/>
  <c r="EI45" i="20"/>
  <c r="EJ45" i="20"/>
  <c r="EK45" i="20"/>
  <c r="EL45" i="20"/>
  <c r="EM45" i="20"/>
  <c r="EN45" i="20"/>
  <c r="EO45" i="20"/>
  <c r="EP45" i="20"/>
  <c r="EQ45" i="20"/>
  <c r="ER45" i="20"/>
  <c r="ES45" i="20"/>
  <c r="ET45" i="20"/>
  <c r="EU45" i="20"/>
  <c r="EV45" i="20"/>
  <c r="EW45" i="20"/>
  <c r="EX45" i="20"/>
  <c r="EY45" i="20"/>
  <c r="EZ45" i="20"/>
  <c r="FA45" i="20"/>
  <c r="FB45" i="20"/>
  <c r="FC45" i="20"/>
  <c r="FD45" i="20"/>
  <c r="FE45" i="20"/>
  <c r="FF45" i="20"/>
  <c r="FG45" i="20"/>
  <c r="FH45" i="20"/>
  <c r="FI45" i="20"/>
  <c r="FJ45" i="20"/>
  <c r="FK45" i="20"/>
  <c r="FL45" i="20"/>
  <c r="FM45" i="20"/>
  <c r="FN45" i="20"/>
  <c r="FO45" i="20"/>
  <c r="FP45" i="20"/>
  <c r="FQ45" i="20"/>
  <c r="FR45" i="20"/>
  <c r="FS45" i="20"/>
  <c r="FT45" i="20"/>
  <c r="FU45" i="20"/>
  <c r="FV45" i="20"/>
  <c r="FW45" i="20"/>
  <c r="FX45" i="20"/>
  <c r="FY45" i="20"/>
  <c r="FZ45" i="20"/>
  <c r="GA45" i="20"/>
  <c r="GB45" i="20"/>
  <c r="GC45" i="20"/>
  <c r="GD45" i="20"/>
  <c r="GE45" i="20"/>
  <c r="GF45" i="20"/>
  <c r="GG45" i="20"/>
  <c r="GH45" i="20"/>
  <c r="GI45" i="20"/>
  <c r="GJ45" i="20"/>
  <c r="GK45" i="20"/>
  <c r="GL45" i="20"/>
  <c r="GM45" i="20"/>
  <c r="GN45" i="20"/>
  <c r="GO45" i="20"/>
  <c r="GP45" i="20"/>
  <c r="GQ45" i="20"/>
  <c r="GR45" i="20"/>
  <c r="GS45" i="20"/>
  <c r="GT45" i="20"/>
  <c r="GU45" i="20"/>
  <c r="GV45" i="20"/>
  <c r="GW45" i="20"/>
  <c r="GX45" i="20"/>
  <c r="GY45" i="20"/>
  <c r="GZ45" i="20"/>
  <c r="HA45" i="20"/>
  <c r="HB45" i="20"/>
  <c r="HC45" i="20"/>
  <c r="AR46" i="20"/>
  <c r="AS46" i="20"/>
  <c r="AT46" i="20"/>
  <c r="AU46" i="20"/>
  <c r="AV46" i="20"/>
  <c r="AW46" i="20"/>
  <c r="AX46" i="20"/>
  <c r="AY46" i="20"/>
  <c r="AZ46" i="20"/>
  <c r="BA46" i="20"/>
  <c r="BB46" i="20"/>
  <c r="BC46" i="20"/>
  <c r="BD46" i="20"/>
  <c r="BE46" i="20"/>
  <c r="BF46" i="20"/>
  <c r="BG46" i="20"/>
  <c r="BH46" i="20"/>
  <c r="BI46" i="20"/>
  <c r="BJ46" i="20"/>
  <c r="BK46" i="20"/>
  <c r="BL46" i="20"/>
  <c r="BM46" i="20"/>
  <c r="BN46" i="20"/>
  <c r="BO46" i="20"/>
  <c r="BP46" i="20"/>
  <c r="BQ46" i="20"/>
  <c r="BR46" i="20"/>
  <c r="BS46" i="20"/>
  <c r="BT46" i="20"/>
  <c r="BU46" i="20"/>
  <c r="BV46" i="20"/>
  <c r="BW46" i="20"/>
  <c r="BX46" i="20"/>
  <c r="BY46" i="20"/>
  <c r="BZ46" i="20"/>
  <c r="CA46" i="20"/>
  <c r="CB46" i="20"/>
  <c r="CC46" i="20"/>
  <c r="CD46" i="20"/>
  <c r="CE46" i="20"/>
  <c r="CF46" i="20"/>
  <c r="CG46" i="20"/>
  <c r="CH46" i="20"/>
  <c r="CI46" i="20"/>
  <c r="CJ46" i="20"/>
  <c r="CK46" i="20"/>
  <c r="CL46" i="20"/>
  <c r="CM46" i="20"/>
  <c r="CN46" i="20"/>
  <c r="CO46" i="20"/>
  <c r="CP46" i="20"/>
  <c r="CQ46" i="20"/>
  <c r="CR46" i="20"/>
  <c r="CS46" i="20"/>
  <c r="CT46" i="20"/>
  <c r="CU46" i="20"/>
  <c r="CV46" i="20"/>
  <c r="CW46" i="20"/>
  <c r="CX46" i="20"/>
  <c r="CY46" i="20"/>
  <c r="CZ46" i="20"/>
  <c r="DA46" i="20"/>
  <c r="DB46" i="20"/>
  <c r="DC46" i="20"/>
  <c r="DD46" i="20"/>
  <c r="DE46" i="20"/>
  <c r="DF46" i="20"/>
  <c r="DG46" i="20"/>
  <c r="DH46" i="20"/>
  <c r="DI46" i="20"/>
  <c r="DJ46" i="20"/>
  <c r="DK46" i="20"/>
  <c r="DL46" i="20"/>
  <c r="DM46" i="20"/>
  <c r="DN46" i="20"/>
  <c r="DO46" i="20"/>
  <c r="DP46" i="20"/>
  <c r="DQ46" i="20"/>
  <c r="DR46" i="20"/>
  <c r="DS46" i="20"/>
  <c r="DT46" i="20"/>
  <c r="DU46" i="20"/>
  <c r="DV46" i="20"/>
  <c r="DW46" i="20"/>
  <c r="DX46" i="20"/>
  <c r="DY46" i="20"/>
  <c r="DZ46" i="20"/>
  <c r="EA46" i="20"/>
  <c r="EB46" i="20"/>
  <c r="EC46" i="20"/>
  <c r="ED46" i="20"/>
  <c r="EE46" i="20"/>
  <c r="EF46" i="20"/>
  <c r="EG46" i="20"/>
  <c r="EH46" i="20"/>
  <c r="EI46" i="20"/>
  <c r="EJ46" i="20"/>
  <c r="EK46" i="20"/>
  <c r="EL46" i="20"/>
  <c r="EM46" i="20"/>
  <c r="EN46" i="20"/>
  <c r="EO46" i="20"/>
  <c r="EP46" i="20"/>
  <c r="EQ46" i="20"/>
  <c r="ER46" i="20"/>
  <c r="ES46" i="20"/>
  <c r="ET46" i="20"/>
  <c r="EU46" i="20"/>
  <c r="EV46" i="20"/>
  <c r="EW46" i="20"/>
  <c r="EX46" i="20"/>
  <c r="EY46" i="20"/>
  <c r="EZ46" i="20"/>
  <c r="FA46" i="20"/>
  <c r="FB46" i="20"/>
  <c r="FC46" i="20"/>
  <c r="FD46" i="20"/>
  <c r="FE46" i="20"/>
  <c r="FF46" i="20"/>
  <c r="FG46" i="20"/>
  <c r="FH46" i="20"/>
  <c r="FI46" i="20"/>
  <c r="FJ46" i="20"/>
  <c r="FK46" i="20"/>
  <c r="FL46" i="20"/>
  <c r="FM46" i="20"/>
  <c r="FN46" i="20"/>
  <c r="FO46" i="20"/>
  <c r="FP46" i="20"/>
  <c r="FQ46" i="20"/>
  <c r="FR46" i="20"/>
  <c r="FS46" i="20"/>
  <c r="FT46" i="20"/>
  <c r="FU46" i="20"/>
  <c r="FV46" i="20"/>
  <c r="FW46" i="20"/>
  <c r="FX46" i="20"/>
  <c r="FY46" i="20"/>
  <c r="FZ46" i="20"/>
  <c r="GA46" i="20"/>
  <c r="GB46" i="20"/>
  <c r="GC46" i="20"/>
  <c r="GD46" i="20"/>
  <c r="GE46" i="20"/>
  <c r="GF46" i="20"/>
  <c r="GG46" i="20"/>
  <c r="GH46" i="20"/>
  <c r="GI46" i="20"/>
  <c r="GJ46" i="20"/>
  <c r="GK46" i="20"/>
  <c r="GL46" i="20"/>
  <c r="GM46" i="20"/>
  <c r="GN46" i="20"/>
  <c r="GO46" i="20"/>
  <c r="GP46" i="20"/>
  <c r="GQ46" i="20"/>
  <c r="GR46" i="20"/>
  <c r="GS46" i="20"/>
  <c r="GT46" i="20"/>
  <c r="GU46" i="20"/>
  <c r="GV46" i="20"/>
  <c r="GW46" i="20"/>
  <c r="GX46" i="20"/>
  <c r="GY46" i="20"/>
  <c r="GZ46" i="20"/>
  <c r="HA46" i="20"/>
  <c r="HB46" i="20"/>
  <c r="HC46" i="20"/>
  <c r="AR47" i="20"/>
  <c r="AS47" i="20"/>
  <c r="AT47" i="20"/>
  <c r="AU47" i="20"/>
  <c r="AV47" i="20"/>
  <c r="AW47" i="20"/>
  <c r="AX47" i="20"/>
  <c r="AY47" i="20"/>
  <c r="AZ47" i="20"/>
  <c r="BA47" i="20"/>
  <c r="BB47" i="20"/>
  <c r="BC47" i="20"/>
  <c r="BD47" i="20"/>
  <c r="BE47" i="20"/>
  <c r="BF47" i="20"/>
  <c r="BG47" i="20"/>
  <c r="BH47" i="20"/>
  <c r="BI47" i="20"/>
  <c r="BJ47" i="20"/>
  <c r="BK47" i="20"/>
  <c r="BL47" i="20"/>
  <c r="BM47" i="20"/>
  <c r="BN47" i="20"/>
  <c r="BO47" i="20"/>
  <c r="BP47" i="20"/>
  <c r="BQ47" i="20"/>
  <c r="BR47" i="20"/>
  <c r="BS47" i="20"/>
  <c r="BT47" i="20"/>
  <c r="BU47" i="20"/>
  <c r="BV47" i="20"/>
  <c r="BW47" i="20"/>
  <c r="BX47" i="20"/>
  <c r="BY47" i="20"/>
  <c r="BZ47" i="20"/>
  <c r="CA47" i="20"/>
  <c r="CB47" i="20"/>
  <c r="CC47" i="20"/>
  <c r="CD47" i="20"/>
  <c r="CE47" i="20"/>
  <c r="CF47" i="20"/>
  <c r="CG47" i="20"/>
  <c r="CH47" i="20"/>
  <c r="CI47" i="20"/>
  <c r="CJ47" i="20"/>
  <c r="CK47" i="20"/>
  <c r="CL47" i="20"/>
  <c r="CM47" i="20"/>
  <c r="CN47" i="20"/>
  <c r="CO47" i="20"/>
  <c r="CP47" i="20"/>
  <c r="CQ47" i="20"/>
  <c r="CR47" i="20"/>
  <c r="CS47" i="20"/>
  <c r="CT47" i="20"/>
  <c r="CU47" i="20"/>
  <c r="CV47" i="20"/>
  <c r="CW47" i="20"/>
  <c r="CX47" i="20"/>
  <c r="CY47" i="20"/>
  <c r="CZ47" i="20"/>
  <c r="DA47" i="20"/>
  <c r="DB47" i="20"/>
  <c r="DC47" i="20"/>
  <c r="DD47" i="20"/>
  <c r="DE47" i="20"/>
  <c r="DF47" i="20"/>
  <c r="DG47" i="20"/>
  <c r="DH47" i="20"/>
  <c r="DI47" i="20"/>
  <c r="DJ47" i="20"/>
  <c r="DK47" i="20"/>
  <c r="DL47" i="20"/>
  <c r="DM47" i="20"/>
  <c r="DN47" i="20"/>
  <c r="DO47" i="20"/>
  <c r="DP47" i="20"/>
  <c r="DQ47" i="20"/>
  <c r="DR47" i="20"/>
  <c r="DS47" i="20"/>
  <c r="DT47" i="20"/>
  <c r="DU47" i="20"/>
  <c r="DV47" i="20"/>
  <c r="DW47" i="20"/>
  <c r="DX47" i="20"/>
  <c r="DY47" i="20"/>
  <c r="DZ47" i="20"/>
  <c r="EA47" i="20"/>
  <c r="EB47" i="20"/>
  <c r="EC47" i="20"/>
  <c r="ED47" i="20"/>
  <c r="EE47" i="20"/>
  <c r="EF47" i="20"/>
  <c r="EG47" i="20"/>
  <c r="EH47" i="20"/>
  <c r="EI47" i="20"/>
  <c r="EJ47" i="20"/>
  <c r="EK47" i="20"/>
  <c r="EL47" i="20"/>
  <c r="EM47" i="20"/>
  <c r="EN47" i="20"/>
  <c r="EO47" i="20"/>
  <c r="EP47" i="20"/>
  <c r="EQ47" i="20"/>
  <c r="ER47" i="20"/>
  <c r="ES47" i="20"/>
  <c r="ET47" i="20"/>
  <c r="EU47" i="20"/>
  <c r="EV47" i="20"/>
  <c r="EW47" i="20"/>
  <c r="EX47" i="20"/>
  <c r="EY47" i="20"/>
  <c r="EZ47" i="20"/>
  <c r="FA47" i="20"/>
  <c r="FB47" i="20"/>
  <c r="FC47" i="20"/>
  <c r="FD47" i="20"/>
  <c r="FE47" i="20"/>
  <c r="FF47" i="20"/>
  <c r="FG47" i="20"/>
  <c r="FH47" i="20"/>
  <c r="FI47" i="20"/>
  <c r="FJ47" i="20"/>
  <c r="FK47" i="20"/>
  <c r="FL47" i="20"/>
  <c r="FM47" i="20"/>
  <c r="FN47" i="20"/>
  <c r="FO47" i="20"/>
  <c r="FP47" i="20"/>
  <c r="FQ47" i="20"/>
  <c r="FR47" i="20"/>
  <c r="FS47" i="20"/>
  <c r="FT47" i="20"/>
  <c r="FU47" i="20"/>
  <c r="FV47" i="20"/>
  <c r="FW47" i="20"/>
  <c r="FX47" i="20"/>
  <c r="FY47" i="20"/>
  <c r="FZ47" i="20"/>
  <c r="GA47" i="20"/>
  <c r="GB47" i="20"/>
  <c r="GC47" i="20"/>
  <c r="GD47" i="20"/>
  <c r="GE47" i="20"/>
  <c r="GF47" i="20"/>
  <c r="GG47" i="20"/>
  <c r="GH47" i="20"/>
  <c r="GI47" i="20"/>
  <c r="GJ47" i="20"/>
  <c r="GK47" i="20"/>
  <c r="GL47" i="20"/>
  <c r="GM47" i="20"/>
  <c r="GN47" i="20"/>
  <c r="GO47" i="20"/>
  <c r="GP47" i="20"/>
  <c r="GQ47" i="20"/>
  <c r="GR47" i="20"/>
  <c r="GS47" i="20"/>
  <c r="GT47" i="20"/>
  <c r="GU47" i="20"/>
  <c r="GV47" i="20"/>
  <c r="GW47" i="20"/>
  <c r="GX47" i="20"/>
  <c r="GY47" i="20"/>
  <c r="GZ47" i="20"/>
  <c r="HA47" i="20"/>
  <c r="HB47" i="20"/>
  <c r="HC47" i="20"/>
  <c r="AR48" i="20"/>
  <c r="AS48" i="20"/>
  <c r="AT48" i="20"/>
  <c r="AU48" i="20"/>
  <c r="AV48" i="20"/>
  <c r="AW48" i="20"/>
  <c r="AX48" i="20"/>
  <c r="AY48" i="20"/>
  <c r="AZ48" i="20"/>
  <c r="BA48" i="20"/>
  <c r="BB48" i="20"/>
  <c r="BC48" i="20"/>
  <c r="BD48" i="20"/>
  <c r="BE48" i="20"/>
  <c r="BF48" i="20"/>
  <c r="BG48" i="20"/>
  <c r="BH48" i="20"/>
  <c r="BI48" i="20"/>
  <c r="BJ48" i="20"/>
  <c r="BK48" i="20"/>
  <c r="BL48" i="20"/>
  <c r="BM48" i="20"/>
  <c r="BN48" i="20"/>
  <c r="BO48" i="20"/>
  <c r="BP48" i="20"/>
  <c r="BQ48" i="20"/>
  <c r="BR48" i="20"/>
  <c r="BS48" i="20"/>
  <c r="BT48" i="20"/>
  <c r="BU48" i="20"/>
  <c r="BV48" i="20"/>
  <c r="BW48" i="20"/>
  <c r="BX48" i="20"/>
  <c r="BY48" i="20"/>
  <c r="BZ48" i="20"/>
  <c r="CA48" i="20"/>
  <c r="CB48" i="20"/>
  <c r="CC48" i="20"/>
  <c r="CD48" i="20"/>
  <c r="CE48" i="20"/>
  <c r="CF48" i="20"/>
  <c r="CG48" i="20"/>
  <c r="CH48" i="20"/>
  <c r="CI48" i="20"/>
  <c r="CJ48" i="20"/>
  <c r="CK48" i="20"/>
  <c r="CL48" i="20"/>
  <c r="CM48" i="20"/>
  <c r="CN48" i="20"/>
  <c r="CO48" i="20"/>
  <c r="CP48" i="20"/>
  <c r="CQ48" i="20"/>
  <c r="CR48" i="20"/>
  <c r="CS48" i="20"/>
  <c r="CT48" i="20"/>
  <c r="CU48" i="20"/>
  <c r="CV48" i="20"/>
  <c r="CW48" i="20"/>
  <c r="CX48" i="20"/>
  <c r="CY48" i="20"/>
  <c r="CZ48" i="20"/>
  <c r="DA48" i="20"/>
  <c r="DB48" i="20"/>
  <c r="DC48" i="20"/>
  <c r="DD48" i="20"/>
  <c r="DE48" i="20"/>
  <c r="DF48" i="20"/>
  <c r="DG48" i="20"/>
  <c r="DH48" i="20"/>
  <c r="DI48" i="20"/>
  <c r="DJ48" i="20"/>
  <c r="DK48" i="20"/>
  <c r="DL48" i="20"/>
  <c r="DM48" i="20"/>
  <c r="DN48" i="20"/>
  <c r="DO48" i="20"/>
  <c r="DP48" i="20"/>
  <c r="DQ48" i="20"/>
  <c r="DR48" i="20"/>
  <c r="DS48" i="20"/>
  <c r="DT48" i="20"/>
  <c r="DU48" i="20"/>
  <c r="DV48" i="20"/>
  <c r="DW48" i="20"/>
  <c r="DX48" i="20"/>
  <c r="DY48" i="20"/>
  <c r="DZ48" i="20"/>
  <c r="EA48" i="20"/>
  <c r="EB48" i="20"/>
  <c r="EC48" i="20"/>
  <c r="ED48" i="20"/>
  <c r="EE48" i="20"/>
  <c r="EF48" i="20"/>
  <c r="EG48" i="20"/>
  <c r="EH48" i="20"/>
  <c r="EI48" i="20"/>
  <c r="EJ48" i="20"/>
  <c r="EK48" i="20"/>
  <c r="EL48" i="20"/>
  <c r="EM48" i="20"/>
  <c r="EN48" i="20"/>
  <c r="EO48" i="20"/>
  <c r="EP48" i="20"/>
  <c r="EQ48" i="20"/>
  <c r="ER48" i="20"/>
  <c r="ES48" i="20"/>
  <c r="ET48" i="20"/>
  <c r="EU48" i="20"/>
  <c r="EV48" i="20"/>
  <c r="EW48" i="20"/>
  <c r="EX48" i="20"/>
  <c r="EY48" i="20"/>
  <c r="EZ48" i="20"/>
  <c r="FA48" i="20"/>
  <c r="FB48" i="20"/>
  <c r="FC48" i="20"/>
  <c r="FD48" i="20"/>
  <c r="FE48" i="20"/>
  <c r="FF48" i="20"/>
  <c r="FG48" i="20"/>
  <c r="FH48" i="20"/>
  <c r="FI48" i="20"/>
  <c r="FJ48" i="20"/>
  <c r="FK48" i="20"/>
  <c r="FL48" i="20"/>
  <c r="FM48" i="20"/>
  <c r="FN48" i="20"/>
  <c r="FO48" i="20"/>
  <c r="FP48" i="20"/>
  <c r="FQ48" i="20"/>
  <c r="FR48" i="20"/>
  <c r="FS48" i="20"/>
  <c r="FT48" i="20"/>
  <c r="FU48" i="20"/>
  <c r="FV48" i="20"/>
  <c r="FW48" i="20"/>
  <c r="FX48" i="20"/>
  <c r="FY48" i="20"/>
  <c r="FZ48" i="20"/>
  <c r="GA48" i="20"/>
  <c r="GB48" i="20"/>
  <c r="GC48" i="20"/>
  <c r="GD48" i="20"/>
  <c r="GE48" i="20"/>
  <c r="GF48" i="20"/>
  <c r="GG48" i="20"/>
  <c r="GH48" i="20"/>
  <c r="GI48" i="20"/>
  <c r="GJ48" i="20"/>
  <c r="GK48" i="20"/>
  <c r="GL48" i="20"/>
  <c r="GM48" i="20"/>
  <c r="GN48" i="20"/>
  <c r="GO48" i="20"/>
  <c r="GP48" i="20"/>
  <c r="GQ48" i="20"/>
  <c r="GR48" i="20"/>
  <c r="GS48" i="20"/>
  <c r="GT48" i="20"/>
  <c r="GU48" i="20"/>
  <c r="GV48" i="20"/>
  <c r="GW48" i="20"/>
  <c r="GX48" i="20"/>
  <c r="GY48" i="20"/>
  <c r="GZ48" i="20"/>
  <c r="HA48" i="20"/>
  <c r="HB48" i="20"/>
  <c r="HC48" i="20"/>
  <c r="AR49" i="20"/>
  <c r="AS49" i="20"/>
  <c r="AT49" i="20"/>
  <c r="AU49" i="20"/>
  <c r="AV49" i="20"/>
  <c r="AW49" i="20"/>
  <c r="AX49" i="20"/>
  <c r="AY49" i="20"/>
  <c r="AZ49" i="20"/>
  <c r="BA49" i="20"/>
  <c r="BB49" i="20"/>
  <c r="BC49" i="20"/>
  <c r="BD49" i="20"/>
  <c r="BE49" i="20"/>
  <c r="BF49" i="20"/>
  <c r="BG49" i="20"/>
  <c r="BH49" i="20"/>
  <c r="BI49" i="20"/>
  <c r="BJ49" i="20"/>
  <c r="BK49" i="20"/>
  <c r="BL49" i="20"/>
  <c r="BM49" i="20"/>
  <c r="BN49" i="20"/>
  <c r="BO49" i="20"/>
  <c r="BP49" i="20"/>
  <c r="BQ49" i="20"/>
  <c r="BR49" i="20"/>
  <c r="BS49" i="20"/>
  <c r="BT49" i="20"/>
  <c r="BU49" i="20"/>
  <c r="BV49" i="20"/>
  <c r="BW49" i="20"/>
  <c r="BX49" i="20"/>
  <c r="BY49" i="20"/>
  <c r="BZ49" i="20"/>
  <c r="CA49" i="20"/>
  <c r="CB49" i="20"/>
  <c r="CC49" i="20"/>
  <c r="CD49" i="20"/>
  <c r="CE49" i="20"/>
  <c r="CF49" i="20"/>
  <c r="CG49" i="20"/>
  <c r="CH49" i="20"/>
  <c r="CI49" i="20"/>
  <c r="CJ49" i="20"/>
  <c r="CK49" i="20"/>
  <c r="CL49" i="20"/>
  <c r="CM49" i="20"/>
  <c r="CN49" i="20"/>
  <c r="CO49" i="20"/>
  <c r="CP49" i="20"/>
  <c r="CQ49" i="20"/>
  <c r="CR49" i="20"/>
  <c r="CS49" i="20"/>
  <c r="CT49" i="20"/>
  <c r="CU49" i="20"/>
  <c r="CV49" i="20"/>
  <c r="CW49" i="20"/>
  <c r="CX49" i="20"/>
  <c r="CY49" i="20"/>
  <c r="CZ49" i="20"/>
  <c r="DA49" i="20"/>
  <c r="DB49" i="20"/>
  <c r="DC49" i="20"/>
  <c r="DD49" i="20"/>
  <c r="DE49" i="20"/>
  <c r="DF49" i="20"/>
  <c r="DG49" i="20"/>
  <c r="DH49" i="20"/>
  <c r="DI49" i="20"/>
  <c r="DJ49" i="20"/>
  <c r="DK49" i="20"/>
  <c r="DL49" i="20"/>
  <c r="DM49" i="20"/>
  <c r="DN49" i="20"/>
  <c r="DO49" i="20"/>
  <c r="DP49" i="20"/>
  <c r="DQ49" i="20"/>
  <c r="DR49" i="20"/>
  <c r="DS49" i="20"/>
  <c r="DT49" i="20"/>
  <c r="DU49" i="20"/>
  <c r="DV49" i="20"/>
  <c r="DW49" i="20"/>
  <c r="DX49" i="20"/>
  <c r="DY49" i="20"/>
  <c r="DZ49" i="20"/>
  <c r="EA49" i="20"/>
  <c r="EB49" i="20"/>
  <c r="EC49" i="20"/>
  <c r="ED49" i="20"/>
  <c r="EE49" i="20"/>
  <c r="EF49" i="20"/>
  <c r="EG49" i="20"/>
  <c r="EH49" i="20"/>
  <c r="EI49" i="20"/>
  <c r="EJ49" i="20"/>
  <c r="EK49" i="20"/>
  <c r="EL49" i="20"/>
  <c r="EM49" i="20"/>
  <c r="EN49" i="20"/>
  <c r="EO49" i="20"/>
  <c r="EP49" i="20"/>
  <c r="EQ49" i="20"/>
  <c r="ER49" i="20"/>
  <c r="ES49" i="20"/>
  <c r="ET49" i="20"/>
  <c r="EU49" i="20"/>
  <c r="EV49" i="20"/>
  <c r="EW49" i="20"/>
  <c r="EX49" i="20"/>
  <c r="EY49" i="20"/>
  <c r="EZ49" i="20"/>
  <c r="FA49" i="20"/>
  <c r="FB49" i="20"/>
  <c r="FC49" i="20"/>
  <c r="FD49" i="20"/>
  <c r="FE49" i="20"/>
  <c r="FF49" i="20"/>
  <c r="FG49" i="20"/>
  <c r="FH49" i="20"/>
  <c r="FI49" i="20"/>
  <c r="FJ49" i="20"/>
  <c r="FK49" i="20"/>
  <c r="FL49" i="20"/>
  <c r="FM49" i="20"/>
  <c r="FN49" i="20"/>
  <c r="FO49" i="20"/>
  <c r="FP49" i="20"/>
  <c r="FQ49" i="20"/>
  <c r="FR49" i="20"/>
  <c r="FS49" i="20"/>
  <c r="FT49" i="20"/>
  <c r="FU49" i="20"/>
  <c r="FV49" i="20"/>
  <c r="FW49" i="20"/>
  <c r="FX49" i="20"/>
  <c r="FY49" i="20"/>
  <c r="FZ49" i="20"/>
  <c r="GA49" i="20"/>
  <c r="GB49" i="20"/>
  <c r="GC49" i="20"/>
  <c r="GD49" i="20"/>
  <c r="GE49" i="20"/>
  <c r="GF49" i="20"/>
  <c r="GG49" i="20"/>
  <c r="GH49" i="20"/>
  <c r="GI49" i="20"/>
  <c r="GJ49" i="20"/>
  <c r="GK49" i="20"/>
  <c r="GL49" i="20"/>
  <c r="GM49" i="20"/>
  <c r="GN49" i="20"/>
  <c r="GO49" i="20"/>
  <c r="GP49" i="20"/>
  <c r="GQ49" i="20"/>
  <c r="GR49" i="20"/>
  <c r="GS49" i="20"/>
  <c r="GT49" i="20"/>
  <c r="GU49" i="20"/>
  <c r="GV49" i="20"/>
  <c r="GW49" i="20"/>
  <c r="GX49" i="20"/>
  <c r="GY49" i="20"/>
  <c r="GZ49" i="20"/>
  <c r="HA49" i="20"/>
  <c r="HB49" i="20"/>
  <c r="HC49" i="20"/>
  <c r="AR50" i="20"/>
  <c r="AS50" i="20"/>
  <c r="AT50" i="20"/>
  <c r="AU50" i="20"/>
  <c r="AV50" i="20"/>
  <c r="AW50" i="20"/>
  <c r="AX50" i="20"/>
  <c r="AY50" i="20"/>
  <c r="AZ50" i="20"/>
  <c r="BA50" i="20"/>
  <c r="BB50" i="20"/>
  <c r="BC50" i="20"/>
  <c r="BD50" i="20"/>
  <c r="BE50" i="20"/>
  <c r="BF50" i="20"/>
  <c r="BG50" i="20"/>
  <c r="BH50" i="20"/>
  <c r="BI50" i="20"/>
  <c r="BJ50" i="20"/>
  <c r="BK50" i="20"/>
  <c r="BL50" i="20"/>
  <c r="BM50" i="20"/>
  <c r="BN50" i="20"/>
  <c r="BO50" i="20"/>
  <c r="BP50" i="20"/>
  <c r="BQ50" i="20"/>
  <c r="BR50" i="20"/>
  <c r="BS50" i="20"/>
  <c r="BT50" i="20"/>
  <c r="BU50" i="20"/>
  <c r="BV50" i="20"/>
  <c r="BW50" i="20"/>
  <c r="BX50" i="20"/>
  <c r="BY50" i="20"/>
  <c r="BZ50" i="20"/>
  <c r="CA50" i="20"/>
  <c r="CB50" i="20"/>
  <c r="CC50" i="20"/>
  <c r="CD50" i="20"/>
  <c r="CE50" i="20"/>
  <c r="CF50" i="20"/>
  <c r="CG50" i="20"/>
  <c r="CH50" i="20"/>
  <c r="CI50" i="20"/>
  <c r="CJ50" i="20"/>
  <c r="CK50" i="20"/>
  <c r="CL50" i="20"/>
  <c r="CM50" i="20"/>
  <c r="CN50" i="20"/>
  <c r="CO50" i="20"/>
  <c r="CP50" i="20"/>
  <c r="CQ50" i="20"/>
  <c r="CR50" i="20"/>
  <c r="CS50" i="20"/>
  <c r="CT50" i="20"/>
  <c r="CU50" i="20"/>
  <c r="CV50" i="20"/>
  <c r="CW50" i="20"/>
  <c r="CX50" i="20"/>
  <c r="CY50" i="20"/>
  <c r="CZ50" i="20"/>
  <c r="DA50" i="20"/>
  <c r="DB50" i="20"/>
  <c r="DC50" i="20"/>
  <c r="DD50" i="20"/>
  <c r="DE50" i="20"/>
  <c r="DF50" i="20"/>
  <c r="DG50" i="20"/>
  <c r="DH50" i="20"/>
  <c r="DI50" i="20"/>
  <c r="DJ50" i="20"/>
  <c r="DK50" i="20"/>
  <c r="DL50" i="20"/>
  <c r="DM50" i="20"/>
  <c r="DN50" i="20"/>
  <c r="DO50" i="20"/>
  <c r="DP50" i="20"/>
  <c r="DQ50" i="20"/>
  <c r="DR50" i="20"/>
  <c r="DS50" i="20"/>
  <c r="DT50" i="20"/>
  <c r="DU50" i="20"/>
  <c r="DV50" i="20"/>
  <c r="DW50" i="20"/>
  <c r="DX50" i="20"/>
  <c r="DY50" i="20"/>
  <c r="DZ50" i="20"/>
  <c r="EA50" i="20"/>
  <c r="EB50" i="20"/>
  <c r="EC50" i="20"/>
  <c r="ED50" i="20"/>
  <c r="EE50" i="20"/>
  <c r="EF50" i="20"/>
  <c r="EG50" i="20"/>
  <c r="EH50" i="20"/>
  <c r="EI50" i="20"/>
  <c r="EJ50" i="20"/>
  <c r="EK50" i="20"/>
  <c r="EL50" i="20"/>
  <c r="EM50" i="20"/>
  <c r="EN50" i="20"/>
  <c r="EO50" i="20"/>
  <c r="EP50" i="20"/>
  <c r="EQ50" i="20"/>
  <c r="ER50" i="20"/>
  <c r="ES50" i="20"/>
  <c r="ET50" i="20"/>
  <c r="EU50" i="20"/>
  <c r="EV50" i="20"/>
  <c r="EW50" i="20"/>
  <c r="EX50" i="20"/>
  <c r="EY50" i="20"/>
  <c r="EZ50" i="20"/>
  <c r="FA50" i="20"/>
  <c r="FB50" i="20"/>
  <c r="FC50" i="20"/>
  <c r="FD50" i="20"/>
  <c r="FE50" i="20"/>
  <c r="FF50" i="20"/>
  <c r="FG50" i="20"/>
  <c r="FH50" i="20"/>
  <c r="FI50" i="20"/>
  <c r="FJ50" i="20"/>
  <c r="FK50" i="20"/>
  <c r="FL50" i="20"/>
  <c r="FM50" i="20"/>
  <c r="FN50" i="20"/>
  <c r="FO50" i="20"/>
  <c r="FP50" i="20"/>
  <c r="FQ50" i="20"/>
  <c r="FR50" i="20"/>
  <c r="FS50" i="20"/>
  <c r="FT50" i="20"/>
  <c r="FU50" i="20"/>
  <c r="FV50" i="20"/>
  <c r="FW50" i="20"/>
  <c r="FX50" i="20"/>
  <c r="FY50" i="20"/>
  <c r="FZ50" i="20"/>
  <c r="GA50" i="20"/>
  <c r="GB50" i="20"/>
  <c r="GC50" i="20"/>
  <c r="GD50" i="20"/>
  <c r="GE50" i="20"/>
  <c r="GF50" i="20"/>
  <c r="GG50" i="20"/>
  <c r="GH50" i="20"/>
  <c r="GI50" i="20"/>
  <c r="GJ50" i="20"/>
  <c r="GK50" i="20"/>
  <c r="GL50" i="20"/>
  <c r="GM50" i="20"/>
  <c r="GN50" i="20"/>
  <c r="GO50" i="20"/>
  <c r="GP50" i="20"/>
  <c r="GQ50" i="20"/>
  <c r="GR50" i="20"/>
  <c r="GS50" i="20"/>
  <c r="GT50" i="20"/>
  <c r="GU50" i="20"/>
  <c r="GV50" i="20"/>
  <c r="GW50" i="20"/>
  <c r="GX50" i="20"/>
  <c r="GY50" i="20"/>
  <c r="GZ50" i="20"/>
  <c r="HA50" i="20"/>
  <c r="HB50" i="20"/>
  <c r="HC50" i="20"/>
  <c r="AR51" i="20"/>
  <c r="AS51" i="20"/>
  <c r="AT51" i="20"/>
  <c r="AU51" i="20"/>
  <c r="AV51" i="20"/>
  <c r="AW51" i="20"/>
  <c r="AX51" i="20"/>
  <c r="AY51" i="20"/>
  <c r="AZ51" i="20"/>
  <c r="BA51" i="20"/>
  <c r="BB51" i="20"/>
  <c r="BC51" i="20"/>
  <c r="BD51" i="20"/>
  <c r="BE51" i="20"/>
  <c r="BF51" i="20"/>
  <c r="BG51" i="20"/>
  <c r="BH51" i="20"/>
  <c r="BI51" i="20"/>
  <c r="BJ51" i="20"/>
  <c r="BK51" i="20"/>
  <c r="BL51" i="20"/>
  <c r="BM51" i="20"/>
  <c r="BN51" i="20"/>
  <c r="BO51" i="20"/>
  <c r="BP51" i="20"/>
  <c r="BQ51" i="20"/>
  <c r="BR51" i="20"/>
  <c r="BS51" i="20"/>
  <c r="BT51" i="20"/>
  <c r="BU51" i="20"/>
  <c r="BV51" i="20"/>
  <c r="BW51" i="20"/>
  <c r="BX51" i="20"/>
  <c r="BY51" i="20"/>
  <c r="BZ51" i="20"/>
  <c r="CA51" i="20"/>
  <c r="CB51" i="20"/>
  <c r="CC51" i="20"/>
  <c r="CD51" i="20"/>
  <c r="CE51" i="20"/>
  <c r="CF51" i="20"/>
  <c r="CG51" i="20"/>
  <c r="CH51" i="20"/>
  <c r="CI51" i="20"/>
  <c r="CJ51" i="20"/>
  <c r="CK51" i="20"/>
  <c r="CL51" i="20"/>
  <c r="CM51" i="20"/>
  <c r="CN51" i="20"/>
  <c r="CO51" i="20"/>
  <c r="CP51" i="20"/>
  <c r="CQ51" i="20"/>
  <c r="CR51" i="20"/>
  <c r="CS51" i="20"/>
  <c r="CT51" i="20"/>
  <c r="CU51" i="20"/>
  <c r="CV51" i="20"/>
  <c r="CW51" i="20"/>
  <c r="CX51" i="20"/>
  <c r="CY51" i="20"/>
  <c r="CZ51" i="20"/>
  <c r="DA51" i="20"/>
  <c r="DB51" i="20"/>
  <c r="DC51" i="20"/>
  <c r="DD51" i="20"/>
  <c r="DE51" i="20"/>
  <c r="DF51" i="20"/>
  <c r="DG51" i="20"/>
  <c r="DH51" i="20"/>
  <c r="DI51" i="20"/>
  <c r="DJ51" i="20"/>
  <c r="DK51" i="20"/>
  <c r="DL51" i="20"/>
  <c r="DM51" i="20"/>
  <c r="DN51" i="20"/>
  <c r="DO51" i="20"/>
  <c r="DP51" i="20"/>
  <c r="DQ51" i="20"/>
  <c r="DR51" i="20"/>
  <c r="DS51" i="20"/>
  <c r="DT51" i="20"/>
  <c r="DU51" i="20"/>
  <c r="DV51" i="20"/>
  <c r="DW51" i="20"/>
  <c r="DX51" i="20"/>
  <c r="DY51" i="20"/>
  <c r="DZ51" i="20"/>
  <c r="EA51" i="20"/>
  <c r="EB51" i="20"/>
  <c r="EC51" i="20"/>
  <c r="ED51" i="20"/>
  <c r="EE51" i="20"/>
  <c r="EF51" i="20"/>
  <c r="EG51" i="20"/>
  <c r="EH51" i="20"/>
  <c r="EI51" i="20"/>
  <c r="EJ51" i="20"/>
  <c r="EK51" i="20"/>
  <c r="EL51" i="20"/>
  <c r="EM51" i="20"/>
  <c r="EN51" i="20"/>
  <c r="EO51" i="20"/>
  <c r="EP51" i="20"/>
  <c r="EQ51" i="20"/>
  <c r="ER51" i="20"/>
  <c r="ES51" i="20"/>
  <c r="ET51" i="20"/>
  <c r="EU51" i="20"/>
  <c r="EV51" i="20"/>
  <c r="EW51" i="20"/>
  <c r="EX51" i="20"/>
  <c r="EY51" i="20"/>
  <c r="EZ51" i="20"/>
  <c r="FA51" i="20"/>
  <c r="FB51" i="20"/>
  <c r="FC51" i="20"/>
  <c r="FD51" i="20"/>
  <c r="FE51" i="20"/>
  <c r="FF51" i="20"/>
  <c r="FG51" i="20"/>
  <c r="FH51" i="20"/>
  <c r="FI51" i="20"/>
  <c r="FJ51" i="20"/>
  <c r="FK51" i="20"/>
  <c r="FL51" i="20"/>
  <c r="FM51" i="20"/>
  <c r="FN51" i="20"/>
  <c r="FO51" i="20"/>
  <c r="FP51" i="20"/>
  <c r="FQ51" i="20"/>
  <c r="FR51" i="20"/>
  <c r="FS51" i="20"/>
  <c r="FT51" i="20"/>
  <c r="FU51" i="20"/>
  <c r="FV51" i="20"/>
  <c r="FW51" i="20"/>
  <c r="FX51" i="20"/>
  <c r="FY51" i="20"/>
  <c r="FZ51" i="20"/>
  <c r="GA51" i="20"/>
  <c r="GB51" i="20"/>
  <c r="GC51" i="20"/>
  <c r="GD51" i="20"/>
  <c r="GE51" i="20"/>
  <c r="GF51" i="20"/>
  <c r="GG51" i="20"/>
  <c r="GH51" i="20"/>
  <c r="GI51" i="20"/>
  <c r="GJ51" i="20"/>
  <c r="GK51" i="20"/>
  <c r="GL51" i="20"/>
  <c r="GM51" i="20"/>
  <c r="GN51" i="20"/>
  <c r="GO51" i="20"/>
  <c r="GP51" i="20"/>
  <c r="GQ51" i="20"/>
  <c r="GR51" i="20"/>
  <c r="GS51" i="20"/>
  <c r="GT51" i="20"/>
  <c r="GU51" i="20"/>
  <c r="GV51" i="20"/>
  <c r="GW51" i="20"/>
  <c r="GX51" i="20"/>
  <c r="GY51" i="20"/>
  <c r="GZ51" i="20"/>
  <c r="HA51" i="20"/>
  <c r="HB51" i="20"/>
  <c r="HC51" i="20"/>
  <c r="AR52" i="20"/>
  <c r="AS52" i="20"/>
  <c r="AT52" i="20"/>
  <c r="AU52" i="20"/>
  <c r="AV52" i="20"/>
  <c r="AW52" i="20"/>
  <c r="AX52" i="20"/>
  <c r="AY52" i="20"/>
  <c r="AZ52" i="20"/>
  <c r="BA52" i="20"/>
  <c r="BB52" i="20"/>
  <c r="BC52" i="20"/>
  <c r="BD52" i="20"/>
  <c r="BE52" i="20"/>
  <c r="BF52" i="20"/>
  <c r="BG52" i="20"/>
  <c r="BH52" i="20"/>
  <c r="BI52" i="20"/>
  <c r="BJ52" i="20"/>
  <c r="BK52" i="20"/>
  <c r="BL52" i="20"/>
  <c r="BM52" i="20"/>
  <c r="BN52" i="20"/>
  <c r="BO52" i="20"/>
  <c r="BP52" i="20"/>
  <c r="BQ52" i="20"/>
  <c r="BR52" i="20"/>
  <c r="BS52" i="20"/>
  <c r="BT52" i="20"/>
  <c r="BU52" i="20"/>
  <c r="BV52" i="20"/>
  <c r="BW52" i="20"/>
  <c r="BX52" i="20"/>
  <c r="BY52" i="20"/>
  <c r="BZ52" i="20"/>
  <c r="CA52" i="20"/>
  <c r="CB52" i="20"/>
  <c r="CC52" i="20"/>
  <c r="CD52" i="20"/>
  <c r="CE52" i="20"/>
  <c r="CF52" i="20"/>
  <c r="CG52" i="20"/>
  <c r="CH52" i="20"/>
  <c r="CI52" i="20"/>
  <c r="CJ52" i="20"/>
  <c r="CK52" i="20"/>
  <c r="CL52" i="20"/>
  <c r="CM52" i="20"/>
  <c r="CN52" i="20"/>
  <c r="CO52" i="20"/>
  <c r="CP52" i="20"/>
  <c r="CQ52" i="20"/>
  <c r="CR52" i="20"/>
  <c r="CS52" i="20"/>
  <c r="CT52" i="20"/>
  <c r="CU52" i="20"/>
  <c r="CV52" i="20"/>
  <c r="CW52" i="20"/>
  <c r="CX52" i="20"/>
  <c r="CY52" i="20"/>
  <c r="CZ52" i="20"/>
  <c r="DA52" i="20"/>
  <c r="DB52" i="20"/>
  <c r="DC52" i="20"/>
  <c r="DD52" i="20"/>
  <c r="DE52" i="20"/>
  <c r="DF52" i="20"/>
  <c r="DG52" i="20"/>
  <c r="DH52" i="20"/>
  <c r="DI52" i="20"/>
  <c r="DJ52" i="20"/>
  <c r="DK52" i="20"/>
  <c r="DL52" i="20"/>
  <c r="DM52" i="20"/>
  <c r="DN52" i="20"/>
  <c r="DO52" i="20"/>
  <c r="DP52" i="20"/>
  <c r="DQ52" i="20"/>
  <c r="DR52" i="20"/>
  <c r="DS52" i="20"/>
  <c r="DT52" i="20"/>
  <c r="DU52" i="20"/>
  <c r="DV52" i="20"/>
  <c r="DW52" i="20"/>
  <c r="DX52" i="20"/>
  <c r="DY52" i="20"/>
  <c r="DZ52" i="20"/>
  <c r="EA52" i="20"/>
  <c r="EB52" i="20"/>
  <c r="EC52" i="20"/>
  <c r="ED52" i="20"/>
  <c r="EE52" i="20"/>
  <c r="EF52" i="20"/>
  <c r="EG52" i="20"/>
  <c r="EH52" i="20"/>
  <c r="EI52" i="20"/>
  <c r="EJ52" i="20"/>
  <c r="EK52" i="20"/>
  <c r="EL52" i="20"/>
  <c r="EM52" i="20"/>
  <c r="EN52" i="20"/>
  <c r="EO52" i="20"/>
  <c r="EP52" i="20"/>
  <c r="EQ52" i="20"/>
  <c r="ER52" i="20"/>
  <c r="ES52" i="20"/>
  <c r="ET52" i="20"/>
  <c r="EU52" i="20"/>
  <c r="EV52" i="20"/>
  <c r="EW52" i="20"/>
  <c r="EX52" i="20"/>
  <c r="EY52" i="20"/>
  <c r="EZ52" i="20"/>
  <c r="FA52" i="20"/>
  <c r="FB52" i="20"/>
  <c r="FC52" i="20"/>
  <c r="FD52" i="20"/>
  <c r="FE52" i="20"/>
  <c r="FF52" i="20"/>
  <c r="FG52" i="20"/>
  <c r="FH52" i="20"/>
  <c r="FI52" i="20"/>
  <c r="FJ52" i="20"/>
  <c r="FK52" i="20"/>
  <c r="FL52" i="20"/>
  <c r="FM52" i="20"/>
  <c r="FN52" i="20"/>
  <c r="FO52" i="20"/>
  <c r="FP52" i="20"/>
  <c r="FQ52" i="20"/>
  <c r="FR52" i="20"/>
  <c r="FS52" i="20"/>
  <c r="FT52" i="20"/>
  <c r="FU52" i="20"/>
  <c r="FV52" i="20"/>
  <c r="FW52" i="20"/>
  <c r="FX52" i="20"/>
  <c r="FY52" i="20"/>
  <c r="FZ52" i="20"/>
  <c r="GA52" i="20"/>
  <c r="GB52" i="20"/>
  <c r="GC52" i="20"/>
  <c r="GD52" i="20"/>
  <c r="GE52" i="20"/>
  <c r="GF52" i="20"/>
  <c r="GG52" i="20"/>
  <c r="GH52" i="20"/>
  <c r="GI52" i="20"/>
  <c r="GJ52" i="20"/>
  <c r="GK52" i="20"/>
  <c r="GL52" i="20"/>
  <c r="GM52" i="20"/>
  <c r="GN52" i="20"/>
  <c r="GO52" i="20"/>
  <c r="GP52" i="20"/>
  <c r="GQ52" i="20"/>
  <c r="GR52" i="20"/>
  <c r="GS52" i="20"/>
  <c r="GT52" i="20"/>
  <c r="GU52" i="20"/>
  <c r="GV52" i="20"/>
  <c r="GW52" i="20"/>
  <c r="GX52" i="20"/>
  <c r="GY52" i="20"/>
  <c r="GZ52" i="20"/>
  <c r="HA52" i="20"/>
  <c r="HB52" i="20"/>
  <c r="HC52" i="20"/>
  <c r="AR53" i="20"/>
  <c r="AS53" i="20"/>
  <c r="AT53" i="20"/>
  <c r="AU53" i="20"/>
  <c r="AV53" i="20"/>
  <c r="AW53" i="20"/>
  <c r="AX53" i="20"/>
  <c r="AY53" i="20"/>
  <c r="AZ53" i="20"/>
  <c r="BA53" i="20"/>
  <c r="BB53" i="20"/>
  <c r="BC53" i="20"/>
  <c r="BD53" i="20"/>
  <c r="BE53" i="20"/>
  <c r="BF53" i="20"/>
  <c r="BG53" i="20"/>
  <c r="BH53" i="20"/>
  <c r="BI53" i="20"/>
  <c r="BJ53" i="20"/>
  <c r="BK53" i="20"/>
  <c r="BL53" i="20"/>
  <c r="BM53" i="20"/>
  <c r="BN53" i="20"/>
  <c r="BO53" i="20"/>
  <c r="BP53" i="20"/>
  <c r="BQ53" i="20"/>
  <c r="BR53" i="20"/>
  <c r="BS53" i="20"/>
  <c r="BT53" i="20"/>
  <c r="BU53" i="20"/>
  <c r="BV53" i="20"/>
  <c r="BW53" i="20"/>
  <c r="BX53" i="20"/>
  <c r="BY53" i="20"/>
  <c r="BZ53" i="20"/>
  <c r="CA53" i="20"/>
  <c r="CB53" i="20"/>
  <c r="CC53" i="20"/>
  <c r="CD53" i="20"/>
  <c r="CE53" i="20"/>
  <c r="CF53" i="20"/>
  <c r="CG53" i="20"/>
  <c r="CH53" i="20"/>
  <c r="CI53" i="20"/>
  <c r="CJ53" i="20"/>
  <c r="CK53" i="20"/>
  <c r="CL53" i="20"/>
  <c r="CM53" i="20"/>
  <c r="CN53" i="20"/>
  <c r="CO53" i="20"/>
  <c r="CP53" i="20"/>
  <c r="CQ53" i="20"/>
  <c r="CR53" i="20"/>
  <c r="CS53" i="20"/>
  <c r="CT53" i="20"/>
  <c r="CU53" i="20"/>
  <c r="CV53" i="20"/>
  <c r="CW53" i="20"/>
  <c r="CX53" i="20"/>
  <c r="CY53" i="20"/>
  <c r="CZ53" i="20"/>
  <c r="DA53" i="20"/>
  <c r="DB53" i="20"/>
  <c r="DC53" i="20"/>
  <c r="DD53" i="20"/>
  <c r="DE53" i="20"/>
  <c r="DF53" i="20"/>
  <c r="DG53" i="20"/>
  <c r="DH53" i="20"/>
  <c r="DI53" i="20"/>
  <c r="DJ53" i="20"/>
  <c r="DK53" i="20"/>
  <c r="DL53" i="20"/>
  <c r="DM53" i="20"/>
  <c r="DN53" i="20"/>
  <c r="DO53" i="20"/>
  <c r="DP53" i="20"/>
  <c r="DQ53" i="20"/>
  <c r="DR53" i="20"/>
  <c r="DS53" i="20"/>
  <c r="DT53" i="20"/>
  <c r="DU53" i="20"/>
  <c r="DV53" i="20"/>
  <c r="DW53" i="20"/>
  <c r="DX53" i="20"/>
  <c r="DY53" i="20"/>
  <c r="DZ53" i="20"/>
  <c r="EA53" i="20"/>
  <c r="EB53" i="20"/>
  <c r="EC53" i="20"/>
  <c r="ED53" i="20"/>
  <c r="EE53" i="20"/>
  <c r="EF53" i="20"/>
  <c r="EG53" i="20"/>
  <c r="EH53" i="20"/>
  <c r="EI53" i="20"/>
  <c r="EJ53" i="20"/>
  <c r="EK53" i="20"/>
  <c r="EL53" i="20"/>
  <c r="EM53" i="20"/>
  <c r="EN53" i="20"/>
  <c r="EO53" i="20"/>
  <c r="EP53" i="20"/>
  <c r="EQ53" i="20"/>
  <c r="ER53" i="20"/>
  <c r="ES53" i="20"/>
  <c r="ET53" i="20"/>
  <c r="EU53" i="20"/>
  <c r="EV53" i="20"/>
  <c r="EW53" i="20"/>
  <c r="EX53" i="20"/>
  <c r="EY53" i="20"/>
  <c r="EZ53" i="20"/>
  <c r="FA53" i="20"/>
  <c r="FB53" i="20"/>
  <c r="FC53" i="20"/>
  <c r="FD53" i="20"/>
  <c r="FE53" i="20"/>
  <c r="FF53" i="20"/>
  <c r="FG53" i="20"/>
  <c r="FH53" i="20"/>
  <c r="FI53" i="20"/>
  <c r="FJ53" i="20"/>
  <c r="FK53" i="20"/>
  <c r="FL53" i="20"/>
  <c r="FM53" i="20"/>
  <c r="FN53" i="20"/>
  <c r="FO53" i="20"/>
  <c r="FP53" i="20"/>
  <c r="FQ53" i="20"/>
  <c r="FR53" i="20"/>
  <c r="FS53" i="20"/>
  <c r="FT53" i="20"/>
  <c r="FU53" i="20"/>
  <c r="FV53" i="20"/>
  <c r="FW53" i="20"/>
  <c r="FX53" i="20"/>
  <c r="FY53" i="20"/>
  <c r="FZ53" i="20"/>
  <c r="GA53" i="20"/>
  <c r="GB53" i="20"/>
  <c r="GC53" i="20"/>
  <c r="GD53" i="20"/>
  <c r="GE53" i="20"/>
  <c r="GF53" i="20"/>
  <c r="GG53" i="20"/>
  <c r="GH53" i="20"/>
  <c r="GI53" i="20"/>
  <c r="GJ53" i="20"/>
  <c r="GK53" i="20"/>
  <c r="GL53" i="20"/>
  <c r="GM53" i="20"/>
  <c r="GN53" i="20"/>
  <c r="GO53" i="20"/>
  <c r="GP53" i="20"/>
  <c r="GQ53" i="20"/>
  <c r="GR53" i="20"/>
  <c r="GS53" i="20"/>
  <c r="GT53" i="20"/>
  <c r="GU53" i="20"/>
  <c r="GV53" i="20"/>
  <c r="GW53" i="20"/>
  <c r="GX53" i="20"/>
  <c r="GY53" i="20"/>
  <c r="GZ53" i="20"/>
  <c r="HA53" i="20"/>
  <c r="HB53" i="20"/>
  <c r="HC53" i="20"/>
  <c r="AR54" i="20"/>
  <c r="AS54" i="20"/>
  <c r="AT54" i="20"/>
  <c r="AU54" i="20"/>
  <c r="AV54" i="20"/>
  <c r="AW54" i="20"/>
  <c r="AX54" i="20"/>
  <c r="AY54" i="20"/>
  <c r="AZ54" i="20"/>
  <c r="BA54" i="20"/>
  <c r="BB54" i="20"/>
  <c r="BC54" i="20"/>
  <c r="BD54" i="20"/>
  <c r="BE54" i="20"/>
  <c r="BF54" i="20"/>
  <c r="BG54" i="20"/>
  <c r="BH54" i="20"/>
  <c r="BI54" i="20"/>
  <c r="BJ54" i="20"/>
  <c r="BK54" i="20"/>
  <c r="BL54" i="20"/>
  <c r="BM54" i="20"/>
  <c r="BN54" i="20"/>
  <c r="BO54" i="20"/>
  <c r="BP54" i="20"/>
  <c r="BQ54" i="20"/>
  <c r="BR54" i="20"/>
  <c r="BS54" i="20"/>
  <c r="BT54" i="20"/>
  <c r="BU54" i="20"/>
  <c r="BV54" i="20"/>
  <c r="BW54" i="20"/>
  <c r="BX54" i="20"/>
  <c r="BY54" i="20"/>
  <c r="BZ54" i="20"/>
  <c r="CA54" i="20"/>
  <c r="CB54" i="20"/>
  <c r="CC54" i="20"/>
  <c r="CD54" i="20"/>
  <c r="CE54" i="20"/>
  <c r="CF54" i="20"/>
  <c r="CG54" i="20"/>
  <c r="CH54" i="20"/>
  <c r="CI54" i="20"/>
  <c r="CJ54" i="20"/>
  <c r="CK54" i="20"/>
  <c r="CL54" i="20"/>
  <c r="CM54" i="20"/>
  <c r="CN54" i="20"/>
  <c r="CO54" i="20"/>
  <c r="CP54" i="20"/>
  <c r="CQ54" i="20"/>
  <c r="CR54" i="20"/>
  <c r="CS54" i="20"/>
  <c r="CT54" i="20"/>
  <c r="CU54" i="20"/>
  <c r="CV54" i="20"/>
  <c r="CW54" i="20"/>
  <c r="CX54" i="20"/>
  <c r="CY54" i="20"/>
  <c r="CZ54" i="20"/>
  <c r="DA54" i="20"/>
  <c r="DB54" i="20"/>
  <c r="DC54" i="20"/>
  <c r="DD54" i="20"/>
  <c r="DE54" i="20"/>
  <c r="DF54" i="20"/>
  <c r="DG54" i="20"/>
  <c r="DH54" i="20"/>
  <c r="DI54" i="20"/>
  <c r="DJ54" i="20"/>
  <c r="DK54" i="20"/>
  <c r="DL54" i="20"/>
  <c r="DM54" i="20"/>
  <c r="DN54" i="20"/>
  <c r="DO54" i="20"/>
  <c r="DP54" i="20"/>
  <c r="DQ54" i="20"/>
  <c r="DR54" i="20"/>
  <c r="DS54" i="20"/>
  <c r="DT54" i="20"/>
  <c r="DU54" i="20"/>
  <c r="DV54" i="20"/>
  <c r="DW54" i="20"/>
  <c r="DX54" i="20"/>
  <c r="DY54" i="20"/>
  <c r="DZ54" i="20"/>
  <c r="EA54" i="20"/>
  <c r="EB54" i="20"/>
  <c r="EC54" i="20"/>
  <c r="ED54" i="20"/>
  <c r="EE54" i="20"/>
  <c r="EF54" i="20"/>
  <c r="EG54" i="20"/>
  <c r="EH54" i="20"/>
  <c r="EI54" i="20"/>
  <c r="EJ54" i="20"/>
  <c r="EK54" i="20"/>
  <c r="EL54" i="20"/>
  <c r="EM54" i="20"/>
  <c r="EN54" i="20"/>
  <c r="EO54" i="20"/>
  <c r="EP54" i="20"/>
  <c r="EQ54" i="20"/>
  <c r="ER54" i="20"/>
  <c r="ES54" i="20"/>
  <c r="ET54" i="20"/>
  <c r="EU54" i="20"/>
  <c r="EV54" i="20"/>
  <c r="EW54" i="20"/>
  <c r="EX54" i="20"/>
  <c r="EY54" i="20"/>
  <c r="EZ54" i="20"/>
  <c r="FA54" i="20"/>
  <c r="FB54" i="20"/>
  <c r="FC54" i="20"/>
  <c r="FD54" i="20"/>
  <c r="FE54" i="20"/>
  <c r="FF54" i="20"/>
  <c r="FG54" i="20"/>
  <c r="FH54" i="20"/>
  <c r="FI54" i="20"/>
  <c r="FJ54" i="20"/>
  <c r="FK54" i="20"/>
  <c r="FL54" i="20"/>
  <c r="FM54" i="20"/>
  <c r="FN54" i="20"/>
  <c r="FO54" i="20"/>
  <c r="FP54" i="20"/>
  <c r="FQ54" i="20"/>
  <c r="FR54" i="20"/>
  <c r="FS54" i="20"/>
  <c r="FT54" i="20"/>
  <c r="FU54" i="20"/>
  <c r="FV54" i="20"/>
  <c r="FW54" i="20"/>
  <c r="FX54" i="20"/>
  <c r="FY54" i="20"/>
  <c r="FZ54" i="20"/>
  <c r="GA54" i="20"/>
  <c r="GB54" i="20"/>
  <c r="GC54" i="20"/>
  <c r="GD54" i="20"/>
  <c r="GE54" i="20"/>
  <c r="GF54" i="20"/>
  <c r="GG54" i="20"/>
  <c r="GH54" i="20"/>
  <c r="GI54" i="20"/>
  <c r="GJ54" i="20"/>
  <c r="GK54" i="20"/>
  <c r="GL54" i="20"/>
  <c r="GM54" i="20"/>
  <c r="GN54" i="20"/>
  <c r="GO54" i="20"/>
  <c r="GP54" i="20"/>
  <c r="GQ54" i="20"/>
  <c r="GR54" i="20"/>
  <c r="GS54" i="20"/>
  <c r="GT54" i="20"/>
  <c r="GU54" i="20"/>
  <c r="GV54" i="20"/>
  <c r="GW54" i="20"/>
  <c r="GX54" i="20"/>
  <c r="GY54" i="20"/>
  <c r="GZ54" i="20"/>
  <c r="HA54" i="20"/>
  <c r="HB54" i="20"/>
  <c r="HC54" i="20"/>
  <c r="AR55" i="20"/>
  <c r="AS55" i="20"/>
  <c r="AT55" i="20"/>
  <c r="AU55" i="20"/>
  <c r="AV55" i="20"/>
  <c r="AW55" i="20"/>
  <c r="AX55" i="20"/>
  <c r="AY55" i="20"/>
  <c r="AZ55" i="20"/>
  <c r="BA55" i="20"/>
  <c r="BB55" i="20"/>
  <c r="BC55" i="20"/>
  <c r="BD55" i="20"/>
  <c r="BE55" i="20"/>
  <c r="BF55" i="20"/>
  <c r="BG55" i="20"/>
  <c r="BH55" i="20"/>
  <c r="BI55" i="20"/>
  <c r="BJ55" i="20"/>
  <c r="BK55" i="20"/>
  <c r="BL55" i="20"/>
  <c r="BM55" i="20"/>
  <c r="BN55" i="20"/>
  <c r="BO55" i="20"/>
  <c r="BP55" i="20"/>
  <c r="BQ55" i="20"/>
  <c r="BR55" i="20"/>
  <c r="BS55" i="20"/>
  <c r="BT55" i="20"/>
  <c r="BU55" i="20"/>
  <c r="BV55" i="20"/>
  <c r="BW55" i="20"/>
  <c r="BX55" i="20"/>
  <c r="BY55" i="20"/>
  <c r="BZ55" i="20"/>
  <c r="CA55" i="20"/>
  <c r="CB55" i="20"/>
  <c r="CC55" i="20"/>
  <c r="CD55" i="20"/>
  <c r="CE55" i="20"/>
  <c r="CF55" i="20"/>
  <c r="CG55" i="20"/>
  <c r="CH55" i="20"/>
  <c r="CI55" i="20"/>
  <c r="CJ55" i="20"/>
  <c r="CK55" i="20"/>
  <c r="CL55" i="20"/>
  <c r="CM55" i="20"/>
  <c r="CN55" i="20"/>
  <c r="CO55" i="20"/>
  <c r="CP55" i="20"/>
  <c r="CQ55" i="20"/>
  <c r="CR55" i="20"/>
  <c r="CS55" i="20"/>
  <c r="CT55" i="20"/>
  <c r="CU55" i="20"/>
  <c r="CV55" i="20"/>
  <c r="CW55" i="20"/>
  <c r="CX55" i="20"/>
  <c r="CY55" i="20"/>
  <c r="CZ55" i="20"/>
  <c r="DA55" i="20"/>
  <c r="DB55" i="20"/>
  <c r="DC55" i="20"/>
  <c r="DD55" i="20"/>
  <c r="DE55" i="20"/>
  <c r="DF55" i="20"/>
  <c r="DG55" i="20"/>
  <c r="DH55" i="20"/>
  <c r="DI55" i="20"/>
  <c r="DJ55" i="20"/>
  <c r="DK55" i="20"/>
  <c r="DL55" i="20"/>
  <c r="DM55" i="20"/>
  <c r="DN55" i="20"/>
  <c r="DO55" i="20"/>
  <c r="DP55" i="20"/>
  <c r="DQ55" i="20"/>
  <c r="DR55" i="20"/>
  <c r="DS55" i="20"/>
  <c r="DT55" i="20"/>
  <c r="DU55" i="20"/>
  <c r="DV55" i="20"/>
  <c r="DW55" i="20"/>
  <c r="DX55" i="20"/>
  <c r="DY55" i="20"/>
  <c r="DZ55" i="20"/>
  <c r="EA55" i="20"/>
  <c r="EB55" i="20"/>
  <c r="EC55" i="20"/>
  <c r="ED55" i="20"/>
  <c r="EE55" i="20"/>
  <c r="EF55" i="20"/>
  <c r="EG55" i="20"/>
  <c r="EH55" i="20"/>
  <c r="EI55" i="20"/>
  <c r="EJ55" i="20"/>
  <c r="EK55" i="20"/>
  <c r="EL55" i="20"/>
  <c r="EM55" i="20"/>
  <c r="EN55" i="20"/>
  <c r="EO55" i="20"/>
  <c r="EP55" i="20"/>
  <c r="EQ55" i="20"/>
  <c r="ER55" i="20"/>
  <c r="ES55" i="20"/>
  <c r="ET55" i="20"/>
  <c r="EU55" i="20"/>
  <c r="EV55" i="20"/>
  <c r="EW55" i="20"/>
  <c r="EX55" i="20"/>
  <c r="EY55" i="20"/>
  <c r="EZ55" i="20"/>
  <c r="FA55" i="20"/>
  <c r="FB55" i="20"/>
  <c r="FC55" i="20"/>
  <c r="FD55" i="20"/>
  <c r="FE55" i="20"/>
  <c r="FF55" i="20"/>
  <c r="FG55" i="20"/>
  <c r="FH55" i="20"/>
  <c r="FI55" i="20"/>
  <c r="FJ55" i="20"/>
  <c r="FK55" i="20"/>
  <c r="FL55" i="20"/>
  <c r="FM55" i="20"/>
  <c r="FN55" i="20"/>
  <c r="FO55" i="20"/>
  <c r="FP55" i="20"/>
  <c r="FQ55" i="20"/>
  <c r="FR55" i="20"/>
  <c r="FS55" i="20"/>
  <c r="FT55" i="20"/>
  <c r="FU55" i="20"/>
  <c r="FV55" i="20"/>
  <c r="FW55" i="20"/>
  <c r="FX55" i="20"/>
  <c r="FY55" i="20"/>
  <c r="FZ55" i="20"/>
  <c r="GA55" i="20"/>
  <c r="GB55" i="20"/>
  <c r="GC55" i="20"/>
  <c r="GD55" i="20"/>
  <c r="GE55" i="20"/>
  <c r="GF55" i="20"/>
  <c r="GG55" i="20"/>
  <c r="GH55" i="20"/>
  <c r="GI55" i="20"/>
  <c r="GJ55" i="20"/>
  <c r="GK55" i="20"/>
  <c r="GL55" i="20"/>
  <c r="GM55" i="20"/>
  <c r="GN55" i="20"/>
  <c r="GO55" i="20"/>
  <c r="GP55" i="20"/>
  <c r="GQ55" i="20"/>
  <c r="GR55" i="20"/>
  <c r="GS55" i="20"/>
  <c r="GT55" i="20"/>
  <c r="GU55" i="20"/>
  <c r="GV55" i="20"/>
  <c r="GW55" i="20"/>
  <c r="GX55" i="20"/>
  <c r="GY55" i="20"/>
  <c r="GZ55" i="20"/>
  <c r="HA55" i="20"/>
  <c r="HB55" i="20"/>
  <c r="HC55" i="20"/>
  <c r="AR56" i="20"/>
  <c r="AS56" i="20"/>
  <c r="AT56" i="20"/>
  <c r="AU56" i="20"/>
  <c r="AV56" i="20"/>
  <c r="AW56" i="20"/>
  <c r="AX56" i="20"/>
  <c r="AY56" i="20"/>
  <c r="AZ56" i="20"/>
  <c r="BA56" i="20"/>
  <c r="BB56" i="20"/>
  <c r="BC56" i="20"/>
  <c r="BD56" i="20"/>
  <c r="BE56" i="20"/>
  <c r="BF56" i="20"/>
  <c r="BG56" i="20"/>
  <c r="BH56" i="20"/>
  <c r="BI56" i="20"/>
  <c r="BJ56" i="20"/>
  <c r="BK56" i="20"/>
  <c r="BL56" i="20"/>
  <c r="BM56" i="20"/>
  <c r="BN56" i="20"/>
  <c r="BO56" i="20"/>
  <c r="BP56" i="20"/>
  <c r="BQ56" i="20"/>
  <c r="BR56" i="20"/>
  <c r="BS56" i="20"/>
  <c r="BT56" i="20"/>
  <c r="BU56" i="20"/>
  <c r="BV56" i="20"/>
  <c r="BW56" i="20"/>
  <c r="BX56" i="20"/>
  <c r="BY56" i="20"/>
  <c r="BZ56" i="20"/>
  <c r="CA56" i="20"/>
  <c r="CB56" i="20"/>
  <c r="CC56" i="20"/>
  <c r="CD56" i="20"/>
  <c r="CE56" i="20"/>
  <c r="CF56" i="20"/>
  <c r="CG56" i="20"/>
  <c r="CH56" i="20"/>
  <c r="CI56" i="20"/>
  <c r="CJ56" i="20"/>
  <c r="CK56" i="20"/>
  <c r="CL56" i="20"/>
  <c r="CM56" i="20"/>
  <c r="CN56" i="20"/>
  <c r="CO56" i="20"/>
  <c r="CP56" i="20"/>
  <c r="CQ56" i="20"/>
  <c r="CR56" i="20"/>
  <c r="CS56" i="20"/>
  <c r="CT56" i="20"/>
  <c r="CU56" i="20"/>
  <c r="CV56" i="20"/>
  <c r="CW56" i="20"/>
  <c r="CX56" i="20"/>
  <c r="CY56" i="20"/>
  <c r="CZ56" i="20"/>
  <c r="DA56" i="20"/>
  <c r="DB56" i="20"/>
  <c r="DC56" i="20"/>
  <c r="DD56" i="20"/>
  <c r="DE56" i="20"/>
  <c r="DF56" i="20"/>
  <c r="DG56" i="20"/>
  <c r="DH56" i="20"/>
  <c r="DI56" i="20"/>
  <c r="DJ56" i="20"/>
  <c r="DK56" i="20"/>
  <c r="DL56" i="20"/>
  <c r="DM56" i="20"/>
  <c r="DN56" i="20"/>
  <c r="DO56" i="20"/>
  <c r="DP56" i="20"/>
  <c r="DQ56" i="20"/>
  <c r="DR56" i="20"/>
  <c r="DS56" i="20"/>
  <c r="DT56" i="20"/>
  <c r="DU56" i="20"/>
  <c r="DV56" i="20"/>
  <c r="DW56" i="20"/>
  <c r="DX56" i="20"/>
  <c r="DY56" i="20"/>
  <c r="DZ56" i="20"/>
  <c r="EA56" i="20"/>
  <c r="EB56" i="20"/>
  <c r="EC56" i="20"/>
  <c r="ED56" i="20"/>
  <c r="EE56" i="20"/>
  <c r="EF56" i="20"/>
  <c r="EG56" i="20"/>
  <c r="EH56" i="20"/>
  <c r="EI56" i="20"/>
  <c r="EJ56" i="20"/>
  <c r="EK56" i="20"/>
  <c r="EL56" i="20"/>
  <c r="EM56" i="20"/>
  <c r="EN56" i="20"/>
  <c r="EO56" i="20"/>
  <c r="EP56" i="20"/>
  <c r="EQ56" i="20"/>
  <c r="ER56" i="20"/>
  <c r="ES56" i="20"/>
  <c r="ET56" i="20"/>
  <c r="EU56" i="20"/>
  <c r="EV56" i="20"/>
  <c r="EW56" i="20"/>
  <c r="EX56" i="20"/>
  <c r="EY56" i="20"/>
  <c r="EZ56" i="20"/>
  <c r="FA56" i="20"/>
  <c r="FB56" i="20"/>
  <c r="FC56" i="20"/>
  <c r="FD56" i="20"/>
  <c r="FE56" i="20"/>
  <c r="FF56" i="20"/>
  <c r="FG56" i="20"/>
  <c r="FH56" i="20"/>
  <c r="FI56" i="20"/>
  <c r="FJ56" i="20"/>
  <c r="FK56" i="20"/>
  <c r="FL56" i="20"/>
  <c r="FM56" i="20"/>
  <c r="FN56" i="20"/>
  <c r="FO56" i="20"/>
  <c r="FP56" i="20"/>
  <c r="FQ56" i="20"/>
  <c r="FR56" i="20"/>
  <c r="FS56" i="20"/>
  <c r="FT56" i="20"/>
  <c r="FU56" i="20"/>
  <c r="FV56" i="20"/>
  <c r="FW56" i="20"/>
  <c r="FX56" i="20"/>
  <c r="FY56" i="20"/>
  <c r="FZ56" i="20"/>
  <c r="GA56" i="20"/>
  <c r="GB56" i="20"/>
  <c r="GC56" i="20"/>
  <c r="GD56" i="20"/>
  <c r="GE56" i="20"/>
  <c r="GF56" i="20"/>
  <c r="GG56" i="20"/>
  <c r="GH56" i="20"/>
  <c r="GI56" i="20"/>
  <c r="GJ56" i="20"/>
  <c r="GK56" i="20"/>
  <c r="GL56" i="20"/>
  <c r="GM56" i="20"/>
  <c r="GN56" i="20"/>
  <c r="GO56" i="20"/>
  <c r="GP56" i="20"/>
  <c r="GQ56" i="20"/>
  <c r="GR56" i="20"/>
  <c r="GS56" i="20"/>
  <c r="GT56" i="20"/>
  <c r="GU56" i="20"/>
  <c r="GV56" i="20"/>
  <c r="GW56" i="20"/>
  <c r="GX56" i="20"/>
  <c r="GY56" i="20"/>
  <c r="GZ56" i="20"/>
  <c r="HA56" i="20"/>
  <c r="HB56" i="20"/>
  <c r="HC56" i="20"/>
  <c r="AR57" i="20"/>
  <c r="AS57" i="20"/>
  <c r="AT57" i="20"/>
  <c r="AU57" i="20"/>
  <c r="AV57" i="20"/>
  <c r="AW57" i="20"/>
  <c r="AX57" i="20"/>
  <c r="AY57" i="20"/>
  <c r="AZ57" i="20"/>
  <c r="BA57" i="20"/>
  <c r="BB57" i="20"/>
  <c r="BC57" i="20"/>
  <c r="BD57" i="20"/>
  <c r="BE57" i="20"/>
  <c r="BF57" i="20"/>
  <c r="BG57" i="20"/>
  <c r="BH57" i="20"/>
  <c r="BI57" i="20"/>
  <c r="BJ57" i="20"/>
  <c r="BK57" i="20"/>
  <c r="BL57" i="20"/>
  <c r="BM57" i="20"/>
  <c r="BN57" i="20"/>
  <c r="BO57" i="20"/>
  <c r="BP57" i="20"/>
  <c r="BQ57" i="20"/>
  <c r="BR57" i="20"/>
  <c r="BS57" i="20"/>
  <c r="BT57" i="20"/>
  <c r="BU57" i="20"/>
  <c r="BV57" i="20"/>
  <c r="BW57" i="20"/>
  <c r="BX57" i="20"/>
  <c r="BY57" i="20"/>
  <c r="BZ57" i="20"/>
  <c r="CA57" i="20"/>
  <c r="CB57" i="20"/>
  <c r="CC57" i="20"/>
  <c r="CD57" i="20"/>
  <c r="CE57" i="20"/>
  <c r="CF57" i="20"/>
  <c r="CG57" i="20"/>
  <c r="CH57" i="20"/>
  <c r="CI57" i="20"/>
  <c r="CJ57" i="20"/>
  <c r="CK57" i="20"/>
  <c r="CL57" i="20"/>
  <c r="CM57" i="20"/>
  <c r="CN57" i="20"/>
  <c r="CO57" i="20"/>
  <c r="CP57" i="20"/>
  <c r="CQ57" i="20"/>
  <c r="CR57" i="20"/>
  <c r="CS57" i="20"/>
  <c r="CT57" i="20"/>
  <c r="CU57" i="20"/>
  <c r="CV57" i="20"/>
  <c r="CW57" i="20"/>
  <c r="CX57" i="20"/>
  <c r="CY57" i="20"/>
  <c r="CZ57" i="20"/>
  <c r="DA57" i="20"/>
  <c r="DB57" i="20"/>
  <c r="DC57" i="20"/>
  <c r="DD57" i="20"/>
  <c r="DE57" i="20"/>
  <c r="DF57" i="20"/>
  <c r="DG57" i="20"/>
  <c r="DH57" i="20"/>
  <c r="DI57" i="20"/>
  <c r="DJ57" i="20"/>
  <c r="DK57" i="20"/>
  <c r="DL57" i="20"/>
  <c r="DM57" i="20"/>
  <c r="DN57" i="20"/>
  <c r="DO57" i="20"/>
  <c r="DP57" i="20"/>
  <c r="DQ57" i="20"/>
  <c r="DR57" i="20"/>
  <c r="DS57" i="20"/>
  <c r="DT57" i="20"/>
  <c r="DU57" i="20"/>
  <c r="DV57" i="20"/>
  <c r="DW57" i="20"/>
  <c r="DX57" i="20"/>
  <c r="DY57" i="20"/>
  <c r="DZ57" i="20"/>
  <c r="EA57" i="20"/>
  <c r="EB57" i="20"/>
  <c r="EC57" i="20"/>
  <c r="ED57" i="20"/>
  <c r="EE57" i="20"/>
  <c r="EF57" i="20"/>
  <c r="EG57" i="20"/>
  <c r="EH57" i="20"/>
  <c r="EI57" i="20"/>
  <c r="EJ57" i="20"/>
  <c r="EK57" i="20"/>
  <c r="EL57" i="20"/>
  <c r="EM57" i="20"/>
  <c r="EN57" i="20"/>
  <c r="EO57" i="20"/>
  <c r="EP57" i="20"/>
  <c r="EQ57" i="20"/>
  <c r="ER57" i="20"/>
  <c r="ES57" i="20"/>
  <c r="ET57" i="20"/>
  <c r="EU57" i="20"/>
  <c r="EV57" i="20"/>
  <c r="EW57" i="20"/>
  <c r="EX57" i="20"/>
  <c r="EY57" i="20"/>
  <c r="EZ57" i="20"/>
  <c r="FA57" i="20"/>
  <c r="FB57" i="20"/>
  <c r="FC57" i="20"/>
  <c r="FD57" i="20"/>
  <c r="FE57" i="20"/>
  <c r="FF57" i="20"/>
  <c r="FG57" i="20"/>
  <c r="FH57" i="20"/>
  <c r="FI57" i="20"/>
  <c r="FJ57" i="20"/>
  <c r="FK57" i="20"/>
  <c r="FL57" i="20"/>
  <c r="FM57" i="20"/>
  <c r="FN57" i="20"/>
  <c r="FO57" i="20"/>
  <c r="FP57" i="20"/>
  <c r="FQ57" i="20"/>
  <c r="FR57" i="20"/>
  <c r="FS57" i="20"/>
  <c r="FT57" i="20"/>
  <c r="FU57" i="20"/>
  <c r="FV57" i="20"/>
  <c r="FW57" i="20"/>
  <c r="FX57" i="20"/>
  <c r="FY57" i="20"/>
  <c r="FZ57" i="20"/>
  <c r="GA57" i="20"/>
  <c r="GB57" i="20"/>
  <c r="GC57" i="20"/>
  <c r="GD57" i="20"/>
  <c r="GE57" i="20"/>
  <c r="GF57" i="20"/>
  <c r="GG57" i="20"/>
  <c r="GH57" i="20"/>
  <c r="GI57" i="20"/>
  <c r="GJ57" i="20"/>
  <c r="GK57" i="20"/>
  <c r="GL57" i="20"/>
  <c r="GM57" i="20"/>
  <c r="GN57" i="20"/>
  <c r="GO57" i="20"/>
  <c r="GP57" i="20"/>
  <c r="GQ57" i="20"/>
  <c r="GR57" i="20"/>
  <c r="GS57" i="20"/>
  <c r="GT57" i="20"/>
  <c r="GU57" i="20"/>
  <c r="GV57" i="20"/>
  <c r="GW57" i="20"/>
  <c r="GX57" i="20"/>
  <c r="GY57" i="20"/>
  <c r="GZ57" i="20"/>
  <c r="HA57" i="20"/>
  <c r="HB57" i="20"/>
  <c r="HC57" i="20"/>
  <c r="AR58" i="20"/>
  <c r="AS58" i="20"/>
  <c r="AT58" i="20"/>
  <c r="AU58" i="20"/>
  <c r="AV58" i="20"/>
  <c r="AW58" i="20"/>
  <c r="AX58" i="20"/>
  <c r="AY58" i="20"/>
  <c r="AZ58" i="20"/>
  <c r="BA58" i="20"/>
  <c r="BB58" i="20"/>
  <c r="BC58" i="20"/>
  <c r="BD58" i="20"/>
  <c r="BE58" i="20"/>
  <c r="BF58" i="20"/>
  <c r="BG58" i="20"/>
  <c r="BH58" i="20"/>
  <c r="BI58" i="20"/>
  <c r="BJ58" i="20"/>
  <c r="BK58" i="20"/>
  <c r="BL58" i="20"/>
  <c r="BM58" i="20"/>
  <c r="BN58" i="20"/>
  <c r="BO58" i="20"/>
  <c r="BP58" i="20"/>
  <c r="BQ58" i="20"/>
  <c r="BR58" i="20"/>
  <c r="BS58" i="20"/>
  <c r="BT58" i="20"/>
  <c r="BU58" i="20"/>
  <c r="BV58" i="20"/>
  <c r="BW58" i="20"/>
  <c r="BX58" i="20"/>
  <c r="BY58" i="20"/>
  <c r="BZ58" i="20"/>
  <c r="CA58" i="20"/>
  <c r="CB58" i="20"/>
  <c r="CC58" i="20"/>
  <c r="CD58" i="20"/>
  <c r="CE58" i="20"/>
  <c r="CF58" i="20"/>
  <c r="CG58" i="20"/>
  <c r="CH58" i="20"/>
  <c r="CI58" i="20"/>
  <c r="CJ58" i="20"/>
  <c r="CK58" i="20"/>
  <c r="CL58" i="20"/>
  <c r="CM58" i="20"/>
  <c r="CN58" i="20"/>
  <c r="CO58" i="20"/>
  <c r="CP58" i="20"/>
  <c r="CQ58" i="20"/>
  <c r="CR58" i="20"/>
  <c r="CS58" i="20"/>
  <c r="CT58" i="20"/>
  <c r="CU58" i="20"/>
  <c r="CV58" i="20"/>
  <c r="CW58" i="20"/>
  <c r="CX58" i="20"/>
  <c r="CY58" i="20"/>
  <c r="CZ58" i="20"/>
  <c r="DA58" i="20"/>
  <c r="DB58" i="20"/>
  <c r="DC58" i="20"/>
  <c r="DD58" i="20"/>
  <c r="DE58" i="20"/>
  <c r="DF58" i="20"/>
  <c r="DG58" i="20"/>
  <c r="DH58" i="20"/>
  <c r="DI58" i="20"/>
  <c r="DJ58" i="20"/>
  <c r="DK58" i="20"/>
  <c r="DL58" i="20"/>
  <c r="DM58" i="20"/>
  <c r="DN58" i="20"/>
  <c r="DO58" i="20"/>
  <c r="DP58" i="20"/>
  <c r="DQ58" i="20"/>
  <c r="DR58" i="20"/>
  <c r="DS58" i="20"/>
  <c r="DT58" i="20"/>
  <c r="DU58" i="20"/>
  <c r="DV58" i="20"/>
  <c r="DW58" i="20"/>
  <c r="DX58" i="20"/>
  <c r="DY58" i="20"/>
  <c r="DZ58" i="20"/>
  <c r="EA58" i="20"/>
  <c r="EB58" i="20"/>
  <c r="EC58" i="20"/>
  <c r="ED58" i="20"/>
  <c r="EE58" i="20"/>
  <c r="EF58" i="20"/>
  <c r="EG58" i="20"/>
  <c r="EH58" i="20"/>
  <c r="EI58" i="20"/>
  <c r="EJ58" i="20"/>
  <c r="EK58" i="20"/>
  <c r="EL58" i="20"/>
  <c r="EM58" i="20"/>
  <c r="EN58" i="20"/>
  <c r="EO58" i="20"/>
  <c r="EP58" i="20"/>
  <c r="EQ58" i="20"/>
  <c r="ER58" i="20"/>
  <c r="ES58" i="20"/>
  <c r="ET58" i="20"/>
  <c r="EU58" i="20"/>
  <c r="EV58" i="20"/>
  <c r="EW58" i="20"/>
  <c r="EX58" i="20"/>
  <c r="EY58" i="20"/>
  <c r="EZ58" i="20"/>
  <c r="FA58" i="20"/>
  <c r="FB58" i="20"/>
  <c r="FC58" i="20"/>
  <c r="FD58" i="20"/>
  <c r="FE58" i="20"/>
  <c r="FF58" i="20"/>
  <c r="FG58" i="20"/>
  <c r="FH58" i="20"/>
  <c r="FI58" i="20"/>
  <c r="FJ58" i="20"/>
  <c r="FK58" i="20"/>
  <c r="FL58" i="20"/>
  <c r="FM58" i="20"/>
  <c r="FN58" i="20"/>
  <c r="FO58" i="20"/>
  <c r="FP58" i="20"/>
  <c r="FQ58" i="20"/>
  <c r="FR58" i="20"/>
  <c r="FS58" i="20"/>
  <c r="FT58" i="20"/>
  <c r="FU58" i="20"/>
  <c r="FV58" i="20"/>
  <c r="FW58" i="20"/>
  <c r="FX58" i="20"/>
  <c r="FY58" i="20"/>
  <c r="FZ58" i="20"/>
  <c r="GA58" i="20"/>
  <c r="GB58" i="20"/>
  <c r="GC58" i="20"/>
  <c r="GD58" i="20"/>
  <c r="GE58" i="20"/>
  <c r="GF58" i="20"/>
  <c r="GG58" i="20"/>
  <c r="GH58" i="20"/>
  <c r="GI58" i="20"/>
  <c r="GJ58" i="20"/>
  <c r="GK58" i="20"/>
  <c r="GL58" i="20"/>
  <c r="GM58" i="20"/>
  <c r="GN58" i="20"/>
  <c r="GO58" i="20"/>
  <c r="GP58" i="20"/>
  <c r="GQ58" i="20"/>
  <c r="GR58" i="20"/>
  <c r="GS58" i="20"/>
  <c r="GT58" i="20"/>
  <c r="GU58" i="20"/>
  <c r="GV58" i="20"/>
  <c r="GW58" i="20"/>
  <c r="GX58" i="20"/>
  <c r="GY58" i="20"/>
  <c r="GZ58" i="20"/>
  <c r="HA58" i="20"/>
  <c r="HB58" i="20"/>
  <c r="HC58" i="20"/>
  <c r="AR59" i="20"/>
  <c r="AS59" i="20"/>
  <c r="AT59" i="20"/>
  <c r="AU59" i="20"/>
  <c r="AV59" i="20"/>
  <c r="AW59" i="20"/>
  <c r="AX59" i="20"/>
  <c r="AY59" i="20"/>
  <c r="AZ59" i="20"/>
  <c r="BA59" i="20"/>
  <c r="BB59" i="20"/>
  <c r="BC59" i="20"/>
  <c r="BD59" i="20"/>
  <c r="BE59" i="20"/>
  <c r="BF59" i="20"/>
  <c r="BG59" i="20"/>
  <c r="BH59" i="20"/>
  <c r="BI59" i="20"/>
  <c r="BJ59" i="20"/>
  <c r="BK59" i="20"/>
  <c r="BL59" i="20"/>
  <c r="BM59" i="20"/>
  <c r="BN59" i="20"/>
  <c r="BO59" i="20"/>
  <c r="BP59" i="20"/>
  <c r="BQ59" i="20"/>
  <c r="BR59" i="20"/>
  <c r="BS59" i="20"/>
  <c r="BT59" i="20"/>
  <c r="BU59" i="20"/>
  <c r="BV59" i="20"/>
  <c r="BW59" i="20"/>
  <c r="BX59" i="20"/>
  <c r="BY59" i="20"/>
  <c r="BZ59" i="20"/>
  <c r="CA59" i="20"/>
  <c r="CB59" i="20"/>
  <c r="CC59" i="20"/>
  <c r="CD59" i="20"/>
  <c r="CE59" i="20"/>
  <c r="CF59" i="20"/>
  <c r="CG59" i="20"/>
  <c r="CH59" i="20"/>
  <c r="CI59" i="20"/>
  <c r="CJ59" i="20"/>
  <c r="CK59" i="20"/>
  <c r="CL59" i="20"/>
  <c r="CM59" i="20"/>
  <c r="CN59" i="20"/>
  <c r="CO59" i="20"/>
  <c r="CP59" i="20"/>
  <c r="CQ59" i="20"/>
  <c r="CR59" i="20"/>
  <c r="CS59" i="20"/>
  <c r="CT59" i="20"/>
  <c r="CU59" i="20"/>
  <c r="CV59" i="20"/>
  <c r="CW59" i="20"/>
  <c r="CX59" i="20"/>
  <c r="CY59" i="20"/>
  <c r="CZ59" i="20"/>
  <c r="DA59" i="20"/>
  <c r="DB59" i="20"/>
  <c r="DC59" i="20"/>
  <c r="DD59" i="20"/>
  <c r="DE59" i="20"/>
  <c r="DF59" i="20"/>
  <c r="DG59" i="20"/>
  <c r="DH59" i="20"/>
  <c r="DI59" i="20"/>
  <c r="DJ59" i="20"/>
  <c r="DK59" i="20"/>
  <c r="DL59" i="20"/>
  <c r="DM59" i="20"/>
  <c r="DN59" i="20"/>
  <c r="DO59" i="20"/>
  <c r="DP59" i="20"/>
  <c r="DQ59" i="20"/>
  <c r="DR59" i="20"/>
  <c r="DS59" i="20"/>
  <c r="DT59" i="20"/>
  <c r="DU59" i="20"/>
  <c r="DV59" i="20"/>
  <c r="DW59" i="20"/>
  <c r="DX59" i="20"/>
  <c r="DY59" i="20"/>
  <c r="DZ59" i="20"/>
  <c r="EA59" i="20"/>
  <c r="EB59" i="20"/>
  <c r="EC59" i="20"/>
  <c r="ED59" i="20"/>
  <c r="EE59" i="20"/>
  <c r="EF59" i="20"/>
  <c r="EG59" i="20"/>
  <c r="EH59" i="20"/>
  <c r="EI59" i="20"/>
  <c r="EJ59" i="20"/>
  <c r="EK59" i="20"/>
  <c r="EL59" i="20"/>
  <c r="EM59" i="20"/>
  <c r="EN59" i="20"/>
  <c r="EO59" i="20"/>
  <c r="EP59" i="20"/>
  <c r="EQ59" i="20"/>
  <c r="ER59" i="20"/>
  <c r="ES59" i="20"/>
  <c r="ET59" i="20"/>
  <c r="EU59" i="20"/>
  <c r="EV59" i="20"/>
  <c r="EW59" i="20"/>
  <c r="EX59" i="20"/>
  <c r="EY59" i="20"/>
  <c r="EZ59" i="20"/>
  <c r="FA59" i="20"/>
  <c r="FB59" i="20"/>
  <c r="FC59" i="20"/>
  <c r="FD59" i="20"/>
  <c r="FE59" i="20"/>
  <c r="FF59" i="20"/>
  <c r="FG59" i="20"/>
  <c r="FH59" i="20"/>
  <c r="FI59" i="20"/>
  <c r="FJ59" i="20"/>
  <c r="FK59" i="20"/>
  <c r="FL59" i="20"/>
  <c r="FM59" i="20"/>
  <c r="FN59" i="20"/>
  <c r="FO59" i="20"/>
  <c r="FP59" i="20"/>
  <c r="FQ59" i="20"/>
  <c r="FR59" i="20"/>
  <c r="FS59" i="20"/>
  <c r="FT59" i="20"/>
  <c r="FU59" i="20"/>
  <c r="FV59" i="20"/>
  <c r="FW59" i="20"/>
  <c r="FX59" i="20"/>
  <c r="FY59" i="20"/>
  <c r="FZ59" i="20"/>
  <c r="GA59" i="20"/>
  <c r="GB59" i="20"/>
  <c r="GC59" i="20"/>
  <c r="GD59" i="20"/>
  <c r="GE59" i="20"/>
  <c r="GF59" i="20"/>
  <c r="GG59" i="20"/>
  <c r="GH59" i="20"/>
  <c r="GI59" i="20"/>
  <c r="GJ59" i="20"/>
  <c r="GK59" i="20"/>
  <c r="GL59" i="20"/>
  <c r="GM59" i="20"/>
  <c r="GN59" i="20"/>
  <c r="GO59" i="20"/>
  <c r="GP59" i="20"/>
  <c r="GQ59" i="20"/>
  <c r="GR59" i="20"/>
  <c r="GS59" i="20"/>
  <c r="GT59" i="20"/>
  <c r="GU59" i="20"/>
  <c r="GV59" i="20"/>
  <c r="GW59" i="20"/>
  <c r="GX59" i="20"/>
  <c r="GY59" i="20"/>
  <c r="GZ59" i="20"/>
  <c r="HA59" i="20"/>
  <c r="HB59" i="20"/>
  <c r="HC59" i="20"/>
  <c r="AR60" i="20"/>
  <c r="AS60" i="20"/>
  <c r="AT60" i="20"/>
  <c r="AU60" i="20"/>
  <c r="AV60" i="20"/>
  <c r="AW60" i="20"/>
  <c r="AX60" i="20"/>
  <c r="AY60" i="20"/>
  <c r="AZ60" i="20"/>
  <c r="BA60" i="20"/>
  <c r="BB60" i="20"/>
  <c r="BC60" i="20"/>
  <c r="BD60" i="20"/>
  <c r="BE60" i="20"/>
  <c r="BF60" i="20"/>
  <c r="BG60" i="20"/>
  <c r="BH60" i="20"/>
  <c r="BI60" i="20"/>
  <c r="BJ60" i="20"/>
  <c r="BK60" i="20"/>
  <c r="BL60" i="20"/>
  <c r="BM60" i="20"/>
  <c r="BN60" i="20"/>
  <c r="BO60" i="20"/>
  <c r="BP60" i="20"/>
  <c r="BQ60" i="20"/>
  <c r="BR60" i="20"/>
  <c r="BS60" i="20"/>
  <c r="BT60" i="20"/>
  <c r="BU60" i="20"/>
  <c r="BV60" i="20"/>
  <c r="BW60" i="20"/>
  <c r="BX60" i="20"/>
  <c r="BY60" i="20"/>
  <c r="BZ60" i="20"/>
  <c r="CA60" i="20"/>
  <c r="CB60" i="20"/>
  <c r="CC60" i="20"/>
  <c r="CD60" i="20"/>
  <c r="CE60" i="20"/>
  <c r="CF60" i="20"/>
  <c r="CG60" i="20"/>
  <c r="CH60" i="20"/>
  <c r="CI60" i="20"/>
  <c r="CJ60" i="20"/>
  <c r="CK60" i="20"/>
  <c r="CL60" i="20"/>
  <c r="CM60" i="20"/>
  <c r="CN60" i="20"/>
  <c r="CO60" i="20"/>
  <c r="CP60" i="20"/>
  <c r="CQ60" i="20"/>
  <c r="CR60" i="20"/>
  <c r="CS60" i="20"/>
  <c r="CT60" i="20"/>
  <c r="CU60" i="20"/>
  <c r="CV60" i="20"/>
  <c r="CW60" i="20"/>
  <c r="CX60" i="20"/>
  <c r="CY60" i="20"/>
  <c r="CZ60" i="20"/>
  <c r="DA60" i="20"/>
  <c r="DB60" i="20"/>
  <c r="DC60" i="20"/>
  <c r="DD60" i="20"/>
  <c r="DE60" i="20"/>
  <c r="DF60" i="20"/>
  <c r="DG60" i="20"/>
  <c r="DH60" i="20"/>
  <c r="DI60" i="20"/>
  <c r="DJ60" i="20"/>
  <c r="DK60" i="20"/>
  <c r="DL60" i="20"/>
  <c r="DM60" i="20"/>
  <c r="DN60" i="20"/>
  <c r="DO60" i="20"/>
  <c r="DP60" i="20"/>
  <c r="DQ60" i="20"/>
  <c r="DR60" i="20"/>
  <c r="DS60" i="20"/>
  <c r="DT60" i="20"/>
  <c r="DU60" i="20"/>
  <c r="DV60" i="20"/>
  <c r="DW60" i="20"/>
  <c r="DX60" i="20"/>
  <c r="DY60" i="20"/>
  <c r="DZ60" i="20"/>
  <c r="EA60" i="20"/>
  <c r="EB60" i="20"/>
  <c r="EC60" i="20"/>
  <c r="ED60" i="20"/>
  <c r="EE60" i="20"/>
  <c r="EF60" i="20"/>
  <c r="EG60" i="20"/>
  <c r="EH60" i="20"/>
  <c r="EI60" i="20"/>
  <c r="EJ60" i="20"/>
  <c r="EK60" i="20"/>
  <c r="EL60" i="20"/>
  <c r="EM60" i="20"/>
  <c r="EN60" i="20"/>
  <c r="EO60" i="20"/>
  <c r="EP60" i="20"/>
  <c r="EQ60" i="20"/>
  <c r="ER60" i="20"/>
  <c r="ES60" i="20"/>
  <c r="ET60" i="20"/>
  <c r="EU60" i="20"/>
  <c r="EV60" i="20"/>
  <c r="EW60" i="20"/>
  <c r="EX60" i="20"/>
  <c r="EY60" i="20"/>
  <c r="EZ60" i="20"/>
  <c r="FA60" i="20"/>
  <c r="FB60" i="20"/>
  <c r="FC60" i="20"/>
  <c r="FD60" i="20"/>
  <c r="FE60" i="20"/>
  <c r="FF60" i="20"/>
  <c r="FG60" i="20"/>
  <c r="FH60" i="20"/>
  <c r="FI60" i="20"/>
  <c r="FJ60" i="20"/>
  <c r="FK60" i="20"/>
  <c r="FL60" i="20"/>
  <c r="FM60" i="20"/>
  <c r="FN60" i="20"/>
  <c r="FO60" i="20"/>
  <c r="FP60" i="20"/>
  <c r="FQ60" i="20"/>
  <c r="FR60" i="20"/>
  <c r="FS60" i="20"/>
  <c r="FT60" i="20"/>
  <c r="FU60" i="20"/>
  <c r="FV60" i="20"/>
  <c r="FW60" i="20"/>
  <c r="FX60" i="20"/>
  <c r="FY60" i="20"/>
  <c r="FZ60" i="20"/>
  <c r="GA60" i="20"/>
  <c r="GB60" i="20"/>
  <c r="GC60" i="20"/>
  <c r="GD60" i="20"/>
  <c r="GE60" i="20"/>
  <c r="GF60" i="20"/>
  <c r="GG60" i="20"/>
  <c r="GH60" i="20"/>
  <c r="GI60" i="20"/>
  <c r="GJ60" i="20"/>
  <c r="GK60" i="20"/>
  <c r="GL60" i="20"/>
  <c r="GM60" i="20"/>
  <c r="GN60" i="20"/>
  <c r="GO60" i="20"/>
  <c r="GP60" i="20"/>
  <c r="GQ60" i="20"/>
  <c r="GR60" i="20"/>
  <c r="GS60" i="20"/>
  <c r="GT60" i="20"/>
  <c r="GU60" i="20"/>
  <c r="GV60" i="20"/>
  <c r="GW60" i="20"/>
  <c r="GX60" i="20"/>
  <c r="GY60" i="20"/>
  <c r="GZ60" i="20"/>
  <c r="HA60" i="20"/>
  <c r="HB60" i="20"/>
  <c r="HC60" i="20"/>
  <c r="AR61" i="20"/>
  <c r="AS61" i="20"/>
  <c r="AT61" i="20"/>
  <c r="AU61" i="20"/>
  <c r="AV61" i="20"/>
  <c r="AW61" i="20"/>
  <c r="AX61" i="20"/>
  <c r="AY61" i="20"/>
  <c r="AZ61" i="20"/>
  <c r="BA61" i="20"/>
  <c r="BB61" i="20"/>
  <c r="BC61" i="20"/>
  <c r="BD61" i="20"/>
  <c r="BE61" i="20"/>
  <c r="BF61" i="20"/>
  <c r="BG61" i="20"/>
  <c r="BH61" i="20"/>
  <c r="BI61" i="20"/>
  <c r="BJ61" i="20"/>
  <c r="BK61" i="20"/>
  <c r="BL61" i="20"/>
  <c r="BM61" i="20"/>
  <c r="BN61" i="20"/>
  <c r="BO61" i="20"/>
  <c r="BP61" i="20"/>
  <c r="BQ61" i="20"/>
  <c r="BR61" i="20"/>
  <c r="BS61" i="20"/>
  <c r="BT61" i="20"/>
  <c r="BU61" i="20"/>
  <c r="BV61" i="20"/>
  <c r="BW61" i="20"/>
  <c r="BX61" i="20"/>
  <c r="BY61" i="20"/>
  <c r="BZ61" i="20"/>
  <c r="CA61" i="20"/>
  <c r="CB61" i="20"/>
  <c r="CC61" i="20"/>
  <c r="CD61" i="20"/>
  <c r="CE61" i="20"/>
  <c r="CF61" i="20"/>
  <c r="CG61" i="20"/>
  <c r="CH61" i="20"/>
  <c r="CI61" i="20"/>
  <c r="CJ61" i="20"/>
  <c r="CK61" i="20"/>
  <c r="CL61" i="20"/>
  <c r="CM61" i="20"/>
  <c r="CN61" i="20"/>
  <c r="CO61" i="20"/>
  <c r="CP61" i="20"/>
  <c r="CQ61" i="20"/>
  <c r="CR61" i="20"/>
  <c r="CS61" i="20"/>
  <c r="CT61" i="20"/>
  <c r="CU61" i="20"/>
  <c r="CV61" i="20"/>
  <c r="CW61" i="20"/>
  <c r="CX61" i="20"/>
  <c r="CY61" i="20"/>
  <c r="CZ61" i="20"/>
  <c r="DA61" i="20"/>
  <c r="DB61" i="20"/>
  <c r="DC61" i="20"/>
  <c r="DD61" i="20"/>
  <c r="DE61" i="20"/>
  <c r="DF61" i="20"/>
  <c r="DG61" i="20"/>
  <c r="DH61" i="20"/>
  <c r="DI61" i="20"/>
  <c r="DJ61" i="20"/>
  <c r="DK61" i="20"/>
  <c r="DL61" i="20"/>
  <c r="DM61" i="20"/>
  <c r="DN61" i="20"/>
  <c r="DO61" i="20"/>
  <c r="DP61" i="20"/>
  <c r="DQ61" i="20"/>
  <c r="DR61" i="20"/>
  <c r="DS61" i="20"/>
  <c r="DT61" i="20"/>
  <c r="DU61" i="20"/>
  <c r="DV61" i="20"/>
  <c r="DW61" i="20"/>
  <c r="DX61" i="20"/>
  <c r="DY61" i="20"/>
  <c r="DZ61" i="20"/>
  <c r="EA61" i="20"/>
  <c r="EB61" i="20"/>
  <c r="EC61" i="20"/>
  <c r="ED61" i="20"/>
  <c r="EE61" i="20"/>
  <c r="EF61" i="20"/>
  <c r="EG61" i="20"/>
  <c r="EH61" i="20"/>
  <c r="EI61" i="20"/>
  <c r="EJ61" i="20"/>
  <c r="EK61" i="20"/>
  <c r="EL61" i="20"/>
  <c r="EM61" i="20"/>
  <c r="EN61" i="20"/>
  <c r="EO61" i="20"/>
  <c r="EP61" i="20"/>
  <c r="EQ61" i="20"/>
  <c r="ER61" i="20"/>
  <c r="ES61" i="20"/>
  <c r="ET61" i="20"/>
  <c r="EU61" i="20"/>
  <c r="EV61" i="20"/>
  <c r="EW61" i="20"/>
  <c r="EX61" i="20"/>
  <c r="EY61" i="20"/>
  <c r="EZ61" i="20"/>
  <c r="FA61" i="20"/>
  <c r="FB61" i="20"/>
  <c r="FC61" i="20"/>
  <c r="FD61" i="20"/>
  <c r="FE61" i="20"/>
  <c r="FF61" i="20"/>
  <c r="FG61" i="20"/>
  <c r="FH61" i="20"/>
  <c r="FI61" i="20"/>
  <c r="FJ61" i="20"/>
  <c r="FK61" i="20"/>
  <c r="FL61" i="20"/>
  <c r="FM61" i="20"/>
  <c r="FN61" i="20"/>
  <c r="FO61" i="20"/>
  <c r="FP61" i="20"/>
  <c r="FQ61" i="20"/>
  <c r="FR61" i="20"/>
  <c r="FS61" i="20"/>
  <c r="FT61" i="20"/>
  <c r="FU61" i="20"/>
  <c r="FV61" i="20"/>
  <c r="FW61" i="20"/>
  <c r="FX61" i="20"/>
  <c r="FY61" i="20"/>
  <c r="FZ61" i="20"/>
  <c r="GA61" i="20"/>
  <c r="GB61" i="20"/>
  <c r="GC61" i="20"/>
  <c r="GD61" i="20"/>
  <c r="GE61" i="20"/>
  <c r="GF61" i="20"/>
  <c r="GG61" i="20"/>
  <c r="GH61" i="20"/>
  <c r="GI61" i="20"/>
  <c r="GJ61" i="20"/>
  <c r="GK61" i="20"/>
  <c r="GL61" i="20"/>
  <c r="GM61" i="20"/>
  <c r="GN61" i="20"/>
  <c r="GO61" i="20"/>
  <c r="GP61" i="20"/>
  <c r="GQ61" i="20"/>
  <c r="GR61" i="20"/>
  <c r="GS61" i="20"/>
  <c r="GT61" i="20"/>
  <c r="GU61" i="20"/>
  <c r="GV61" i="20"/>
  <c r="GW61" i="20"/>
  <c r="GX61" i="20"/>
  <c r="GY61" i="20"/>
  <c r="GZ61" i="20"/>
  <c r="HA61" i="20"/>
  <c r="HB61" i="20"/>
  <c r="HC61" i="20"/>
  <c r="AR62" i="20"/>
  <c r="AS62" i="20"/>
  <c r="AT62" i="20"/>
  <c r="AU62" i="20"/>
  <c r="AV62" i="20"/>
  <c r="AW62" i="20"/>
  <c r="AX62" i="20"/>
  <c r="AY62" i="20"/>
  <c r="AZ62" i="20"/>
  <c r="BA62" i="20"/>
  <c r="BB62" i="20"/>
  <c r="BC62" i="20"/>
  <c r="BD62" i="20"/>
  <c r="BE62" i="20"/>
  <c r="BF62" i="20"/>
  <c r="BG62" i="20"/>
  <c r="BH62" i="20"/>
  <c r="BI62" i="20"/>
  <c r="BJ62" i="20"/>
  <c r="BK62" i="20"/>
  <c r="BL62" i="20"/>
  <c r="BM62" i="20"/>
  <c r="BN62" i="20"/>
  <c r="BO62" i="20"/>
  <c r="BP62" i="20"/>
  <c r="BQ62" i="20"/>
  <c r="BR62" i="20"/>
  <c r="BS62" i="20"/>
  <c r="BT62" i="20"/>
  <c r="BU62" i="20"/>
  <c r="BV62" i="20"/>
  <c r="BW62" i="20"/>
  <c r="BX62" i="20"/>
  <c r="BY62" i="20"/>
  <c r="BZ62" i="20"/>
  <c r="CA62" i="20"/>
  <c r="CB62" i="20"/>
  <c r="CC62" i="20"/>
  <c r="CD62" i="20"/>
  <c r="CE62" i="20"/>
  <c r="CF62" i="20"/>
  <c r="CG62" i="20"/>
  <c r="CH62" i="20"/>
  <c r="CI62" i="20"/>
  <c r="CJ62" i="20"/>
  <c r="CK62" i="20"/>
  <c r="CL62" i="20"/>
  <c r="CM62" i="20"/>
  <c r="CN62" i="20"/>
  <c r="CO62" i="20"/>
  <c r="CP62" i="20"/>
  <c r="CQ62" i="20"/>
  <c r="CR62" i="20"/>
  <c r="CS62" i="20"/>
  <c r="CT62" i="20"/>
  <c r="CU62" i="20"/>
  <c r="CV62" i="20"/>
  <c r="CW62" i="20"/>
  <c r="CX62" i="20"/>
  <c r="CY62" i="20"/>
  <c r="CZ62" i="20"/>
  <c r="DA62" i="20"/>
  <c r="DB62" i="20"/>
  <c r="DC62" i="20"/>
  <c r="DD62" i="20"/>
  <c r="DE62" i="20"/>
  <c r="DF62" i="20"/>
  <c r="DG62" i="20"/>
  <c r="DH62" i="20"/>
  <c r="DI62" i="20"/>
  <c r="DJ62" i="20"/>
  <c r="DK62" i="20"/>
  <c r="DL62" i="20"/>
  <c r="DM62" i="20"/>
  <c r="DN62" i="20"/>
  <c r="DO62" i="20"/>
  <c r="DP62" i="20"/>
  <c r="DQ62" i="20"/>
  <c r="DR62" i="20"/>
  <c r="DS62" i="20"/>
  <c r="DT62" i="20"/>
  <c r="DU62" i="20"/>
  <c r="DV62" i="20"/>
  <c r="DW62" i="20"/>
  <c r="DX62" i="20"/>
  <c r="DY62" i="20"/>
  <c r="DZ62" i="20"/>
  <c r="EA62" i="20"/>
  <c r="EC62" i="20"/>
  <c r="ED62" i="20"/>
  <c r="EE62" i="20"/>
  <c r="EF62" i="20"/>
  <c r="EG62" i="20"/>
  <c r="EH62" i="20"/>
  <c r="EI62" i="20"/>
  <c r="EJ62" i="20"/>
  <c r="EK62" i="20"/>
  <c r="EL62" i="20"/>
  <c r="EM62" i="20"/>
  <c r="EN62" i="20"/>
  <c r="EO62" i="20"/>
  <c r="EP62" i="20"/>
  <c r="EQ62" i="20"/>
  <c r="ER62" i="20"/>
  <c r="ES62" i="20"/>
  <c r="ET62" i="20"/>
  <c r="EU62" i="20"/>
  <c r="EV62" i="20"/>
  <c r="EW62" i="20"/>
  <c r="EX62" i="20"/>
  <c r="EY62" i="20"/>
  <c r="EZ62" i="20"/>
  <c r="FA62" i="20"/>
  <c r="FB62" i="20"/>
  <c r="FC62" i="20"/>
  <c r="FD62" i="20"/>
  <c r="FE62" i="20"/>
  <c r="FF62" i="20"/>
  <c r="FG62" i="20"/>
  <c r="FH62" i="20"/>
  <c r="FI62" i="20"/>
  <c r="FJ62" i="20"/>
  <c r="FK62" i="20"/>
  <c r="FL62" i="20"/>
  <c r="FM62" i="20"/>
  <c r="FN62" i="20"/>
  <c r="FO62" i="20"/>
  <c r="FP62" i="20"/>
  <c r="FQ62" i="20"/>
  <c r="FR62" i="20"/>
  <c r="FS62" i="20"/>
  <c r="FT62" i="20"/>
  <c r="FU62" i="20"/>
  <c r="FV62" i="20"/>
  <c r="FW62" i="20"/>
  <c r="FX62" i="20"/>
  <c r="FY62" i="20"/>
  <c r="FZ62" i="20"/>
  <c r="GA62" i="20"/>
  <c r="GB62" i="20"/>
  <c r="GC62" i="20"/>
  <c r="GD62" i="20"/>
  <c r="GE62" i="20"/>
  <c r="GF62" i="20"/>
  <c r="GG62" i="20"/>
  <c r="GH62" i="20"/>
  <c r="GI62" i="20"/>
  <c r="GJ62" i="20"/>
  <c r="GK62" i="20"/>
  <c r="GL62" i="20"/>
  <c r="GM62" i="20"/>
  <c r="GN62" i="20"/>
  <c r="GO62" i="20"/>
  <c r="GP62" i="20"/>
  <c r="GQ62" i="20"/>
  <c r="GR62" i="20"/>
  <c r="GS62" i="20"/>
  <c r="GT62" i="20"/>
  <c r="GU62" i="20"/>
  <c r="GV62" i="20"/>
  <c r="GW62" i="20"/>
  <c r="GX62" i="20"/>
  <c r="GY62" i="20"/>
  <c r="GZ62" i="20"/>
  <c r="HA62" i="20"/>
  <c r="HB62" i="20"/>
  <c r="HC62" i="20"/>
  <c r="AR63" i="20"/>
  <c r="AS63" i="20"/>
  <c r="AT63" i="20"/>
  <c r="AU63" i="20"/>
  <c r="AV63" i="20"/>
  <c r="AW63" i="20"/>
  <c r="AX63" i="20"/>
  <c r="AY63" i="20"/>
  <c r="AZ63" i="20"/>
  <c r="BA63" i="20"/>
  <c r="BB63" i="20"/>
  <c r="BC63" i="20"/>
  <c r="BD63" i="20"/>
  <c r="BE63" i="20"/>
  <c r="BF63" i="20"/>
  <c r="BG63" i="20"/>
  <c r="BH63" i="20"/>
  <c r="BI63" i="20"/>
  <c r="BJ63" i="20"/>
  <c r="BK63" i="20"/>
  <c r="BL63" i="20"/>
  <c r="BM63" i="20"/>
  <c r="BN63" i="20"/>
  <c r="BO63" i="20"/>
  <c r="BP63" i="20"/>
  <c r="BQ63" i="20"/>
  <c r="BR63" i="20"/>
  <c r="BS63" i="20"/>
  <c r="BT63" i="20"/>
  <c r="BU63" i="20"/>
  <c r="BV63" i="20"/>
  <c r="BW63" i="20"/>
  <c r="BX63" i="20"/>
  <c r="BY63" i="20"/>
  <c r="BZ63" i="20"/>
  <c r="CA63" i="20"/>
  <c r="CB63" i="20"/>
  <c r="CC63" i="20"/>
  <c r="CD63" i="20"/>
  <c r="CE63" i="20"/>
  <c r="CF63" i="20"/>
  <c r="CG63" i="20"/>
  <c r="CH63" i="20"/>
  <c r="CI63" i="20"/>
  <c r="CJ63" i="20"/>
  <c r="CK63" i="20"/>
  <c r="CL63" i="20"/>
  <c r="CM63" i="20"/>
  <c r="CN63" i="20"/>
  <c r="CO63" i="20"/>
  <c r="CP63" i="20"/>
  <c r="CQ63" i="20"/>
  <c r="CR63" i="20"/>
  <c r="CS63" i="20"/>
  <c r="CT63" i="20"/>
  <c r="CU63" i="20"/>
  <c r="CV63" i="20"/>
  <c r="CW63" i="20"/>
  <c r="CX63" i="20"/>
  <c r="CY63" i="20"/>
  <c r="CZ63" i="20"/>
  <c r="DA63" i="20"/>
  <c r="DB63" i="20"/>
  <c r="DC63" i="20"/>
  <c r="DD63" i="20"/>
  <c r="DE63" i="20"/>
  <c r="DF63" i="20"/>
  <c r="DG63" i="20"/>
  <c r="DH63" i="20"/>
  <c r="DI63" i="20"/>
  <c r="DJ63" i="20"/>
  <c r="DK63" i="20"/>
  <c r="DL63" i="20"/>
  <c r="DM63" i="20"/>
  <c r="DN63" i="20"/>
  <c r="DO63" i="20"/>
  <c r="DP63" i="20"/>
  <c r="DQ63" i="20"/>
  <c r="DR63" i="20"/>
  <c r="DS63" i="20"/>
  <c r="DT63" i="20"/>
  <c r="DU63" i="20"/>
  <c r="DV63" i="20"/>
  <c r="DW63" i="20"/>
  <c r="DX63" i="20"/>
  <c r="DY63" i="20"/>
  <c r="DZ63" i="20"/>
  <c r="EA63" i="20"/>
  <c r="EB63" i="20"/>
  <c r="EC63" i="20"/>
  <c r="ED63" i="20"/>
  <c r="EE63" i="20"/>
  <c r="EF63" i="20"/>
  <c r="EG63" i="20"/>
  <c r="EH63" i="20"/>
  <c r="EI63" i="20"/>
  <c r="EJ63" i="20"/>
  <c r="EK63" i="20"/>
  <c r="EL63" i="20"/>
  <c r="EM63" i="20"/>
  <c r="EN63" i="20"/>
  <c r="EO63" i="20"/>
  <c r="EP63" i="20"/>
  <c r="EQ63" i="20"/>
  <c r="ER63" i="20"/>
  <c r="ES63" i="20"/>
  <c r="ET63" i="20"/>
  <c r="EU63" i="20"/>
  <c r="EV63" i="20"/>
  <c r="EW63" i="20"/>
  <c r="EX63" i="20"/>
  <c r="EY63" i="20"/>
  <c r="EZ63" i="20"/>
  <c r="FA63" i="20"/>
  <c r="FB63" i="20"/>
  <c r="FC63" i="20"/>
  <c r="FD63" i="20"/>
  <c r="FE63" i="20"/>
  <c r="FF63" i="20"/>
  <c r="FG63" i="20"/>
  <c r="FH63" i="20"/>
  <c r="FI63" i="20"/>
  <c r="FJ63" i="20"/>
  <c r="FK63" i="20"/>
  <c r="FL63" i="20"/>
  <c r="FM63" i="20"/>
  <c r="FN63" i="20"/>
  <c r="FO63" i="20"/>
  <c r="FP63" i="20"/>
  <c r="FQ63" i="20"/>
  <c r="FR63" i="20"/>
  <c r="FS63" i="20"/>
  <c r="FT63" i="20"/>
  <c r="FU63" i="20"/>
  <c r="FV63" i="20"/>
  <c r="FW63" i="20"/>
  <c r="FX63" i="20"/>
  <c r="FY63" i="20"/>
  <c r="FZ63" i="20"/>
  <c r="GA63" i="20"/>
  <c r="GB63" i="20"/>
  <c r="GC63" i="20"/>
  <c r="GD63" i="20"/>
  <c r="GE63" i="20"/>
  <c r="GF63" i="20"/>
  <c r="GG63" i="20"/>
  <c r="GH63" i="20"/>
  <c r="GI63" i="20"/>
  <c r="GJ63" i="20"/>
  <c r="GK63" i="20"/>
  <c r="GL63" i="20"/>
  <c r="GM63" i="20"/>
  <c r="GN63" i="20"/>
  <c r="GO63" i="20"/>
  <c r="GP63" i="20"/>
  <c r="GQ63" i="20"/>
  <c r="GR63" i="20"/>
  <c r="GS63" i="20"/>
  <c r="GT63" i="20"/>
  <c r="GU63" i="20"/>
  <c r="GV63" i="20"/>
  <c r="GW63" i="20"/>
  <c r="GX63" i="20"/>
  <c r="GY63" i="20"/>
  <c r="GZ63" i="20"/>
  <c r="HA63" i="20"/>
  <c r="HB63" i="20"/>
  <c r="HC63" i="20"/>
  <c r="AR64" i="20"/>
  <c r="AS64" i="20"/>
  <c r="AT64" i="20"/>
  <c r="AU64" i="20"/>
  <c r="AV64" i="20"/>
  <c r="AW64" i="20"/>
  <c r="AX64" i="20"/>
  <c r="AY64" i="20"/>
  <c r="AZ64" i="20"/>
  <c r="BA64" i="20"/>
  <c r="BB64" i="20"/>
  <c r="BC64" i="20"/>
  <c r="BD64" i="20"/>
  <c r="BE64" i="20"/>
  <c r="BF64" i="20"/>
  <c r="BG64" i="20"/>
  <c r="BH64" i="20"/>
  <c r="BI64" i="20"/>
  <c r="BJ64" i="20"/>
  <c r="BK64" i="20"/>
  <c r="BL64" i="20"/>
  <c r="BM64" i="20"/>
  <c r="BN64" i="20"/>
  <c r="BO64" i="20"/>
  <c r="BP64" i="20"/>
  <c r="BQ64" i="20"/>
  <c r="BR64" i="20"/>
  <c r="BS64" i="20"/>
  <c r="BT64" i="20"/>
  <c r="BU64" i="20"/>
  <c r="BV64" i="20"/>
  <c r="BW64" i="20"/>
  <c r="BX64" i="20"/>
  <c r="BY64" i="20"/>
  <c r="BZ64" i="20"/>
  <c r="CA64" i="20"/>
  <c r="CB64" i="20"/>
  <c r="CC64" i="20"/>
  <c r="CD64" i="20"/>
  <c r="CE64" i="20"/>
  <c r="CF64" i="20"/>
  <c r="CG64" i="20"/>
  <c r="CH64" i="20"/>
  <c r="CI64" i="20"/>
  <c r="CJ64" i="20"/>
  <c r="CK64" i="20"/>
  <c r="CL64" i="20"/>
  <c r="CM64" i="20"/>
  <c r="CN64" i="20"/>
  <c r="CO64" i="20"/>
  <c r="CP64" i="20"/>
  <c r="CQ64" i="20"/>
  <c r="CR64" i="20"/>
  <c r="CS64" i="20"/>
  <c r="CT64" i="20"/>
  <c r="CU64" i="20"/>
  <c r="CV64" i="20"/>
  <c r="CW64" i="20"/>
  <c r="CX64" i="20"/>
  <c r="CY64" i="20"/>
  <c r="CZ64" i="20"/>
  <c r="DA64" i="20"/>
  <c r="DB64" i="20"/>
  <c r="DC64" i="20"/>
  <c r="DD64" i="20"/>
  <c r="DE64" i="20"/>
  <c r="DF64" i="20"/>
  <c r="DG64" i="20"/>
  <c r="DH64" i="20"/>
  <c r="DI64" i="20"/>
  <c r="DJ64" i="20"/>
  <c r="DK64" i="20"/>
  <c r="DL64" i="20"/>
  <c r="DM64" i="20"/>
  <c r="DN64" i="20"/>
  <c r="DO64" i="20"/>
  <c r="DP64" i="20"/>
  <c r="DQ64" i="20"/>
  <c r="DR64" i="20"/>
  <c r="DS64" i="20"/>
  <c r="DT64" i="20"/>
  <c r="DU64" i="20"/>
  <c r="DV64" i="20"/>
  <c r="DW64" i="20"/>
  <c r="DX64" i="20"/>
  <c r="DY64" i="20"/>
  <c r="DZ64" i="20"/>
  <c r="EA64" i="20"/>
  <c r="EB64" i="20"/>
  <c r="EC64" i="20"/>
  <c r="ED64" i="20"/>
  <c r="EE64" i="20"/>
  <c r="EF64" i="20"/>
  <c r="EG64" i="20"/>
  <c r="EH64" i="20"/>
  <c r="EI64" i="20"/>
  <c r="EJ64" i="20"/>
  <c r="EK64" i="20"/>
  <c r="EL64" i="20"/>
  <c r="EM64" i="20"/>
  <c r="EN64" i="20"/>
  <c r="EO64" i="20"/>
  <c r="EP64" i="20"/>
  <c r="EQ64" i="20"/>
  <c r="ER64" i="20"/>
  <c r="ES64" i="20"/>
  <c r="ET64" i="20"/>
  <c r="EU64" i="20"/>
  <c r="EV64" i="20"/>
  <c r="EW64" i="20"/>
  <c r="EX64" i="20"/>
  <c r="EY64" i="20"/>
  <c r="EZ64" i="20"/>
  <c r="FA64" i="20"/>
  <c r="FB64" i="20"/>
  <c r="FC64" i="20"/>
  <c r="FD64" i="20"/>
  <c r="FE64" i="20"/>
  <c r="FF64" i="20"/>
  <c r="FG64" i="20"/>
  <c r="FH64" i="20"/>
  <c r="FI64" i="20"/>
  <c r="FJ64" i="20"/>
  <c r="FK64" i="20"/>
  <c r="FL64" i="20"/>
  <c r="FM64" i="20"/>
  <c r="FN64" i="20"/>
  <c r="FO64" i="20"/>
  <c r="FP64" i="20"/>
  <c r="FQ64" i="20"/>
  <c r="FR64" i="20"/>
  <c r="FS64" i="20"/>
  <c r="FT64" i="20"/>
  <c r="FU64" i="20"/>
  <c r="FV64" i="20"/>
  <c r="FW64" i="20"/>
  <c r="FX64" i="20"/>
  <c r="FY64" i="20"/>
  <c r="FZ64" i="20"/>
  <c r="GA64" i="20"/>
  <c r="GB64" i="20"/>
  <c r="GC64" i="20"/>
  <c r="GD64" i="20"/>
  <c r="GE64" i="20"/>
  <c r="GF64" i="20"/>
  <c r="GG64" i="20"/>
  <c r="GH64" i="20"/>
  <c r="GI64" i="20"/>
  <c r="GJ64" i="20"/>
  <c r="GK64" i="20"/>
  <c r="GL64" i="20"/>
  <c r="GM64" i="20"/>
  <c r="GN64" i="20"/>
  <c r="GO64" i="20"/>
  <c r="GP64" i="20"/>
  <c r="GQ64" i="20"/>
  <c r="GR64" i="20"/>
  <c r="GS64" i="20"/>
  <c r="GT64" i="20"/>
  <c r="GU64" i="20"/>
  <c r="GV64" i="20"/>
  <c r="GW64" i="20"/>
  <c r="GX64" i="20"/>
  <c r="GY64" i="20"/>
  <c r="GZ64" i="20"/>
  <c r="HA64" i="20"/>
  <c r="HB64" i="20"/>
  <c r="HC64" i="20"/>
  <c r="AR65" i="20"/>
  <c r="AS65" i="20"/>
  <c r="AT65" i="20"/>
  <c r="AU65" i="20"/>
  <c r="AV65" i="20"/>
  <c r="AW65" i="20"/>
  <c r="AX65" i="20"/>
  <c r="AY65" i="20"/>
  <c r="AZ65" i="20"/>
  <c r="BA65" i="20"/>
  <c r="BB65" i="20"/>
  <c r="BC65" i="20"/>
  <c r="BD65" i="20"/>
  <c r="BE65" i="20"/>
  <c r="BF65" i="20"/>
  <c r="BG65" i="20"/>
  <c r="BH65" i="20"/>
  <c r="BI65" i="20"/>
  <c r="BJ65" i="20"/>
  <c r="BK65" i="20"/>
  <c r="BL65" i="20"/>
  <c r="BM65" i="20"/>
  <c r="BN65" i="20"/>
  <c r="BO65" i="20"/>
  <c r="BP65" i="20"/>
  <c r="BQ65" i="20"/>
  <c r="BR65" i="20"/>
  <c r="BS65" i="20"/>
  <c r="BT65" i="20"/>
  <c r="BU65" i="20"/>
  <c r="BV65" i="20"/>
  <c r="BW65" i="20"/>
  <c r="BX65" i="20"/>
  <c r="BY65" i="20"/>
  <c r="BZ65" i="20"/>
  <c r="CA65" i="20"/>
  <c r="CB65" i="20"/>
  <c r="CC65" i="20"/>
  <c r="CD65" i="20"/>
  <c r="CE65" i="20"/>
  <c r="CF65" i="20"/>
  <c r="CG65" i="20"/>
  <c r="CH65" i="20"/>
  <c r="CI65" i="20"/>
  <c r="CJ65" i="20"/>
  <c r="CK65" i="20"/>
  <c r="CL65" i="20"/>
  <c r="CM65" i="20"/>
  <c r="CN65" i="20"/>
  <c r="CO65" i="20"/>
  <c r="CP65" i="20"/>
  <c r="CQ65" i="20"/>
  <c r="CR65" i="20"/>
  <c r="CS65" i="20"/>
  <c r="CT65" i="20"/>
  <c r="CU65" i="20"/>
  <c r="CV65" i="20"/>
  <c r="CW65" i="20"/>
  <c r="CX65" i="20"/>
  <c r="CY65" i="20"/>
  <c r="CZ65" i="20"/>
  <c r="DA65" i="20"/>
  <c r="DB65" i="20"/>
  <c r="DC65" i="20"/>
  <c r="DD65" i="20"/>
  <c r="DE65" i="20"/>
  <c r="DF65" i="20"/>
  <c r="DG65" i="20"/>
  <c r="DH65" i="20"/>
  <c r="DI65" i="20"/>
  <c r="DJ65" i="20"/>
  <c r="DK65" i="20"/>
  <c r="DL65" i="20"/>
  <c r="DM65" i="20"/>
  <c r="DN65" i="20"/>
  <c r="DO65" i="20"/>
  <c r="DP65" i="20"/>
  <c r="DQ65" i="20"/>
  <c r="DR65" i="20"/>
  <c r="DS65" i="20"/>
  <c r="DT65" i="20"/>
  <c r="DU65" i="20"/>
  <c r="DV65" i="20"/>
  <c r="DW65" i="20"/>
  <c r="DX65" i="20"/>
  <c r="DY65" i="20"/>
  <c r="DZ65" i="20"/>
  <c r="EA65" i="20"/>
  <c r="EB65" i="20"/>
  <c r="EC65" i="20"/>
  <c r="ED65" i="20"/>
  <c r="EE65" i="20"/>
  <c r="EF65" i="20"/>
  <c r="EG65" i="20"/>
  <c r="EH65" i="20"/>
  <c r="EI65" i="20"/>
  <c r="EJ65" i="20"/>
  <c r="EK65" i="20"/>
  <c r="EL65" i="20"/>
  <c r="EM65" i="20"/>
  <c r="EN65" i="20"/>
  <c r="EO65" i="20"/>
  <c r="EP65" i="20"/>
  <c r="EQ65" i="20"/>
  <c r="ER65" i="20"/>
  <c r="ES65" i="20"/>
  <c r="ET65" i="20"/>
  <c r="EU65" i="20"/>
  <c r="EV65" i="20"/>
  <c r="EW65" i="20"/>
  <c r="EX65" i="20"/>
  <c r="EY65" i="20"/>
  <c r="EZ65" i="20"/>
  <c r="FA65" i="20"/>
  <c r="FB65" i="20"/>
  <c r="FC65" i="20"/>
  <c r="FD65" i="20"/>
  <c r="FE65" i="20"/>
  <c r="FF65" i="20"/>
  <c r="FG65" i="20"/>
  <c r="FH65" i="20"/>
  <c r="FI65" i="20"/>
  <c r="FJ65" i="20"/>
  <c r="FK65" i="20"/>
  <c r="FL65" i="20"/>
  <c r="FM65" i="20"/>
  <c r="FN65" i="20"/>
  <c r="FO65" i="20"/>
  <c r="FP65" i="20"/>
  <c r="FQ65" i="20"/>
  <c r="FR65" i="20"/>
  <c r="FS65" i="20"/>
  <c r="FT65" i="20"/>
  <c r="FU65" i="20"/>
  <c r="FV65" i="20"/>
  <c r="FW65" i="20"/>
  <c r="FX65" i="20"/>
  <c r="FY65" i="20"/>
  <c r="FZ65" i="20"/>
  <c r="GA65" i="20"/>
  <c r="GB65" i="20"/>
  <c r="GC65" i="20"/>
  <c r="GD65" i="20"/>
  <c r="GE65" i="20"/>
  <c r="GF65" i="20"/>
  <c r="GG65" i="20"/>
  <c r="GH65" i="20"/>
  <c r="GI65" i="20"/>
  <c r="GJ65" i="20"/>
  <c r="GK65" i="20"/>
  <c r="GL65" i="20"/>
  <c r="GM65" i="20"/>
  <c r="GN65" i="20"/>
  <c r="GO65" i="20"/>
  <c r="GP65" i="20"/>
  <c r="GQ65" i="20"/>
  <c r="GR65" i="20"/>
  <c r="GS65" i="20"/>
  <c r="GT65" i="20"/>
  <c r="GU65" i="20"/>
  <c r="GV65" i="20"/>
  <c r="GW65" i="20"/>
  <c r="GX65" i="20"/>
  <c r="GY65" i="20"/>
  <c r="GZ65" i="20"/>
  <c r="HA65" i="20"/>
  <c r="HB65" i="20"/>
  <c r="HC65" i="20"/>
  <c r="AR66" i="20"/>
  <c r="AS66" i="20"/>
  <c r="AT66" i="20"/>
  <c r="AU66" i="20"/>
  <c r="AV66" i="20"/>
  <c r="AW66" i="20"/>
  <c r="AX66" i="20"/>
  <c r="AY66" i="20"/>
  <c r="AZ66" i="20"/>
  <c r="BA66" i="20"/>
  <c r="BB66" i="20"/>
  <c r="BC66" i="20"/>
  <c r="BD66" i="20"/>
  <c r="BE66" i="20"/>
  <c r="BF66" i="20"/>
  <c r="BG66" i="20"/>
  <c r="BH66" i="20"/>
  <c r="BI66" i="20"/>
  <c r="BJ66" i="20"/>
  <c r="BK66" i="20"/>
  <c r="BL66" i="20"/>
  <c r="BM66" i="20"/>
  <c r="BN66" i="20"/>
  <c r="BO66" i="20"/>
  <c r="BP66" i="20"/>
  <c r="BQ66" i="20"/>
  <c r="BR66" i="20"/>
  <c r="BS66" i="20"/>
  <c r="BT66" i="20"/>
  <c r="BU66" i="20"/>
  <c r="BV66" i="20"/>
  <c r="BW66" i="20"/>
  <c r="BX66" i="20"/>
  <c r="BY66" i="20"/>
  <c r="BZ66" i="20"/>
  <c r="CA66" i="20"/>
  <c r="CB66" i="20"/>
  <c r="CC66" i="20"/>
  <c r="CD66" i="20"/>
  <c r="CE66" i="20"/>
  <c r="CF66" i="20"/>
  <c r="CG66" i="20"/>
  <c r="CH66" i="20"/>
  <c r="CI66" i="20"/>
  <c r="CJ66" i="20"/>
  <c r="CK66" i="20"/>
  <c r="CL66" i="20"/>
  <c r="CM66" i="20"/>
  <c r="CN66" i="20"/>
  <c r="CO66" i="20"/>
  <c r="CP66" i="20"/>
  <c r="CQ66" i="20"/>
  <c r="CR66" i="20"/>
  <c r="CS66" i="20"/>
  <c r="CT66" i="20"/>
  <c r="CU66" i="20"/>
  <c r="CV66" i="20"/>
  <c r="CW66" i="20"/>
  <c r="CX66" i="20"/>
  <c r="CY66" i="20"/>
  <c r="CZ66" i="20"/>
  <c r="DA66" i="20"/>
  <c r="DB66" i="20"/>
  <c r="DC66" i="20"/>
  <c r="DD66" i="20"/>
  <c r="DE66" i="20"/>
  <c r="DF66" i="20"/>
  <c r="DG66" i="20"/>
  <c r="DH66" i="20"/>
  <c r="DI66" i="20"/>
  <c r="DJ66" i="20"/>
  <c r="DK66" i="20"/>
  <c r="DL66" i="20"/>
  <c r="DM66" i="20"/>
  <c r="DN66" i="20"/>
  <c r="DO66" i="20"/>
  <c r="DP66" i="20"/>
  <c r="DQ66" i="20"/>
  <c r="DR66" i="20"/>
  <c r="DS66" i="20"/>
  <c r="DT66" i="20"/>
  <c r="DU66" i="20"/>
  <c r="DV66" i="20"/>
  <c r="DW66" i="20"/>
  <c r="DX66" i="20"/>
  <c r="DY66" i="20"/>
  <c r="DZ66" i="20"/>
  <c r="EA66" i="20"/>
  <c r="EB66" i="20"/>
  <c r="EC66" i="20"/>
  <c r="ED66" i="20"/>
  <c r="EE66" i="20"/>
  <c r="EF66" i="20"/>
  <c r="EG66" i="20"/>
  <c r="EH66" i="20"/>
  <c r="EI66" i="20"/>
  <c r="EJ66" i="20"/>
  <c r="EK66" i="20"/>
  <c r="EL66" i="20"/>
  <c r="EM66" i="20"/>
  <c r="EN66" i="20"/>
  <c r="EO66" i="20"/>
  <c r="EP66" i="20"/>
  <c r="EQ66" i="20"/>
  <c r="ER66" i="20"/>
  <c r="ES66" i="20"/>
  <c r="ET66" i="20"/>
  <c r="EU66" i="20"/>
  <c r="EV66" i="20"/>
  <c r="EW66" i="20"/>
  <c r="EX66" i="20"/>
  <c r="EY66" i="20"/>
  <c r="EZ66" i="20"/>
  <c r="FA66" i="20"/>
  <c r="FB66" i="20"/>
  <c r="FC66" i="20"/>
  <c r="FD66" i="20"/>
  <c r="FE66" i="20"/>
  <c r="FF66" i="20"/>
  <c r="FG66" i="20"/>
  <c r="FH66" i="20"/>
  <c r="FI66" i="20"/>
  <c r="FJ66" i="20"/>
  <c r="FK66" i="20"/>
  <c r="FL66" i="20"/>
  <c r="FM66" i="20"/>
  <c r="FN66" i="20"/>
  <c r="FO66" i="20"/>
  <c r="FP66" i="20"/>
  <c r="FQ66" i="20"/>
  <c r="FR66" i="20"/>
  <c r="FS66" i="20"/>
  <c r="FT66" i="20"/>
  <c r="FU66" i="20"/>
  <c r="FV66" i="20"/>
  <c r="FW66" i="20"/>
  <c r="FX66" i="20"/>
  <c r="FY66" i="20"/>
  <c r="FZ66" i="20"/>
  <c r="GA66" i="20"/>
  <c r="GB66" i="20"/>
  <c r="GC66" i="20"/>
  <c r="GD66" i="20"/>
  <c r="GE66" i="20"/>
  <c r="GF66" i="20"/>
  <c r="GG66" i="20"/>
  <c r="GH66" i="20"/>
  <c r="GI66" i="20"/>
  <c r="GJ66" i="20"/>
  <c r="GK66" i="20"/>
  <c r="GL66" i="20"/>
  <c r="GM66" i="20"/>
  <c r="GN66" i="20"/>
  <c r="GO66" i="20"/>
  <c r="GP66" i="20"/>
  <c r="GQ66" i="20"/>
  <c r="GR66" i="20"/>
  <c r="GS66" i="20"/>
  <c r="GT66" i="20"/>
  <c r="GU66" i="20"/>
  <c r="GV66" i="20"/>
  <c r="GW66" i="20"/>
  <c r="GX66" i="20"/>
  <c r="GY66" i="20"/>
  <c r="GZ66" i="20"/>
  <c r="HA66" i="20"/>
  <c r="HB66" i="20"/>
  <c r="HC66" i="20"/>
  <c r="AR67" i="20"/>
  <c r="AS67" i="20"/>
  <c r="AT67" i="20"/>
  <c r="AU67" i="20"/>
  <c r="AV67" i="20"/>
  <c r="AW67" i="20"/>
  <c r="AX67" i="20"/>
  <c r="AY67" i="20"/>
  <c r="AZ67" i="20"/>
  <c r="BA67" i="20"/>
  <c r="BB67" i="20"/>
  <c r="BC67" i="20"/>
  <c r="BD67" i="20"/>
  <c r="BE67" i="20"/>
  <c r="BF67" i="20"/>
  <c r="BG67" i="20"/>
  <c r="BH67" i="20"/>
  <c r="BI67" i="20"/>
  <c r="BJ67" i="20"/>
  <c r="BK67" i="20"/>
  <c r="BL67" i="20"/>
  <c r="BM67" i="20"/>
  <c r="BN67" i="20"/>
  <c r="BO67" i="20"/>
  <c r="BP67" i="20"/>
  <c r="BQ67" i="20"/>
  <c r="BR67" i="20"/>
  <c r="BS67" i="20"/>
  <c r="BT67" i="20"/>
  <c r="BU67" i="20"/>
  <c r="BV67" i="20"/>
  <c r="BW67" i="20"/>
  <c r="BX67" i="20"/>
  <c r="BY67" i="20"/>
  <c r="BZ67" i="20"/>
  <c r="CA67" i="20"/>
  <c r="CB67" i="20"/>
  <c r="CC67" i="20"/>
  <c r="CD67" i="20"/>
  <c r="CE67" i="20"/>
  <c r="CF67" i="20"/>
  <c r="CG67" i="20"/>
  <c r="CH67" i="20"/>
  <c r="CI67" i="20"/>
  <c r="CJ67" i="20"/>
  <c r="CK67" i="20"/>
  <c r="CL67" i="20"/>
  <c r="CM67" i="20"/>
  <c r="CN67" i="20"/>
  <c r="CO67" i="20"/>
  <c r="CP67" i="20"/>
  <c r="CQ67" i="20"/>
  <c r="CR67" i="20"/>
  <c r="CS67" i="20"/>
  <c r="CT67" i="20"/>
  <c r="CU67" i="20"/>
  <c r="CV67" i="20"/>
  <c r="CW67" i="20"/>
  <c r="CX67" i="20"/>
  <c r="CY67" i="20"/>
  <c r="CZ67" i="20"/>
  <c r="DA67" i="20"/>
  <c r="DB67" i="20"/>
  <c r="DC67" i="20"/>
  <c r="DD67" i="20"/>
  <c r="DE67" i="20"/>
  <c r="DF67" i="20"/>
  <c r="DG67" i="20"/>
  <c r="DH67" i="20"/>
  <c r="DI67" i="20"/>
  <c r="DJ67" i="20"/>
  <c r="DK67" i="20"/>
  <c r="DL67" i="20"/>
  <c r="DM67" i="20"/>
  <c r="DN67" i="20"/>
  <c r="DO67" i="20"/>
  <c r="DP67" i="20"/>
  <c r="DQ67" i="20"/>
  <c r="DR67" i="20"/>
  <c r="DS67" i="20"/>
  <c r="DT67" i="20"/>
  <c r="DU67" i="20"/>
  <c r="DV67" i="20"/>
  <c r="DW67" i="20"/>
  <c r="DX67" i="20"/>
  <c r="DY67" i="20"/>
  <c r="DZ67" i="20"/>
  <c r="EA67" i="20"/>
  <c r="EB67" i="20"/>
  <c r="EC67" i="20"/>
  <c r="ED67" i="20"/>
  <c r="EE67" i="20"/>
  <c r="EF67" i="20"/>
  <c r="EG67" i="20"/>
  <c r="EH67" i="20"/>
  <c r="EI67" i="20"/>
  <c r="EJ67" i="20"/>
  <c r="EK67" i="20"/>
  <c r="EL67" i="20"/>
  <c r="EM67" i="20"/>
  <c r="EN67" i="20"/>
  <c r="EO67" i="20"/>
  <c r="EP67" i="20"/>
  <c r="EQ67" i="20"/>
  <c r="ER67" i="20"/>
  <c r="ES67" i="20"/>
  <c r="ET67" i="20"/>
  <c r="EU67" i="20"/>
  <c r="EV67" i="20"/>
  <c r="EW67" i="20"/>
  <c r="EX67" i="20"/>
  <c r="EY67" i="20"/>
  <c r="EZ67" i="20"/>
  <c r="FA67" i="20"/>
  <c r="FB67" i="20"/>
  <c r="FC67" i="20"/>
  <c r="FD67" i="20"/>
  <c r="FE67" i="20"/>
  <c r="FF67" i="20"/>
  <c r="FG67" i="20"/>
  <c r="FH67" i="20"/>
  <c r="FI67" i="20"/>
  <c r="FJ67" i="20"/>
  <c r="FK67" i="20"/>
  <c r="FL67" i="20"/>
  <c r="FM67" i="20"/>
  <c r="FN67" i="20"/>
  <c r="FO67" i="20"/>
  <c r="FP67" i="20"/>
  <c r="FQ67" i="20"/>
  <c r="FR67" i="20"/>
  <c r="FS67" i="20"/>
  <c r="FT67" i="20"/>
  <c r="FU67" i="20"/>
  <c r="FV67" i="20"/>
  <c r="FW67" i="20"/>
  <c r="FX67" i="20"/>
  <c r="FY67" i="20"/>
  <c r="FZ67" i="20"/>
  <c r="GA67" i="20"/>
  <c r="GB67" i="20"/>
  <c r="GC67" i="20"/>
  <c r="GD67" i="20"/>
  <c r="GE67" i="20"/>
  <c r="GF67" i="20"/>
  <c r="GG67" i="20"/>
  <c r="GH67" i="20"/>
  <c r="GI67" i="20"/>
  <c r="GJ67" i="20"/>
  <c r="GK67" i="20"/>
  <c r="GL67" i="20"/>
  <c r="GM67" i="20"/>
  <c r="GN67" i="20"/>
  <c r="GO67" i="20"/>
  <c r="GP67" i="20"/>
  <c r="GQ67" i="20"/>
  <c r="GR67" i="20"/>
  <c r="GS67" i="20"/>
  <c r="GT67" i="20"/>
  <c r="GU67" i="20"/>
  <c r="GV67" i="20"/>
  <c r="GW67" i="20"/>
  <c r="GX67" i="20"/>
  <c r="GY67" i="20"/>
  <c r="GZ67" i="20"/>
  <c r="HA67" i="20"/>
  <c r="HB67" i="20"/>
  <c r="HC67" i="20"/>
  <c r="AR68" i="20"/>
  <c r="AS68" i="20"/>
  <c r="AT68" i="20"/>
  <c r="AU68" i="20"/>
  <c r="AV68" i="20"/>
  <c r="AW68" i="20"/>
  <c r="AX68" i="20"/>
  <c r="AY68" i="20"/>
  <c r="AZ68" i="20"/>
  <c r="BA68" i="20"/>
  <c r="BB68" i="20"/>
  <c r="BC68" i="20"/>
  <c r="BD68" i="20"/>
  <c r="BE68" i="20"/>
  <c r="BF68" i="20"/>
  <c r="BG68" i="20"/>
  <c r="BH68" i="20"/>
  <c r="BI68" i="20"/>
  <c r="BJ68" i="20"/>
  <c r="BK68" i="20"/>
  <c r="BL68" i="20"/>
  <c r="BM68" i="20"/>
  <c r="BN68" i="20"/>
  <c r="BO68" i="20"/>
  <c r="BP68" i="20"/>
  <c r="BQ68" i="20"/>
  <c r="BR68" i="20"/>
  <c r="BS68" i="20"/>
  <c r="BT68" i="20"/>
  <c r="BU68" i="20"/>
  <c r="BV68" i="20"/>
  <c r="BW68" i="20"/>
  <c r="BX68" i="20"/>
  <c r="BY68" i="20"/>
  <c r="BZ68" i="20"/>
  <c r="CA68" i="20"/>
  <c r="CB68" i="20"/>
  <c r="CC68" i="20"/>
  <c r="CD68" i="20"/>
  <c r="CE68" i="20"/>
  <c r="CF68" i="20"/>
  <c r="CG68" i="20"/>
  <c r="CH68" i="20"/>
  <c r="CI68" i="20"/>
  <c r="CJ68" i="20"/>
  <c r="CK68" i="20"/>
  <c r="CL68" i="20"/>
  <c r="CM68" i="20"/>
  <c r="CN68" i="20"/>
  <c r="CO68" i="20"/>
  <c r="CP68" i="20"/>
  <c r="CQ68" i="20"/>
  <c r="CR68" i="20"/>
  <c r="CS68" i="20"/>
  <c r="CT68" i="20"/>
  <c r="CU68" i="20"/>
  <c r="CV68" i="20"/>
  <c r="CW68" i="20"/>
  <c r="CX68" i="20"/>
  <c r="CY68" i="20"/>
  <c r="CZ68" i="20"/>
  <c r="DA68" i="20"/>
  <c r="DB68" i="20"/>
  <c r="DC68" i="20"/>
  <c r="DD68" i="20"/>
  <c r="DE68" i="20"/>
  <c r="DF68" i="20"/>
  <c r="DG68" i="20"/>
  <c r="DH68" i="20"/>
  <c r="DI68" i="20"/>
  <c r="DJ68" i="20"/>
  <c r="DK68" i="20"/>
  <c r="DL68" i="20"/>
  <c r="DM68" i="20"/>
  <c r="DN68" i="20"/>
  <c r="DO68" i="20"/>
  <c r="DP68" i="20"/>
  <c r="DQ68" i="20"/>
  <c r="DR68" i="20"/>
  <c r="DS68" i="20"/>
  <c r="DT68" i="20"/>
  <c r="DU68" i="20"/>
  <c r="DV68" i="20"/>
  <c r="DW68" i="20"/>
  <c r="DX68" i="20"/>
  <c r="DY68" i="20"/>
  <c r="DZ68" i="20"/>
  <c r="EA68" i="20"/>
  <c r="EB68" i="20"/>
  <c r="EC68" i="20"/>
  <c r="ED68" i="20"/>
  <c r="EE68" i="20"/>
  <c r="EF68" i="20"/>
  <c r="EG68" i="20"/>
  <c r="EH68" i="20"/>
  <c r="EI68" i="20"/>
  <c r="EJ68" i="20"/>
  <c r="EK68" i="20"/>
  <c r="EL68" i="20"/>
  <c r="EM68" i="20"/>
  <c r="EN68" i="20"/>
  <c r="EO68" i="20"/>
  <c r="EP68" i="20"/>
  <c r="EQ68" i="20"/>
  <c r="ER68" i="20"/>
  <c r="ES68" i="20"/>
  <c r="ET68" i="20"/>
  <c r="EU68" i="20"/>
  <c r="EV68" i="20"/>
  <c r="EW68" i="20"/>
  <c r="EX68" i="20"/>
  <c r="EY68" i="20"/>
  <c r="EZ68" i="20"/>
  <c r="FA68" i="20"/>
  <c r="FB68" i="20"/>
  <c r="FC68" i="20"/>
  <c r="FD68" i="20"/>
  <c r="FE68" i="20"/>
  <c r="FF68" i="20"/>
  <c r="FG68" i="20"/>
  <c r="FH68" i="20"/>
  <c r="FI68" i="20"/>
  <c r="FJ68" i="20"/>
  <c r="FK68" i="20"/>
  <c r="FL68" i="20"/>
  <c r="FM68" i="20"/>
  <c r="FN68" i="20"/>
  <c r="FO68" i="20"/>
  <c r="FP68" i="20"/>
  <c r="FQ68" i="20"/>
  <c r="FR68" i="20"/>
  <c r="FS68" i="20"/>
  <c r="FT68" i="20"/>
  <c r="FU68" i="20"/>
  <c r="FV68" i="20"/>
  <c r="FW68" i="20"/>
  <c r="FX68" i="20"/>
  <c r="FY68" i="20"/>
  <c r="FZ68" i="20"/>
  <c r="GA68" i="20"/>
  <c r="GB68" i="20"/>
  <c r="GC68" i="20"/>
  <c r="GD68" i="20"/>
  <c r="GE68" i="20"/>
  <c r="GF68" i="20"/>
  <c r="GG68" i="20"/>
  <c r="GH68" i="20"/>
  <c r="GI68" i="20"/>
  <c r="GJ68" i="20"/>
  <c r="GK68" i="20"/>
  <c r="GL68" i="20"/>
  <c r="GM68" i="20"/>
  <c r="GN68" i="20"/>
  <c r="GO68" i="20"/>
  <c r="GP68" i="20"/>
  <c r="GQ68" i="20"/>
  <c r="GR68" i="20"/>
  <c r="GS68" i="20"/>
  <c r="GT68" i="20"/>
  <c r="GU68" i="20"/>
  <c r="GV68" i="20"/>
  <c r="GW68" i="20"/>
  <c r="GX68" i="20"/>
  <c r="GY68" i="20"/>
  <c r="GZ68" i="20"/>
  <c r="HA68" i="20"/>
  <c r="HB68" i="20"/>
  <c r="HC68" i="20"/>
  <c r="AR69" i="20"/>
  <c r="AS69" i="20"/>
  <c r="AT69" i="20"/>
  <c r="AU69" i="20"/>
  <c r="AV69" i="20"/>
  <c r="AW69" i="20"/>
  <c r="AX69" i="20"/>
  <c r="AY69" i="20"/>
  <c r="AZ69" i="20"/>
  <c r="BA69" i="20"/>
  <c r="BB69" i="20"/>
  <c r="BC69" i="20"/>
  <c r="BD69" i="20"/>
  <c r="BE69" i="20"/>
  <c r="BF69" i="20"/>
  <c r="BG69" i="20"/>
  <c r="BH69" i="20"/>
  <c r="BI69" i="20"/>
  <c r="BJ69" i="20"/>
  <c r="BK69" i="20"/>
  <c r="BL69" i="20"/>
  <c r="BM69" i="20"/>
  <c r="BN69" i="20"/>
  <c r="BO69" i="20"/>
  <c r="BP69" i="20"/>
  <c r="BQ69" i="20"/>
  <c r="BR69" i="20"/>
  <c r="BS69" i="20"/>
  <c r="BT69" i="20"/>
  <c r="BU69" i="20"/>
  <c r="BV69" i="20"/>
  <c r="BW69" i="20"/>
  <c r="BX69" i="20"/>
  <c r="BY69" i="20"/>
  <c r="BZ69" i="20"/>
  <c r="CA69" i="20"/>
  <c r="CB69" i="20"/>
  <c r="CC69" i="20"/>
  <c r="CD69" i="20"/>
  <c r="CE69" i="20"/>
  <c r="CF69" i="20"/>
  <c r="CG69" i="20"/>
  <c r="CH69" i="20"/>
  <c r="CI69" i="20"/>
  <c r="CJ69" i="20"/>
  <c r="CK69" i="20"/>
  <c r="CL69" i="20"/>
  <c r="CM69" i="20"/>
  <c r="CN69" i="20"/>
  <c r="CO69" i="20"/>
  <c r="CP69" i="20"/>
  <c r="CQ69" i="20"/>
  <c r="CR69" i="20"/>
  <c r="CS69" i="20"/>
  <c r="CT69" i="20"/>
  <c r="CU69" i="20"/>
  <c r="CV69" i="20"/>
  <c r="CW69" i="20"/>
  <c r="CX69" i="20"/>
  <c r="CY69" i="20"/>
  <c r="CZ69" i="20"/>
  <c r="DA69" i="20"/>
  <c r="DB69" i="20"/>
  <c r="DC69" i="20"/>
  <c r="DD69" i="20"/>
  <c r="DE69" i="20"/>
  <c r="DF69" i="20"/>
  <c r="DG69" i="20"/>
  <c r="DH69" i="20"/>
  <c r="DI69" i="20"/>
  <c r="DJ69" i="20"/>
  <c r="DK69" i="20"/>
  <c r="DL69" i="20"/>
  <c r="DM69" i="20"/>
  <c r="DN69" i="20"/>
  <c r="DO69" i="20"/>
  <c r="DP69" i="20"/>
  <c r="DQ69" i="20"/>
  <c r="DR69" i="20"/>
  <c r="DS69" i="20"/>
  <c r="DT69" i="20"/>
  <c r="DU69" i="20"/>
  <c r="DV69" i="20"/>
  <c r="DW69" i="20"/>
  <c r="DX69" i="20"/>
  <c r="DY69" i="20"/>
  <c r="DZ69" i="20"/>
  <c r="EA69" i="20"/>
  <c r="EB69" i="20"/>
  <c r="EC69" i="20"/>
  <c r="ED69" i="20"/>
  <c r="EE69" i="20"/>
  <c r="EF69" i="20"/>
  <c r="EG69" i="20"/>
  <c r="EH69" i="20"/>
  <c r="EI69" i="20"/>
  <c r="EJ69" i="20"/>
  <c r="EK69" i="20"/>
  <c r="EL69" i="20"/>
  <c r="EM69" i="20"/>
  <c r="EN69" i="20"/>
  <c r="EO69" i="20"/>
  <c r="EP69" i="20"/>
  <c r="EQ69" i="20"/>
  <c r="ER69" i="20"/>
  <c r="ES69" i="20"/>
  <c r="ET69" i="20"/>
  <c r="EU69" i="20"/>
  <c r="EV69" i="20"/>
  <c r="EW69" i="20"/>
  <c r="EX69" i="20"/>
  <c r="EY69" i="20"/>
  <c r="EZ69" i="20"/>
  <c r="FA69" i="20"/>
  <c r="FB69" i="20"/>
  <c r="FC69" i="20"/>
  <c r="FD69" i="20"/>
  <c r="FE69" i="20"/>
  <c r="FF69" i="20"/>
  <c r="FG69" i="20"/>
  <c r="FH69" i="20"/>
  <c r="FI69" i="20"/>
  <c r="FJ69" i="20"/>
  <c r="FK69" i="20"/>
  <c r="FL69" i="20"/>
  <c r="FM69" i="20"/>
  <c r="FN69" i="20"/>
  <c r="FO69" i="20"/>
  <c r="FP69" i="20"/>
  <c r="FQ69" i="20"/>
  <c r="FR69" i="20"/>
  <c r="FS69" i="20"/>
  <c r="FT69" i="20"/>
  <c r="FU69" i="20"/>
  <c r="FV69" i="20"/>
  <c r="FW69" i="20"/>
  <c r="FX69" i="20"/>
  <c r="FY69" i="20"/>
  <c r="FZ69" i="20"/>
  <c r="GA69" i="20"/>
  <c r="GB69" i="20"/>
  <c r="GC69" i="20"/>
  <c r="GD69" i="20"/>
  <c r="GE69" i="20"/>
  <c r="GF69" i="20"/>
  <c r="GG69" i="20"/>
  <c r="GH69" i="20"/>
  <c r="GI69" i="20"/>
  <c r="GJ69" i="20"/>
  <c r="GK69" i="20"/>
  <c r="GL69" i="20"/>
  <c r="GM69" i="20"/>
  <c r="GN69" i="20"/>
  <c r="GO69" i="20"/>
  <c r="GP69" i="20"/>
  <c r="GQ69" i="20"/>
  <c r="GR69" i="20"/>
  <c r="GS69" i="20"/>
  <c r="GT69" i="20"/>
  <c r="GU69" i="20"/>
  <c r="GV69" i="20"/>
  <c r="GW69" i="20"/>
  <c r="GX69" i="20"/>
  <c r="GY69" i="20"/>
  <c r="GZ69" i="20"/>
  <c r="HA69" i="20"/>
  <c r="HB69" i="20"/>
  <c r="HC69" i="20"/>
  <c r="AR70" i="20"/>
  <c r="AS70" i="20"/>
  <c r="AT70" i="20"/>
  <c r="AU70" i="20"/>
  <c r="AV70" i="20"/>
  <c r="AW70" i="20"/>
  <c r="AX70" i="20"/>
  <c r="AY70" i="20"/>
  <c r="AZ70" i="20"/>
  <c r="BA70" i="20"/>
  <c r="BB70" i="20"/>
  <c r="BC70" i="20"/>
  <c r="BD70" i="20"/>
  <c r="BE70" i="20"/>
  <c r="BF70" i="20"/>
  <c r="BG70" i="20"/>
  <c r="BH70" i="20"/>
  <c r="BI70" i="20"/>
  <c r="BJ70" i="20"/>
  <c r="BK70" i="20"/>
  <c r="BL70" i="20"/>
  <c r="BM70" i="20"/>
  <c r="BN70" i="20"/>
  <c r="BO70" i="20"/>
  <c r="BP70" i="20"/>
  <c r="BQ70" i="20"/>
  <c r="BR70" i="20"/>
  <c r="BS70" i="20"/>
  <c r="BT70" i="20"/>
  <c r="BU70" i="20"/>
  <c r="BV70" i="20"/>
  <c r="BW70" i="20"/>
  <c r="BX70" i="20"/>
  <c r="BY70" i="20"/>
  <c r="BZ70" i="20"/>
  <c r="CA70" i="20"/>
  <c r="CB70" i="20"/>
  <c r="CC70" i="20"/>
  <c r="CD70" i="20"/>
  <c r="CE70" i="20"/>
  <c r="CF70" i="20"/>
  <c r="CG70" i="20"/>
  <c r="CH70" i="20"/>
  <c r="CI70" i="20"/>
  <c r="CJ70" i="20"/>
  <c r="CK70" i="20"/>
  <c r="CL70" i="20"/>
  <c r="CM70" i="20"/>
  <c r="CN70" i="20"/>
  <c r="CO70" i="20"/>
  <c r="CP70" i="20"/>
  <c r="CQ70" i="20"/>
  <c r="CR70" i="20"/>
  <c r="CS70" i="20"/>
  <c r="CT70" i="20"/>
  <c r="CU70" i="20"/>
  <c r="CV70" i="20"/>
  <c r="CW70" i="20"/>
  <c r="CX70" i="20"/>
  <c r="CY70" i="20"/>
  <c r="CZ70" i="20"/>
  <c r="DA70" i="20"/>
  <c r="DB70" i="20"/>
  <c r="DC70" i="20"/>
  <c r="DD70" i="20"/>
  <c r="DE70" i="20"/>
  <c r="DF70" i="20"/>
  <c r="DG70" i="20"/>
  <c r="DH70" i="20"/>
  <c r="DI70" i="20"/>
  <c r="DJ70" i="20"/>
  <c r="DK70" i="20"/>
  <c r="DL70" i="20"/>
  <c r="DM70" i="20"/>
  <c r="DN70" i="20"/>
  <c r="DO70" i="20"/>
  <c r="DP70" i="20"/>
  <c r="DQ70" i="20"/>
  <c r="DR70" i="20"/>
  <c r="DS70" i="20"/>
  <c r="DT70" i="20"/>
  <c r="DU70" i="20"/>
  <c r="DV70" i="20"/>
  <c r="DW70" i="20"/>
  <c r="DX70" i="20"/>
  <c r="DY70" i="20"/>
  <c r="DZ70" i="20"/>
  <c r="EA70" i="20"/>
  <c r="EB70" i="20"/>
  <c r="EC70" i="20"/>
  <c r="ED70" i="20"/>
  <c r="EE70" i="20"/>
  <c r="EF70" i="20"/>
  <c r="EG70" i="20"/>
  <c r="EH70" i="20"/>
  <c r="EI70" i="20"/>
  <c r="EJ70" i="20"/>
  <c r="EK70" i="20"/>
  <c r="EL70" i="20"/>
  <c r="EM70" i="20"/>
  <c r="EN70" i="20"/>
  <c r="EO70" i="20"/>
  <c r="EP70" i="20"/>
  <c r="EQ70" i="20"/>
  <c r="ER70" i="20"/>
  <c r="ES70" i="20"/>
  <c r="ET70" i="20"/>
  <c r="EU70" i="20"/>
  <c r="EV70" i="20"/>
  <c r="EW70" i="20"/>
  <c r="EX70" i="20"/>
  <c r="EY70" i="20"/>
  <c r="EZ70" i="20"/>
  <c r="FA70" i="20"/>
  <c r="FB70" i="20"/>
  <c r="FC70" i="20"/>
  <c r="FD70" i="20"/>
  <c r="FE70" i="20"/>
  <c r="FF70" i="20"/>
  <c r="FG70" i="20"/>
  <c r="FH70" i="20"/>
  <c r="FI70" i="20"/>
  <c r="FJ70" i="20"/>
  <c r="FK70" i="20"/>
  <c r="FL70" i="20"/>
  <c r="FM70" i="20"/>
  <c r="FN70" i="20"/>
  <c r="FO70" i="20"/>
  <c r="FP70" i="20"/>
  <c r="FQ70" i="20"/>
  <c r="FR70" i="20"/>
  <c r="FS70" i="20"/>
  <c r="FT70" i="20"/>
  <c r="FU70" i="20"/>
  <c r="FV70" i="20"/>
  <c r="FW70" i="20"/>
  <c r="FX70" i="20"/>
  <c r="FY70" i="20"/>
  <c r="FZ70" i="20"/>
  <c r="GA70" i="20"/>
  <c r="GB70" i="20"/>
  <c r="GC70" i="20"/>
  <c r="GD70" i="20"/>
  <c r="GE70" i="20"/>
  <c r="GF70" i="20"/>
  <c r="GG70" i="20"/>
  <c r="GH70" i="20"/>
  <c r="GI70" i="20"/>
  <c r="GJ70" i="20"/>
  <c r="GK70" i="20"/>
  <c r="GL70" i="20"/>
  <c r="GM70" i="20"/>
  <c r="GN70" i="20"/>
  <c r="GO70" i="20"/>
  <c r="GP70" i="20"/>
  <c r="GQ70" i="20"/>
  <c r="GR70" i="20"/>
  <c r="GS70" i="20"/>
  <c r="GT70" i="20"/>
  <c r="GU70" i="20"/>
  <c r="GV70" i="20"/>
  <c r="GW70" i="20"/>
  <c r="GX70" i="20"/>
  <c r="GY70" i="20"/>
  <c r="GZ70" i="20"/>
  <c r="HA70" i="20"/>
  <c r="HB70" i="20"/>
  <c r="HC70" i="20"/>
  <c r="AR71" i="20"/>
  <c r="AS71" i="20"/>
  <c r="AT71" i="20"/>
  <c r="AU71" i="20"/>
  <c r="AV71" i="20"/>
  <c r="AW71" i="20"/>
  <c r="AX71" i="20"/>
  <c r="AY71" i="20"/>
  <c r="AZ71" i="20"/>
  <c r="BA71" i="20"/>
  <c r="BB71" i="20"/>
  <c r="BC71" i="20"/>
  <c r="BD71" i="20"/>
  <c r="BE71" i="20"/>
  <c r="BF71" i="20"/>
  <c r="BG71" i="20"/>
  <c r="BH71" i="20"/>
  <c r="BI71" i="20"/>
  <c r="BJ71" i="20"/>
  <c r="BK71" i="20"/>
  <c r="BL71" i="20"/>
  <c r="BM71" i="20"/>
  <c r="BN71" i="20"/>
  <c r="BO71" i="20"/>
  <c r="BP71" i="20"/>
  <c r="BQ71" i="20"/>
  <c r="BR71" i="20"/>
  <c r="BS71" i="20"/>
  <c r="BT71" i="20"/>
  <c r="BU71" i="20"/>
  <c r="BV71" i="20"/>
  <c r="BW71" i="20"/>
  <c r="BX71" i="20"/>
  <c r="BY71" i="20"/>
  <c r="BZ71" i="20"/>
  <c r="CA71" i="20"/>
  <c r="CB71" i="20"/>
  <c r="CC71" i="20"/>
  <c r="CD71" i="20"/>
  <c r="CE71" i="20"/>
  <c r="CF71" i="20"/>
  <c r="CG71" i="20"/>
  <c r="CH71" i="20"/>
  <c r="CI71" i="20"/>
  <c r="CJ71" i="20"/>
  <c r="CK71" i="20"/>
  <c r="CL71" i="20"/>
  <c r="CM71" i="20"/>
  <c r="CN71" i="20"/>
  <c r="CO71" i="20"/>
  <c r="CP71" i="20"/>
  <c r="CQ71" i="20"/>
  <c r="CR71" i="20"/>
  <c r="CS71" i="20"/>
  <c r="CT71" i="20"/>
  <c r="CU71" i="20"/>
  <c r="CV71" i="20"/>
  <c r="CW71" i="20"/>
  <c r="CX71" i="20"/>
  <c r="CY71" i="20"/>
  <c r="CZ71" i="20"/>
  <c r="DA71" i="20"/>
  <c r="DB71" i="20"/>
  <c r="DC71" i="20"/>
  <c r="DD71" i="20"/>
  <c r="DE71" i="20"/>
  <c r="DF71" i="20"/>
  <c r="DG71" i="20"/>
  <c r="DH71" i="20"/>
  <c r="DI71" i="20"/>
  <c r="DJ71" i="20"/>
  <c r="DK71" i="20"/>
  <c r="DL71" i="20"/>
  <c r="DM71" i="20"/>
  <c r="DN71" i="20"/>
  <c r="DO71" i="20"/>
  <c r="DP71" i="20"/>
  <c r="DQ71" i="20"/>
  <c r="DR71" i="20"/>
  <c r="DS71" i="20"/>
  <c r="DT71" i="20"/>
  <c r="DU71" i="20"/>
  <c r="DV71" i="20"/>
  <c r="DW71" i="20"/>
  <c r="DX71" i="20"/>
  <c r="DY71" i="20"/>
  <c r="DZ71" i="20"/>
  <c r="EA71" i="20"/>
  <c r="EB71" i="20"/>
  <c r="EC71" i="20"/>
  <c r="ED71" i="20"/>
  <c r="EE71" i="20"/>
  <c r="EF71" i="20"/>
  <c r="EG71" i="20"/>
  <c r="EH71" i="20"/>
  <c r="EI71" i="20"/>
  <c r="EJ71" i="20"/>
  <c r="EK71" i="20"/>
  <c r="EL71" i="20"/>
  <c r="EM71" i="20"/>
  <c r="EN71" i="20"/>
  <c r="EO71" i="20"/>
  <c r="EP71" i="20"/>
  <c r="EQ71" i="20"/>
  <c r="ER71" i="20"/>
  <c r="ES71" i="20"/>
  <c r="ET71" i="20"/>
  <c r="EU71" i="20"/>
  <c r="EV71" i="20"/>
  <c r="EW71" i="20"/>
  <c r="EX71" i="20"/>
  <c r="EY71" i="20"/>
  <c r="EZ71" i="20"/>
  <c r="FA71" i="20"/>
  <c r="FB71" i="20"/>
  <c r="FC71" i="20"/>
  <c r="FD71" i="20"/>
  <c r="FE71" i="20"/>
  <c r="FF71" i="20"/>
  <c r="FG71" i="20"/>
  <c r="FH71" i="20"/>
  <c r="FI71" i="20"/>
  <c r="FJ71" i="20"/>
  <c r="FK71" i="20"/>
  <c r="FL71" i="20"/>
  <c r="FM71" i="20"/>
  <c r="FN71" i="20"/>
  <c r="FO71" i="20"/>
  <c r="FP71" i="20"/>
  <c r="FQ71" i="20"/>
  <c r="FR71" i="20"/>
  <c r="FS71" i="20"/>
  <c r="FT71" i="20"/>
  <c r="FU71" i="20"/>
  <c r="FV71" i="20"/>
  <c r="FW71" i="20"/>
  <c r="FX71" i="20"/>
  <c r="FY71" i="20"/>
  <c r="FZ71" i="20"/>
  <c r="GA71" i="20"/>
  <c r="GB71" i="20"/>
  <c r="GC71" i="20"/>
  <c r="GD71" i="20"/>
  <c r="GE71" i="20"/>
  <c r="GF71" i="20"/>
  <c r="GG71" i="20"/>
  <c r="GH71" i="20"/>
  <c r="GI71" i="20"/>
  <c r="GJ71" i="20"/>
  <c r="GK71" i="20"/>
  <c r="GL71" i="20"/>
  <c r="GM71" i="20"/>
  <c r="GN71" i="20"/>
  <c r="GO71" i="20"/>
  <c r="GP71" i="20"/>
  <c r="GQ71" i="20"/>
  <c r="GR71" i="20"/>
  <c r="GS71" i="20"/>
  <c r="GT71" i="20"/>
  <c r="GU71" i="20"/>
  <c r="GV71" i="20"/>
  <c r="GW71" i="20"/>
  <c r="GX71" i="20"/>
  <c r="GY71" i="20"/>
  <c r="GZ71" i="20"/>
  <c r="HA71" i="20"/>
  <c r="HB71" i="20"/>
  <c r="HC71" i="20"/>
  <c r="AR72" i="20"/>
  <c r="AS72" i="20"/>
  <c r="AT72" i="20"/>
  <c r="AU72" i="20"/>
  <c r="AV72" i="20"/>
  <c r="AW72" i="20"/>
  <c r="AX72" i="20"/>
  <c r="AY72" i="20"/>
  <c r="AZ72" i="20"/>
  <c r="BA72" i="20"/>
  <c r="BB72" i="20"/>
  <c r="BC72" i="20"/>
  <c r="BD72" i="20"/>
  <c r="BE72" i="20"/>
  <c r="BF72" i="20"/>
  <c r="BG72" i="20"/>
  <c r="BH72" i="20"/>
  <c r="BI72" i="20"/>
  <c r="BJ72" i="20"/>
  <c r="BK72" i="20"/>
  <c r="BL72" i="20"/>
  <c r="BM72" i="20"/>
  <c r="BN72" i="20"/>
  <c r="BO72" i="20"/>
  <c r="BP72" i="20"/>
  <c r="BQ72" i="20"/>
  <c r="BR72" i="20"/>
  <c r="BS72" i="20"/>
  <c r="BT72" i="20"/>
  <c r="BU72" i="20"/>
  <c r="BV72" i="20"/>
  <c r="BW72" i="20"/>
  <c r="BX72" i="20"/>
  <c r="BY72" i="20"/>
  <c r="BZ72" i="20"/>
  <c r="CA72" i="20"/>
  <c r="CB72" i="20"/>
  <c r="CC72" i="20"/>
  <c r="CD72" i="20"/>
  <c r="CE72" i="20"/>
  <c r="CF72" i="20"/>
  <c r="CG72" i="20"/>
  <c r="CH72" i="20"/>
  <c r="CI72" i="20"/>
  <c r="CJ72" i="20"/>
  <c r="CK72" i="20"/>
  <c r="CL72" i="20"/>
  <c r="CM72" i="20"/>
  <c r="CN72" i="20"/>
  <c r="CO72" i="20"/>
  <c r="CP72" i="20"/>
  <c r="CQ72" i="20"/>
  <c r="CR72" i="20"/>
  <c r="CS72" i="20"/>
  <c r="CT72" i="20"/>
  <c r="CU72" i="20"/>
  <c r="CV72" i="20"/>
  <c r="CW72" i="20"/>
  <c r="CX72" i="20"/>
  <c r="CY72" i="20"/>
  <c r="CZ72" i="20"/>
  <c r="DA72" i="20"/>
  <c r="DB72" i="20"/>
  <c r="DC72" i="20"/>
  <c r="DD72" i="20"/>
  <c r="DE72" i="20"/>
  <c r="DF72" i="20"/>
  <c r="DG72" i="20"/>
  <c r="DH72" i="20"/>
  <c r="DI72" i="20"/>
  <c r="DJ72" i="20"/>
  <c r="DK72" i="20"/>
  <c r="DL72" i="20"/>
  <c r="DM72" i="20"/>
  <c r="DN72" i="20"/>
  <c r="DO72" i="20"/>
  <c r="DP72" i="20"/>
  <c r="DQ72" i="20"/>
  <c r="DR72" i="20"/>
  <c r="DS72" i="20"/>
  <c r="DT72" i="20"/>
  <c r="DU72" i="20"/>
  <c r="DV72" i="20"/>
  <c r="DW72" i="20"/>
  <c r="DX72" i="20"/>
  <c r="DY72" i="20"/>
  <c r="DZ72" i="20"/>
  <c r="EA72" i="20"/>
  <c r="EB72" i="20"/>
  <c r="EC72" i="20"/>
  <c r="ED72" i="20"/>
  <c r="EE72" i="20"/>
  <c r="EF72" i="20"/>
  <c r="EG72" i="20"/>
  <c r="EH72" i="20"/>
  <c r="EI72" i="20"/>
  <c r="EJ72" i="20"/>
  <c r="EK72" i="20"/>
  <c r="EL72" i="20"/>
  <c r="EM72" i="20"/>
  <c r="EN72" i="20"/>
  <c r="EO72" i="20"/>
  <c r="EP72" i="20"/>
  <c r="EQ72" i="20"/>
  <c r="ER72" i="20"/>
  <c r="ES72" i="20"/>
  <c r="ET72" i="20"/>
  <c r="EU72" i="20"/>
  <c r="EV72" i="20"/>
  <c r="EW72" i="20"/>
  <c r="EX72" i="20"/>
  <c r="EY72" i="20"/>
  <c r="EZ72" i="20"/>
  <c r="FA72" i="20"/>
  <c r="FB72" i="20"/>
  <c r="FC72" i="20"/>
  <c r="FD72" i="20"/>
  <c r="FE72" i="20"/>
  <c r="FF72" i="20"/>
  <c r="FG72" i="20"/>
  <c r="FH72" i="20"/>
  <c r="FI72" i="20"/>
  <c r="FJ72" i="20"/>
  <c r="FK72" i="20"/>
  <c r="FL72" i="20"/>
  <c r="FM72" i="20"/>
  <c r="FN72" i="20"/>
  <c r="FO72" i="20"/>
  <c r="FP72" i="20"/>
  <c r="FQ72" i="20"/>
  <c r="FR72" i="20"/>
  <c r="FS72" i="20"/>
  <c r="FT72" i="20"/>
  <c r="FU72" i="20"/>
  <c r="FV72" i="20"/>
  <c r="FW72" i="20"/>
  <c r="FX72" i="20"/>
  <c r="FY72" i="20"/>
  <c r="FZ72" i="20"/>
  <c r="GA72" i="20"/>
  <c r="GB72" i="20"/>
  <c r="GC72" i="20"/>
  <c r="GD72" i="20"/>
  <c r="GE72" i="20"/>
  <c r="GF72" i="20"/>
  <c r="GG72" i="20"/>
  <c r="GH72" i="20"/>
  <c r="GI72" i="20"/>
  <c r="GJ72" i="20"/>
  <c r="GK72" i="20"/>
  <c r="GL72" i="20"/>
  <c r="GM72" i="20"/>
  <c r="GN72" i="20"/>
  <c r="GO72" i="20"/>
  <c r="GP72" i="20"/>
  <c r="GQ72" i="20"/>
  <c r="GR72" i="20"/>
  <c r="GS72" i="20"/>
  <c r="GT72" i="20"/>
  <c r="GU72" i="20"/>
  <c r="GV72" i="20"/>
  <c r="GW72" i="20"/>
  <c r="GX72" i="20"/>
  <c r="GY72" i="20"/>
  <c r="GZ72" i="20"/>
  <c r="HA72" i="20"/>
  <c r="HB72" i="20"/>
  <c r="HC72" i="20"/>
  <c r="AR73" i="20"/>
  <c r="AS73" i="20"/>
  <c r="AT73" i="20"/>
  <c r="AU73" i="20"/>
  <c r="AV73" i="20"/>
  <c r="AW73" i="20"/>
  <c r="AX73" i="20"/>
  <c r="AY73" i="20"/>
  <c r="AZ73" i="20"/>
  <c r="BA73" i="20"/>
  <c r="BB73" i="20"/>
  <c r="BC73" i="20"/>
  <c r="BD73" i="20"/>
  <c r="BE73" i="20"/>
  <c r="BF73" i="20"/>
  <c r="BG73" i="20"/>
  <c r="BH73" i="20"/>
  <c r="BI73" i="20"/>
  <c r="BJ73" i="20"/>
  <c r="BK73" i="20"/>
  <c r="BL73" i="20"/>
  <c r="BM73" i="20"/>
  <c r="BN73" i="20"/>
  <c r="BO73" i="20"/>
  <c r="BP73" i="20"/>
  <c r="BQ73" i="20"/>
  <c r="BR73" i="20"/>
  <c r="BS73" i="20"/>
  <c r="BT73" i="20"/>
  <c r="BU73" i="20"/>
  <c r="BV73" i="20"/>
  <c r="BW73" i="20"/>
  <c r="BX73" i="20"/>
  <c r="BY73" i="20"/>
  <c r="BZ73" i="20"/>
  <c r="CA73" i="20"/>
  <c r="CB73" i="20"/>
  <c r="CC73" i="20"/>
  <c r="CD73" i="20"/>
  <c r="CE73" i="20"/>
  <c r="CF73" i="20"/>
  <c r="CG73" i="20"/>
  <c r="CH73" i="20"/>
  <c r="CI73" i="20"/>
  <c r="CJ73" i="20"/>
  <c r="CK73" i="20"/>
  <c r="CL73" i="20"/>
  <c r="CM73" i="20"/>
  <c r="CN73" i="20"/>
  <c r="CO73" i="20"/>
  <c r="CP73" i="20"/>
  <c r="CQ73" i="20"/>
  <c r="CR73" i="20"/>
  <c r="CS73" i="20"/>
  <c r="CT73" i="20"/>
  <c r="CU73" i="20"/>
  <c r="CV73" i="20"/>
  <c r="CW73" i="20"/>
  <c r="CX73" i="20"/>
  <c r="CY73" i="20"/>
  <c r="CZ73" i="20"/>
  <c r="DA73" i="20"/>
  <c r="DB73" i="20"/>
  <c r="DC73" i="20"/>
  <c r="DD73" i="20"/>
  <c r="DE73" i="20"/>
  <c r="DF73" i="20"/>
  <c r="DG73" i="20"/>
  <c r="DH73" i="20"/>
  <c r="DI73" i="20"/>
  <c r="DJ73" i="20"/>
  <c r="DK73" i="20"/>
  <c r="DL73" i="20"/>
  <c r="DM73" i="20"/>
  <c r="DN73" i="20"/>
  <c r="DO73" i="20"/>
  <c r="DP73" i="20"/>
  <c r="DQ73" i="20"/>
  <c r="DR73" i="20"/>
  <c r="DS73" i="20"/>
  <c r="DT73" i="20"/>
  <c r="DU73" i="20"/>
  <c r="DV73" i="20"/>
  <c r="DW73" i="20"/>
  <c r="DX73" i="20"/>
  <c r="DY73" i="20"/>
  <c r="DZ73" i="20"/>
  <c r="EA73" i="20"/>
  <c r="EB73" i="20"/>
  <c r="EC73" i="20"/>
  <c r="ED73" i="20"/>
  <c r="EE73" i="20"/>
  <c r="EF73" i="20"/>
  <c r="EG73" i="20"/>
  <c r="EH73" i="20"/>
  <c r="EI73" i="20"/>
  <c r="EJ73" i="20"/>
  <c r="EK73" i="20"/>
  <c r="EL73" i="20"/>
  <c r="EM73" i="20"/>
  <c r="EN73" i="20"/>
  <c r="EO73" i="20"/>
  <c r="EP73" i="20"/>
  <c r="EQ73" i="20"/>
  <c r="ER73" i="20"/>
  <c r="ES73" i="20"/>
  <c r="ET73" i="20"/>
  <c r="EU73" i="20"/>
  <c r="EV73" i="20"/>
  <c r="EW73" i="20"/>
  <c r="EX73" i="20"/>
  <c r="EY73" i="20"/>
  <c r="EZ73" i="20"/>
  <c r="FA73" i="20"/>
  <c r="FB73" i="20"/>
  <c r="FC73" i="20"/>
  <c r="FD73" i="20"/>
  <c r="FE73" i="20"/>
  <c r="FF73" i="20"/>
  <c r="FG73" i="20"/>
  <c r="FH73" i="20"/>
  <c r="FI73" i="20"/>
  <c r="FJ73" i="20"/>
  <c r="FK73" i="20"/>
  <c r="FL73" i="20"/>
  <c r="FM73" i="20"/>
  <c r="FN73" i="20"/>
  <c r="FO73" i="20"/>
  <c r="FP73" i="20"/>
  <c r="FQ73" i="20"/>
  <c r="FR73" i="20"/>
  <c r="FS73" i="20"/>
  <c r="FT73" i="20"/>
  <c r="FU73" i="20"/>
  <c r="FV73" i="20"/>
  <c r="FW73" i="20"/>
  <c r="FX73" i="20"/>
  <c r="FY73" i="20"/>
  <c r="FZ73" i="20"/>
  <c r="GA73" i="20"/>
  <c r="GB73" i="20"/>
  <c r="GC73" i="20"/>
  <c r="GD73" i="20"/>
  <c r="GE73" i="20"/>
  <c r="GF73" i="20"/>
  <c r="GG73" i="20"/>
  <c r="GH73" i="20"/>
  <c r="GI73" i="20"/>
  <c r="GJ73" i="20"/>
  <c r="GK73" i="20"/>
  <c r="GL73" i="20"/>
  <c r="GM73" i="20"/>
  <c r="GN73" i="20"/>
  <c r="GO73" i="20"/>
  <c r="GP73" i="20"/>
  <c r="GQ73" i="20"/>
  <c r="GR73" i="20"/>
  <c r="GS73" i="20"/>
  <c r="GT73" i="20"/>
  <c r="GU73" i="20"/>
  <c r="GV73" i="20"/>
  <c r="GW73" i="20"/>
  <c r="GX73" i="20"/>
  <c r="GY73" i="20"/>
  <c r="GZ73" i="20"/>
  <c r="HA73" i="20"/>
  <c r="HB73" i="20"/>
  <c r="HC73" i="20"/>
  <c r="AR74" i="20"/>
  <c r="AS74" i="20"/>
  <c r="AT74" i="20"/>
  <c r="AU74" i="20"/>
  <c r="AV74" i="20"/>
  <c r="AW74" i="20"/>
  <c r="AX74" i="20"/>
  <c r="AY74" i="20"/>
  <c r="AZ74" i="20"/>
  <c r="BA74" i="20"/>
  <c r="BB74" i="20"/>
  <c r="BC74" i="20"/>
  <c r="BD74" i="20"/>
  <c r="BE74" i="20"/>
  <c r="BF74" i="20"/>
  <c r="BG74" i="20"/>
  <c r="BH74" i="20"/>
  <c r="BI74" i="20"/>
  <c r="BJ74" i="20"/>
  <c r="BK74" i="20"/>
  <c r="BL74" i="20"/>
  <c r="BM74" i="20"/>
  <c r="BN74" i="20"/>
  <c r="BO74" i="20"/>
  <c r="BP74" i="20"/>
  <c r="BQ74" i="20"/>
  <c r="BR74" i="20"/>
  <c r="BS74" i="20"/>
  <c r="BT74" i="20"/>
  <c r="BU74" i="20"/>
  <c r="BV74" i="20"/>
  <c r="BW74" i="20"/>
  <c r="BX74" i="20"/>
  <c r="BY74" i="20"/>
  <c r="BZ74" i="20"/>
  <c r="CA74" i="20"/>
  <c r="CB74" i="20"/>
  <c r="CC74" i="20"/>
  <c r="CD74" i="20"/>
  <c r="CE74" i="20"/>
  <c r="CF74" i="20"/>
  <c r="CG74" i="20"/>
  <c r="CH74" i="20"/>
  <c r="CI74" i="20"/>
  <c r="CJ74" i="20"/>
  <c r="CK74" i="20"/>
  <c r="CL74" i="20"/>
  <c r="CM74" i="20"/>
  <c r="CN74" i="20"/>
  <c r="CO74" i="20"/>
  <c r="CP74" i="20"/>
  <c r="CQ74" i="20"/>
  <c r="CR74" i="20"/>
  <c r="CS74" i="20"/>
  <c r="CT74" i="20"/>
  <c r="CU74" i="20"/>
  <c r="CV74" i="20"/>
  <c r="CW74" i="20"/>
  <c r="CX74" i="20"/>
  <c r="CY74" i="20"/>
  <c r="CZ74" i="20"/>
  <c r="DA74" i="20"/>
  <c r="DB74" i="20"/>
  <c r="DC74" i="20"/>
  <c r="DD74" i="20"/>
  <c r="DE74" i="20"/>
  <c r="DF74" i="20"/>
  <c r="DG74" i="20"/>
  <c r="DH74" i="20"/>
  <c r="DI74" i="20"/>
  <c r="DJ74" i="20"/>
  <c r="DK74" i="20"/>
  <c r="DL74" i="20"/>
  <c r="DM74" i="20"/>
  <c r="DN74" i="20"/>
  <c r="DO74" i="20"/>
  <c r="DP74" i="20"/>
  <c r="DQ74" i="20"/>
  <c r="DR74" i="20"/>
  <c r="DS74" i="20"/>
  <c r="DT74" i="20"/>
  <c r="DU74" i="20"/>
  <c r="DV74" i="20"/>
  <c r="DW74" i="20"/>
  <c r="DX74" i="20"/>
  <c r="DY74" i="20"/>
  <c r="DZ74" i="20"/>
  <c r="EA74" i="20"/>
  <c r="EB74" i="20"/>
  <c r="EC74" i="20"/>
  <c r="ED74" i="20"/>
  <c r="EE74" i="20"/>
  <c r="EF74" i="20"/>
  <c r="EG74" i="20"/>
  <c r="EH74" i="20"/>
  <c r="EI74" i="20"/>
  <c r="EJ74" i="20"/>
  <c r="EK74" i="20"/>
  <c r="EL74" i="20"/>
  <c r="EM74" i="20"/>
  <c r="EN74" i="20"/>
  <c r="EO74" i="20"/>
  <c r="EP74" i="20"/>
  <c r="EQ74" i="20"/>
  <c r="ER74" i="20"/>
  <c r="ES74" i="20"/>
  <c r="ET74" i="20"/>
  <c r="EU74" i="20"/>
  <c r="EV74" i="20"/>
  <c r="EW74" i="20"/>
  <c r="EX74" i="20"/>
  <c r="EY74" i="20"/>
  <c r="EZ74" i="20"/>
  <c r="FA74" i="20"/>
  <c r="FB74" i="20"/>
  <c r="FC74" i="20"/>
  <c r="FD74" i="20"/>
  <c r="FE74" i="20"/>
  <c r="FF74" i="20"/>
  <c r="FG74" i="20"/>
  <c r="FH74" i="20"/>
  <c r="FI74" i="20"/>
  <c r="FJ74" i="20"/>
  <c r="FK74" i="20"/>
  <c r="FL74" i="20"/>
  <c r="FM74" i="20"/>
  <c r="FN74" i="20"/>
  <c r="FO74" i="20"/>
  <c r="FP74" i="20"/>
  <c r="FQ74" i="20"/>
  <c r="FR74" i="20"/>
  <c r="FS74" i="20"/>
  <c r="FT74" i="20"/>
  <c r="FU74" i="20"/>
  <c r="FV74" i="20"/>
  <c r="FW74" i="20"/>
  <c r="FX74" i="20"/>
  <c r="FY74" i="20"/>
  <c r="FZ74" i="20"/>
  <c r="GA74" i="20"/>
  <c r="GB74" i="20"/>
  <c r="GC74" i="20"/>
  <c r="GD74" i="20"/>
  <c r="GE74" i="20"/>
  <c r="GF74" i="20"/>
  <c r="GG74" i="20"/>
  <c r="GH74" i="20"/>
  <c r="GI74" i="20"/>
  <c r="GJ74" i="20"/>
  <c r="GK74" i="20"/>
  <c r="GL74" i="20"/>
  <c r="GM74" i="20"/>
  <c r="GN74" i="20"/>
  <c r="GO74" i="20"/>
  <c r="GP74" i="20"/>
  <c r="GQ74" i="20"/>
  <c r="GR74" i="20"/>
  <c r="GS74" i="20"/>
  <c r="GT74" i="20"/>
  <c r="GU74" i="20"/>
  <c r="GV74" i="20"/>
  <c r="GW74" i="20"/>
  <c r="GX74" i="20"/>
  <c r="GY74" i="20"/>
  <c r="GZ74" i="20"/>
  <c r="HA74" i="20"/>
  <c r="HB74" i="20"/>
  <c r="HC74" i="20"/>
  <c r="AR75" i="20"/>
  <c r="AS75" i="20"/>
  <c r="AT75" i="20"/>
  <c r="AU75" i="20"/>
  <c r="AV75" i="20"/>
  <c r="AW75" i="20"/>
  <c r="AX75" i="20"/>
  <c r="AY75" i="20"/>
  <c r="AZ75" i="20"/>
  <c r="BA75" i="20"/>
  <c r="BB75" i="20"/>
  <c r="BC75" i="20"/>
  <c r="BD75" i="20"/>
  <c r="BE75" i="20"/>
  <c r="BF75" i="20"/>
  <c r="BG75" i="20"/>
  <c r="BH75" i="20"/>
  <c r="BI75" i="20"/>
  <c r="BJ75" i="20"/>
  <c r="BK75" i="20"/>
  <c r="BL75" i="20"/>
  <c r="BM75" i="20"/>
  <c r="BN75" i="20"/>
  <c r="BO75" i="20"/>
  <c r="BP75" i="20"/>
  <c r="BQ75" i="20"/>
  <c r="BR75" i="20"/>
  <c r="BS75" i="20"/>
  <c r="BT75" i="20"/>
  <c r="BU75" i="20"/>
  <c r="BV75" i="20"/>
  <c r="BW75" i="20"/>
  <c r="BX75" i="20"/>
  <c r="BY75" i="20"/>
  <c r="BZ75" i="20"/>
  <c r="CA75" i="20"/>
  <c r="CB75" i="20"/>
  <c r="CC75" i="20"/>
  <c r="CD75" i="20"/>
  <c r="CE75" i="20"/>
  <c r="CF75" i="20"/>
  <c r="CG75" i="20"/>
  <c r="CH75" i="20"/>
  <c r="CI75" i="20"/>
  <c r="CJ75" i="20"/>
  <c r="CK75" i="20"/>
  <c r="CL75" i="20"/>
  <c r="CM75" i="20"/>
  <c r="CN75" i="20"/>
  <c r="CO75" i="20"/>
  <c r="CP75" i="20"/>
  <c r="CQ75" i="20"/>
  <c r="CR75" i="20"/>
  <c r="CS75" i="20"/>
  <c r="CT75" i="20"/>
  <c r="CU75" i="20"/>
  <c r="CV75" i="20"/>
  <c r="CW75" i="20"/>
  <c r="CX75" i="20"/>
  <c r="CY75" i="20"/>
  <c r="CZ75" i="20"/>
  <c r="DA75" i="20"/>
  <c r="DB75" i="20"/>
  <c r="DC75" i="20"/>
  <c r="DD75" i="20"/>
  <c r="DE75" i="20"/>
  <c r="DF75" i="20"/>
  <c r="DG75" i="20"/>
  <c r="DH75" i="20"/>
  <c r="DI75" i="20"/>
  <c r="DJ75" i="20"/>
  <c r="DK75" i="20"/>
  <c r="DL75" i="20"/>
  <c r="DM75" i="20"/>
  <c r="DN75" i="20"/>
  <c r="DO75" i="20"/>
  <c r="DP75" i="20"/>
  <c r="DQ75" i="20"/>
  <c r="DR75" i="20"/>
  <c r="DS75" i="20"/>
  <c r="DT75" i="20"/>
  <c r="DU75" i="20"/>
  <c r="DV75" i="20"/>
  <c r="DW75" i="20"/>
  <c r="DX75" i="20"/>
  <c r="DY75" i="20"/>
  <c r="DZ75" i="20"/>
  <c r="EA75" i="20"/>
  <c r="EB75" i="20"/>
  <c r="EC75" i="20"/>
  <c r="ED75" i="20"/>
  <c r="EE75" i="20"/>
  <c r="EF75" i="20"/>
  <c r="EG75" i="20"/>
  <c r="EH75" i="20"/>
  <c r="EI75" i="20"/>
  <c r="EJ75" i="20"/>
  <c r="EK75" i="20"/>
  <c r="EL75" i="20"/>
  <c r="EM75" i="20"/>
  <c r="EN75" i="20"/>
  <c r="EO75" i="20"/>
  <c r="EP75" i="20"/>
  <c r="EQ75" i="20"/>
  <c r="ER75" i="20"/>
  <c r="ES75" i="20"/>
  <c r="ET75" i="20"/>
  <c r="EU75" i="20"/>
  <c r="EV75" i="20"/>
  <c r="EW75" i="20"/>
  <c r="EX75" i="20"/>
  <c r="EY75" i="20"/>
  <c r="EZ75" i="20"/>
  <c r="FA75" i="20"/>
  <c r="FB75" i="20"/>
  <c r="FC75" i="20"/>
  <c r="FD75" i="20"/>
  <c r="FE75" i="20"/>
  <c r="FF75" i="20"/>
  <c r="FG75" i="20"/>
  <c r="FH75" i="20"/>
  <c r="FI75" i="20"/>
  <c r="FJ75" i="20"/>
  <c r="FK75" i="20"/>
  <c r="FL75" i="20"/>
  <c r="FM75" i="20"/>
  <c r="FN75" i="20"/>
  <c r="FO75" i="20"/>
  <c r="FP75" i="20"/>
  <c r="FQ75" i="20"/>
  <c r="FR75" i="20"/>
  <c r="FS75" i="20"/>
  <c r="FT75" i="20"/>
  <c r="FU75" i="20"/>
  <c r="FV75" i="20"/>
  <c r="FW75" i="20"/>
  <c r="FX75" i="20"/>
  <c r="FY75" i="20"/>
  <c r="FZ75" i="20"/>
  <c r="GA75" i="20"/>
  <c r="GB75" i="20"/>
  <c r="GC75" i="20"/>
  <c r="GD75" i="20"/>
  <c r="GE75" i="20"/>
  <c r="GF75" i="20"/>
  <c r="GG75" i="20"/>
  <c r="GH75" i="20"/>
  <c r="GI75" i="20"/>
  <c r="GJ75" i="20"/>
  <c r="GK75" i="20"/>
  <c r="GL75" i="20"/>
  <c r="GM75" i="20"/>
  <c r="GN75" i="20"/>
  <c r="GO75" i="20"/>
  <c r="GP75" i="20"/>
  <c r="GQ75" i="20"/>
  <c r="GR75" i="20"/>
  <c r="GS75" i="20"/>
  <c r="GT75" i="20"/>
  <c r="GU75" i="20"/>
  <c r="GV75" i="20"/>
  <c r="GW75" i="20"/>
  <c r="GX75" i="20"/>
  <c r="GY75" i="20"/>
  <c r="GZ75" i="20"/>
  <c r="HA75" i="20"/>
  <c r="HB75" i="20"/>
  <c r="HC75" i="20"/>
  <c r="AR76" i="20"/>
  <c r="AS76" i="20"/>
  <c r="AT76" i="20"/>
  <c r="AU76" i="20"/>
  <c r="AV76" i="20"/>
  <c r="AW76" i="20"/>
  <c r="AX76" i="20"/>
  <c r="AY76" i="20"/>
  <c r="AZ76" i="20"/>
  <c r="BA76" i="20"/>
  <c r="BB76" i="20"/>
  <c r="BC76" i="20"/>
  <c r="BD76" i="20"/>
  <c r="BE76" i="20"/>
  <c r="BF76" i="20"/>
  <c r="BG76" i="20"/>
  <c r="BH76" i="20"/>
  <c r="BI76" i="20"/>
  <c r="BJ76" i="20"/>
  <c r="BK76" i="20"/>
  <c r="BL76" i="20"/>
  <c r="BM76" i="20"/>
  <c r="BN76" i="20"/>
  <c r="BO76" i="20"/>
  <c r="BP76" i="20"/>
  <c r="BQ76" i="20"/>
  <c r="BR76" i="20"/>
  <c r="BS76" i="20"/>
  <c r="BT76" i="20"/>
  <c r="BU76" i="20"/>
  <c r="BV76" i="20"/>
  <c r="BW76" i="20"/>
  <c r="BX76" i="20"/>
  <c r="BY76" i="20"/>
  <c r="BZ76" i="20"/>
  <c r="CA76" i="20"/>
  <c r="CB76" i="20"/>
  <c r="CC76" i="20"/>
  <c r="CD76" i="20"/>
  <c r="CE76" i="20"/>
  <c r="CF76" i="20"/>
  <c r="CG76" i="20"/>
  <c r="CH76" i="20"/>
  <c r="CI76" i="20"/>
  <c r="CJ76" i="20"/>
  <c r="CK76" i="20"/>
  <c r="CL76" i="20"/>
  <c r="CM76" i="20"/>
  <c r="CN76" i="20"/>
  <c r="CO76" i="20"/>
  <c r="CP76" i="20"/>
  <c r="CQ76" i="20"/>
  <c r="CR76" i="20"/>
  <c r="CS76" i="20"/>
  <c r="CT76" i="20"/>
  <c r="CU76" i="20"/>
  <c r="CV76" i="20"/>
  <c r="CW76" i="20"/>
  <c r="CX76" i="20"/>
  <c r="CY76" i="20"/>
  <c r="CZ76" i="20"/>
  <c r="DA76" i="20"/>
  <c r="DB76" i="20"/>
  <c r="DC76" i="20"/>
  <c r="DD76" i="20"/>
  <c r="DE76" i="20"/>
  <c r="DF76" i="20"/>
  <c r="DG76" i="20"/>
  <c r="DH76" i="20"/>
  <c r="DI76" i="20"/>
  <c r="DJ76" i="20"/>
  <c r="DK76" i="20"/>
  <c r="DL76" i="20"/>
  <c r="DM76" i="20"/>
  <c r="DN76" i="20"/>
  <c r="DO76" i="20"/>
  <c r="DP76" i="20"/>
  <c r="DQ76" i="20"/>
  <c r="DR76" i="20"/>
  <c r="DS76" i="20"/>
  <c r="DT76" i="20"/>
  <c r="DU76" i="20"/>
  <c r="DV76" i="20"/>
  <c r="DW76" i="20"/>
  <c r="DX76" i="20"/>
  <c r="DY76" i="20"/>
  <c r="DZ76" i="20"/>
  <c r="EA76" i="20"/>
  <c r="EB76" i="20"/>
  <c r="EC76" i="20"/>
  <c r="ED76" i="20"/>
  <c r="EE76" i="20"/>
  <c r="EF76" i="20"/>
  <c r="EG76" i="20"/>
  <c r="EH76" i="20"/>
  <c r="EI76" i="20"/>
  <c r="EJ76" i="20"/>
  <c r="EK76" i="20"/>
  <c r="EL76" i="20"/>
  <c r="EM76" i="20"/>
  <c r="EN76" i="20"/>
  <c r="EO76" i="20"/>
  <c r="EP76" i="20"/>
  <c r="EQ76" i="20"/>
  <c r="ER76" i="20"/>
  <c r="ES76" i="20"/>
  <c r="ET76" i="20"/>
  <c r="EU76" i="20"/>
  <c r="EV76" i="20"/>
  <c r="EW76" i="20"/>
  <c r="EX76" i="20"/>
  <c r="EY76" i="20"/>
  <c r="EZ76" i="20"/>
  <c r="FA76" i="20"/>
  <c r="FB76" i="20"/>
  <c r="FC76" i="20"/>
  <c r="FD76" i="20"/>
  <c r="FE76" i="20"/>
  <c r="FF76" i="20"/>
  <c r="FG76" i="20"/>
  <c r="FH76" i="20"/>
  <c r="FI76" i="20"/>
  <c r="FJ76" i="20"/>
  <c r="FK76" i="20"/>
  <c r="FL76" i="20"/>
  <c r="FM76" i="20"/>
  <c r="FN76" i="20"/>
  <c r="FO76" i="20"/>
  <c r="FP76" i="20"/>
  <c r="FQ76" i="20"/>
  <c r="FR76" i="20"/>
  <c r="FS76" i="20"/>
  <c r="FT76" i="20"/>
  <c r="FU76" i="20"/>
  <c r="FV76" i="20"/>
  <c r="FW76" i="20"/>
  <c r="FX76" i="20"/>
  <c r="FY76" i="20"/>
  <c r="FZ76" i="20"/>
  <c r="GA76" i="20"/>
  <c r="GB76" i="20"/>
  <c r="GC76" i="20"/>
  <c r="GD76" i="20"/>
  <c r="GE76" i="20"/>
  <c r="GF76" i="20"/>
  <c r="GG76" i="20"/>
  <c r="GH76" i="20"/>
  <c r="GI76" i="20"/>
  <c r="GJ76" i="20"/>
  <c r="GK76" i="20"/>
  <c r="GL76" i="20"/>
  <c r="GM76" i="20"/>
  <c r="GN76" i="20"/>
  <c r="GO76" i="20"/>
  <c r="GP76" i="20"/>
  <c r="GQ76" i="20"/>
  <c r="GR76" i="20"/>
  <c r="GS76" i="20"/>
  <c r="GT76" i="20"/>
  <c r="GU76" i="20"/>
  <c r="GV76" i="20"/>
  <c r="GW76" i="20"/>
  <c r="GX76" i="20"/>
  <c r="GY76" i="20"/>
  <c r="GZ76" i="20"/>
  <c r="HA76" i="20"/>
  <c r="HB76" i="20"/>
  <c r="HC76" i="20"/>
  <c r="AR77" i="20"/>
  <c r="AS77" i="20"/>
  <c r="AT77" i="20"/>
  <c r="AU77" i="20"/>
  <c r="AV77" i="20"/>
  <c r="AW77" i="20"/>
  <c r="AX77" i="20"/>
  <c r="AY77" i="20"/>
  <c r="AZ77" i="20"/>
  <c r="BA77" i="20"/>
  <c r="BB77" i="20"/>
  <c r="BC77" i="20"/>
  <c r="BD77" i="20"/>
  <c r="BE77" i="20"/>
  <c r="BF77" i="20"/>
  <c r="BG77" i="20"/>
  <c r="BH77" i="20"/>
  <c r="BI77" i="20"/>
  <c r="BJ77" i="20"/>
  <c r="BK77" i="20"/>
  <c r="BL77" i="20"/>
  <c r="BM77" i="20"/>
  <c r="BN77" i="20"/>
  <c r="BO77" i="20"/>
  <c r="BP77" i="20"/>
  <c r="BQ77" i="20"/>
  <c r="BR77" i="20"/>
  <c r="BS77" i="20"/>
  <c r="BT77" i="20"/>
  <c r="BU77" i="20"/>
  <c r="BV77" i="20"/>
  <c r="BW77" i="20"/>
  <c r="BX77" i="20"/>
  <c r="BY77" i="20"/>
  <c r="BZ77" i="20"/>
  <c r="CA77" i="20"/>
  <c r="CB77" i="20"/>
  <c r="CC77" i="20"/>
  <c r="CD77" i="20"/>
  <c r="CE77" i="20"/>
  <c r="CF77" i="20"/>
  <c r="CG77" i="20"/>
  <c r="CH77" i="20"/>
  <c r="CI77" i="20"/>
  <c r="CJ77" i="20"/>
  <c r="CK77" i="20"/>
  <c r="CL77" i="20"/>
  <c r="CM77" i="20"/>
  <c r="CN77" i="20"/>
  <c r="CO77" i="20"/>
  <c r="CP77" i="20"/>
  <c r="CQ77" i="20"/>
  <c r="CR77" i="20"/>
  <c r="CS77" i="20"/>
  <c r="CT77" i="20"/>
  <c r="CU77" i="20"/>
  <c r="CV77" i="20"/>
  <c r="CW77" i="20"/>
  <c r="CX77" i="20"/>
  <c r="CY77" i="20"/>
  <c r="CZ77" i="20"/>
  <c r="DA77" i="20"/>
  <c r="DB77" i="20"/>
  <c r="DC77" i="20"/>
  <c r="DD77" i="20"/>
  <c r="DE77" i="20"/>
  <c r="DF77" i="20"/>
  <c r="DG77" i="20"/>
  <c r="DH77" i="20"/>
  <c r="DI77" i="20"/>
  <c r="DJ77" i="20"/>
  <c r="DK77" i="20"/>
  <c r="DL77" i="20"/>
  <c r="DM77" i="20"/>
  <c r="DN77" i="20"/>
  <c r="DO77" i="20"/>
  <c r="DP77" i="20"/>
  <c r="DQ77" i="20"/>
  <c r="DR77" i="20"/>
  <c r="DS77" i="20"/>
  <c r="DT77" i="20"/>
  <c r="DU77" i="20"/>
  <c r="DV77" i="20"/>
  <c r="DW77" i="20"/>
  <c r="DX77" i="20"/>
  <c r="DY77" i="20"/>
  <c r="DZ77" i="20"/>
  <c r="EA77" i="20"/>
  <c r="EB77" i="20"/>
  <c r="EC77" i="20"/>
  <c r="ED77" i="20"/>
  <c r="EE77" i="20"/>
  <c r="EF77" i="20"/>
  <c r="EG77" i="20"/>
  <c r="EH77" i="20"/>
  <c r="EI77" i="20"/>
  <c r="EJ77" i="20"/>
  <c r="EK77" i="20"/>
  <c r="EL77" i="20"/>
  <c r="EM77" i="20"/>
  <c r="EN77" i="20"/>
  <c r="EO77" i="20"/>
  <c r="EP77" i="20"/>
  <c r="EQ77" i="20"/>
  <c r="ER77" i="20"/>
  <c r="ES77" i="20"/>
  <c r="ET77" i="20"/>
  <c r="EU77" i="20"/>
  <c r="EV77" i="20"/>
  <c r="EW77" i="20"/>
  <c r="EX77" i="20"/>
  <c r="EY77" i="20"/>
  <c r="EZ77" i="20"/>
  <c r="FA77" i="20"/>
  <c r="FB77" i="20"/>
  <c r="FC77" i="20"/>
  <c r="FD77" i="20"/>
  <c r="FE77" i="20"/>
  <c r="FF77" i="20"/>
  <c r="FG77" i="20"/>
  <c r="FH77" i="20"/>
  <c r="FI77" i="20"/>
  <c r="FJ77" i="20"/>
  <c r="FK77" i="20"/>
  <c r="FL77" i="20"/>
  <c r="FM77" i="20"/>
  <c r="FN77" i="20"/>
  <c r="FO77" i="20"/>
  <c r="FP77" i="20"/>
  <c r="FQ77" i="20"/>
  <c r="FR77" i="20"/>
  <c r="FS77" i="20"/>
  <c r="FT77" i="20"/>
  <c r="FU77" i="20"/>
  <c r="FV77" i="20"/>
  <c r="FW77" i="20"/>
  <c r="FX77" i="20"/>
  <c r="FY77" i="20"/>
  <c r="FZ77" i="20"/>
  <c r="GA77" i="20"/>
  <c r="GB77" i="20"/>
  <c r="GC77" i="20"/>
  <c r="GD77" i="20"/>
  <c r="GE77" i="20"/>
  <c r="GF77" i="20"/>
  <c r="GG77" i="20"/>
  <c r="GH77" i="20"/>
  <c r="GI77" i="20"/>
  <c r="GJ77" i="20"/>
  <c r="GK77" i="20"/>
  <c r="GL77" i="20"/>
  <c r="GM77" i="20"/>
  <c r="GN77" i="20"/>
  <c r="GO77" i="20"/>
  <c r="GP77" i="20"/>
  <c r="GQ77" i="20"/>
  <c r="GR77" i="20"/>
  <c r="GS77" i="20"/>
  <c r="GT77" i="20"/>
  <c r="GU77" i="20"/>
  <c r="GV77" i="20"/>
  <c r="GW77" i="20"/>
  <c r="GX77" i="20"/>
  <c r="GY77" i="20"/>
  <c r="GZ77" i="20"/>
  <c r="HA77" i="20"/>
  <c r="HB77" i="20"/>
  <c r="HC77" i="20"/>
  <c r="AR78" i="20"/>
  <c r="AS78" i="20"/>
  <c r="AT78" i="20"/>
  <c r="AU78" i="20"/>
  <c r="AV78" i="20"/>
  <c r="AW78" i="20"/>
  <c r="AX78" i="20"/>
  <c r="AY78" i="20"/>
  <c r="AZ78" i="20"/>
  <c r="BA78" i="20"/>
  <c r="BB78" i="20"/>
  <c r="BC78" i="20"/>
  <c r="BD78" i="20"/>
  <c r="BE78" i="20"/>
  <c r="BF78" i="20"/>
  <c r="BG78" i="20"/>
  <c r="BH78" i="20"/>
  <c r="BI78" i="20"/>
  <c r="BJ78" i="20"/>
  <c r="BK78" i="20"/>
  <c r="BL78" i="20"/>
  <c r="BM78" i="20"/>
  <c r="BN78" i="20"/>
  <c r="BO78" i="20"/>
  <c r="BP78" i="20"/>
  <c r="BQ78" i="20"/>
  <c r="BR78" i="20"/>
  <c r="BS78" i="20"/>
  <c r="BT78" i="20"/>
  <c r="BU78" i="20"/>
  <c r="BV78" i="20"/>
  <c r="BW78" i="20"/>
  <c r="BX78" i="20"/>
  <c r="BY78" i="20"/>
  <c r="BZ78" i="20"/>
  <c r="CA78" i="20"/>
  <c r="CB78" i="20"/>
  <c r="CC78" i="20"/>
  <c r="CD78" i="20"/>
  <c r="CE78" i="20"/>
  <c r="CF78" i="20"/>
  <c r="CG78" i="20"/>
  <c r="CH78" i="20"/>
  <c r="CI78" i="20"/>
  <c r="CJ78" i="20"/>
  <c r="CK78" i="20"/>
  <c r="CL78" i="20"/>
  <c r="CM78" i="20"/>
  <c r="CN78" i="20"/>
  <c r="CO78" i="20"/>
  <c r="CP78" i="20"/>
  <c r="CQ78" i="20"/>
  <c r="CR78" i="20"/>
  <c r="CS78" i="20"/>
  <c r="CT78" i="20"/>
  <c r="CU78" i="20"/>
  <c r="CV78" i="20"/>
  <c r="CW78" i="20"/>
  <c r="CX78" i="20"/>
  <c r="CY78" i="20"/>
  <c r="CZ78" i="20"/>
  <c r="DA78" i="20"/>
  <c r="DB78" i="20"/>
  <c r="DC78" i="20"/>
  <c r="DD78" i="20"/>
  <c r="DE78" i="20"/>
  <c r="DF78" i="20"/>
  <c r="DG78" i="20"/>
  <c r="DH78" i="20"/>
  <c r="DI78" i="20"/>
  <c r="DJ78" i="20"/>
  <c r="DK78" i="20"/>
  <c r="DL78" i="20"/>
  <c r="DM78" i="20"/>
  <c r="DN78" i="20"/>
  <c r="DO78" i="20"/>
  <c r="DP78" i="20"/>
  <c r="DQ78" i="20"/>
  <c r="DR78" i="20"/>
  <c r="DS78" i="20"/>
  <c r="DT78" i="20"/>
  <c r="DU78" i="20"/>
  <c r="DV78" i="20"/>
  <c r="DW78" i="20"/>
  <c r="DX78" i="20"/>
  <c r="DY78" i="20"/>
  <c r="DZ78" i="20"/>
  <c r="EA78" i="20"/>
  <c r="EB78" i="20"/>
  <c r="EC78" i="20"/>
  <c r="ED78" i="20"/>
  <c r="EE78" i="20"/>
  <c r="EF78" i="20"/>
  <c r="EG78" i="20"/>
  <c r="EH78" i="20"/>
  <c r="EI78" i="20"/>
  <c r="EJ78" i="20"/>
  <c r="EK78" i="20"/>
  <c r="EL78" i="20"/>
  <c r="EM78" i="20"/>
  <c r="EN78" i="20"/>
  <c r="EO78" i="20"/>
  <c r="EP78" i="20"/>
  <c r="EQ78" i="20"/>
  <c r="ER78" i="20"/>
  <c r="ES78" i="20"/>
  <c r="ET78" i="20"/>
  <c r="EU78" i="20"/>
  <c r="EV78" i="20"/>
  <c r="EW78" i="20"/>
  <c r="EX78" i="20"/>
  <c r="EY78" i="20"/>
  <c r="EZ78" i="20"/>
  <c r="FA78" i="20"/>
  <c r="FB78" i="20"/>
  <c r="FC78" i="20"/>
  <c r="FD78" i="20"/>
  <c r="FE78" i="20"/>
  <c r="FF78" i="20"/>
  <c r="FG78" i="20"/>
  <c r="FH78" i="20"/>
  <c r="FI78" i="20"/>
  <c r="FJ78" i="20"/>
  <c r="FK78" i="20"/>
  <c r="FL78" i="20"/>
  <c r="FM78" i="20"/>
  <c r="FN78" i="20"/>
  <c r="FO78" i="20"/>
  <c r="FP78" i="20"/>
  <c r="FQ78" i="20"/>
  <c r="FR78" i="20"/>
  <c r="FS78" i="20"/>
  <c r="FT78" i="20"/>
  <c r="FU78" i="20"/>
  <c r="FV78" i="20"/>
  <c r="FW78" i="20"/>
  <c r="FX78" i="20"/>
  <c r="FY78" i="20"/>
  <c r="FZ78" i="20"/>
  <c r="GA78" i="20"/>
  <c r="GB78" i="20"/>
  <c r="GC78" i="20"/>
  <c r="GD78" i="20"/>
  <c r="GE78" i="20"/>
  <c r="GF78" i="20"/>
  <c r="GG78" i="20"/>
  <c r="GH78" i="20"/>
  <c r="GI78" i="20"/>
  <c r="GJ78" i="20"/>
  <c r="GK78" i="20"/>
  <c r="GL78" i="20"/>
  <c r="GM78" i="20"/>
  <c r="GN78" i="20"/>
  <c r="GO78" i="20"/>
  <c r="GP78" i="20"/>
  <c r="GQ78" i="20"/>
  <c r="GR78" i="20"/>
  <c r="GS78" i="20"/>
  <c r="GT78" i="20"/>
  <c r="GU78" i="20"/>
  <c r="GV78" i="20"/>
  <c r="GW78" i="20"/>
  <c r="GX78" i="20"/>
  <c r="GY78" i="20"/>
  <c r="GZ78" i="20"/>
  <c r="HA78" i="20"/>
  <c r="HB78" i="20"/>
  <c r="HC78" i="20"/>
  <c r="AR79" i="20"/>
  <c r="AS79" i="20"/>
  <c r="AT79" i="20"/>
  <c r="AU79" i="20"/>
  <c r="AV79" i="20"/>
  <c r="AW79" i="20"/>
  <c r="AX79" i="20"/>
  <c r="AY79" i="20"/>
  <c r="AZ79" i="20"/>
  <c r="BA79" i="20"/>
  <c r="BB79" i="20"/>
  <c r="BC79" i="20"/>
  <c r="BD79" i="20"/>
  <c r="BE79" i="20"/>
  <c r="BF79" i="20"/>
  <c r="BG79" i="20"/>
  <c r="BH79" i="20"/>
  <c r="BI79" i="20"/>
  <c r="BJ79" i="20"/>
  <c r="BK79" i="20"/>
  <c r="BL79" i="20"/>
  <c r="BM79" i="20"/>
  <c r="BN79" i="20"/>
  <c r="BO79" i="20"/>
  <c r="BP79" i="20"/>
  <c r="BQ79" i="20"/>
  <c r="BR79" i="20"/>
  <c r="BS79" i="20"/>
  <c r="BT79" i="20"/>
  <c r="BU79" i="20"/>
  <c r="BV79" i="20"/>
  <c r="BW79" i="20"/>
  <c r="BX79" i="20"/>
  <c r="BY79" i="20"/>
  <c r="BZ79" i="20"/>
  <c r="CA79" i="20"/>
  <c r="CB79" i="20"/>
  <c r="CC79" i="20"/>
  <c r="CD79" i="20"/>
  <c r="CE79" i="20"/>
  <c r="CF79" i="20"/>
  <c r="CG79" i="20"/>
  <c r="CH79" i="20"/>
  <c r="CI79" i="20"/>
  <c r="CJ79" i="20"/>
  <c r="CK79" i="20"/>
  <c r="CL79" i="20"/>
  <c r="CM79" i="20"/>
  <c r="CN79" i="20"/>
  <c r="CO79" i="20"/>
  <c r="CP79" i="20"/>
  <c r="CQ79" i="20"/>
  <c r="CR79" i="20"/>
  <c r="CS79" i="20"/>
  <c r="CT79" i="20"/>
  <c r="CU79" i="20"/>
  <c r="CV79" i="20"/>
  <c r="CW79" i="20"/>
  <c r="CX79" i="20"/>
  <c r="CY79" i="20"/>
  <c r="CZ79" i="20"/>
  <c r="DA79" i="20"/>
  <c r="DB79" i="20"/>
  <c r="DC79" i="20"/>
  <c r="DD79" i="20"/>
  <c r="DE79" i="20"/>
  <c r="DF79" i="20"/>
  <c r="DG79" i="20"/>
  <c r="DH79" i="20"/>
  <c r="DI79" i="20"/>
  <c r="DJ79" i="20"/>
  <c r="DK79" i="20"/>
  <c r="DL79" i="20"/>
  <c r="DM79" i="20"/>
  <c r="DN79" i="20"/>
  <c r="DO79" i="20"/>
  <c r="DP79" i="20"/>
  <c r="DQ79" i="20"/>
  <c r="DR79" i="20"/>
  <c r="DS79" i="20"/>
  <c r="DT79" i="20"/>
  <c r="DU79" i="20"/>
  <c r="DV79" i="20"/>
  <c r="DW79" i="20"/>
  <c r="DX79" i="20"/>
  <c r="DY79" i="20"/>
  <c r="DZ79" i="20"/>
  <c r="EA79" i="20"/>
  <c r="EB79" i="20"/>
  <c r="EC79" i="20"/>
  <c r="ED79" i="20"/>
  <c r="EE79" i="20"/>
  <c r="EF79" i="20"/>
  <c r="EG79" i="20"/>
  <c r="EH79" i="20"/>
  <c r="EI79" i="20"/>
  <c r="EJ79" i="20"/>
  <c r="EK79" i="20"/>
  <c r="EL79" i="20"/>
  <c r="EM79" i="20"/>
  <c r="EN79" i="20"/>
  <c r="EO79" i="20"/>
  <c r="EP79" i="20"/>
  <c r="EQ79" i="20"/>
  <c r="ER79" i="20"/>
  <c r="ES79" i="20"/>
  <c r="ET79" i="20"/>
  <c r="EU79" i="20"/>
  <c r="EV79" i="20"/>
  <c r="EW79" i="20"/>
  <c r="EX79" i="20"/>
  <c r="EY79" i="20"/>
  <c r="EZ79" i="20"/>
  <c r="FA79" i="20"/>
  <c r="FB79" i="20"/>
  <c r="FC79" i="20"/>
  <c r="FD79" i="20"/>
  <c r="FE79" i="20"/>
  <c r="FF79" i="20"/>
  <c r="FG79" i="20"/>
  <c r="FH79" i="20"/>
  <c r="FI79" i="20"/>
  <c r="FJ79" i="20"/>
  <c r="FK79" i="20"/>
  <c r="FL79" i="20"/>
  <c r="FM79" i="20"/>
  <c r="FN79" i="20"/>
  <c r="FO79" i="20"/>
  <c r="FP79" i="20"/>
  <c r="FQ79" i="20"/>
  <c r="FR79" i="20"/>
  <c r="FS79" i="20"/>
  <c r="FT79" i="20"/>
  <c r="FU79" i="20"/>
  <c r="FV79" i="20"/>
  <c r="FW79" i="20"/>
  <c r="FX79" i="20"/>
  <c r="FY79" i="20"/>
  <c r="FZ79" i="20"/>
  <c r="GA79" i="20"/>
  <c r="GB79" i="20"/>
  <c r="GC79" i="20"/>
  <c r="GD79" i="20"/>
  <c r="GE79" i="20"/>
  <c r="GF79" i="20"/>
  <c r="GG79" i="20"/>
  <c r="GH79" i="20"/>
  <c r="GI79" i="20"/>
  <c r="GJ79" i="20"/>
  <c r="GK79" i="20"/>
  <c r="GL79" i="20"/>
  <c r="GM79" i="20"/>
  <c r="GN79" i="20"/>
  <c r="GO79" i="20"/>
  <c r="GP79" i="20"/>
  <c r="GQ79" i="20"/>
  <c r="GR79" i="20"/>
  <c r="GS79" i="20"/>
  <c r="GT79" i="20"/>
  <c r="GU79" i="20"/>
  <c r="GV79" i="20"/>
  <c r="GW79" i="20"/>
  <c r="GX79" i="20"/>
  <c r="GY79" i="20"/>
  <c r="GZ79" i="20"/>
  <c r="HA79" i="20"/>
  <c r="HB79" i="20"/>
  <c r="HC79" i="20"/>
  <c r="AR80" i="20"/>
  <c r="AS80" i="20"/>
  <c r="AT80" i="20"/>
  <c r="AU80" i="20"/>
  <c r="AV80" i="20"/>
  <c r="AW80" i="20"/>
  <c r="AX80" i="20"/>
  <c r="AY80" i="20"/>
  <c r="AZ80" i="20"/>
  <c r="BA80" i="20"/>
  <c r="BB80" i="20"/>
  <c r="BC80" i="20"/>
  <c r="BD80" i="20"/>
  <c r="BE80" i="20"/>
  <c r="BF80" i="20"/>
  <c r="BG80" i="20"/>
  <c r="BH80" i="20"/>
  <c r="BI80" i="20"/>
  <c r="BJ80" i="20"/>
  <c r="BK80" i="20"/>
  <c r="BL80" i="20"/>
  <c r="BM80" i="20"/>
  <c r="BN80" i="20"/>
  <c r="BO80" i="20"/>
  <c r="BP80" i="20"/>
  <c r="BQ80" i="20"/>
  <c r="BR80" i="20"/>
  <c r="BS80" i="20"/>
  <c r="BT80" i="20"/>
  <c r="BU80" i="20"/>
  <c r="BV80" i="20"/>
  <c r="BW80" i="20"/>
  <c r="BX80" i="20"/>
  <c r="BY80" i="20"/>
  <c r="BZ80" i="20"/>
  <c r="CA80" i="20"/>
  <c r="CB80" i="20"/>
  <c r="CC80" i="20"/>
  <c r="CD80" i="20"/>
  <c r="CE80" i="20"/>
  <c r="CF80" i="20"/>
  <c r="CG80" i="20"/>
  <c r="CH80" i="20"/>
  <c r="CI80" i="20"/>
  <c r="CJ80" i="20"/>
  <c r="CK80" i="20"/>
  <c r="CL80" i="20"/>
  <c r="CM80" i="20"/>
  <c r="CN80" i="20"/>
  <c r="CO80" i="20"/>
  <c r="CP80" i="20"/>
  <c r="CQ80" i="20"/>
  <c r="CR80" i="20"/>
  <c r="CS80" i="20"/>
  <c r="CT80" i="20"/>
  <c r="CU80" i="20"/>
  <c r="CV80" i="20"/>
  <c r="CW80" i="20"/>
  <c r="CX80" i="20"/>
  <c r="CY80" i="20"/>
  <c r="CZ80" i="20"/>
  <c r="DA80" i="20"/>
  <c r="DB80" i="20"/>
  <c r="DC80" i="20"/>
  <c r="DD80" i="20"/>
  <c r="DE80" i="20"/>
  <c r="DF80" i="20"/>
  <c r="DG80" i="20"/>
  <c r="DH80" i="20"/>
  <c r="DI80" i="20"/>
  <c r="DJ80" i="20"/>
  <c r="DK80" i="20"/>
  <c r="DL80" i="20"/>
  <c r="DM80" i="20"/>
  <c r="DN80" i="20"/>
  <c r="DO80" i="20"/>
  <c r="DP80" i="20"/>
  <c r="DQ80" i="20"/>
  <c r="DR80" i="20"/>
  <c r="DS80" i="20"/>
  <c r="DT80" i="20"/>
  <c r="DU80" i="20"/>
  <c r="DV80" i="20"/>
  <c r="DW80" i="20"/>
  <c r="DX80" i="20"/>
  <c r="DY80" i="20"/>
  <c r="DZ80" i="20"/>
  <c r="EA80" i="20"/>
  <c r="EB80" i="20"/>
  <c r="EC80" i="20"/>
  <c r="ED80" i="20"/>
  <c r="EE80" i="20"/>
  <c r="EF80" i="20"/>
  <c r="EG80" i="20"/>
  <c r="EH80" i="20"/>
  <c r="EI80" i="20"/>
  <c r="EJ80" i="20"/>
  <c r="EK80" i="20"/>
  <c r="EL80" i="20"/>
  <c r="EM80" i="20"/>
  <c r="EN80" i="20"/>
  <c r="EO80" i="20"/>
  <c r="EP80" i="20"/>
  <c r="EQ80" i="20"/>
  <c r="ER80" i="20"/>
  <c r="ES80" i="20"/>
  <c r="ET80" i="20"/>
  <c r="EU80" i="20"/>
  <c r="EV80" i="20"/>
  <c r="EW80" i="20"/>
  <c r="EX80" i="20"/>
  <c r="EY80" i="20"/>
  <c r="EZ80" i="20"/>
  <c r="FA80" i="20"/>
  <c r="FB80" i="20"/>
  <c r="FC80" i="20"/>
  <c r="FD80" i="20"/>
  <c r="FE80" i="20"/>
  <c r="FF80" i="20"/>
  <c r="FG80" i="20"/>
  <c r="FH80" i="20"/>
  <c r="FI80" i="20"/>
  <c r="FJ80" i="20"/>
  <c r="FK80" i="20"/>
  <c r="FL80" i="20"/>
  <c r="FM80" i="20"/>
  <c r="FN80" i="20"/>
  <c r="FO80" i="20"/>
  <c r="FP80" i="20"/>
  <c r="FQ80" i="20"/>
  <c r="FR80" i="20"/>
  <c r="FS80" i="20"/>
  <c r="FT80" i="20"/>
  <c r="FU80" i="20"/>
  <c r="FV80" i="20"/>
  <c r="FW80" i="20"/>
  <c r="FX80" i="20"/>
  <c r="FY80" i="20"/>
  <c r="FZ80" i="20"/>
  <c r="GA80" i="20"/>
  <c r="GB80" i="20"/>
  <c r="GC80" i="20"/>
  <c r="GD80" i="20"/>
  <c r="GE80" i="20"/>
  <c r="GF80" i="20"/>
  <c r="GG80" i="20"/>
  <c r="GH80" i="20"/>
  <c r="GI80" i="20"/>
  <c r="GJ80" i="20"/>
  <c r="GK80" i="20"/>
  <c r="GL80" i="20"/>
  <c r="GM80" i="20"/>
  <c r="GN80" i="20"/>
  <c r="GO80" i="20"/>
  <c r="GP80" i="20"/>
  <c r="GQ80" i="20"/>
  <c r="GR80" i="20"/>
  <c r="GS80" i="20"/>
  <c r="GT80" i="20"/>
  <c r="GU80" i="20"/>
  <c r="GV80" i="20"/>
  <c r="GW80" i="20"/>
  <c r="GX80" i="20"/>
  <c r="GY80" i="20"/>
  <c r="GZ80" i="20"/>
  <c r="HA80" i="20"/>
  <c r="HB80" i="20"/>
  <c r="HC80" i="20"/>
  <c r="AR81" i="20"/>
  <c r="AS81" i="20"/>
  <c r="AT81" i="20"/>
  <c r="AU81" i="20"/>
  <c r="AV81" i="20"/>
  <c r="AW81" i="20"/>
  <c r="AX81" i="20"/>
  <c r="AY81" i="20"/>
  <c r="AZ81" i="20"/>
  <c r="BA81" i="20"/>
  <c r="BB81" i="20"/>
  <c r="BC81" i="20"/>
  <c r="BD81" i="20"/>
  <c r="BE81" i="20"/>
  <c r="BF81" i="20"/>
  <c r="BG81" i="20"/>
  <c r="BH81" i="20"/>
  <c r="BI81" i="20"/>
  <c r="BJ81" i="20"/>
  <c r="BK81" i="20"/>
  <c r="BL81" i="20"/>
  <c r="BM81" i="20"/>
  <c r="BN81" i="20"/>
  <c r="BO81" i="20"/>
  <c r="BP81" i="20"/>
  <c r="BQ81" i="20"/>
  <c r="BR81" i="20"/>
  <c r="BS81" i="20"/>
  <c r="BT81" i="20"/>
  <c r="BU81" i="20"/>
  <c r="BV81" i="20"/>
  <c r="BW81" i="20"/>
  <c r="BX81" i="20"/>
  <c r="BY81" i="20"/>
  <c r="BZ81" i="20"/>
  <c r="CA81" i="20"/>
  <c r="CB81" i="20"/>
  <c r="CC81" i="20"/>
  <c r="CD81" i="20"/>
  <c r="CE81" i="20"/>
  <c r="CF81" i="20"/>
  <c r="CG81" i="20"/>
  <c r="CH81" i="20"/>
  <c r="CI81" i="20"/>
  <c r="CJ81" i="20"/>
  <c r="CK81" i="20"/>
  <c r="CL81" i="20"/>
  <c r="CM81" i="20"/>
  <c r="CN81" i="20"/>
  <c r="CO81" i="20"/>
  <c r="CP81" i="20"/>
  <c r="CQ81" i="20"/>
  <c r="CR81" i="20"/>
  <c r="CS81" i="20"/>
  <c r="CT81" i="20"/>
  <c r="CU81" i="20"/>
  <c r="CV81" i="20"/>
  <c r="CW81" i="20"/>
  <c r="CX81" i="20"/>
  <c r="CY81" i="20"/>
  <c r="CZ81" i="20"/>
  <c r="DA81" i="20"/>
  <c r="DB81" i="20"/>
  <c r="DC81" i="20"/>
  <c r="DD81" i="20"/>
  <c r="DE81" i="20"/>
  <c r="DF81" i="20"/>
  <c r="DG81" i="20"/>
  <c r="DH81" i="20"/>
  <c r="DI81" i="20"/>
  <c r="DJ81" i="20"/>
  <c r="DK81" i="20"/>
  <c r="DL81" i="20"/>
  <c r="DM81" i="20"/>
  <c r="DN81" i="20"/>
  <c r="DO81" i="20"/>
  <c r="DP81" i="20"/>
  <c r="DQ81" i="20"/>
  <c r="DR81" i="20"/>
  <c r="DS81" i="20"/>
  <c r="DT81" i="20"/>
  <c r="DU81" i="20"/>
  <c r="DV81" i="20"/>
  <c r="DW81" i="20"/>
  <c r="DX81" i="20"/>
  <c r="DY81" i="20"/>
  <c r="DZ81" i="20"/>
  <c r="EA81" i="20"/>
  <c r="EB81" i="20"/>
  <c r="EC81" i="20"/>
  <c r="ED81" i="20"/>
  <c r="EE81" i="20"/>
  <c r="EF81" i="20"/>
  <c r="EG81" i="20"/>
  <c r="EH81" i="20"/>
  <c r="EI81" i="20"/>
  <c r="EJ81" i="20"/>
  <c r="EK81" i="20"/>
  <c r="EL81" i="20"/>
  <c r="EM81" i="20"/>
  <c r="EN81" i="20"/>
  <c r="EO81" i="20"/>
  <c r="EP81" i="20"/>
  <c r="EQ81" i="20"/>
  <c r="ER81" i="20"/>
  <c r="ES81" i="20"/>
  <c r="ET81" i="20"/>
  <c r="EU81" i="20"/>
  <c r="EV81" i="20"/>
  <c r="EW81" i="20"/>
  <c r="EX81" i="20"/>
  <c r="EY81" i="20"/>
  <c r="EZ81" i="20"/>
  <c r="FA81" i="20"/>
  <c r="FB81" i="20"/>
  <c r="FC81" i="20"/>
  <c r="FD81" i="20"/>
  <c r="FE81" i="20"/>
  <c r="FF81" i="20"/>
  <c r="FG81" i="20"/>
  <c r="FH81" i="20"/>
  <c r="FI81" i="20"/>
  <c r="FJ81" i="20"/>
  <c r="FK81" i="20"/>
  <c r="FL81" i="20"/>
  <c r="FM81" i="20"/>
  <c r="FN81" i="20"/>
  <c r="FO81" i="20"/>
  <c r="FP81" i="20"/>
  <c r="FQ81" i="20"/>
  <c r="FR81" i="20"/>
  <c r="FS81" i="20"/>
  <c r="FT81" i="20"/>
  <c r="FU81" i="20"/>
  <c r="FV81" i="20"/>
  <c r="FW81" i="20"/>
  <c r="FX81" i="20"/>
  <c r="FY81" i="20"/>
  <c r="FZ81" i="20"/>
  <c r="GA81" i="20"/>
  <c r="GB81" i="20"/>
  <c r="GC81" i="20"/>
  <c r="GD81" i="20"/>
  <c r="GE81" i="20"/>
  <c r="GF81" i="20"/>
  <c r="GG81" i="20"/>
  <c r="GH81" i="20"/>
  <c r="GI81" i="20"/>
  <c r="GJ81" i="20"/>
  <c r="GK81" i="20"/>
  <c r="GL81" i="20"/>
  <c r="GM81" i="20"/>
  <c r="GN81" i="20"/>
  <c r="GO81" i="20"/>
  <c r="GP81" i="20"/>
  <c r="GQ81" i="20"/>
  <c r="GR81" i="20"/>
  <c r="GS81" i="20"/>
  <c r="GT81" i="20"/>
  <c r="GU81" i="20"/>
  <c r="GV81" i="20"/>
  <c r="GW81" i="20"/>
  <c r="GX81" i="20"/>
  <c r="GY81" i="20"/>
  <c r="GZ81" i="20"/>
  <c r="HA81" i="20"/>
  <c r="HB81" i="20"/>
  <c r="HC81" i="20"/>
  <c r="AR82" i="20"/>
  <c r="AS82" i="20"/>
  <c r="AT82" i="20"/>
  <c r="AU82" i="20"/>
  <c r="AV82" i="20"/>
  <c r="AW82" i="20"/>
  <c r="AX82" i="20"/>
  <c r="AY82" i="20"/>
  <c r="AZ82" i="20"/>
  <c r="BA82" i="20"/>
  <c r="BB82" i="20"/>
  <c r="BC82" i="20"/>
  <c r="BD82" i="20"/>
  <c r="BE82" i="20"/>
  <c r="BF82" i="20"/>
  <c r="BG82" i="20"/>
  <c r="BH82" i="20"/>
  <c r="BI82" i="20"/>
  <c r="BJ82" i="20"/>
  <c r="BK82" i="20"/>
  <c r="BL82" i="20"/>
  <c r="BM82" i="20"/>
  <c r="BN82" i="20"/>
  <c r="BO82" i="20"/>
  <c r="BP82" i="20"/>
  <c r="BQ82" i="20"/>
  <c r="BR82" i="20"/>
  <c r="BS82" i="20"/>
  <c r="BT82" i="20"/>
  <c r="BU82" i="20"/>
  <c r="BV82" i="20"/>
  <c r="BW82" i="20"/>
  <c r="BX82" i="20"/>
  <c r="BY82" i="20"/>
  <c r="BZ82" i="20"/>
  <c r="CA82" i="20"/>
  <c r="CB82" i="20"/>
  <c r="CC82" i="20"/>
  <c r="CD82" i="20"/>
  <c r="CE82" i="20"/>
  <c r="CF82" i="20"/>
  <c r="CG82" i="20"/>
  <c r="CH82" i="20"/>
  <c r="CI82" i="20"/>
  <c r="CJ82" i="20"/>
  <c r="CK82" i="20"/>
  <c r="CL82" i="20"/>
  <c r="CM82" i="20"/>
  <c r="CN82" i="20"/>
  <c r="CO82" i="20"/>
  <c r="CP82" i="20"/>
  <c r="CQ82" i="20"/>
  <c r="CR82" i="20"/>
  <c r="CS82" i="20"/>
  <c r="CT82" i="20"/>
  <c r="CU82" i="20"/>
  <c r="CV82" i="20"/>
  <c r="CW82" i="20"/>
  <c r="CX82" i="20"/>
  <c r="CY82" i="20"/>
  <c r="CZ82" i="20"/>
  <c r="DA82" i="20"/>
  <c r="DB82" i="20"/>
  <c r="DC82" i="20"/>
  <c r="DD82" i="20"/>
  <c r="DE82" i="20"/>
  <c r="DF82" i="20"/>
  <c r="DG82" i="20"/>
  <c r="DH82" i="20"/>
  <c r="DI82" i="20"/>
  <c r="DJ82" i="20"/>
  <c r="DK82" i="20"/>
  <c r="DL82" i="20"/>
  <c r="DM82" i="20"/>
  <c r="DN82" i="20"/>
  <c r="DO82" i="20"/>
  <c r="DP82" i="20"/>
  <c r="DQ82" i="20"/>
  <c r="DR82" i="20"/>
  <c r="DS82" i="20"/>
  <c r="DT82" i="20"/>
  <c r="DU82" i="20"/>
  <c r="DV82" i="20"/>
  <c r="DW82" i="20"/>
  <c r="DX82" i="20"/>
  <c r="DY82" i="20"/>
  <c r="DZ82" i="20"/>
  <c r="EA82" i="20"/>
  <c r="EB82" i="20"/>
  <c r="EC82" i="20"/>
  <c r="ED82" i="20"/>
  <c r="EE82" i="20"/>
  <c r="EF82" i="20"/>
  <c r="EG82" i="20"/>
  <c r="EH82" i="20"/>
  <c r="EI82" i="20"/>
  <c r="EJ82" i="20"/>
  <c r="EK82" i="20"/>
  <c r="EL82" i="20"/>
  <c r="EM82" i="20"/>
  <c r="EN82" i="20"/>
  <c r="EO82" i="20"/>
  <c r="EP82" i="20"/>
  <c r="EQ82" i="20"/>
  <c r="ER82" i="20"/>
  <c r="ES82" i="20"/>
  <c r="ET82" i="20"/>
  <c r="EU82" i="20"/>
  <c r="EV82" i="20"/>
  <c r="EW82" i="20"/>
  <c r="EX82" i="20"/>
  <c r="EY82" i="20"/>
  <c r="EZ82" i="20"/>
  <c r="FA82" i="20"/>
  <c r="FB82" i="20"/>
  <c r="FC82" i="20"/>
  <c r="FD82" i="20"/>
  <c r="FE82" i="20"/>
  <c r="FF82" i="20"/>
  <c r="FG82" i="20"/>
  <c r="FH82" i="20"/>
  <c r="FI82" i="20"/>
  <c r="FJ82" i="20"/>
  <c r="FK82" i="20"/>
  <c r="FL82" i="20"/>
  <c r="FM82" i="20"/>
  <c r="FN82" i="20"/>
  <c r="FO82" i="20"/>
  <c r="FP82" i="20"/>
  <c r="FQ82" i="20"/>
  <c r="FR82" i="20"/>
  <c r="FS82" i="20"/>
  <c r="FT82" i="20"/>
  <c r="FU82" i="20"/>
  <c r="FV82" i="20"/>
  <c r="FW82" i="20"/>
  <c r="FX82" i="20"/>
  <c r="FY82" i="20"/>
  <c r="FZ82" i="20"/>
  <c r="GA82" i="20"/>
  <c r="GB82" i="20"/>
  <c r="GC82" i="20"/>
  <c r="GD82" i="20"/>
  <c r="GE82" i="20"/>
  <c r="GF82" i="20"/>
  <c r="GG82" i="20"/>
  <c r="GH82" i="20"/>
  <c r="GI82" i="20"/>
  <c r="GJ82" i="20"/>
  <c r="GK82" i="20"/>
  <c r="GL82" i="20"/>
  <c r="GM82" i="20"/>
  <c r="GN82" i="20"/>
  <c r="GO82" i="20"/>
  <c r="GP82" i="20"/>
  <c r="GQ82" i="20"/>
  <c r="GR82" i="20"/>
  <c r="GS82" i="20"/>
  <c r="GT82" i="20"/>
  <c r="GU82" i="20"/>
  <c r="GV82" i="20"/>
  <c r="GW82" i="20"/>
  <c r="GX82" i="20"/>
  <c r="GY82" i="20"/>
  <c r="GZ82" i="20"/>
  <c r="HA82" i="20"/>
  <c r="HB82" i="20"/>
  <c r="HC82" i="20"/>
  <c r="AR83" i="20"/>
  <c r="AS83" i="20"/>
  <c r="AT83" i="20"/>
  <c r="AU83" i="20"/>
  <c r="AV83" i="20"/>
  <c r="AW83" i="20"/>
  <c r="AX83" i="20"/>
  <c r="AY83" i="20"/>
  <c r="AZ83" i="20"/>
  <c r="BA83" i="20"/>
  <c r="BB83" i="20"/>
  <c r="BC83" i="20"/>
  <c r="BD83" i="20"/>
  <c r="BE83" i="20"/>
  <c r="BF83" i="20"/>
  <c r="BG83" i="20"/>
  <c r="BH83" i="20"/>
  <c r="BI83" i="20"/>
  <c r="BJ83" i="20"/>
  <c r="BK83" i="20"/>
  <c r="BL83" i="20"/>
  <c r="BM83" i="20"/>
  <c r="BN83" i="20"/>
  <c r="BO83" i="20"/>
  <c r="BP83" i="20"/>
  <c r="BQ83" i="20"/>
  <c r="BR83" i="20"/>
  <c r="BS83" i="20"/>
  <c r="BT83" i="20"/>
  <c r="BU83" i="20"/>
  <c r="BV83" i="20"/>
  <c r="BW83" i="20"/>
  <c r="BX83" i="20"/>
  <c r="BY83" i="20"/>
  <c r="BZ83" i="20"/>
  <c r="CA83" i="20"/>
  <c r="CB83" i="20"/>
  <c r="CC83" i="20"/>
  <c r="CD83" i="20"/>
  <c r="CE83" i="20"/>
  <c r="CF83" i="20"/>
  <c r="CG83" i="20"/>
  <c r="CH83" i="20"/>
  <c r="CI83" i="20"/>
  <c r="CJ83" i="20"/>
  <c r="CK83" i="20"/>
  <c r="CL83" i="20"/>
  <c r="CM83" i="20"/>
  <c r="CN83" i="20"/>
  <c r="CO83" i="20"/>
  <c r="CP83" i="20"/>
  <c r="CQ83" i="20"/>
  <c r="CR83" i="20"/>
  <c r="CS83" i="20"/>
  <c r="CT83" i="20"/>
  <c r="CU83" i="20"/>
  <c r="CV83" i="20"/>
  <c r="CW83" i="20"/>
  <c r="CX83" i="20"/>
  <c r="CY83" i="20"/>
  <c r="CZ83" i="20"/>
  <c r="DA83" i="20"/>
  <c r="DB83" i="20"/>
  <c r="DC83" i="20"/>
  <c r="DD83" i="20"/>
  <c r="DE83" i="20"/>
  <c r="DF83" i="20"/>
  <c r="DG83" i="20"/>
  <c r="DH83" i="20"/>
  <c r="DI83" i="20"/>
  <c r="DJ83" i="20"/>
  <c r="DK83" i="20"/>
  <c r="DL83" i="20"/>
  <c r="DM83" i="20"/>
  <c r="DN83" i="20"/>
  <c r="DO83" i="20"/>
  <c r="DP83" i="20"/>
  <c r="DQ83" i="20"/>
  <c r="DR83" i="20"/>
  <c r="DS83" i="20"/>
  <c r="DT83" i="20"/>
  <c r="DU83" i="20"/>
  <c r="DV83" i="20"/>
  <c r="DW83" i="20"/>
  <c r="DX83" i="20"/>
  <c r="DY83" i="20"/>
  <c r="DZ83" i="20"/>
  <c r="EA83" i="20"/>
  <c r="EB83" i="20"/>
  <c r="EC83" i="20"/>
  <c r="ED83" i="20"/>
  <c r="EE83" i="20"/>
  <c r="EF83" i="20"/>
  <c r="EG83" i="20"/>
  <c r="EH83" i="20"/>
  <c r="EI83" i="20"/>
  <c r="EJ83" i="20"/>
  <c r="EK83" i="20"/>
  <c r="EL83" i="20"/>
  <c r="EM83" i="20"/>
  <c r="EN83" i="20"/>
  <c r="EO83" i="20"/>
  <c r="EP83" i="20"/>
  <c r="EQ83" i="20"/>
  <c r="ER83" i="20"/>
  <c r="ES83" i="20"/>
  <c r="ET83" i="20"/>
  <c r="EU83" i="20"/>
  <c r="EV83" i="20"/>
  <c r="EW83" i="20"/>
  <c r="EX83" i="20"/>
  <c r="EY83" i="20"/>
  <c r="EZ83" i="20"/>
  <c r="FA83" i="20"/>
  <c r="FB83" i="20"/>
  <c r="FC83" i="20"/>
  <c r="FD83" i="20"/>
  <c r="FE83" i="20"/>
  <c r="FF83" i="20"/>
  <c r="FG83" i="20"/>
  <c r="FH83" i="20"/>
  <c r="FI83" i="20"/>
  <c r="FJ83" i="20"/>
  <c r="FK83" i="20"/>
  <c r="FL83" i="20"/>
  <c r="FM83" i="20"/>
  <c r="FN83" i="20"/>
  <c r="FO83" i="20"/>
  <c r="FP83" i="20"/>
  <c r="FQ83" i="20"/>
  <c r="FR83" i="20"/>
  <c r="FS83" i="20"/>
  <c r="FT83" i="20"/>
  <c r="FU83" i="20"/>
  <c r="FV83" i="20"/>
  <c r="FW83" i="20"/>
  <c r="FX83" i="20"/>
  <c r="FY83" i="20"/>
  <c r="FZ83" i="20"/>
  <c r="GA83" i="20"/>
  <c r="GB83" i="20"/>
  <c r="GC83" i="20"/>
  <c r="GD83" i="20"/>
  <c r="GE83" i="20"/>
  <c r="GF83" i="20"/>
  <c r="GG83" i="20"/>
  <c r="GH83" i="20"/>
  <c r="GI83" i="20"/>
  <c r="GJ83" i="20"/>
  <c r="GK83" i="20"/>
  <c r="GL83" i="20"/>
  <c r="GM83" i="20"/>
  <c r="GN83" i="20"/>
  <c r="GO83" i="20"/>
  <c r="GP83" i="20"/>
  <c r="GQ83" i="20"/>
  <c r="GR83" i="20"/>
  <c r="GS83" i="20"/>
  <c r="GT83" i="20"/>
  <c r="GU83" i="20"/>
  <c r="GV83" i="20"/>
  <c r="GW83" i="20"/>
  <c r="GX83" i="20"/>
  <c r="GY83" i="20"/>
  <c r="GZ83" i="20"/>
  <c r="HA83" i="20"/>
  <c r="HB83" i="20"/>
  <c r="HC83" i="20"/>
  <c r="AR84" i="20"/>
  <c r="AS84" i="20"/>
  <c r="AT84" i="20"/>
  <c r="AU84" i="20"/>
  <c r="AV84" i="20"/>
  <c r="AW84" i="20"/>
  <c r="AX84" i="20"/>
  <c r="AY84" i="20"/>
  <c r="AZ84" i="20"/>
  <c r="BA84" i="20"/>
  <c r="BB84" i="20"/>
  <c r="BC84" i="20"/>
  <c r="BD84" i="20"/>
  <c r="BE84" i="20"/>
  <c r="BF84" i="20"/>
  <c r="BG84" i="20"/>
  <c r="BH84" i="20"/>
  <c r="BI84" i="20"/>
  <c r="BJ84" i="20"/>
  <c r="BK84" i="20"/>
  <c r="BL84" i="20"/>
  <c r="BM84" i="20"/>
  <c r="BN84" i="20"/>
  <c r="BO84" i="20"/>
  <c r="BP84" i="20"/>
  <c r="BQ84" i="20"/>
  <c r="BR84" i="20"/>
  <c r="BS84" i="20"/>
  <c r="BT84" i="20"/>
  <c r="BU84" i="20"/>
  <c r="BV84" i="20"/>
  <c r="BW84" i="20"/>
  <c r="BX84" i="20"/>
  <c r="BY84" i="20"/>
  <c r="BZ84" i="20"/>
  <c r="CA84" i="20"/>
  <c r="CB84" i="20"/>
  <c r="CC84" i="20"/>
  <c r="CD84" i="20"/>
  <c r="CE84" i="20"/>
  <c r="CF84" i="20"/>
  <c r="CG84" i="20"/>
  <c r="CH84" i="20"/>
  <c r="CI84" i="20"/>
  <c r="CJ84" i="20"/>
  <c r="CK84" i="20"/>
  <c r="CL84" i="20"/>
  <c r="CM84" i="20"/>
  <c r="CN84" i="20"/>
  <c r="CO84" i="20"/>
  <c r="CP84" i="20"/>
  <c r="CQ84" i="20"/>
  <c r="CR84" i="20"/>
  <c r="CS84" i="20"/>
  <c r="CT84" i="20"/>
  <c r="CU84" i="20"/>
  <c r="CV84" i="20"/>
  <c r="CW84" i="20"/>
  <c r="CX84" i="20"/>
  <c r="CY84" i="20"/>
  <c r="CZ84" i="20"/>
  <c r="DA84" i="20"/>
  <c r="DB84" i="20"/>
  <c r="DC84" i="20"/>
  <c r="DD84" i="20"/>
  <c r="DE84" i="20"/>
  <c r="DF84" i="20"/>
  <c r="DG84" i="20"/>
  <c r="DH84" i="20"/>
  <c r="DI84" i="20"/>
  <c r="DJ84" i="20"/>
  <c r="DK84" i="20"/>
  <c r="DL84" i="20"/>
  <c r="DM84" i="20"/>
  <c r="DN84" i="20"/>
  <c r="DO84" i="20"/>
  <c r="DP84" i="20"/>
  <c r="DQ84" i="20"/>
  <c r="DR84" i="20"/>
  <c r="DS84" i="20"/>
  <c r="DT84" i="20"/>
  <c r="DU84" i="20"/>
  <c r="DV84" i="20"/>
  <c r="DW84" i="20"/>
  <c r="DX84" i="20"/>
  <c r="DY84" i="20"/>
  <c r="DZ84" i="20"/>
  <c r="EA84" i="20"/>
  <c r="EB84" i="20"/>
  <c r="EC84" i="20"/>
  <c r="ED84" i="20"/>
  <c r="EE84" i="20"/>
  <c r="EF84" i="20"/>
  <c r="EG84" i="20"/>
  <c r="EH84" i="20"/>
  <c r="EI84" i="20"/>
  <c r="EJ84" i="20"/>
  <c r="EK84" i="20"/>
  <c r="EL84" i="20"/>
  <c r="EM84" i="20"/>
  <c r="EN84" i="20"/>
  <c r="EO84" i="20"/>
  <c r="EP84" i="20"/>
  <c r="EQ84" i="20"/>
  <c r="ER84" i="20"/>
  <c r="ES84" i="20"/>
  <c r="ET84" i="20"/>
  <c r="EU84" i="20"/>
  <c r="EV84" i="20"/>
  <c r="EW84" i="20"/>
  <c r="EX84" i="20"/>
  <c r="EY84" i="20"/>
  <c r="EZ84" i="20"/>
  <c r="FA84" i="20"/>
  <c r="FB84" i="20"/>
  <c r="FC84" i="20"/>
  <c r="FD84" i="20"/>
  <c r="FE84" i="20"/>
  <c r="FF84" i="20"/>
  <c r="FG84" i="20"/>
  <c r="FH84" i="20"/>
  <c r="FI84" i="20"/>
  <c r="FJ84" i="20"/>
  <c r="FK84" i="20"/>
  <c r="FL84" i="20"/>
  <c r="FM84" i="20"/>
  <c r="FN84" i="20"/>
  <c r="FO84" i="20"/>
  <c r="FP84" i="20"/>
  <c r="FQ84" i="20"/>
  <c r="FR84" i="20"/>
  <c r="FS84" i="20"/>
  <c r="FT84" i="20"/>
  <c r="FU84" i="20"/>
  <c r="FV84" i="20"/>
  <c r="FW84" i="20"/>
  <c r="FX84" i="20"/>
  <c r="FY84" i="20"/>
  <c r="FZ84" i="20"/>
  <c r="GA84" i="20"/>
  <c r="GB84" i="20"/>
  <c r="GC84" i="20"/>
  <c r="GD84" i="20"/>
  <c r="GE84" i="20"/>
  <c r="GF84" i="20"/>
  <c r="GG84" i="20"/>
  <c r="GH84" i="20"/>
  <c r="GI84" i="20"/>
  <c r="GJ84" i="20"/>
  <c r="GK84" i="20"/>
  <c r="GL84" i="20"/>
  <c r="GM84" i="20"/>
  <c r="GN84" i="20"/>
  <c r="GO84" i="20"/>
  <c r="GP84" i="20"/>
  <c r="GQ84" i="20"/>
  <c r="GR84" i="20"/>
  <c r="GS84" i="20"/>
  <c r="GT84" i="20"/>
  <c r="GU84" i="20"/>
  <c r="GV84" i="20"/>
  <c r="GW84" i="20"/>
  <c r="GX84" i="20"/>
  <c r="GY84" i="20"/>
  <c r="GZ84" i="20"/>
  <c r="HA84" i="20"/>
  <c r="HB84" i="20"/>
  <c r="HC84" i="20"/>
  <c r="AR85" i="20"/>
  <c r="AS85" i="20"/>
  <c r="AT85" i="20"/>
  <c r="AU85" i="20"/>
  <c r="AV85" i="20"/>
  <c r="AW85" i="20"/>
  <c r="AX85" i="20"/>
  <c r="AY85" i="20"/>
  <c r="AZ85" i="20"/>
  <c r="BA85" i="20"/>
  <c r="BB85" i="20"/>
  <c r="BC85" i="20"/>
  <c r="BD85" i="20"/>
  <c r="BE85" i="20"/>
  <c r="BF85" i="20"/>
  <c r="BG85" i="20"/>
  <c r="BH85" i="20"/>
  <c r="BI85" i="20"/>
  <c r="BJ85" i="20"/>
  <c r="BK85" i="20"/>
  <c r="BL85" i="20"/>
  <c r="BM85" i="20"/>
  <c r="BN85" i="20"/>
  <c r="BO85" i="20"/>
  <c r="BP85" i="20"/>
  <c r="BQ85" i="20"/>
  <c r="BR85" i="20"/>
  <c r="BS85" i="20"/>
  <c r="BT85" i="20"/>
  <c r="BU85" i="20"/>
  <c r="BV85" i="20"/>
  <c r="BW85" i="20"/>
  <c r="BX85" i="20"/>
  <c r="BY85" i="20"/>
  <c r="BZ85" i="20"/>
  <c r="CA85" i="20"/>
  <c r="CB85" i="20"/>
  <c r="CC85" i="20"/>
  <c r="CD85" i="20"/>
  <c r="CE85" i="20"/>
  <c r="CF85" i="20"/>
  <c r="CG85" i="20"/>
  <c r="CH85" i="20"/>
  <c r="CI85" i="20"/>
  <c r="CJ85" i="20"/>
  <c r="CK85" i="20"/>
  <c r="CL85" i="20"/>
  <c r="CM85" i="20"/>
  <c r="CN85" i="20"/>
  <c r="CO85" i="20"/>
  <c r="CP85" i="20"/>
  <c r="CQ85" i="20"/>
  <c r="CR85" i="20"/>
  <c r="CS85" i="20"/>
  <c r="CT85" i="20"/>
  <c r="CU85" i="20"/>
  <c r="CV85" i="20"/>
  <c r="CW85" i="20"/>
  <c r="CX85" i="20"/>
  <c r="CY85" i="20"/>
  <c r="CZ85" i="20"/>
  <c r="DA85" i="20"/>
  <c r="DB85" i="20"/>
  <c r="DC85" i="20"/>
  <c r="DD85" i="20"/>
  <c r="DE85" i="20"/>
  <c r="DF85" i="20"/>
  <c r="DG85" i="20"/>
  <c r="DH85" i="20"/>
  <c r="DI85" i="20"/>
  <c r="DJ85" i="20"/>
  <c r="DK85" i="20"/>
  <c r="DL85" i="20"/>
  <c r="DM85" i="20"/>
  <c r="DN85" i="20"/>
  <c r="DO85" i="20"/>
  <c r="DP85" i="20"/>
  <c r="DQ85" i="20"/>
  <c r="DR85" i="20"/>
  <c r="DS85" i="20"/>
  <c r="DT85" i="20"/>
  <c r="DU85" i="20"/>
  <c r="DV85" i="20"/>
  <c r="DW85" i="20"/>
  <c r="DX85" i="20"/>
  <c r="DY85" i="20"/>
  <c r="DZ85" i="20"/>
  <c r="EA85" i="20"/>
  <c r="EB85" i="20"/>
  <c r="EC85" i="20"/>
  <c r="ED85" i="20"/>
  <c r="EE85" i="20"/>
  <c r="EF85" i="20"/>
  <c r="EG85" i="20"/>
  <c r="EH85" i="20"/>
  <c r="EI85" i="20"/>
  <c r="EJ85" i="20"/>
  <c r="EK85" i="20"/>
  <c r="EL85" i="20"/>
  <c r="EM85" i="20"/>
  <c r="EN85" i="20"/>
  <c r="EO85" i="20"/>
  <c r="EP85" i="20"/>
  <c r="EQ85" i="20"/>
  <c r="ER85" i="20"/>
  <c r="ES85" i="20"/>
  <c r="ET85" i="20"/>
  <c r="EU85" i="20"/>
  <c r="EV85" i="20"/>
  <c r="EW85" i="20"/>
  <c r="EX85" i="20"/>
  <c r="EY85" i="20"/>
  <c r="EZ85" i="20"/>
  <c r="FA85" i="20"/>
  <c r="FB85" i="20"/>
  <c r="FC85" i="20"/>
  <c r="FD85" i="20"/>
  <c r="FE85" i="20"/>
  <c r="FF85" i="20"/>
  <c r="FG85" i="20"/>
  <c r="FH85" i="20"/>
  <c r="FI85" i="20"/>
  <c r="FJ85" i="20"/>
  <c r="FK85" i="20"/>
  <c r="FL85" i="20"/>
  <c r="FM85" i="20"/>
  <c r="FN85" i="20"/>
  <c r="FO85" i="20"/>
  <c r="FP85" i="20"/>
  <c r="FQ85" i="20"/>
  <c r="FR85" i="20"/>
  <c r="FS85" i="20"/>
  <c r="FT85" i="20"/>
  <c r="FU85" i="20"/>
  <c r="FV85" i="20"/>
  <c r="FW85" i="20"/>
  <c r="FX85" i="20"/>
  <c r="FY85" i="20"/>
  <c r="FZ85" i="20"/>
  <c r="GA85" i="20"/>
  <c r="GB85" i="20"/>
  <c r="GC85" i="20"/>
  <c r="GD85" i="20"/>
  <c r="GE85" i="20"/>
  <c r="GF85" i="20"/>
  <c r="GG85" i="20"/>
  <c r="GH85" i="20"/>
  <c r="GI85" i="20"/>
  <c r="GJ85" i="20"/>
  <c r="GK85" i="20"/>
  <c r="GL85" i="20"/>
  <c r="GM85" i="20"/>
  <c r="GN85" i="20"/>
  <c r="GO85" i="20"/>
  <c r="GP85" i="20"/>
  <c r="GQ85" i="20"/>
  <c r="GR85" i="20"/>
  <c r="GS85" i="20"/>
  <c r="GT85" i="20"/>
  <c r="GU85" i="20"/>
  <c r="GV85" i="20"/>
  <c r="GW85" i="20"/>
  <c r="GX85" i="20"/>
  <c r="GY85" i="20"/>
  <c r="GZ85" i="20"/>
  <c r="HA85" i="20"/>
  <c r="HB85" i="20"/>
  <c r="HC85" i="20"/>
  <c r="AR86" i="20"/>
  <c r="AS86" i="20"/>
  <c r="AT86" i="20"/>
  <c r="AU86" i="20"/>
  <c r="AV86" i="20"/>
  <c r="AW86" i="20"/>
  <c r="AX86" i="20"/>
  <c r="AY86" i="20"/>
  <c r="AZ86" i="20"/>
  <c r="BA86" i="20"/>
  <c r="BB86" i="20"/>
  <c r="BC86" i="20"/>
  <c r="BD86" i="20"/>
  <c r="BE86" i="20"/>
  <c r="BF86" i="20"/>
  <c r="BG86" i="20"/>
  <c r="BH86" i="20"/>
  <c r="BI86" i="20"/>
  <c r="BJ86" i="20"/>
  <c r="BK86" i="20"/>
  <c r="BL86" i="20"/>
  <c r="BM86" i="20"/>
  <c r="BN86" i="20"/>
  <c r="BO86" i="20"/>
  <c r="BP86" i="20"/>
  <c r="BQ86" i="20"/>
  <c r="BR86" i="20"/>
  <c r="BS86" i="20"/>
  <c r="BT86" i="20"/>
  <c r="BU86" i="20"/>
  <c r="BV86" i="20"/>
  <c r="BW86" i="20"/>
  <c r="BX86" i="20"/>
  <c r="BY86" i="20"/>
  <c r="BZ86" i="20"/>
  <c r="CA86" i="20"/>
  <c r="CB86" i="20"/>
  <c r="CC86" i="20"/>
  <c r="CD86" i="20"/>
  <c r="CE86" i="20"/>
  <c r="CF86" i="20"/>
  <c r="CG86" i="20"/>
  <c r="CH86" i="20"/>
  <c r="CI86" i="20"/>
  <c r="CJ86" i="20"/>
  <c r="CK86" i="20"/>
  <c r="CL86" i="20"/>
  <c r="CM86" i="20"/>
  <c r="CN86" i="20"/>
  <c r="CO86" i="20"/>
  <c r="CP86" i="20"/>
  <c r="CQ86" i="20"/>
  <c r="CR86" i="20"/>
  <c r="CS86" i="20"/>
  <c r="CT86" i="20"/>
  <c r="CU86" i="20"/>
  <c r="CV86" i="20"/>
  <c r="CW86" i="20"/>
  <c r="CX86" i="20"/>
  <c r="CY86" i="20"/>
  <c r="CZ86" i="20"/>
  <c r="DA86" i="20"/>
  <c r="DB86" i="20"/>
  <c r="DC86" i="20"/>
  <c r="DD86" i="20"/>
  <c r="DE86" i="20"/>
  <c r="DF86" i="20"/>
  <c r="DG86" i="20"/>
  <c r="DH86" i="20"/>
  <c r="DI86" i="20"/>
  <c r="DJ86" i="20"/>
  <c r="DK86" i="20"/>
  <c r="DL86" i="20"/>
  <c r="DM86" i="20"/>
  <c r="DN86" i="20"/>
  <c r="DO86" i="20"/>
  <c r="DP86" i="20"/>
  <c r="DQ86" i="20"/>
  <c r="DR86" i="20"/>
  <c r="DS86" i="20"/>
  <c r="DT86" i="20"/>
  <c r="DU86" i="20"/>
  <c r="DV86" i="20"/>
  <c r="DW86" i="20"/>
  <c r="DX86" i="20"/>
  <c r="DY86" i="20"/>
  <c r="DZ86" i="20"/>
  <c r="EA86" i="20"/>
  <c r="EB86" i="20"/>
  <c r="EC86" i="20"/>
  <c r="ED86" i="20"/>
  <c r="EE86" i="20"/>
  <c r="EF86" i="20"/>
  <c r="EG86" i="20"/>
  <c r="EH86" i="20"/>
  <c r="EI86" i="20"/>
  <c r="EJ86" i="20"/>
  <c r="EK86" i="20"/>
  <c r="EL86" i="20"/>
  <c r="EM86" i="20"/>
  <c r="EN86" i="20"/>
  <c r="EO86" i="20"/>
  <c r="EP86" i="20"/>
  <c r="EQ86" i="20"/>
  <c r="ER86" i="20"/>
  <c r="ES86" i="20"/>
  <c r="ET86" i="20"/>
  <c r="EU86" i="20"/>
  <c r="EV86" i="20"/>
  <c r="EW86" i="20"/>
  <c r="EX86" i="20"/>
  <c r="EY86" i="20"/>
  <c r="EZ86" i="20"/>
  <c r="FA86" i="20"/>
  <c r="FB86" i="20"/>
  <c r="FC86" i="20"/>
  <c r="FD86" i="20"/>
  <c r="FE86" i="20"/>
  <c r="FF86" i="20"/>
  <c r="FG86" i="20"/>
  <c r="FH86" i="20"/>
  <c r="FI86" i="20"/>
  <c r="FJ86" i="20"/>
  <c r="FK86" i="20"/>
  <c r="FL86" i="20"/>
  <c r="FM86" i="20"/>
  <c r="FN86" i="20"/>
  <c r="FO86" i="20"/>
  <c r="FP86" i="20"/>
  <c r="FQ86" i="20"/>
  <c r="FR86" i="20"/>
  <c r="FS86" i="20"/>
  <c r="FT86" i="20"/>
  <c r="FU86" i="20"/>
  <c r="FV86" i="20"/>
  <c r="FW86" i="20"/>
  <c r="FX86" i="20"/>
  <c r="FY86" i="20"/>
  <c r="FZ86" i="20"/>
  <c r="GA86" i="20"/>
  <c r="GB86" i="20"/>
  <c r="GC86" i="20"/>
  <c r="GD86" i="20"/>
  <c r="GE86" i="20"/>
  <c r="GF86" i="20"/>
  <c r="GG86" i="20"/>
  <c r="GH86" i="20"/>
  <c r="GI86" i="20"/>
  <c r="GJ86" i="20"/>
  <c r="GK86" i="20"/>
  <c r="GL86" i="20"/>
  <c r="GM86" i="20"/>
  <c r="GN86" i="20"/>
  <c r="GO86" i="20"/>
  <c r="GP86" i="20"/>
  <c r="GQ86" i="20"/>
  <c r="GR86" i="20"/>
  <c r="GS86" i="20"/>
  <c r="GT86" i="20"/>
  <c r="GU86" i="20"/>
  <c r="GV86" i="20"/>
  <c r="GW86" i="20"/>
  <c r="GX86" i="20"/>
  <c r="GY86" i="20"/>
  <c r="GZ86" i="20"/>
  <c r="HA86" i="20"/>
  <c r="HB86" i="20"/>
  <c r="HC86" i="20"/>
  <c r="AR87" i="20"/>
  <c r="AS87" i="20"/>
  <c r="AT87" i="20"/>
  <c r="AU87" i="20"/>
  <c r="AV87" i="20"/>
  <c r="AW87" i="20"/>
  <c r="AX87" i="20"/>
  <c r="AY87" i="20"/>
  <c r="AZ87" i="20"/>
  <c r="BA87" i="20"/>
  <c r="BB87" i="20"/>
  <c r="BC87" i="20"/>
  <c r="BD87" i="20"/>
  <c r="BE87" i="20"/>
  <c r="BF87" i="20"/>
  <c r="BG87" i="20"/>
  <c r="BH87" i="20"/>
  <c r="BI87" i="20"/>
  <c r="BJ87" i="20"/>
  <c r="BK87" i="20"/>
  <c r="BL87" i="20"/>
  <c r="BM87" i="20"/>
  <c r="BN87" i="20"/>
  <c r="BO87" i="20"/>
  <c r="BP87" i="20"/>
  <c r="BQ87" i="20"/>
  <c r="BR87" i="20"/>
  <c r="BS87" i="20"/>
  <c r="BT87" i="20"/>
  <c r="BU87" i="20"/>
  <c r="BV87" i="20"/>
  <c r="BW87" i="20"/>
  <c r="BX87" i="20"/>
  <c r="BY87" i="20"/>
  <c r="BZ87" i="20"/>
  <c r="CA87" i="20"/>
  <c r="CB87" i="20"/>
  <c r="CC87" i="20"/>
  <c r="CD87" i="20"/>
  <c r="CE87" i="20"/>
  <c r="CF87" i="20"/>
  <c r="CG87" i="20"/>
  <c r="CH87" i="20"/>
  <c r="CI87" i="20"/>
  <c r="CJ87" i="20"/>
  <c r="CK87" i="20"/>
  <c r="CL87" i="20"/>
  <c r="CM87" i="20"/>
  <c r="CN87" i="20"/>
  <c r="CO87" i="20"/>
  <c r="CP87" i="20"/>
  <c r="CQ87" i="20"/>
  <c r="CR87" i="20"/>
  <c r="CS87" i="20"/>
  <c r="CT87" i="20"/>
  <c r="CU87" i="20"/>
  <c r="CV87" i="20"/>
  <c r="CW87" i="20"/>
  <c r="CX87" i="20"/>
  <c r="CY87" i="20"/>
  <c r="CZ87" i="20"/>
  <c r="DA87" i="20"/>
  <c r="DB87" i="20"/>
  <c r="DC87" i="20"/>
  <c r="DD87" i="20"/>
  <c r="DE87" i="20"/>
  <c r="DF87" i="20"/>
  <c r="DG87" i="20"/>
  <c r="DH87" i="20"/>
  <c r="DI87" i="20"/>
  <c r="DJ87" i="20"/>
  <c r="DK87" i="20"/>
  <c r="DL87" i="20"/>
  <c r="DM87" i="20"/>
  <c r="DN87" i="20"/>
  <c r="DO87" i="20"/>
  <c r="DP87" i="20"/>
  <c r="DQ87" i="20"/>
  <c r="DR87" i="20"/>
  <c r="DS87" i="20"/>
  <c r="DT87" i="20"/>
  <c r="DU87" i="20"/>
  <c r="DV87" i="20"/>
  <c r="DW87" i="20"/>
  <c r="DX87" i="20"/>
  <c r="DY87" i="20"/>
  <c r="DZ87" i="20"/>
  <c r="EA87" i="20"/>
  <c r="EB87" i="20"/>
  <c r="EC87" i="20"/>
  <c r="ED87" i="20"/>
  <c r="EE87" i="20"/>
  <c r="EF87" i="20"/>
  <c r="EG87" i="20"/>
  <c r="EH87" i="20"/>
  <c r="EI87" i="20"/>
  <c r="EJ87" i="20"/>
  <c r="EK87" i="20"/>
  <c r="EL87" i="20"/>
  <c r="EM87" i="20"/>
  <c r="EN87" i="20"/>
  <c r="EO87" i="20"/>
  <c r="EP87" i="20"/>
  <c r="EQ87" i="20"/>
  <c r="ER87" i="20"/>
  <c r="ES87" i="20"/>
  <c r="ET87" i="20"/>
  <c r="EU87" i="20"/>
  <c r="EV87" i="20"/>
  <c r="EW87" i="20"/>
  <c r="EX87" i="20"/>
  <c r="EY87" i="20"/>
  <c r="EZ87" i="20"/>
  <c r="FA87" i="20"/>
  <c r="FB87" i="20"/>
  <c r="FC87" i="20"/>
  <c r="FD87" i="20"/>
  <c r="FE87" i="20"/>
  <c r="FF87" i="20"/>
  <c r="FG87" i="20"/>
  <c r="FH87" i="20"/>
  <c r="FI87" i="20"/>
  <c r="FJ87" i="20"/>
  <c r="FK87" i="20"/>
  <c r="FL87" i="20"/>
  <c r="FM87" i="20"/>
  <c r="FN87" i="20"/>
  <c r="FO87" i="20"/>
  <c r="FP87" i="20"/>
  <c r="FQ87" i="20"/>
  <c r="FR87" i="20"/>
  <c r="FS87" i="20"/>
  <c r="FT87" i="20"/>
  <c r="FU87" i="20"/>
  <c r="FV87" i="20"/>
  <c r="FW87" i="20"/>
  <c r="FX87" i="20"/>
  <c r="FY87" i="20"/>
  <c r="FZ87" i="20"/>
  <c r="GA87" i="20"/>
  <c r="GB87" i="20"/>
  <c r="GC87" i="20"/>
  <c r="GD87" i="20"/>
  <c r="GE87" i="20"/>
  <c r="GF87" i="20"/>
  <c r="GG87" i="20"/>
  <c r="GH87" i="20"/>
  <c r="GI87" i="20"/>
  <c r="GJ87" i="20"/>
  <c r="GK87" i="20"/>
  <c r="GL87" i="20"/>
  <c r="GM87" i="20"/>
  <c r="GN87" i="20"/>
  <c r="GO87" i="20"/>
  <c r="GP87" i="20"/>
  <c r="GQ87" i="20"/>
  <c r="GR87" i="20"/>
  <c r="GS87" i="20"/>
  <c r="GT87" i="20"/>
  <c r="GU87" i="20"/>
  <c r="GV87" i="20"/>
  <c r="GW87" i="20"/>
  <c r="GX87" i="20"/>
  <c r="GY87" i="20"/>
  <c r="GZ87" i="20"/>
  <c r="HA87" i="20"/>
  <c r="HB87" i="20"/>
  <c r="HC87" i="20"/>
  <c r="AR88" i="20"/>
  <c r="AS88" i="20"/>
  <c r="AT88" i="20"/>
  <c r="AU88" i="20"/>
  <c r="AV88" i="20"/>
  <c r="AW88" i="20"/>
  <c r="AX88" i="20"/>
  <c r="AY88" i="20"/>
  <c r="AZ88" i="20"/>
  <c r="BA88" i="20"/>
  <c r="BB88" i="20"/>
  <c r="BC88" i="20"/>
  <c r="BD88" i="20"/>
  <c r="BE88" i="20"/>
  <c r="BF88" i="20"/>
  <c r="BG88" i="20"/>
  <c r="BH88" i="20"/>
  <c r="BI88" i="20"/>
  <c r="BJ88" i="20"/>
  <c r="BK88" i="20"/>
  <c r="BL88" i="20"/>
  <c r="BM88" i="20"/>
  <c r="BN88" i="20"/>
  <c r="BO88" i="20"/>
  <c r="BP88" i="20"/>
  <c r="BQ88" i="20"/>
  <c r="BR88" i="20"/>
  <c r="BS88" i="20"/>
  <c r="BT88" i="20"/>
  <c r="BU88" i="20"/>
  <c r="BV88" i="20"/>
  <c r="BW88" i="20"/>
  <c r="BX88" i="20"/>
  <c r="BY88" i="20"/>
  <c r="BZ88" i="20"/>
  <c r="CA88" i="20"/>
  <c r="CB88" i="20"/>
  <c r="CC88" i="20"/>
  <c r="CD88" i="20"/>
  <c r="CE88" i="20"/>
  <c r="CF88" i="20"/>
  <c r="CG88" i="20"/>
  <c r="CH88" i="20"/>
  <c r="CI88" i="20"/>
  <c r="CJ88" i="20"/>
  <c r="CK88" i="20"/>
  <c r="CL88" i="20"/>
  <c r="CM88" i="20"/>
  <c r="CN88" i="20"/>
  <c r="CO88" i="20"/>
  <c r="CP88" i="20"/>
  <c r="CQ88" i="20"/>
  <c r="CR88" i="20"/>
  <c r="CS88" i="20"/>
  <c r="CT88" i="20"/>
  <c r="CU88" i="20"/>
  <c r="CV88" i="20"/>
  <c r="CW88" i="20"/>
  <c r="CX88" i="20"/>
  <c r="CY88" i="20"/>
  <c r="CZ88" i="20"/>
  <c r="DA88" i="20"/>
  <c r="DB88" i="20"/>
  <c r="DC88" i="20"/>
  <c r="DD88" i="20"/>
  <c r="DE88" i="20"/>
  <c r="DF88" i="20"/>
  <c r="DG88" i="20"/>
  <c r="DH88" i="20"/>
  <c r="DI88" i="20"/>
  <c r="DJ88" i="20"/>
  <c r="DK88" i="20"/>
  <c r="DL88" i="20"/>
  <c r="DM88" i="20"/>
  <c r="DN88" i="20"/>
  <c r="DO88" i="20"/>
  <c r="DP88" i="20"/>
  <c r="DQ88" i="20"/>
  <c r="DR88" i="20"/>
  <c r="DS88" i="20"/>
  <c r="DT88" i="20"/>
  <c r="DU88" i="20"/>
  <c r="DV88" i="20"/>
  <c r="DW88" i="20"/>
  <c r="DX88" i="20"/>
  <c r="DY88" i="20"/>
  <c r="DZ88" i="20"/>
  <c r="EA88" i="20"/>
  <c r="EB88" i="20"/>
  <c r="EC88" i="20"/>
  <c r="ED88" i="20"/>
  <c r="EE88" i="20"/>
  <c r="EF88" i="20"/>
  <c r="EG88" i="20"/>
  <c r="EH88" i="20"/>
  <c r="EI88" i="20"/>
  <c r="EJ88" i="20"/>
  <c r="EK88" i="20"/>
  <c r="EL88" i="20"/>
  <c r="EM88" i="20"/>
  <c r="EN88" i="20"/>
  <c r="EO88" i="20"/>
  <c r="EP88" i="20"/>
  <c r="EQ88" i="20"/>
  <c r="ER88" i="20"/>
  <c r="ES88" i="20"/>
  <c r="ET88" i="20"/>
  <c r="EU88" i="20"/>
  <c r="EV88" i="20"/>
  <c r="EW88" i="20"/>
  <c r="EX88" i="20"/>
  <c r="EY88" i="20"/>
  <c r="EZ88" i="20"/>
  <c r="FA88" i="20"/>
  <c r="FB88" i="20"/>
  <c r="FC88" i="20"/>
  <c r="FD88" i="20"/>
  <c r="FE88" i="20"/>
  <c r="FF88" i="20"/>
  <c r="FG88" i="20"/>
  <c r="FH88" i="20"/>
  <c r="FI88" i="20"/>
  <c r="FJ88" i="20"/>
  <c r="FK88" i="20"/>
  <c r="FL88" i="20"/>
  <c r="FM88" i="20"/>
  <c r="FN88" i="20"/>
  <c r="FO88" i="20"/>
  <c r="FP88" i="20"/>
  <c r="FQ88" i="20"/>
  <c r="FR88" i="20"/>
  <c r="FS88" i="20"/>
  <c r="FT88" i="20"/>
  <c r="FU88" i="20"/>
  <c r="FV88" i="20"/>
  <c r="FW88" i="20"/>
  <c r="FX88" i="20"/>
  <c r="FY88" i="20"/>
  <c r="FZ88" i="20"/>
  <c r="GA88" i="20"/>
  <c r="GB88" i="20"/>
  <c r="GC88" i="20"/>
  <c r="GD88" i="20"/>
  <c r="GE88" i="20"/>
  <c r="GF88" i="20"/>
  <c r="GG88" i="20"/>
  <c r="GH88" i="20"/>
  <c r="GI88" i="20"/>
  <c r="GJ88" i="20"/>
  <c r="GK88" i="20"/>
  <c r="GL88" i="20"/>
  <c r="GM88" i="20"/>
  <c r="GN88" i="20"/>
  <c r="GO88" i="20"/>
  <c r="GP88" i="20"/>
  <c r="GQ88" i="20"/>
  <c r="GR88" i="20"/>
  <c r="GS88" i="20"/>
  <c r="GT88" i="20"/>
  <c r="GU88" i="20"/>
  <c r="GV88" i="20"/>
  <c r="GW88" i="20"/>
  <c r="GX88" i="20"/>
  <c r="GY88" i="20"/>
  <c r="GZ88" i="20"/>
  <c r="HA88" i="20"/>
  <c r="HB88" i="20"/>
  <c r="HC88" i="20"/>
  <c r="AR89" i="20"/>
  <c r="AS89" i="20"/>
  <c r="AT89" i="20"/>
  <c r="AU89" i="20"/>
  <c r="AV89" i="20"/>
  <c r="AW89" i="20"/>
  <c r="AX89" i="20"/>
  <c r="AY89" i="20"/>
  <c r="AZ89" i="20"/>
  <c r="BA89" i="20"/>
  <c r="BB89" i="20"/>
  <c r="BC89" i="20"/>
  <c r="BD89" i="20"/>
  <c r="BE89" i="20"/>
  <c r="BF89" i="20"/>
  <c r="BG89" i="20"/>
  <c r="BH89" i="20"/>
  <c r="BI89" i="20"/>
  <c r="BJ89" i="20"/>
  <c r="BK89" i="20"/>
  <c r="BL89" i="20"/>
  <c r="BM89" i="20"/>
  <c r="BN89" i="20"/>
  <c r="BO89" i="20"/>
  <c r="BP89" i="20"/>
  <c r="BQ89" i="20"/>
  <c r="BR89" i="20"/>
  <c r="BS89" i="20"/>
  <c r="BT89" i="20"/>
  <c r="BU89" i="20"/>
  <c r="BV89" i="20"/>
  <c r="BW89" i="20"/>
  <c r="BX89" i="20"/>
  <c r="BY89" i="20"/>
  <c r="BZ89" i="20"/>
  <c r="CA89" i="20"/>
  <c r="CB89" i="20"/>
  <c r="CC89" i="20"/>
  <c r="CD89" i="20"/>
  <c r="CE89" i="20"/>
  <c r="CF89" i="20"/>
  <c r="CG89" i="20"/>
  <c r="CH89" i="20"/>
  <c r="CI89" i="20"/>
  <c r="CJ89" i="20"/>
  <c r="CK89" i="20"/>
  <c r="CL89" i="20"/>
  <c r="CM89" i="20"/>
  <c r="CN89" i="20"/>
  <c r="CO89" i="20"/>
  <c r="CP89" i="20"/>
  <c r="CQ89" i="20"/>
  <c r="CR89" i="20"/>
  <c r="CS89" i="20"/>
  <c r="CT89" i="20"/>
  <c r="CU89" i="20"/>
  <c r="CV89" i="20"/>
  <c r="CW89" i="20"/>
  <c r="CX89" i="20"/>
  <c r="CY89" i="20"/>
  <c r="CZ89" i="20"/>
  <c r="DA89" i="20"/>
  <c r="DB89" i="20"/>
  <c r="DC89" i="20"/>
  <c r="DD89" i="20"/>
  <c r="DE89" i="20"/>
  <c r="DF89" i="20"/>
  <c r="DG89" i="20"/>
  <c r="DH89" i="20"/>
  <c r="DI89" i="20"/>
  <c r="DJ89" i="20"/>
  <c r="DK89" i="20"/>
  <c r="DL89" i="20"/>
  <c r="DM89" i="20"/>
  <c r="DN89" i="20"/>
  <c r="DO89" i="20"/>
  <c r="DP89" i="20"/>
  <c r="DQ89" i="20"/>
  <c r="DR89" i="20"/>
  <c r="DS89" i="20"/>
  <c r="DT89" i="20"/>
  <c r="DU89" i="20"/>
  <c r="DV89" i="20"/>
  <c r="DW89" i="20"/>
  <c r="DX89" i="20"/>
  <c r="DY89" i="20"/>
  <c r="DZ89" i="20"/>
  <c r="EA89" i="20"/>
  <c r="EB89" i="20"/>
  <c r="EC89" i="20"/>
  <c r="ED89" i="20"/>
  <c r="EE89" i="20"/>
  <c r="EF89" i="20"/>
  <c r="EG89" i="20"/>
  <c r="EH89" i="20"/>
  <c r="EI89" i="20"/>
  <c r="EJ89" i="20"/>
  <c r="EK89" i="20"/>
  <c r="EL89" i="20"/>
  <c r="EM89" i="20"/>
  <c r="EN89" i="20"/>
  <c r="EO89" i="20"/>
  <c r="EP89" i="20"/>
  <c r="EQ89" i="20"/>
  <c r="ER89" i="20"/>
  <c r="ES89" i="20"/>
  <c r="ET89" i="20"/>
  <c r="EU89" i="20"/>
  <c r="EV89" i="20"/>
  <c r="EW89" i="20"/>
  <c r="EX89" i="20"/>
  <c r="EY89" i="20"/>
  <c r="EZ89" i="20"/>
  <c r="FA89" i="20"/>
  <c r="FB89" i="20"/>
  <c r="FC89" i="20"/>
  <c r="FD89" i="20"/>
  <c r="FE89" i="20"/>
  <c r="FF89" i="20"/>
  <c r="FG89" i="20"/>
  <c r="FH89" i="20"/>
  <c r="FI89" i="20"/>
  <c r="FJ89" i="20"/>
  <c r="FK89" i="20"/>
  <c r="FL89" i="20"/>
  <c r="FM89" i="20"/>
  <c r="FN89" i="20"/>
  <c r="FO89" i="20"/>
  <c r="FP89" i="20"/>
  <c r="FQ89" i="20"/>
  <c r="FR89" i="20"/>
  <c r="FS89" i="20"/>
  <c r="FT89" i="20"/>
  <c r="FU89" i="20"/>
  <c r="FV89" i="20"/>
  <c r="FW89" i="20"/>
  <c r="FX89" i="20"/>
  <c r="FY89" i="20"/>
  <c r="FZ89" i="20"/>
  <c r="GA89" i="20"/>
  <c r="GB89" i="20"/>
  <c r="GC89" i="20"/>
  <c r="GD89" i="20"/>
  <c r="GE89" i="20"/>
  <c r="GF89" i="20"/>
  <c r="GG89" i="20"/>
  <c r="GH89" i="20"/>
  <c r="GI89" i="20"/>
  <c r="GJ89" i="20"/>
  <c r="GK89" i="20"/>
  <c r="GL89" i="20"/>
  <c r="GM89" i="20"/>
  <c r="GN89" i="20"/>
  <c r="GO89" i="20"/>
  <c r="GP89" i="20"/>
  <c r="GQ89" i="20"/>
  <c r="GR89" i="20"/>
  <c r="GS89" i="20"/>
  <c r="GT89" i="20"/>
  <c r="GU89" i="20"/>
  <c r="GV89" i="20"/>
  <c r="GW89" i="20"/>
  <c r="GX89" i="20"/>
  <c r="GY89" i="20"/>
  <c r="GZ89" i="20"/>
  <c r="HA89" i="20"/>
  <c r="HB89" i="20"/>
  <c r="HC89" i="20"/>
  <c r="AR90" i="20"/>
  <c r="AS90" i="20"/>
  <c r="AT90" i="20"/>
  <c r="AU90" i="20"/>
  <c r="AV90" i="20"/>
  <c r="AW90" i="20"/>
  <c r="AX90" i="20"/>
  <c r="AY90" i="20"/>
  <c r="AZ90" i="20"/>
  <c r="BA90" i="20"/>
  <c r="BB90" i="20"/>
  <c r="BC90" i="20"/>
  <c r="BD90" i="20"/>
  <c r="BE90" i="20"/>
  <c r="BF90" i="20"/>
  <c r="BG90" i="20"/>
  <c r="BH90" i="20"/>
  <c r="BI90" i="20"/>
  <c r="BJ90" i="20"/>
  <c r="BK90" i="20"/>
  <c r="BL90" i="20"/>
  <c r="BM90" i="20"/>
  <c r="BN90" i="20"/>
  <c r="BO90" i="20"/>
  <c r="BP90" i="20"/>
  <c r="BQ90" i="20"/>
  <c r="BR90" i="20"/>
  <c r="BS90" i="20"/>
  <c r="BT90" i="20"/>
  <c r="BU90" i="20"/>
  <c r="BV90" i="20"/>
  <c r="BW90" i="20"/>
  <c r="BX90" i="20"/>
  <c r="BY90" i="20"/>
  <c r="BZ90" i="20"/>
  <c r="CA90" i="20"/>
  <c r="CB90" i="20"/>
  <c r="CC90" i="20"/>
  <c r="CD90" i="20"/>
  <c r="CE90" i="20"/>
  <c r="CF90" i="20"/>
  <c r="CG90" i="20"/>
  <c r="CH90" i="20"/>
  <c r="CI90" i="20"/>
  <c r="CJ90" i="20"/>
  <c r="CK90" i="20"/>
  <c r="CL90" i="20"/>
  <c r="CM90" i="20"/>
  <c r="CN90" i="20"/>
  <c r="CO90" i="20"/>
  <c r="CP90" i="20"/>
  <c r="CQ90" i="20"/>
  <c r="CR90" i="20"/>
  <c r="CS90" i="20"/>
  <c r="CT90" i="20"/>
  <c r="CU90" i="20"/>
  <c r="CV90" i="20"/>
  <c r="CW90" i="20"/>
  <c r="CX90" i="20"/>
  <c r="CY90" i="20"/>
  <c r="CZ90" i="20"/>
  <c r="DA90" i="20"/>
  <c r="DB90" i="20"/>
  <c r="DC90" i="20"/>
  <c r="DD90" i="20"/>
  <c r="DE90" i="20"/>
  <c r="DF90" i="20"/>
  <c r="DG90" i="20"/>
  <c r="DH90" i="20"/>
  <c r="DI90" i="20"/>
  <c r="DJ90" i="20"/>
  <c r="DK90" i="20"/>
  <c r="DL90" i="20"/>
  <c r="DM90" i="20"/>
  <c r="DN90" i="20"/>
  <c r="DO90" i="20"/>
  <c r="DP90" i="20"/>
  <c r="DQ90" i="20"/>
  <c r="DR90" i="20"/>
  <c r="DS90" i="20"/>
  <c r="DT90" i="20"/>
  <c r="DU90" i="20"/>
  <c r="DV90" i="20"/>
  <c r="DW90" i="20"/>
  <c r="DX90" i="20"/>
  <c r="DY90" i="20"/>
  <c r="DZ90" i="20"/>
  <c r="EA90" i="20"/>
  <c r="EB90" i="20"/>
  <c r="EC90" i="20"/>
  <c r="ED90" i="20"/>
  <c r="EE90" i="20"/>
  <c r="EF90" i="20"/>
  <c r="EG90" i="20"/>
  <c r="EH90" i="20"/>
  <c r="EI90" i="20"/>
  <c r="EJ90" i="20"/>
  <c r="EK90" i="20"/>
  <c r="EL90" i="20"/>
  <c r="EM90" i="20"/>
  <c r="EN90" i="20"/>
  <c r="EO90" i="20"/>
  <c r="EP90" i="20"/>
  <c r="EQ90" i="20"/>
  <c r="ER90" i="20"/>
  <c r="ES90" i="20"/>
  <c r="ET90" i="20"/>
  <c r="EU90" i="20"/>
  <c r="EV90" i="20"/>
  <c r="EW90" i="20"/>
  <c r="EX90" i="20"/>
  <c r="EY90" i="20"/>
  <c r="EZ90" i="20"/>
  <c r="FA90" i="20"/>
  <c r="FB90" i="20"/>
  <c r="FC90" i="20"/>
  <c r="FD90" i="20"/>
  <c r="FE90" i="20"/>
  <c r="FF90" i="20"/>
  <c r="FG90" i="20"/>
  <c r="FH90" i="20"/>
  <c r="FI90" i="20"/>
  <c r="FJ90" i="20"/>
  <c r="FK90" i="20"/>
  <c r="FL90" i="20"/>
  <c r="FM90" i="20"/>
  <c r="FN90" i="20"/>
  <c r="FO90" i="20"/>
  <c r="FP90" i="20"/>
  <c r="FQ90" i="20"/>
  <c r="FR90" i="20"/>
  <c r="FS90" i="20"/>
  <c r="FT90" i="20"/>
  <c r="FU90" i="20"/>
  <c r="FV90" i="20"/>
  <c r="FW90" i="20"/>
  <c r="FX90" i="20"/>
  <c r="FY90" i="20"/>
  <c r="FZ90" i="20"/>
  <c r="GA90" i="20"/>
  <c r="GB90" i="20"/>
  <c r="GC90" i="20"/>
  <c r="GD90" i="20"/>
  <c r="GE90" i="20"/>
  <c r="GF90" i="20"/>
  <c r="GG90" i="20"/>
  <c r="GH90" i="20"/>
  <c r="GI90" i="20"/>
  <c r="GJ90" i="20"/>
  <c r="GK90" i="20"/>
  <c r="GL90" i="20"/>
  <c r="GM90" i="20"/>
  <c r="GN90" i="20"/>
  <c r="GO90" i="20"/>
  <c r="GP90" i="20"/>
  <c r="GQ90" i="20"/>
  <c r="GR90" i="20"/>
  <c r="GS90" i="20"/>
  <c r="GT90" i="20"/>
  <c r="GU90" i="20"/>
  <c r="GV90" i="20"/>
  <c r="GW90" i="20"/>
  <c r="GX90" i="20"/>
  <c r="GY90" i="20"/>
  <c r="GZ90" i="20"/>
  <c r="HA90" i="20"/>
  <c r="HB90" i="20"/>
  <c r="HC90" i="20"/>
  <c r="AR91" i="20"/>
  <c r="AS91" i="20"/>
  <c r="AT91" i="20"/>
  <c r="AU91" i="20"/>
  <c r="AV91" i="20"/>
  <c r="AW91" i="20"/>
  <c r="AX91" i="20"/>
  <c r="AY91" i="20"/>
  <c r="AZ91" i="20"/>
  <c r="BA91" i="20"/>
  <c r="BB91" i="20"/>
  <c r="BC91" i="20"/>
  <c r="BD91" i="20"/>
  <c r="BE91" i="20"/>
  <c r="BF91" i="20"/>
  <c r="BG91" i="20"/>
  <c r="BH91" i="20"/>
  <c r="BI91" i="20"/>
  <c r="BJ91" i="20"/>
  <c r="BK91" i="20"/>
  <c r="BL91" i="20"/>
  <c r="BM91" i="20"/>
  <c r="BN91" i="20"/>
  <c r="BO91" i="20"/>
  <c r="BP91" i="20"/>
  <c r="BQ91" i="20"/>
  <c r="BR91" i="20"/>
  <c r="BS91" i="20"/>
  <c r="BT91" i="20"/>
  <c r="BU91" i="20"/>
  <c r="BV91" i="20"/>
  <c r="BW91" i="20"/>
  <c r="BX91" i="20"/>
  <c r="BZ91" i="20"/>
  <c r="CA91" i="20"/>
  <c r="CB91" i="20"/>
  <c r="CC91" i="20"/>
  <c r="CD91" i="20"/>
  <c r="CE91" i="20"/>
  <c r="CF91" i="20"/>
  <c r="CG91" i="20"/>
  <c r="CH91" i="20"/>
  <c r="CI91" i="20"/>
  <c r="CJ91" i="20"/>
  <c r="CK91" i="20"/>
  <c r="CL91" i="20"/>
  <c r="CM91" i="20"/>
  <c r="CN91" i="20"/>
  <c r="CO91" i="20"/>
  <c r="CP91" i="20"/>
  <c r="CQ91" i="20"/>
  <c r="CR91" i="20"/>
  <c r="CS91" i="20"/>
  <c r="CT91" i="20"/>
  <c r="CU91" i="20"/>
  <c r="CV91" i="20"/>
  <c r="CW91" i="20"/>
  <c r="CX91" i="20"/>
  <c r="CY91" i="20"/>
  <c r="CZ91" i="20"/>
  <c r="DA91" i="20"/>
  <c r="DB91" i="20"/>
  <c r="DC91" i="20"/>
  <c r="DD91" i="20"/>
  <c r="DE91" i="20"/>
  <c r="DF91" i="20"/>
  <c r="DG91" i="20"/>
  <c r="DH91" i="20"/>
  <c r="DI91" i="20"/>
  <c r="DJ91" i="20"/>
  <c r="DK91" i="20"/>
  <c r="DL91" i="20"/>
  <c r="DM91" i="20"/>
  <c r="DN91" i="20"/>
  <c r="DO91" i="20"/>
  <c r="DP91" i="20"/>
  <c r="DQ91" i="20"/>
  <c r="DR91" i="20"/>
  <c r="DS91" i="20"/>
  <c r="DT91" i="20"/>
  <c r="DU91" i="20"/>
  <c r="DV91" i="20"/>
  <c r="DW91" i="20"/>
  <c r="DX91" i="20"/>
  <c r="DY91" i="20"/>
  <c r="DZ91" i="20"/>
  <c r="EA91" i="20"/>
  <c r="EB91" i="20"/>
  <c r="EC91" i="20"/>
  <c r="ED91" i="20"/>
  <c r="EE91" i="20"/>
  <c r="EF91" i="20"/>
  <c r="EG91" i="20"/>
  <c r="EH91" i="20"/>
  <c r="EI91" i="20"/>
  <c r="EJ91" i="20"/>
  <c r="EK91" i="20"/>
  <c r="EL91" i="20"/>
  <c r="EM91" i="20"/>
  <c r="EN91" i="20"/>
  <c r="EO91" i="20"/>
  <c r="EP91" i="20"/>
  <c r="EQ91" i="20"/>
  <c r="ER91" i="20"/>
  <c r="ES91" i="20"/>
  <c r="ET91" i="20"/>
  <c r="EU91" i="20"/>
  <c r="EV91" i="20"/>
  <c r="EW91" i="20"/>
  <c r="EX91" i="20"/>
  <c r="EY91" i="20"/>
  <c r="EZ91" i="20"/>
  <c r="FA91" i="20"/>
  <c r="FB91" i="20"/>
  <c r="FC91" i="20"/>
  <c r="FD91" i="20"/>
  <c r="FE91" i="20"/>
  <c r="FF91" i="20"/>
  <c r="FG91" i="20"/>
  <c r="FH91" i="20"/>
  <c r="FI91" i="20"/>
  <c r="FJ91" i="20"/>
  <c r="FK91" i="20"/>
  <c r="FL91" i="20"/>
  <c r="FM91" i="20"/>
  <c r="FN91" i="20"/>
  <c r="FO91" i="20"/>
  <c r="FP91" i="20"/>
  <c r="FQ91" i="20"/>
  <c r="FR91" i="20"/>
  <c r="FS91" i="20"/>
  <c r="FT91" i="20"/>
  <c r="FU91" i="20"/>
  <c r="FV91" i="20"/>
  <c r="FW91" i="20"/>
  <c r="FX91" i="20"/>
  <c r="FY91" i="20"/>
  <c r="FZ91" i="20"/>
  <c r="GA91" i="20"/>
  <c r="GB91" i="20"/>
  <c r="GC91" i="20"/>
  <c r="GD91" i="20"/>
  <c r="GE91" i="20"/>
  <c r="GF91" i="20"/>
  <c r="GG91" i="20"/>
  <c r="GH91" i="20"/>
  <c r="GI91" i="20"/>
  <c r="GJ91" i="20"/>
  <c r="GK91" i="20"/>
  <c r="GL91" i="20"/>
  <c r="GM91" i="20"/>
  <c r="GN91" i="20"/>
  <c r="GO91" i="20"/>
  <c r="GP91" i="20"/>
  <c r="GQ91" i="20"/>
  <c r="GR91" i="20"/>
  <c r="GS91" i="20"/>
  <c r="GT91" i="20"/>
  <c r="GU91" i="20"/>
  <c r="GV91" i="20"/>
  <c r="GW91" i="20"/>
  <c r="GX91" i="20"/>
  <c r="GY91" i="20"/>
  <c r="GZ91" i="20"/>
  <c r="HA91" i="20"/>
  <c r="HB91" i="20"/>
  <c r="HC91" i="20"/>
  <c r="I8" i="20"/>
  <c r="J8" i="20"/>
  <c r="K8" i="20"/>
  <c r="L8" i="20"/>
  <c r="M8" i="20"/>
  <c r="N8" i="20"/>
  <c r="O8" i="20"/>
  <c r="P8" i="20"/>
  <c r="Q8" i="20"/>
  <c r="R8" i="20"/>
  <c r="S8" i="20"/>
  <c r="T8" i="20"/>
  <c r="U8" i="20"/>
  <c r="V8" i="20"/>
  <c r="W8" i="20"/>
  <c r="X8" i="20"/>
  <c r="Y8" i="20"/>
  <c r="Z8" i="20"/>
  <c r="AA8" i="20"/>
  <c r="AB8" i="20"/>
  <c r="AC8" i="20"/>
  <c r="AD8" i="20"/>
  <c r="AE8" i="20"/>
  <c r="AF8" i="20"/>
  <c r="AG8" i="20"/>
  <c r="AH8" i="20"/>
  <c r="AI8" i="20"/>
  <c r="AJ8" i="20"/>
  <c r="AK8" i="20"/>
  <c r="AL8" i="20"/>
  <c r="AM8" i="20"/>
  <c r="AN8" i="20"/>
  <c r="AO8" i="20"/>
  <c r="AP8" i="20"/>
  <c r="AQ8" i="20"/>
  <c r="I9" i="20"/>
  <c r="J9" i="20"/>
  <c r="K9" i="20"/>
  <c r="L9" i="20"/>
  <c r="M9" i="20"/>
  <c r="N9" i="20"/>
  <c r="O9" i="20"/>
  <c r="P9" i="20"/>
  <c r="Q9" i="20"/>
  <c r="R9" i="20"/>
  <c r="S9" i="20"/>
  <c r="T9" i="20"/>
  <c r="U9" i="20"/>
  <c r="V9" i="20"/>
  <c r="W9" i="20"/>
  <c r="X9" i="20"/>
  <c r="Y9" i="20"/>
  <c r="Z9" i="20"/>
  <c r="AA9" i="20"/>
  <c r="AB9" i="20"/>
  <c r="AC9" i="20"/>
  <c r="AD9" i="20"/>
  <c r="AE9" i="20"/>
  <c r="AF9" i="20"/>
  <c r="AG9" i="20"/>
  <c r="AH9" i="20"/>
  <c r="AI9" i="20"/>
  <c r="AJ9" i="20"/>
  <c r="AK9" i="20"/>
  <c r="AL9" i="20"/>
  <c r="AM9" i="20"/>
  <c r="AN9" i="20"/>
  <c r="AO9" i="20"/>
  <c r="AP9" i="20"/>
  <c r="AQ9" i="20"/>
  <c r="I10" i="20"/>
  <c r="J10" i="20"/>
  <c r="K10" i="20"/>
  <c r="L10" i="20"/>
  <c r="M10" i="20"/>
  <c r="N10" i="20"/>
  <c r="O10" i="20"/>
  <c r="P10" i="20"/>
  <c r="Q10" i="20"/>
  <c r="R10" i="20"/>
  <c r="S10" i="20"/>
  <c r="T10" i="20"/>
  <c r="U10" i="20"/>
  <c r="V10" i="20"/>
  <c r="W10" i="20"/>
  <c r="X10" i="20"/>
  <c r="Y10" i="20"/>
  <c r="Z10" i="20"/>
  <c r="AA10" i="20"/>
  <c r="AB10" i="20"/>
  <c r="AC10" i="20"/>
  <c r="AD10" i="20"/>
  <c r="AE10" i="20"/>
  <c r="AF10" i="20"/>
  <c r="AG10" i="20"/>
  <c r="AH10" i="20"/>
  <c r="AI10" i="20"/>
  <c r="AJ10" i="20"/>
  <c r="AK10" i="20"/>
  <c r="AL10" i="20"/>
  <c r="AM10" i="20"/>
  <c r="AN10" i="20"/>
  <c r="AO10" i="20"/>
  <c r="AP10" i="20"/>
  <c r="AQ10" i="20"/>
  <c r="I11" i="20"/>
  <c r="J11" i="20"/>
  <c r="K11" i="20"/>
  <c r="L11" i="20"/>
  <c r="M11" i="20"/>
  <c r="N11" i="20"/>
  <c r="O11" i="20"/>
  <c r="P11" i="20"/>
  <c r="Q11" i="20"/>
  <c r="R11" i="20"/>
  <c r="S11" i="20"/>
  <c r="T11" i="20"/>
  <c r="U11" i="20"/>
  <c r="V11" i="20"/>
  <c r="W11" i="20"/>
  <c r="X11" i="20"/>
  <c r="Y11" i="20"/>
  <c r="Z11" i="20"/>
  <c r="AA11" i="20"/>
  <c r="AB11" i="20"/>
  <c r="AC11" i="20"/>
  <c r="AD11" i="20"/>
  <c r="AE11" i="20"/>
  <c r="AF11" i="20"/>
  <c r="AG11" i="20"/>
  <c r="AH11" i="20"/>
  <c r="AI11" i="20"/>
  <c r="AJ11" i="20"/>
  <c r="AK11" i="20"/>
  <c r="AL11" i="20"/>
  <c r="AM11" i="20"/>
  <c r="AN11" i="20"/>
  <c r="AO11" i="20"/>
  <c r="AP11" i="20"/>
  <c r="AQ11" i="20"/>
  <c r="I12" i="20"/>
  <c r="J12" i="20"/>
  <c r="K12" i="20"/>
  <c r="L12" i="20"/>
  <c r="M12" i="20"/>
  <c r="N12" i="20"/>
  <c r="O12" i="20"/>
  <c r="P12" i="20"/>
  <c r="Q12" i="20"/>
  <c r="R12" i="20"/>
  <c r="S12" i="20"/>
  <c r="T12" i="20"/>
  <c r="U12" i="20"/>
  <c r="V12" i="20"/>
  <c r="W12" i="20"/>
  <c r="X12" i="20"/>
  <c r="Y12" i="20"/>
  <c r="Z12" i="20"/>
  <c r="AA12" i="20"/>
  <c r="AB12" i="20"/>
  <c r="AC12" i="20"/>
  <c r="AD12" i="20"/>
  <c r="AE12" i="20"/>
  <c r="AF12" i="20"/>
  <c r="AG12" i="20"/>
  <c r="AH12" i="20"/>
  <c r="AI12" i="20"/>
  <c r="AJ12" i="20"/>
  <c r="AK12" i="20"/>
  <c r="AL12" i="20"/>
  <c r="AM12" i="20"/>
  <c r="AN12" i="20"/>
  <c r="AO12" i="20"/>
  <c r="AP12" i="20"/>
  <c r="AQ12" i="20"/>
  <c r="I13" i="20"/>
  <c r="J13" i="20"/>
  <c r="K13" i="20"/>
  <c r="L13" i="20"/>
  <c r="M13" i="20"/>
  <c r="N13" i="20"/>
  <c r="O13" i="20"/>
  <c r="P13" i="20"/>
  <c r="Q13" i="20"/>
  <c r="R13" i="20"/>
  <c r="S13" i="20"/>
  <c r="T13" i="20"/>
  <c r="U13" i="20"/>
  <c r="V13" i="20"/>
  <c r="W13" i="20"/>
  <c r="X13" i="20"/>
  <c r="Y13" i="20"/>
  <c r="Z13" i="20"/>
  <c r="AA13" i="20"/>
  <c r="AB13" i="20"/>
  <c r="AC13" i="20"/>
  <c r="AD13" i="20"/>
  <c r="AE13" i="20"/>
  <c r="AF13" i="20"/>
  <c r="AG13" i="20"/>
  <c r="AH13" i="20"/>
  <c r="AI13" i="20"/>
  <c r="AJ13" i="20"/>
  <c r="AK13" i="20"/>
  <c r="AL13" i="20"/>
  <c r="AM13" i="20"/>
  <c r="AN13" i="20"/>
  <c r="AO13" i="20"/>
  <c r="AP13" i="20"/>
  <c r="AQ13" i="20"/>
  <c r="I14" i="20"/>
  <c r="J14" i="20"/>
  <c r="K14" i="20"/>
  <c r="L14" i="20"/>
  <c r="M14" i="20"/>
  <c r="N14" i="20"/>
  <c r="O14" i="20"/>
  <c r="P14" i="20"/>
  <c r="Q14" i="20"/>
  <c r="R14" i="20"/>
  <c r="S14" i="20"/>
  <c r="T14" i="20"/>
  <c r="U14" i="20"/>
  <c r="V14" i="20"/>
  <c r="W14" i="20"/>
  <c r="X14" i="20"/>
  <c r="Y14" i="20"/>
  <c r="Z14" i="20"/>
  <c r="AA14" i="20"/>
  <c r="AB14" i="20"/>
  <c r="AC14" i="20"/>
  <c r="AD14" i="20"/>
  <c r="AE14" i="20"/>
  <c r="AF14" i="20"/>
  <c r="AG14" i="20"/>
  <c r="AH14" i="20"/>
  <c r="AI14" i="20"/>
  <c r="AJ14" i="20"/>
  <c r="AK14" i="20"/>
  <c r="AL14" i="20"/>
  <c r="AM14" i="20"/>
  <c r="AN14" i="20"/>
  <c r="AO14" i="20"/>
  <c r="AP14" i="20"/>
  <c r="AQ14" i="20"/>
  <c r="I15" i="20"/>
  <c r="J15" i="20"/>
  <c r="K15" i="20"/>
  <c r="L15" i="20"/>
  <c r="M15" i="20"/>
  <c r="N15" i="20"/>
  <c r="O15" i="20"/>
  <c r="P15" i="20"/>
  <c r="Q15" i="20"/>
  <c r="R15" i="20"/>
  <c r="S15" i="20"/>
  <c r="T15" i="20"/>
  <c r="U15" i="20"/>
  <c r="V15" i="20"/>
  <c r="W15" i="20"/>
  <c r="X15" i="20"/>
  <c r="Y15" i="20"/>
  <c r="Z15" i="20"/>
  <c r="AA15" i="20"/>
  <c r="AB15" i="20"/>
  <c r="AC15" i="20"/>
  <c r="AD15" i="20"/>
  <c r="AE15" i="20"/>
  <c r="AF15" i="20"/>
  <c r="AG15" i="20"/>
  <c r="AH15" i="20"/>
  <c r="AI15" i="20"/>
  <c r="AJ15" i="20"/>
  <c r="AK15" i="20"/>
  <c r="AL15" i="20"/>
  <c r="AM15" i="20"/>
  <c r="AN15" i="20"/>
  <c r="AO15" i="20"/>
  <c r="AP15" i="20"/>
  <c r="AQ15" i="20"/>
  <c r="I16" i="20"/>
  <c r="J16" i="20"/>
  <c r="K16" i="20"/>
  <c r="L16" i="20"/>
  <c r="M16" i="20"/>
  <c r="N16" i="20"/>
  <c r="O16" i="20"/>
  <c r="P16" i="20"/>
  <c r="Q16" i="20"/>
  <c r="R16" i="20"/>
  <c r="S16" i="20"/>
  <c r="T16" i="20"/>
  <c r="U16" i="20"/>
  <c r="V16" i="20"/>
  <c r="W16" i="20"/>
  <c r="X16" i="20"/>
  <c r="Y16" i="20"/>
  <c r="Z16" i="20"/>
  <c r="AA16" i="20"/>
  <c r="AB16" i="20"/>
  <c r="AC16" i="20"/>
  <c r="AD16" i="20"/>
  <c r="AE16" i="20"/>
  <c r="AF16" i="20"/>
  <c r="AG16" i="20"/>
  <c r="AH16" i="20"/>
  <c r="AI16" i="20"/>
  <c r="AJ16" i="20"/>
  <c r="AK16" i="20"/>
  <c r="AL16" i="20"/>
  <c r="AM16" i="20"/>
  <c r="AN16" i="20"/>
  <c r="AO16" i="20"/>
  <c r="AP16" i="20"/>
  <c r="AQ16" i="20"/>
  <c r="I17" i="20"/>
  <c r="J17" i="20"/>
  <c r="K17" i="20"/>
  <c r="L17" i="20"/>
  <c r="M17" i="20"/>
  <c r="N17" i="20"/>
  <c r="O17" i="20"/>
  <c r="P17" i="20"/>
  <c r="Q17" i="20"/>
  <c r="R17" i="20"/>
  <c r="S17" i="20"/>
  <c r="T17" i="20"/>
  <c r="U17" i="20"/>
  <c r="V17" i="20"/>
  <c r="W17" i="20"/>
  <c r="X17" i="20"/>
  <c r="Y17" i="20"/>
  <c r="Z17" i="20"/>
  <c r="AA17" i="20"/>
  <c r="AB17" i="20"/>
  <c r="AC17" i="20"/>
  <c r="AD17" i="20"/>
  <c r="AE17" i="20"/>
  <c r="AF17" i="20"/>
  <c r="AG17" i="20"/>
  <c r="AH17" i="20"/>
  <c r="AI17" i="20"/>
  <c r="AJ17" i="20"/>
  <c r="AK17" i="20"/>
  <c r="AL17" i="20"/>
  <c r="AM17" i="20"/>
  <c r="AN17" i="20"/>
  <c r="AO17" i="20"/>
  <c r="AP17" i="20"/>
  <c r="AQ17" i="20"/>
  <c r="I18" i="20"/>
  <c r="J18" i="20"/>
  <c r="K18" i="20"/>
  <c r="L18" i="20"/>
  <c r="M18" i="20"/>
  <c r="N18" i="20"/>
  <c r="O18" i="20"/>
  <c r="P18" i="20"/>
  <c r="Q18" i="20"/>
  <c r="R18" i="20"/>
  <c r="S18" i="20"/>
  <c r="T18" i="20"/>
  <c r="U18" i="20"/>
  <c r="V18" i="20"/>
  <c r="W18" i="20"/>
  <c r="X18" i="20"/>
  <c r="Y18" i="20"/>
  <c r="Z18" i="20"/>
  <c r="AA18" i="20"/>
  <c r="AB18" i="20"/>
  <c r="AC18" i="20"/>
  <c r="AD18" i="20"/>
  <c r="AE18" i="20"/>
  <c r="AF18" i="20"/>
  <c r="AG18" i="20"/>
  <c r="AH18" i="20"/>
  <c r="AI18" i="20"/>
  <c r="AJ18" i="20"/>
  <c r="AK18" i="20"/>
  <c r="AL18" i="20"/>
  <c r="AM18" i="20"/>
  <c r="AN18" i="20"/>
  <c r="AO18" i="20"/>
  <c r="AP18" i="20"/>
  <c r="AQ18" i="20"/>
  <c r="I19" i="20"/>
  <c r="J19" i="20"/>
  <c r="K19" i="20"/>
  <c r="L19" i="20"/>
  <c r="M19" i="20"/>
  <c r="N19" i="20"/>
  <c r="O19" i="20"/>
  <c r="P19" i="20"/>
  <c r="Q19" i="20"/>
  <c r="R19" i="20"/>
  <c r="S19" i="20"/>
  <c r="T19" i="20"/>
  <c r="U19" i="20"/>
  <c r="V19" i="20"/>
  <c r="W19" i="20"/>
  <c r="X19" i="20"/>
  <c r="Y19" i="20"/>
  <c r="Z19" i="20"/>
  <c r="AA19" i="20"/>
  <c r="AB19" i="20"/>
  <c r="AC19" i="20"/>
  <c r="AD19" i="20"/>
  <c r="AE19" i="20"/>
  <c r="AF19" i="20"/>
  <c r="AG19" i="20"/>
  <c r="AH19" i="20"/>
  <c r="AI19" i="20"/>
  <c r="AJ19" i="20"/>
  <c r="AK19" i="20"/>
  <c r="AL19" i="20"/>
  <c r="AM19" i="20"/>
  <c r="AN19" i="20"/>
  <c r="AO19" i="20"/>
  <c r="AP19" i="20"/>
  <c r="AQ19" i="20"/>
  <c r="I20" i="20"/>
  <c r="J20" i="20"/>
  <c r="K20" i="20"/>
  <c r="L20" i="20"/>
  <c r="M20" i="20"/>
  <c r="N20" i="20"/>
  <c r="O20" i="20"/>
  <c r="P20" i="20"/>
  <c r="Q20" i="20"/>
  <c r="R20" i="20"/>
  <c r="S20" i="20"/>
  <c r="T20" i="20"/>
  <c r="U20" i="20"/>
  <c r="V20" i="20"/>
  <c r="W20" i="20"/>
  <c r="X20" i="20"/>
  <c r="Y20" i="20"/>
  <c r="Z20" i="20"/>
  <c r="AA20" i="20"/>
  <c r="AB20" i="20"/>
  <c r="AC20" i="20"/>
  <c r="AD20" i="20"/>
  <c r="AE20" i="20"/>
  <c r="AF20" i="20"/>
  <c r="AG20" i="20"/>
  <c r="AH20" i="20"/>
  <c r="AI20" i="20"/>
  <c r="AJ20" i="20"/>
  <c r="AK20" i="20"/>
  <c r="AL20" i="20"/>
  <c r="AM20" i="20"/>
  <c r="AN20" i="20"/>
  <c r="AO20" i="20"/>
  <c r="AP20" i="20"/>
  <c r="AQ20" i="20"/>
  <c r="I21" i="20"/>
  <c r="J21" i="20"/>
  <c r="K21" i="20"/>
  <c r="L21" i="20"/>
  <c r="M21" i="20"/>
  <c r="N21" i="20"/>
  <c r="O21" i="20"/>
  <c r="P21" i="20"/>
  <c r="Q21" i="20"/>
  <c r="R21" i="20"/>
  <c r="S21" i="20"/>
  <c r="T21" i="20"/>
  <c r="U21" i="20"/>
  <c r="V21" i="20"/>
  <c r="W21" i="20"/>
  <c r="X21" i="20"/>
  <c r="Y21" i="20"/>
  <c r="Z21" i="20"/>
  <c r="AA21" i="20"/>
  <c r="AB21" i="20"/>
  <c r="AC21" i="20"/>
  <c r="AD21" i="20"/>
  <c r="AE21" i="20"/>
  <c r="AF21" i="20"/>
  <c r="AG21" i="20"/>
  <c r="AH21" i="20"/>
  <c r="AI21" i="20"/>
  <c r="AJ21" i="20"/>
  <c r="AK21" i="20"/>
  <c r="AL21" i="20"/>
  <c r="AM21" i="20"/>
  <c r="AN21" i="20"/>
  <c r="AO21" i="20"/>
  <c r="AP21" i="20"/>
  <c r="AQ21" i="20"/>
  <c r="I22" i="20"/>
  <c r="J22" i="20"/>
  <c r="K22" i="20"/>
  <c r="L22" i="20"/>
  <c r="M22" i="20"/>
  <c r="N22" i="20"/>
  <c r="O22" i="20"/>
  <c r="P22" i="20"/>
  <c r="Q22" i="20"/>
  <c r="R22" i="20"/>
  <c r="S22" i="20"/>
  <c r="T22" i="20"/>
  <c r="U22" i="20"/>
  <c r="V22" i="20"/>
  <c r="W22" i="20"/>
  <c r="X22" i="20"/>
  <c r="Y22" i="20"/>
  <c r="Z22" i="20"/>
  <c r="AA22" i="20"/>
  <c r="AB22" i="20"/>
  <c r="AC22" i="20"/>
  <c r="AD22" i="20"/>
  <c r="AE22" i="20"/>
  <c r="AF22" i="20"/>
  <c r="AG22" i="20"/>
  <c r="AH22" i="20"/>
  <c r="AI22" i="20"/>
  <c r="AJ22" i="20"/>
  <c r="AK22" i="20"/>
  <c r="AL22" i="20"/>
  <c r="AM22" i="20"/>
  <c r="AN22" i="20"/>
  <c r="AO22" i="20"/>
  <c r="AP22" i="20"/>
  <c r="AQ22" i="20"/>
  <c r="I23" i="20"/>
  <c r="J23" i="20"/>
  <c r="K23" i="20"/>
  <c r="L23" i="20"/>
  <c r="M23" i="20"/>
  <c r="N23" i="20"/>
  <c r="O23" i="20"/>
  <c r="P23" i="20"/>
  <c r="Q23" i="20"/>
  <c r="R23" i="20"/>
  <c r="S23" i="20"/>
  <c r="T23" i="20"/>
  <c r="U23" i="20"/>
  <c r="V23" i="20"/>
  <c r="W23" i="20"/>
  <c r="X23" i="20"/>
  <c r="Y23" i="20"/>
  <c r="Z23" i="20"/>
  <c r="AA23" i="20"/>
  <c r="AB23" i="20"/>
  <c r="AC23" i="20"/>
  <c r="AD23" i="20"/>
  <c r="AE23" i="20"/>
  <c r="AF23" i="20"/>
  <c r="AG23" i="20"/>
  <c r="AH23" i="20"/>
  <c r="AI23" i="20"/>
  <c r="AJ23" i="20"/>
  <c r="AK23" i="20"/>
  <c r="AL23" i="20"/>
  <c r="AM23" i="20"/>
  <c r="AN23" i="20"/>
  <c r="AO23" i="20"/>
  <c r="AP23" i="20"/>
  <c r="AQ23" i="20"/>
  <c r="I24" i="20"/>
  <c r="J24" i="20"/>
  <c r="K24" i="20"/>
  <c r="L24" i="20"/>
  <c r="M24" i="20"/>
  <c r="N24" i="20"/>
  <c r="O24" i="20"/>
  <c r="P24" i="20"/>
  <c r="Q24" i="20"/>
  <c r="R24" i="20"/>
  <c r="S24" i="20"/>
  <c r="T24" i="20"/>
  <c r="U24" i="20"/>
  <c r="V24" i="20"/>
  <c r="W24" i="20"/>
  <c r="X24" i="20"/>
  <c r="Y24" i="20"/>
  <c r="Z24" i="20"/>
  <c r="AA24" i="20"/>
  <c r="AB24" i="20"/>
  <c r="AC24" i="20"/>
  <c r="AD24" i="20"/>
  <c r="AE24" i="20"/>
  <c r="AF24" i="20"/>
  <c r="AG24" i="20"/>
  <c r="AH24" i="20"/>
  <c r="AI24" i="20"/>
  <c r="AJ24" i="20"/>
  <c r="AK24" i="20"/>
  <c r="AL24" i="20"/>
  <c r="AM24" i="20"/>
  <c r="AN24" i="20"/>
  <c r="AO24" i="20"/>
  <c r="AP24" i="20"/>
  <c r="AQ24" i="20"/>
  <c r="I25" i="20"/>
  <c r="J25" i="20"/>
  <c r="K25" i="20"/>
  <c r="L25" i="20"/>
  <c r="M25" i="20"/>
  <c r="N25" i="20"/>
  <c r="O25" i="20"/>
  <c r="P25" i="20"/>
  <c r="Q25" i="20"/>
  <c r="R25" i="20"/>
  <c r="S25" i="20"/>
  <c r="T25" i="20"/>
  <c r="U25" i="20"/>
  <c r="V25" i="20"/>
  <c r="W25" i="20"/>
  <c r="X25" i="20"/>
  <c r="Y25" i="20"/>
  <c r="Z25" i="20"/>
  <c r="AA25" i="20"/>
  <c r="AB25" i="20"/>
  <c r="AC25" i="20"/>
  <c r="AD25" i="20"/>
  <c r="AE25" i="20"/>
  <c r="AF25" i="20"/>
  <c r="AG25" i="20"/>
  <c r="AH25" i="20"/>
  <c r="AI25" i="20"/>
  <c r="AJ25" i="20"/>
  <c r="AK25" i="20"/>
  <c r="AL25" i="20"/>
  <c r="AM25" i="20"/>
  <c r="AN25" i="20"/>
  <c r="AO25" i="20"/>
  <c r="AP25" i="20"/>
  <c r="AQ25" i="20"/>
  <c r="I26" i="20"/>
  <c r="J26" i="20"/>
  <c r="K26" i="20"/>
  <c r="L26" i="20"/>
  <c r="M26" i="20"/>
  <c r="N26" i="20"/>
  <c r="O26" i="20"/>
  <c r="P26" i="20"/>
  <c r="Q26" i="20"/>
  <c r="R26" i="20"/>
  <c r="S26" i="20"/>
  <c r="T26" i="20"/>
  <c r="U26" i="20"/>
  <c r="V26" i="20"/>
  <c r="W26" i="20"/>
  <c r="X26" i="20"/>
  <c r="Y26" i="20"/>
  <c r="Z26" i="20"/>
  <c r="AA26" i="20"/>
  <c r="AB26" i="20"/>
  <c r="AC26" i="20"/>
  <c r="AD26" i="20"/>
  <c r="AE26" i="20"/>
  <c r="AF26" i="20"/>
  <c r="AG26" i="20"/>
  <c r="AH26" i="20"/>
  <c r="AI26" i="20"/>
  <c r="AJ26" i="20"/>
  <c r="AK26" i="20"/>
  <c r="AL26" i="20"/>
  <c r="AM26" i="20"/>
  <c r="AN26" i="20"/>
  <c r="AO26" i="20"/>
  <c r="AP26" i="20"/>
  <c r="AQ26" i="20"/>
  <c r="I27" i="20"/>
  <c r="J27" i="20"/>
  <c r="K27" i="20"/>
  <c r="L27" i="20"/>
  <c r="M27" i="20"/>
  <c r="N27" i="20"/>
  <c r="O27" i="20"/>
  <c r="P27" i="20"/>
  <c r="Q27" i="20"/>
  <c r="R27" i="20"/>
  <c r="S27" i="20"/>
  <c r="T27" i="20"/>
  <c r="U27" i="20"/>
  <c r="V27" i="20"/>
  <c r="W27" i="20"/>
  <c r="X27" i="20"/>
  <c r="Y27" i="20"/>
  <c r="Z27" i="20"/>
  <c r="AA27" i="20"/>
  <c r="AB27" i="20"/>
  <c r="AC27" i="20"/>
  <c r="AD27" i="20"/>
  <c r="AE27" i="20"/>
  <c r="AF27" i="20"/>
  <c r="AG27" i="20"/>
  <c r="AH27" i="20"/>
  <c r="AI27" i="20"/>
  <c r="AJ27" i="20"/>
  <c r="AK27" i="20"/>
  <c r="AL27" i="20"/>
  <c r="AM27" i="20"/>
  <c r="AN27" i="20"/>
  <c r="AO27" i="20"/>
  <c r="AP27" i="20"/>
  <c r="AQ27" i="20"/>
  <c r="I28" i="20"/>
  <c r="J28" i="20"/>
  <c r="K28" i="20"/>
  <c r="L28" i="20"/>
  <c r="M28" i="20"/>
  <c r="N28" i="20"/>
  <c r="O28" i="20"/>
  <c r="P28" i="20"/>
  <c r="Q28" i="20"/>
  <c r="R28" i="20"/>
  <c r="S28" i="20"/>
  <c r="T28" i="20"/>
  <c r="U28" i="20"/>
  <c r="V28" i="20"/>
  <c r="W28" i="20"/>
  <c r="X28" i="20"/>
  <c r="Y28" i="20"/>
  <c r="Z28" i="20"/>
  <c r="AA28" i="20"/>
  <c r="AB28" i="20"/>
  <c r="AC28" i="20"/>
  <c r="AD28" i="20"/>
  <c r="AE28" i="20"/>
  <c r="AF28" i="20"/>
  <c r="AG28" i="20"/>
  <c r="AH28" i="20"/>
  <c r="AI28" i="20"/>
  <c r="AJ28" i="20"/>
  <c r="AK28" i="20"/>
  <c r="AL28" i="20"/>
  <c r="AM28" i="20"/>
  <c r="AN28" i="20"/>
  <c r="AO28" i="20"/>
  <c r="AP28" i="20"/>
  <c r="AQ28" i="20"/>
  <c r="I29" i="20"/>
  <c r="J29" i="20"/>
  <c r="K29" i="20"/>
  <c r="L29" i="20"/>
  <c r="M29" i="20"/>
  <c r="N29" i="20"/>
  <c r="O29" i="20"/>
  <c r="P29" i="20"/>
  <c r="Q29" i="20"/>
  <c r="R29" i="20"/>
  <c r="S29" i="20"/>
  <c r="T29" i="20"/>
  <c r="U29" i="20"/>
  <c r="V29" i="20"/>
  <c r="W29" i="20"/>
  <c r="X29" i="20"/>
  <c r="Y29" i="20"/>
  <c r="Z29" i="20"/>
  <c r="AA29" i="20"/>
  <c r="AB29" i="20"/>
  <c r="AC29" i="20"/>
  <c r="AD29" i="20"/>
  <c r="AE29" i="20"/>
  <c r="AF29" i="20"/>
  <c r="AG29" i="20"/>
  <c r="AH29" i="20"/>
  <c r="AI29" i="20"/>
  <c r="AJ29" i="20"/>
  <c r="AK29" i="20"/>
  <c r="AL29" i="20"/>
  <c r="AM29" i="20"/>
  <c r="AN29" i="20"/>
  <c r="AO29" i="20"/>
  <c r="AP29" i="20"/>
  <c r="AQ29" i="20"/>
  <c r="I30" i="20"/>
  <c r="J30" i="20"/>
  <c r="K30" i="20"/>
  <c r="L30" i="20"/>
  <c r="M30" i="20"/>
  <c r="N30" i="20"/>
  <c r="O30" i="20"/>
  <c r="P30" i="20"/>
  <c r="Q30" i="20"/>
  <c r="R30" i="20"/>
  <c r="S30" i="20"/>
  <c r="T30" i="20"/>
  <c r="U30" i="20"/>
  <c r="V30" i="20"/>
  <c r="W30" i="20"/>
  <c r="X30" i="20"/>
  <c r="Y30" i="20"/>
  <c r="Z30" i="20"/>
  <c r="AA30" i="20"/>
  <c r="AB30" i="20"/>
  <c r="AC30" i="20"/>
  <c r="AD30" i="20"/>
  <c r="AE30" i="20"/>
  <c r="AF30" i="20"/>
  <c r="AG30" i="20"/>
  <c r="AH30" i="20"/>
  <c r="AI30" i="20"/>
  <c r="AJ30" i="20"/>
  <c r="AK30" i="20"/>
  <c r="AL30" i="20"/>
  <c r="AM30" i="20"/>
  <c r="AN30" i="20"/>
  <c r="AO30" i="20"/>
  <c r="AP30" i="20"/>
  <c r="AQ30" i="20"/>
  <c r="I31" i="20"/>
  <c r="J31" i="20"/>
  <c r="K31" i="20"/>
  <c r="L31" i="20"/>
  <c r="M31" i="20"/>
  <c r="N31" i="20"/>
  <c r="O31" i="20"/>
  <c r="P31" i="20"/>
  <c r="Q31" i="20"/>
  <c r="R31" i="20"/>
  <c r="S31" i="20"/>
  <c r="T31" i="20"/>
  <c r="U31" i="20"/>
  <c r="V31" i="20"/>
  <c r="W31" i="20"/>
  <c r="X31" i="20"/>
  <c r="Y31" i="20"/>
  <c r="Z31" i="20"/>
  <c r="AA31" i="20"/>
  <c r="AB31" i="20"/>
  <c r="AC31" i="20"/>
  <c r="AD31" i="20"/>
  <c r="AE31" i="20"/>
  <c r="AF31" i="20"/>
  <c r="AG31" i="20"/>
  <c r="AH31" i="20"/>
  <c r="AI31" i="20"/>
  <c r="AJ31" i="20"/>
  <c r="AK31" i="20"/>
  <c r="AL31" i="20"/>
  <c r="AM31" i="20"/>
  <c r="AN31" i="20"/>
  <c r="AO31" i="20"/>
  <c r="AP31" i="20"/>
  <c r="AQ31" i="20"/>
  <c r="I32" i="20"/>
  <c r="J32" i="20"/>
  <c r="K32" i="20"/>
  <c r="L32" i="20"/>
  <c r="M32" i="20"/>
  <c r="N32" i="20"/>
  <c r="O32" i="20"/>
  <c r="P32" i="20"/>
  <c r="Q32" i="20"/>
  <c r="R32" i="20"/>
  <c r="S32" i="20"/>
  <c r="T32" i="20"/>
  <c r="U32" i="20"/>
  <c r="V32" i="20"/>
  <c r="W32" i="20"/>
  <c r="X32" i="20"/>
  <c r="Y32" i="20"/>
  <c r="Z32" i="20"/>
  <c r="AA32" i="20"/>
  <c r="AB32" i="20"/>
  <c r="AC32" i="20"/>
  <c r="AD32" i="20"/>
  <c r="AE32" i="20"/>
  <c r="AF32" i="20"/>
  <c r="AG32" i="20"/>
  <c r="AH32" i="20"/>
  <c r="AI32" i="20"/>
  <c r="AJ32" i="20"/>
  <c r="AK32" i="20"/>
  <c r="AL32" i="20"/>
  <c r="AM32" i="20"/>
  <c r="AN32" i="20"/>
  <c r="AO32" i="20"/>
  <c r="AP32" i="20"/>
  <c r="AQ32" i="20"/>
  <c r="I33" i="20"/>
  <c r="J33" i="20"/>
  <c r="K33" i="20"/>
  <c r="L33" i="20"/>
  <c r="M33" i="20"/>
  <c r="N33" i="20"/>
  <c r="O33" i="20"/>
  <c r="P33" i="20"/>
  <c r="Q33" i="20"/>
  <c r="R33" i="20"/>
  <c r="S33" i="20"/>
  <c r="T33" i="20"/>
  <c r="U33" i="20"/>
  <c r="V33" i="20"/>
  <c r="W33" i="20"/>
  <c r="X33" i="20"/>
  <c r="Y33" i="20"/>
  <c r="Z33" i="20"/>
  <c r="AA33" i="20"/>
  <c r="AB33" i="20"/>
  <c r="AC33" i="20"/>
  <c r="AD33" i="20"/>
  <c r="AE33" i="20"/>
  <c r="AF33" i="20"/>
  <c r="AG33" i="20"/>
  <c r="AH33" i="20"/>
  <c r="AI33" i="20"/>
  <c r="AJ33" i="20"/>
  <c r="AK33" i="20"/>
  <c r="AL33" i="20"/>
  <c r="AM33" i="20"/>
  <c r="AN33" i="20"/>
  <c r="AO33" i="20"/>
  <c r="AP33" i="20"/>
  <c r="AQ33" i="20"/>
  <c r="I34" i="20"/>
  <c r="J34" i="20"/>
  <c r="K34" i="20"/>
  <c r="L34" i="20"/>
  <c r="M34" i="20"/>
  <c r="N34" i="20"/>
  <c r="O34" i="20"/>
  <c r="P34" i="20"/>
  <c r="Q34" i="20"/>
  <c r="R34" i="20"/>
  <c r="S34" i="20"/>
  <c r="T34" i="20"/>
  <c r="U34" i="20"/>
  <c r="V34" i="20"/>
  <c r="W34" i="20"/>
  <c r="X34" i="20"/>
  <c r="Y34" i="20"/>
  <c r="Z34" i="20"/>
  <c r="AA34" i="20"/>
  <c r="AB34" i="20"/>
  <c r="AC34" i="20"/>
  <c r="AD34" i="20"/>
  <c r="AE34" i="20"/>
  <c r="AF34" i="20"/>
  <c r="AG34" i="20"/>
  <c r="AH34" i="20"/>
  <c r="AI34" i="20"/>
  <c r="AJ34" i="20"/>
  <c r="AK34" i="20"/>
  <c r="AL34" i="20"/>
  <c r="AM34" i="20"/>
  <c r="AN34" i="20"/>
  <c r="AO34" i="20"/>
  <c r="AP34" i="20"/>
  <c r="AQ34" i="20"/>
  <c r="I35" i="20"/>
  <c r="J35" i="20"/>
  <c r="K35" i="20"/>
  <c r="L35" i="20"/>
  <c r="M35" i="20"/>
  <c r="N35" i="20"/>
  <c r="O35" i="20"/>
  <c r="P35" i="20"/>
  <c r="Q35" i="20"/>
  <c r="R35" i="20"/>
  <c r="S35" i="20"/>
  <c r="T35" i="20"/>
  <c r="U35" i="20"/>
  <c r="V35" i="20"/>
  <c r="W35" i="20"/>
  <c r="X35" i="20"/>
  <c r="Y35" i="20"/>
  <c r="Z35" i="20"/>
  <c r="AA35" i="20"/>
  <c r="AB35" i="20"/>
  <c r="AC35" i="20"/>
  <c r="AD35" i="20"/>
  <c r="AE35" i="20"/>
  <c r="AF35" i="20"/>
  <c r="AG35" i="20"/>
  <c r="AH35" i="20"/>
  <c r="AI35" i="20"/>
  <c r="AJ35" i="20"/>
  <c r="AK35" i="20"/>
  <c r="AL35" i="20"/>
  <c r="AM35" i="20"/>
  <c r="AN35" i="20"/>
  <c r="AO35" i="20"/>
  <c r="AP35" i="20"/>
  <c r="AQ35" i="20"/>
  <c r="I36" i="20"/>
  <c r="J36" i="20"/>
  <c r="K36" i="20"/>
  <c r="L36" i="20"/>
  <c r="M36" i="20"/>
  <c r="N36" i="20"/>
  <c r="O36" i="20"/>
  <c r="P36" i="20"/>
  <c r="Q36" i="20"/>
  <c r="R36" i="20"/>
  <c r="S36" i="20"/>
  <c r="T36" i="20"/>
  <c r="U36" i="20"/>
  <c r="V36" i="20"/>
  <c r="W36" i="20"/>
  <c r="X36" i="20"/>
  <c r="Y36" i="20"/>
  <c r="Z36" i="20"/>
  <c r="AA36" i="20"/>
  <c r="AB36" i="20"/>
  <c r="AC36" i="20"/>
  <c r="AD36" i="20"/>
  <c r="AE36" i="20"/>
  <c r="AF36" i="20"/>
  <c r="AG36" i="20"/>
  <c r="AH36" i="20"/>
  <c r="AI36" i="20"/>
  <c r="AJ36" i="20"/>
  <c r="AK36" i="20"/>
  <c r="AL36" i="20"/>
  <c r="AM36" i="20"/>
  <c r="AN36" i="20"/>
  <c r="AO36" i="20"/>
  <c r="AP36" i="20"/>
  <c r="AQ36" i="20"/>
  <c r="I37" i="20"/>
  <c r="J37" i="20"/>
  <c r="K37" i="20"/>
  <c r="L37" i="20"/>
  <c r="M37" i="20"/>
  <c r="N37" i="20"/>
  <c r="O37" i="20"/>
  <c r="P37" i="20"/>
  <c r="Q37" i="20"/>
  <c r="R37" i="20"/>
  <c r="S37" i="20"/>
  <c r="T37" i="20"/>
  <c r="U37" i="20"/>
  <c r="V37" i="20"/>
  <c r="W37" i="20"/>
  <c r="X37" i="20"/>
  <c r="Y37" i="20"/>
  <c r="Z37" i="20"/>
  <c r="AA37" i="20"/>
  <c r="AB37" i="20"/>
  <c r="AC37" i="20"/>
  <c r="AD37" i="20"/>
  <c r="AE37" i="20"/>
  <c r="AF37" i="20"/>
  <c r="AG37" i="20"/>
  <c r="AH37" i="20"/>
  <c r="AI37" i="20"/>
  <c r="AJ37" i="20"/>
  <c r="AK37" i="20"/>
  <c r="AL37" i="20"/>
  <c r="AM37" i="20"/>
  <c r="AN37" i="20"/>
  <c r="AO37" i="20"/>
  <c r="AP37" i="20"/>
  <c r="AQ37" i="20"/>
  <c r="I38" i="20"/>
  <c r="J38" i="20"/>
  <c r="K38" i="20"/>
  <c r="L38" i="20"/>
  <c r="M38" i="20"/>
  <c r="N38" i="20"/>
  <c r="O38" i="20"/>
  <c r="P38" i="20"/>
  <c r="Q38" i="20"/>
  <c r="R38" i="20"/>
  <c r="S38" i="20"/>
  <c r="T38" i="20"/>
  <c r="U38" i="20"/>
  <c r="V38" i="20"/>
  <c r="W38" i="20"/>
  <c r="X38" i="20"/>
  <c r="Y38" i="20"/>
  <c r="Z38" i="20"/>
  <c r="AA38" i="20"/>
  <c r="AB38" i="20"/>
  <c r="AC38" i="20"/>
  <c r="AD38" i="20"/>
  <c r="AE38" i="20"/>
  <c r="AF38" i="20"/>
  <c r="AG38" i="20"/>
  <c r="AH38" i="20"/>
  <c r="AI38" i="20"/>
  <c r="AJ38" i="20"/>
  <c r="AK38" i="20"/>
  <c r="AL38" i="20"/>
  <c r="AM38" i="20"/>
  <c r="AN38" i="20"/>
  <c r="AO38" i="20"/>
  <c r="AP38" i="20"/>
  <c r="AQ38" i="20"/>
  <c r="I39" i="20"/>
  <c r="J39" i="20"/>
  <c r="K39" i="20"/>
  <c r="L39" i="20"/>
  <c r="M39" i="20"/>
  <c r="N39" i="20"/>
  <c r="O39" i="20"/>
  <c r="P39" i="20"/>
  <c r="Q39" i="20"/>
  <c r="R39" i="20"/>
  <c r="S39" i="20"/>
  <c r="T39" i="20"/>
  <c r="U39" i="20"/>
  <c r="V39" i="20"/>
  <c r="W39" i="20"/>
  <c r="X39" i="20"/>
  <c r="Y39" i="20"/>
  <c r="Z39" i="20"/>
  <c r="AA39" i="20"/>
  <c r="AB39" i="20"/>
  <c r="AC39" i="20"/>
  <c r="AD39" i="20"/>
  <c r="AE39" i="20"/>
  <c r="AF39" i="20"/>
  <c r="AG39" i="20"/>
  <c r="AH39" i="20"/>
  <c r="AI39" i="20"/>
  <c r="AJ39" i="20"/>
  <c r="AK39" i="20"/>
  <c r="AL39" i="20"/>
  <c r="AM39" i="20"/>
  <c r="AN39" i="20"/>
  <c r="AO39" i="20"/>
  <c r="AP39" i="20"/>
  <c r="AQ39" i="20"/>
  <c r="I40" i="20"/>
  <c r="J40" i="20"/>
  <c r="K40" i="20"/>
  <c r="L40" i="20"/>
  <c r="M40" i="20"/>
  <c r="N40" i="20"/>
  <c r="O40" i="20"/>
  <c r="P40" i="20"/>
  <c r="Q40" i="20"/>
  <c r="R40" i="20"/>
  <c r="S40" i="20"/>
  <c r="T40" i="20"/>
  <c r="U40" i="20"/>
  <c r="V40" i="20"/>
  <c r="W40" i="20"/>
  <c r="X40" i="20"/>
  <c r="Y40" i="20"/>
  <c r="Z40" i="20"/>
  <c r="AA40" i="20"/>
  <c r="AB40" i="20"/>
  <c r="AC40" i="20"/>
  <c r="AD40" i="20"/>
  <c r="AE40" i="20"/>
  <c r="AF40" i="20"/>
  <c r="AG40" i="20"/>
  <c r="AH40" i="20"/>
  <c r="AI40" i="20"/>
  <c r="AJ40" i="20"/>
  <c r="AK40" i="20"/>
  <c r="AL40" i="20"/>
  <c r="AM40" i="20"/>
  <c r="AN40" i="20"/>
  <c r="AO40" i="20"/>
  <c r="AP40" i="20"/>
  <c r="AQ40" i="20"/>
  <c r="I41" i="20"/>
  <c r="J41" i="20"/>
  <c r="K41" i="20"/>
  <c r="L41" i="20"/>
  <c r="M41" i="20"/>
  <c r="N41" i="20"/>
  <c r="O41" i="20"/>
  <c r="P41" i="20"/>
  <c r="Q41" i="20"/>
  <c r="R41" i="20"/>
  <c r="S41" i="20"/>
  <c r="T41" i="20"/>
  <c r="U41" i="20"/>
  <c r="V41" i="20"/>
  <c r="W41" i="20"/>
  <c r="X41" i="20"/>
  <c r="Y41" i="20"/>
  <c r="Z41" i="20"/>
  <c r="AA41" i="20"/>
  <c r="AB41" i="20"/>
  <c r="AC41" i="20"/>
  <c r="AD41" i="20"/>
  <c r="AE41" i="20"/>
  <c r="AF41" i="20"/>
  <c r="AG41" i="20"/>
  <c r="AH41" i="20"/>
  <c r="AI41" i="20"/>
  <c r="AJ41" i="20"/>
  <c r="AK41" i="20"/>
  <c r="AL41" i="20"/>
  <c r="AM41" i="20"/>
  <c r="AN41" i="20"/>
  <c r="AO41" i="20"/>
  <c r="AP41" i="20"/>
  <c r="AQ41" i="20"/>
  <c r="I42" i="20"/>
  <c r="J42" i="20"/>
  <c r="K42" i="20"/>
  <c r="L42" i="20"/>
  <c r="M42" i="20"/>
  <c r="N42" i="20"/>
  <c r="O42" i="20"/>
  <c r="P42" i="20"/>
  <c r="Q42" i="20"/>
  <c r="R42" i="20"/>
  <c r="S42" i="20"/>
  <c r="T42" i="20"/>
  <c r="U42" i="20"/>
  <c r="V42" i="20"/>
  <c r="W42" i="20"/>
  <c r="X42" i="20"/>
  <c r="Y42" i="20"/>
  <c r="Z42" i="20"/>
  <c r="AA42" i="20"/>
  <c r="AB42" i="20"/>
  <c r="AC42" i="20"/>
  <c r="AD42" i="20"/>
  <c r="AE42" i="20"/>
  <c r="AF42" i="20"/>
  <c r="AG42" i="20"/>
  <c r="AH42" i="20"/>
  <c r="AI42" i="20"/>
  <c r="AJ42" i="20"/>
  <c r="AK42" i="20"/>
  <c r="AL42" i="20"/>
  <c r="AM42" i="20"/>
  <c r="AN42" i="20"/>
  <c r="AO42" i="20"/>
  <c r="AP42" i="20"/>
  <c r="AQ42" i="20"/>
  <c r="I43" i="20"/>
  <c r="J43" i="20"/>
  <c r="K43" i="20"/>
  <c r="L43" i="20"/>
  <c r="M43" i="20"/>
  <c r="N43" i="20"/>
  <c r="O43" i="20"/>
  <c r="P43" i="20"/>
  <c r="Q43" i="20"/>
  <c r="R43" i="20"/>
  <c r="S43" i="20"/>
  <c r="T43" i="20"/>
  <c r="U43" i="20"/>
  <c r="V43" i="20"/>
  <c r="W43" i="20"/>
  <c r="X43" i="20"/>
  <c r="Y43" i="20"/>
  <c r="Z43" i="20"/>
  <c r="AA43" i="20"/>
  <c r="AB43" i="20"/>
  <c r="AC43" i="20"/>
  <c r="AD43" i="20"/>
  <c r="AE43" i="20"/>
  <c r="AF43" i="20"/>
  <c r="AG43" i="20"/>
  <c r="AH43" i="20"/>
  <c r="AI43" i="20"/>
  <c r="AJ43" i="20"/>
  <c r="AK43" i="20"/>
  <c r="AL43" i="20"/>
  <c r="AM43" i="20"/>
  <c r="AN43" i="20"/>
  <c r="AO43" i="20"/>
  <c r="AP43" i="20"/>
  <c r="AQ43" i="20"/>
  <c r="I44" i="20"/>
  <c r="J44" i="20"/>
  <c r="K44" i="20"/>
  <c r="L44" i="20"/>
  <c r="M44" i="20"/>
  <c r="N44" i="20"/>
  <c r="O44" i="20"/>
  <c r="P44" i="20"/>
  <c r="Q44" i="20"/>
  <c r="R44" i="20"/>
  <c r="S44" i="20"/>
  <c r="T44" i="20"/>
  <c r="U44" i="20"/>
  <c r="V44" i="20"/>
  <c r="W44" i="20"/>
  <c r="X44" i="20"/>
  <c r="Y44" i="20"/>
  <c r="Z44" i="20"/>
  <c r="AA44" i="20"/>
  <c r="AB44" i="20"/>
  <c r="AC44" i="20"/>
  <c r="AD44" i="20"/>
  <c r="AE44" i="20"/>
  <c r="AF44" i="20"/>
  <c r="AG44" i="20"/>
  <c r="AH44" i="20"/>
  <c r="AI44" i="20"/>
  <c r="AJ44" i="20"/>
  <c r="AK44" i="20"/>
  <c r="AL44" i="20"/>
  <c r="AM44" i="20"/>
  <c r="AN44" i="20"/>
  <c r="AO44" i="20"/>
  <c r="AP44" i="20"/>
  <c r="AQ44" i="20"/>
  <c r="I45" i="20"/>
  <c r="J45" i="20"/>
  <c r="K45" i="20"/>
  <c r="L45" i="20"/>
  <c r="M45" i="20"/>
  <c r="N45" i="20"/>
  <c r="O45" i="20"/>
  <c r="P45" i="20"/>
  <c r="Q45" i="20"/>
  <c r="R45" i="20"/>
  <c r="S45" i="20"/>
  <c r="T45" i="20"/>
  <c r="U45" i="20"/>
  <c r="V45" i="20"/>
  <c r="W45" i="20"/>
  <c r="X45" i="20"/>
  <c r="Y45" i="20"/>
  <c r="Z45" i="20"/>
  <c r="AA45" i="20"/>
  <c r="AB45" i="20"/>
  <c r="AC45" i="20"/>
  <c r="AD45" i="20"/>
  <c r="AE45" i="20"/>
  <c r="AF45" i="20"/>
  <c r="AG45" i="20"/>
  <c r="AH45" i="20"/>
  <c r="AI45" i="20"/>
  <c r="AJ45" i="20"/>
  <c r="AK45" i="20"/>
  <c r="AL45" i="20"/>
  <c r="AM45" i="20"/>
  <c r="AN45" i="20"/>
  <c r="AO45" i="20"/>
  <c r="AP45" i="20"/>
  <c r="AQ45" i="20"/>
  <c r="I46" i="20"/>
  <c r="J46" i="20"/>
  <c r="K46" i="20"/>
  <c r="L46" i="20"/>
  <c r="M46" i="20"/>
  <c r="N46" i="20"/>
  <c r="O46" i="20"/>
  <c r="P46" i="20"/>
  <c r="Q46" i="20"/>
  <c r="R46" i="20"/>
  <c r="S46" i="20"/>
  <c r="T46" i="20"/>
  <c r="U46" i="20"/>
  <c r="V46" i="20"/>
  <c r="W46" i="20"/>
  <c r="X46" i="20"/>
  <c r="Y46" i="20"/>
  <c r="Z46" i="20"/>
  <c r="AA46" i="20"/>
  <c r="AB46" i="20"/>
  <c r="AC46" i="20"/>
  <c r="AD46" i="20"/>
  <c r="AE46" i="20"/>
  <c r="AF46" i="20"/>
  <c r="AG46" i="20"/>
  <c r="AH46" i="20"/>
  <c r="AI46" i="20"/>
  <c r="AJ46" i="20"/>
  <c r="AK46" i="20"/>
  <c r="AL46" i="20"/>
  <c r="AM46" i="20"/>
  <c r="AN46" i="20"/>
  <c r="AO46" i="20"/>
  <c r="AP46" i="20"/>
  <c r="AQ46" i="20"/>
  <c r="I47" i="20"/>
  <c r="J47" i="20"/>
  <c r="K47" i="20"/>
  <c r="L47" i="20"/>
  <c r="M47" i="20"/>
  <c r="N47" i="20"/>
  <c r="O47" i="20"/>
  <c r="P47" i="20"/>
  <c r="Q47" i="20"/>
  <c r="R47" i="20"/>
  <c r="S47" i="20"/>
  <c r="T47" i="20"/>
  <c r="U47" i="20"/>
  <c r="V47" i="20"/>
  <c r="W47" i="20"/>
  <c r="X47" i="20"/>
  <c r="Y47" i="20"/>
  <c r="Z47" i="20"/>
  <c r="AA47" i="20"/>
  <c r="AB47" i="20"/>
  <c r="AC47" i="20"/>
  <c r="AD47" i="20"/>
  <c r="AE47" i="20"/>
  <c r="AF47" i="20"/>
  <c r="AG47" i="20"/>
  <c r="AH47" i="20"/>
  <c r="AI47" i="20"/>
  <c r="AJ47" i="20"/>
  <c r="AK47" i="20"/>
  <c r="AL47" i="20"/>
  <c r="AM47" i="20"/>
  <c r="AN47" i="20"/>
  <c r="AO47" i="20"/>
  <c r="AP47" i="20"/>
  <c r="AQ47" i="20"/>
  <c r="I48" i="20"/>
  <c r="J48" i="20"/>
  <c r="K48" i="20"/>
  <c r="L48" i="20"/>
  <c r="M48" i="20"/>
  <c r="N48" i="20"/>
  <c r="O48" i="20"/>
  <c r="P48" i="20"/>
  <c r="Q48" i="20"/>
  <c r="R48" i="20"/>
  <c r="S48" i="20"/>
  <c r="T48" i="20"/>
  <c r="U48" i="20"/>
  <c r="V48" i="20"/>
  <c r="W48" i="20"/>
  <c r="X48" i="20"/>
  <c r="Y48" i="20"/>
  <c r="Z48" i="20"/>
  <c r="AA48" i="20"/>
  <c r="AB48" i="20"/>
  <c r="AC48" i="20"/>
  <c r="AD48" i="20"/>
  <c r="AE48" i="20"/>
  <c r="AF48" i="20"/>
  <c r="AG48" i="20"/>
  <c r="AH48" i="20"/>
  <c r="AI48" i="20"/>
  <c r="AJ48" i="20"/>
  <c r="AK48" i="20"/>
  <c r="AL48" i="20"/>
  <c r="AM48" i="20"/>
  <c r="AN48" i="20"/>
  <c r="AO48" i="20"/>
  <c r="AP48" i="20"/>
  <c r="AQ48" i="20"/>
  <c r="I49" i="20"/>
  <c r="J49" i="20"/>
  <c r="K49" i="20"/>
  <c r="L49" i="20"/>
  <c r="M49" i="20"/>
  <c r="N49" i="20"/>
  <c r="O49" i="20"/>
  <c r="P49" i="20"/>
  <c r="Q49" i="20"/>
  <c r="R49" i="20"/>
  <c r="S49" i="20"/>
  <c r="T49" i="20"/>
  <c r="U49" i="20"/>
  <c r="V49" i="20"/>
  <c r="W49" i="20"/>
  <c r="X49" i="20"/>
  <c r="Y49" i="20"/>
  <c r="Z49" i="20"/>
  <c r="AA49" i="20"/>
  <c r="AB49" i="20"/>
  <c r="AC49" i="20"/>
  <c r="AD49" i="20"/>
  <c r="AE49" i="20"/>
  <c r="AF49" i="20"/>
  <c r="AG49" i="20"/>
  <c r="AH49" i="20"/>
  <c r="AI49" i="20"/>
  <c r="AJ49" i="20"/>
  <c r="AK49" i="20"/>
  <c r="AL49" i="20"/>
  <c r="AM49" i="20"/>
  <c r="AN49" i="20"/>
  <c r="AO49" i="20"/>
  <c r="AP49" i="20"/>
  <c r="AQ49" i="20"/>
  <c r="I50" i="20"/>
  <c r="J50" i="20"/>
  <c r="K50" i="20"/>
  <c r="L50" i="20"/>
  <c r="M50" i="20"/>
  <c r="N50" i="20"/>
  <c r="O50" i="20"/>
  <c r="P50" i="20"/>
  <c r="Q50" i="20"/>
  <c r="R50" i="20"/>
  <c r="S50" i="20"/>
  <c r="T50" i="20"/>
  <c r="U50" i="20"/>
  <c r="V50" i="20"/>
  <c r="W50" i="20"/>
  <c r="X50" i="20"/>
  <c r="Y50" i="20"/>
  <c r="Z50" i="20"/>
  <c r="AA50" i="20"/>
  <c r="AB50" i="20"/>
  <c r="AC50" i="20"/>
  <c r="AD50" i="20"/>
  <c r="AE50" i="20"/>
  <c r="AF50" i="20"/>
  <c r="AG50" i="20"/>
  <c r="AH50" i="20"/>
  <c r="AI50" i="20"/>
  <c r="AJ50" i="20"/>
  <c r="AK50" i="20"/>
  <c r="AL50" i="20"/>
  <c r="AM50" i="20"/>
  <c r="AN50" i="20"/>
  <c r="AO50" i="20"/>
  <c r="AP50" i="20"/>
  <c r="AQ50" i="20"/>
  <c r="I51" i="20"/>
  <c r="J51" i="20"/>
  <c r="K51" i="20"/>
  <c r="L51" i="20"/>
  <c r="M51" i="20"/>
  <c r="N51" i="20"/>
  <c r="O51" i="20"/>
  <c r="P51" i="20"/>
  <c r="Q51" i="20"/>
  <c r="R51" i="20"/>
  <c r="S51" i="20"/>
  <c r="T51" i="20"/>
  <c r="U51" i="20"/>
  <c r="V51" i="20"/>
  <c r="W51" i="20"/>
  <c r="X51" i="20"/>
  <c r="Y51" i="20"/>
  <c r="Z51" i="20"/>
  <c r="AA51" i="20"/>
  <c r="AB51" i="20"/>
  <c r="AC51" i="20"/>
  <c r="AD51" i="20"/>
  <c r="AE51" i="20"/>
  <c r="AF51" i="20"/>
  <c r="AG51" i="20"/>
  <c r="AH51" i="20"/>
  <c r="AI51" i="20"/>
  <c r="AJ51" i="20"/>
  <c r="AK51" i="20"/>
  <c r="AL51" i="20"/>
  <c r="AM51" i="20"/>
  <c r="AN51" i="20"/>
  <c r="AO51" i="20"/>
  <c r="AP51" i="20"/>
  <c r="AQ51" i="20"/>
  <c r="I52" i="20"/>
  <c r="J52" i="20"/>
  <c r="K52" i="20"/>
  <c r="L52" i="20"/>
  <c r="M52" i="20"/>
  <c r="N52" i="20"/>
  <c r="O52" i="20"/>
  <c r="P52" i="20"/>
  <c r="Q52" i="20"/>
  <c r="R52" i="20"/>
  <c r="S52" i="20"/>
  <c r="T52" i="20"/>
  <c r="U52" i="20"/>
  <c r="V52" i="20"/>
  <c r="W52" i="20"/>
  <c r="X52" i="20"/>
  <c r="Y52" i="20"/>
  <c r="Z52" i="20"/>
  <c r="AA52" i="20"/>
  <c r="AB52" i="20"/>
  <c r="AC52" i="20"/>
  <c r="AD52" i="20"/>
  <c r="AE52" i="20"/>
  <c r="AF52" i="20"/>
  <c r="AG52" i="20"/>
  <c r="AH52" i="20"/>
  <c r="AI52" i="20"/>
  <c r="AJ52" i="20"/>
  <c r="AK52" i="20"/>
  <c r="AL52" i="20"/>
  <c r="AM52" i="20"/>
  <c r="AN52" i="20"/>
  <c r="AO52" i="20"/>
  <c r="AP52" i="20"/>
  <c r="AQ52" i="20"/>
  <c r="I53" i="20"/>
  <c r="J53" i="20"/>
  <c r="K53" i="20"/>
  <c r="L53" i="20"/>
  <c r="M53" i="20"/>
  <c r="N53" i="20"/>
  <c r="O53" i="20"/>
  <c r="P53" i="20"/>
  <c r="Q53" i="20"/>
  <c r="R53" i="20"/>
  <c r="S53" i="20"/>
  <c r="T53" i="20"/>
  <c r="U53" i="20"/>
  <c r="V53" i="20"/>
  <c r="W53" i="20"/>
  <c r="X53" i="20"/>
  <c r="Y53" i="20"/>
  <c r="Z53" i="20"/>
  <c r="AA53" i="20"/>
  <c r="AB53" i="20"/>
  <c r="AC53" i="20"/>
  <c r="AD53" i="20"/>
  <c r="AE53" i="20"/>
  <c r="AF53" i="20"/>
  <c r="AG53" i="20"/>
  <c r="AH53" i="20"/>
  <c r="AI53" i="20"/>
  <c r="AJ53" i="20"/>
  <c r="AK53" i="20"/>
  <c r="AL53" i="20"/>
  <c r="AM53" i="20"/>
  <c r="AN53" i="20"/>
  <c r="AO53" i="20"/>
  <c r="AP53" i="20"/>
  <c r="AQ53" i="20"/>
  <c r="I54" i="20"/>
  <c r="J54" i="20"/>
  <c r="K54" i="20"/>
  <c r="L54" i="20"/>
  <c r="M54" i="20"/>
  <c r="N54" i="20"/>
  <c r="O54" i="20"/>
  <c r="P54" i="20"/>
  <c r="Q54" i="20"/>
  <c r="R54" i="20"/>
  <c r="S54" i="20"/>
  <c r="T54" i="20"/>
  <c r="U54" i="20"/>
  <c r="V54" i="20"/>
  <c r="W54" i="20"/>
  <c r="X54" i="20"/>
  <c r="Y54" i="20"/>
  <c r="Z54" i="20"/>
  <c r="AA54" i="20"/>
  <c r="AB54" i="20"/>
  <c r="AC54" i="20"/>
  <c r="AD54" i="20"/>
  <c r="AE54" i="20"/>
  <c r="AF54" i="20"/>
  <c r="AG54" i="20"/>
  <c r="AH54" i="20"/>
  <c r="AI54" i="20"/>
  <c r="AJ54" i="20"/>
  <c r="AK54" i="20"/>
  <c r="AL54" i="20"/>
  <c r="AM54" i="20"/>
  <c r="AN54" i="20"/>
  <c r="AO54" i="20"/>
  <c r="AP54" i="20"/>
  <c r="AQ54" i="20"/>
  <c r="I55" i="20"/>
  <c r="J55" i="20"/>
  <c r="K55" i="20"/>
  <c r="L55" i="20"/>
  <c r="M55" i="20"/>
  <c r="N55" i="20"/>
  <c r="O55" i="20"/>
  <c r="P55" i="20"/>
  <c r="Q55" i="20"/>
  <c r="R55" i="20"/>
  <c r="S55" i="20"/>
  <c r="T55" i="20"/>
  <c r="U55" i="20"/>
  <c r="V55" i="20"/>
  <c r="W55" i="20"/>
  <c r="X55" i="20"/>
  <c r="Y55" i="20"/>
  <c r="Z55" i="20"/>
  <c r="AA55" i="20"/>
  <c r="AB55" i="20"/>
  <c r="AC55" i="20"/>
  <c r="AD55" i="20"/>
  <c r="AE55" i="20"/>
  <c r="AF55" i="20"/>
  <c r="AG55" i="20"/>
  <c r="AH55" i="20"/>
  <c r="AI55" i="20"/>
  <c r="AJ55" i="20"/>
  <c r="AK55" i="20"/>
  <c r="AL55" i="20"/>
  <c r="AM55" i="20"/>
  <c r="AN55" i="20"/>
  <c r="AO55" i="20"/>
  <c r="AP55" i="20"/>
  <c r="AQ55" i="20"/>
  <c r="I56" i="20"/>
  <c r="J56" i="20"/>
  <c r="K56" i="20"/>
  <c r="L56" i="20"/>
  <c r="M56" i="20"/>
  <c r="N56" i="20"/>
  <c r="O56" i="20"/>
  <c r="P56" i="20"/>
  <c r="Q56" i="20"/>
  <c r="R56" i="20"/>
  <c r="S56" i="20"/>
  <c r="T56" i="20"/>
  <c r="U56" i="20"/>
  <c r="V56" i="20"/>
  <c r="W56" i="20"/>
  <c r="X56" i="20"/>
  <c r="Y56" i="20"/>
  <c r="Z56" i="20"/>
  <c r="AA56" i="20"/>
  <c r="AB56" i="20"/>
  <c r="AC56" i="20"/>
  <c r="AD56" i="20"/>
  <c r="AE56" i="20"/>
  <c r="AF56" i="20"/>
  <c r="AG56" i="20"/>
  <c r="AH56" i="20"/>
  <c r="AI56" i="20"/>
  <c r="AJ56" i="20"/>
  <c r="AK56" i="20"/>
  <c r="AL56" i="20"/>
  <c r="AM56" i="20"/>
  <c r="AN56" i="20"/>
  <c r="AO56" i="20"/>
  <c r="AP56" i="20"/>
  <c r="AQ56" i="20"/>
  <c r="I57" i="20"/>
  <c r="J57" i="20"/>
  <c r="K57" i="20"/>
  <c r="L57" i="20"/>
  <c r="M57" i="20"/>
  <c r="N57" i="20"/>
  <c r="O57" i="20"/>
  <c r="P57" i="20"/>
  <c r="Q57" i="20"/>
  <c r="R57" i="20"/>
  <c r="S57" i="20"/>
  <c r="T57" i="20"/>
  <c r="U57" i="20"/>
  <c r="V57" i="20"/>
  <c r="W57" i="20"/>
  <c r="X57" i="20"/>
  <c r="Y57" i="20"/>
  <c r="Z57" i="20"/>
  <c r="AA57" i="20"/>
  <c r="AB57" i="20"/>
  <c r="AC57" i="20"/>
  <c r="AD57" i="20"/>
  <c r="AE57" i="20"/>
  <c r="AF57" i="20"/>
  <c r="AG57" i="20"/>
  <c r="AH57" i="20"/>
  <c r="AI57" i="20"/>
  <c r="AJ57" i="20"/>
  <c r="AK57" i="20"/>
  <c r="AL57" i="20"/>
  <c r="AM57" i="20"/>
  <c r="AN57" i="20"/>
  <c r="AO57" i="20"/>
  <c r="AP57" i="20"/>
  <c r="AQ57" i="20"/>
  <c r="I58" i="20"/>
  <c r="J58" i="20"/>
  <c r="K58" i="20"/>
  <c r="L58" i="20"/>
  <c r="M58" i="20"/>
  <c r="N58" i="20"/>
  <c r="O58" i="20"/>
  <c r="P58" i="20"/>
  <c r="Q58" i="20"/>
  <c r="R58" i="20"/>
  <c r="S58" i="20"/>
  <c r="T58" i="20"/>
  <c r="U58" i="20"/>
  <c r="V58" i="20"/>
  <c r="W58" i="20"/>
  <c r="X58" i="20"/>
  <c r="Y58" i="20"/>
  <c r="Z58" i="20"/>
  <c r="AA58" i="20"/>
  <c r="AB58" i="20"/>
  <c r="AC58" i="20"/>
  <c r="AD58" i="20"/>
  <c r="AE58" i="20"/>
  <c r="AF58" i="20"/>
  <c r="AG58" i="20"/>
  <c r="AH58" i="20"/>
  <c r="AI58" i="20"/>
  <c r="AJ58" i="20"/>
  <c r="AK58" i="20"/>
  <c r="AL58" i="20"/>
  <c r="AM58" i="20"/>
  <c r="AN58" i="20"/>
  <c r="AO58" i="20"/>
  <c r="AP58" i="20"/>
  <c r="AQ58" i="20"/>
  <c r="I59" i="20"/>
  <c r="J59" i="20"/>
  <c r="K59" i="20"/>
  <c r="L59" i="20"/>
  <c r="M59" i="20"/>
  <c r="N59" i="20"/>
  <c r="O59" i="20"/>
  <c r="P59" i="20"/>
  <c r="Q59" i="20"/>
  <c r="R59" i="20"/>
  <c r="S59" i="20"/>
  <c r="T59" i="20"/>
  <c r="U59" i="20"/>
  <c r="V59" i="20"/>
  <c r="W59" i="20"/>
  <c r="X59" i="20"/>
  <c r="Y59" i="20"/>
  <c r="Z59" i="20"/>
  <c r="AA59" i="20"/>
  <c r="AB59" i="20"/>
  <c r="AC59" i="20"/>
  <c r="AD59" i="20"/>
  <c r="AE59" i="20"/>
  <c r="AF59" i="20"/>
  <c r="AG59" i="20"/>
  <c r="AH59" i="20"/>
  <c r="AI59" i="20"/>
  <c r="AJ59" i="20"/>
  <c r="AK59" i="20"/>
  <c r="AL59" i="20"/>
  <c r="AM59" i="20"/>
  <c r="AN59" i="20"/>
  <c r="AO59" i="20"/>
  <c r="AP59" i="20"/>
  <c r="AQ59" i="20"/>
  <c r="I60" i="20"/>
  <c r="J60" i="20"/>
  <c r="K60" i="20"/>
  <c r="L60" i="20"/>
  <c r="M60" i="20"/>
  <c r="N60" i="20"/>
  <c r="O60" i="20"/>
  <c r="P60" i="20"/>
  <c r="Q60" i="20"/>
  <c r="R60" i="20"/>
  <c r="S60" i="20"/>
  <c r="T60" i="20"/>
  <c r="U60" i="20"/>
  <c r="V60" i="20"/>
  <c r="W60" i="20"/>
  <c r="X60" i="20"/>
  <c r="Y60" i="20"/>
  <c r="Z60" i="20"/>
  <c r="AA60" i="20"/>
  <c r="AB60" i="20"/>
  <c r="AC60" i="20"/>
  <c r="AD60" i="20"/>
  <c r="AE60" i="20"/>
  <c r="AF60" i="20"/>
  <c r="AG60" i="20"/>
  <c r="AH60" i="20"/>
  <c r="AI60" i="20"/>
  <c r="AJ60" i="20"/>
  <c r="AK60" i="20"/>
  <c r="AL60" i="20"/>
  <c r="AM60" i="20"/>
  <c r="AN60" i="20"/>
  <c r="AO60" i="20"/>
  <c r="AP60" i="20"/>
  <c r="AQ60" i="20"/>
  <c r="I61" i="20"/>
  <c r="J61" i="20"/>
  <c r="K61" i="20"/>
  <c r="L61" i="20"/>
  <c r="M61" i="20"/>
  <c r="N61" i="20"/>
  <c r="O61" i="20"/>
  <c r="P61" i="20"/>
  <c r="Q61" i="20"/>
  <c r="R61" i="20"/>
  <c r="S61" i="20"/>
  <c r="T61" i="20"/>
  <c r="U61" i="20"/>
  <c r="V61" i="20"/>
  <c r="W61" i="20"/>
  <c r="X61" i="20"/>
  <c r="Y61" i="20"/>
  <c r="Z61" i="20"/>
  <c r="AA61" i="20"/>
  <c r="AB61" i="20"/>
  <c r="AC61" i="20"/>
  <c r="AD61" i="20"/>
  <c r="AE61" i="20"/>
  <c r="AF61" i="20"/>
  <c r="AG61" i="20"/>
  <c r="AH61" i="20"/>
  <c r="AI61" i="20"/>
  <c r="AJ61" i="20"/>
  <c r="AK61" i="20"/>
  <c r="AL61" i="20"/>
  <c r="AM61" i="20"/>
  <c r="AN61" i="20"/>
  <c r="AO61" i="20"/>
  <c r="AP61" i="20"/>
  <c r="AQ61" i="20"/>
  <c r="I62" i="20"/>
  <c r="J62" i="20"/>
  <c r="K62" i="20"/>
  <c r="L62" i="20"/>
  <c r="M62" i="20"/>
  <c r="N62" i="20"/>
  <c r="O62" i="20"/>
  <c r="P62" i="20"/>
  <c r="Q62" i="20"/>
  <c r="R62" i="20"/>
  <c r="S62" i="20"/>
  <c r="T62" i="20"/>
  <c r="U62" i="20"/>
  <c r="V62" i="20"/>
  <c r="W62" i="20"/>
  <c r="X62" i="20"/>
  <c r="Y62" i="20"/>
  <c r="Z62" i="20"/>
  <c r="AA62" i="20"/>
  <c r="AB62" i="20"/>
  <c r="AC62" i="20"/>
  <c r="AD62" i="20"/>
  <c r="AE62" i="20"/>
  <c r="AF62" i="20"/>
  <c r="AG62" i="20"/>
  <c r="AH62" i="20"/>
  <c r="AI62" i="20"/>
  <c r="AJ62" i="20"/>
  <c r="AK62" i="20"/>
  <c r="AL62" i="20"/>
  <c r="AM62" i="20"/>
  <c r="AN62" i="20"/>
  <c r="AO62" i="20"/>
  <c r="AP62" i="20"/>
  <c r="AQ62" i="20"/>
  <c r="I63" i="20"/>
  <c r="J63" i="20"/>
  <c r="K63" i="20"/>
  <c r="L63" i="20"/>
  <c r="M63" i="20"/>
  <c r="N63" i="20"/>
  <c r="O63" i="20"/>
  <c r="P63" i="20"/>
  <c r="Q63" i="20"/>
  <c r="R63" i="20"/>
  <c r="S63" i="20"/>
  <c r="T63" i="20"/>
  <c r="U63" i="20"/>
  <c r="V63" i="20"/>
  <c r="W63" i="20"/>
  <c r="X63" i="20"/>
  <c r="Y63" i="20"/>
  <c r="Z63" i="20"/>
  <c r="AA63" i="20"/>
  <c r="AB63" i="20"/>
  <c r="AC63" i="20"/>
  <c r="AD63" i="20"/>
  <c r="AE63" i="20"/>
  <c r="AF63" i="20"/>
  <c r="AG63" i="20"/>
  <c r="AH63" i="20"/>
  <c r="AI63" i="20"/>
  <c r="AJ63" i="20"/>
  <c r="AK63" i="20"/>
  <c r="AL63" i="20"/>
  <c r="AM63" i="20"/>
  <c r="AN63" i="20"/>
  <c r="AO63" i="20"/>
  <c r="AP63" i="20"/>
  <c r="AQ63" i="20"/>
  <c r="I64" i="20"/>
  <c r="J64" i="20"/>
  <c r="K64" i="20"/>
  <c r="L64" i="20"/>
  <c r="M64" i="20"/>
  <c r="N64" i="20"/>
  <c r="O64" i="20"/>
  <c r="P64" i="20"/>
  <c r="Q64" i="20"/>
  <c r="R64" i="20"/>
  <c r="S64" i="20"/>
  <c r="T64" i="20"/>
  <c r="U64" i="20"/>
  <c r="V64" i="20"/>
  <c r="W64" i="20"/>
  <c r="X64" i="20"/>
  <c r="Y64" i="20"/>
  <c r="Z64" i="20"/>
  <c r="AA64" i="20"/>
  <c r="AB64" i="20"/>
  <c r="AC64" i="20"/>
  <c r="AD64" i="20"/>
  <c r="AE64" i="20"/>
  <c r="AF64" i="20"/>
  <c r="AG64" i="20"/>
  <c r="AH64" i="20"/>
  <c r="AI64" i="20"/>
  <c r="AJ64" i="20"/>
  <c r="AK64" i="20"/>
  <c r="AL64" i="20"/>
  <c r="AM64" i="20"/>
  <c r="AN64" i="20"/>
  <c r="AO64" i="20"/>
  <c r="AP64" i="20"/>
  <c r="AQ64" i="20"/>
  <c r="I65" i="20"/>
  <c r="J65" i="20"/>
  <c r="K65" i="20"/>
  <c r="L65" i="20"/>
  <c r="M65" i="20"/>
  <c r="N65" i="20"/>
  <c r="O65" i="20"/>
  <c r="P65" i="20"/>
  <c r="Q65" i="20"/>
  <c r="R65" i="20"/>
  <c r="S65" i="20"/>
  <c r="T65" i="20"/>
  <c r="U65" i="20"/>
  <c r="V65" i="20"/>
  <c r="W65" i="20"/>
  <c r="X65" i="20"/>
  <c r="Y65" i="20"/>
  <c r="Z65" i="20"/>
  <c r="AA65" i="20"/>
  <c r="AB65" i="20"/>
  <c r="AC65" i="20"/>
  <c r="AD65" i="20"/>
  <c r="AE65" i="20"/>
  <c r="AF65" i="20"/>
  <c r="AG65" i="20"/>
  <c r="AH65" i="20"/>
  <c r="AI65" i="20"/>
  <c r="AJ65" i="20"/>
  <c r="AK65" i="20"/>
  <c r="AL65" i="20"/>
  <c r="AM65" i="20"/>
  <c r="AN65" i="20"/>
  <c r="AO65" i="20"/>
  <c r="AP65" i="20"/>
  <c r="AQ65" i="20"/>
  <c r="I66" i="20"/>
  <c r="J66" i="20"/>
  <c r="K66" i="20"/>
  <c r="L66" i="20"/>
  <c r="M66" i="20"/>
  <c r="N66" i="20"/>
  <c r="O66" i="20"/>
  <c r="P66" i="20"/>
  <c r="Q66" i="20"/>
  <c r="R66" i="20"/>
  <c r="S66" i="20"/>
  <c r="T66" i="20"/>
  <c r="U66" i="20"/>
  <c r="V66" i="20"/>
  <c r="W66" i="20"/>
  <c r="X66" i="20"/>
  <c r="Y66" i="20"/>
  <c r="Z66" i="20"/>
  <c r="AA66" i="20"/>
  <c r="AB66" i="20"/>
  <c r="AC66" i="20"/>
  <c r="AD66" i="20"/>
  <c r="AE66" i="20"/>
  <c r="AF66" i="20"/>
  <c r="AG66" i="20"/>
  <c r="AH66" i="20"/>
  <c r="AI66" i="20"/>
  <c r="AJ66" i="20"/>
  <c r="AK66" i="20"/>
  <c r="AL66" i="20"/>
  <c r="AM66" i="20"/>
  <c r="AN66" i="20"/>
  <c r="AO66" i="20"/>
  <c r="AP66" i="20"/>
  <c r="AQ66" i="20"/>
  <c r="I67" i="20"/>
  <c r="J67" i="20"/>
  <c r="K67" i="20"/>
  <c r="L67" i="20"/>
  <c r="M67" i="20"/>
  <c r="N67" i="20"/>
  <c r="O67" i="20"/>
  <c r="P67" i="20"/>
  <c r="Q67" i="20"/>
  <c r="R67" i="20"/>
  <c r="S67" i="20"/>
  <c r="T67" i="20"/>
  <c r="U67" i="20"/>
  <c r="V67" i="20"/>
  <c r="W67" i="20"/>
  <c r="X67" i="20"/>
  <c r="Y67" i="20"/>
  <c r="Z67" i="20"/>
  <c r="AA67" i="20"/>
  <c r="AB67" i="20"/>
  <c r="AC67" i="20"/>
  <c r="AD67" i="20"/>
  <c r="AE67" i="20"/>
  <c r="AF67" i="20"/>
  <c r="AG67" i="20"/>
  <c r="AH67" i="20"/>
  <c r="AI67" i="20"/>
  <c r="AJ67" i="20"/>
  <c r="AK67" i="20"/>
  <c r="AL67" i="20"/>
  <c r="AM67" i="20"/>
  <c r="AN67" i="20"/>
  <c r="AO67" i="20"/>
  <c r="AP67" i="20"/>
  <c r="AQ67" i="20"/>
  <c r="I68" i="20"/>
  <c r="J68" i="20"/>
  <c r="K68" i="20"/>
  <c r="L68" i="20"/>
  <c r="M68" i="20"/>
  <c r="N68" i="20"/>
  <c r="O68" i="20"/>
  <c r="P68" i="20"/>
  <c r="Q68" i="20"/>
  <c r="R68" i="20"/>
  <c r="S68" i="20"/>
  <c r="T68" i="20"/>
  <c r="U68" i="20"/>
  <c r="V68" i="20"/>
  <c r="W68" i="20"/>
  <c r="X68" i="20"/>
  <c r="Y68" i="20"/>
  <c r="Z68" i="20"/>
  <c r="AA68" i="20"/>
  <c r="AB68" i="20"/>
  <c r="AC68" i="20"/>
  <c r="AD68" i="20"/>
  <c r="AE68" i="20"/>
  <c r="AF68" i="20"/>
  <c r="AG68" i="20"/>
  <c r="AH68" i="20"/>
  <c r="AI68" i="20"/>
  <c r="AJ68" i="20"/>
  <c r="AK68" i="20"/>
  <c r="AL68" i="20"/>
  <c r="AM68" i="20"/>
  <c r="AN68" i="20"/>
  <c r="AO68" i="20"/>
  <c r="AP68" i="20"/>
  <c r="AQ68" i="20"/>
  <c r="I69" i="20"/>
  <c r="J69" i="20"/>
  <c r="K69" i="20"/>
  <c r="L69" i="20"/>
  <c r="M69" i="20"/>
  <c r="N69" i="20"/>
  <c r="O69" i="20"/>
  <c r="P69" i="20"/>
  <c r="Q69" i="20"/>
  <c r="R69" i="20"/>
  <c r="S69" i="20"/>
  <c r="T69" i="20"/>
  <c r="U69" i="20"/>
  <c r="V69" i="20"/>
  <c r="W69" i="20"/>
  <c r="X69" i="20"/>
  <c r="Y69" i="20"/>
  <c r="Z69" i="20"/>
  <c r="AA69" i="20"/>
  <c r="AB69" i="20"/>
  <c r="AC69" i="20"/>
  <c r="AD69" i="20"/>
  <c r="AE69" i="20"/>
  <c r="AF69" i="20"/>
  <c r="AG69" i="20"/>
  <c r="AH69" i="20"/>
  <c r="AI69" i="20"/>
  <c r="AJ69" i="20"/>
  <c r="AK69" i="20"/>
  <c r="AL69" i="20"/>
  <c r="AM69" i="20"/>
  <c r="AN69" i="20"/>
  <c r="AO69" i="20"/>
  <c r="AP69" i="20"/>
  <c r="AQ69" i="20"/>
  <c r="I70" i="20"/>
  <c r="J70" i="20"/>
  <c r="K70" i="20"/>
  <c r="L70" i="20"/>
  <c r="M70" i="20"/>
  <c r="N70" i="20"/>
  <c r="O70" i="20"/>
  <c r="P70" i="20"/>
  <c r="Q70" i="20"/>
  <c r="R70" i="20"/>
  <c r="S70" i="20"/>
  <c r="T70" i="20"/>
  <c r="U70" i="20"/>
  <c r="V70" i="20"/>
  <c r="W70" i="20"/>
  <c r="X70" i="20"/>
  <c r="Y70" i="20"/>
  <c r="Z70" i="20"/>
  <c r="AA70" i="20"/>
  <c r="AB70" i="20"/>
  <c r="AC70" i="20"/>
  <c r="AD70" i="20"/>
  <c r="AE70" i="20"/>
  <c r="AF70" i="20"/>
  <c r="AG70" i="20"/>
  <c r="AH70" i="20"/>
  <c r="AI70" i="20"/>
  <c r="AJ70" i="20"/>
  <c r="AK70" i="20"/>
  <c r="AL70" i="20"/>
  <c r="AM70" i="20"/>
  <c r="AN70" i="20"/>
  <c r="AO70" i="20"/>
  <c r="AP70" i="20"/>
  <c r="AQ70" i="20"/>
  <c r="I71" i="20"/>
  <c r="J71" i="20"/>
  <c r="K71" i="20"/>
  <c r="L71" i="20"/>
  <c r="M71" i="20"/>
  <c r="N71" i="20"/>
  <c r="O71" i="20"/>
  <c r="P71" i="20"/>
  <c r="Q71" i="20"/>
  <c r="R71" i="20"/>
  <c r="S71" i="20"/>
  <c r="T71" i="20"/>
  <c r="U71" i="20"/>
  <c r="V71" i="20"/>
  <c r="W71" i="20"/>
  <c r="X71" i="20"/>
  <c r="Y71" i="20"/>
  <c r="Z71" i="20"/>
  <c r="AA71" i="20"/>
  <c r="AB71" i="20"/>
  <c r="AC71" i="20"/>
  <c r="AD71" i="20"/>
  <c r="AE71" i="20"/>
  <c r="AF71" i="20"/>
  <c r="AG71" i="20"/>
  <c r="AH71" i="20"/>
  <c r="AI71" i="20"/>
  <c r="AJ71" i="20"/>
  <c r="AK71" i="20"/>
  <c r="AL71" i="20"/>
  <c r="AM71" i="20"/>
  <c r="AN71" i="20"/>
  <c r="AO71" i="20"/>
  <c r="AP71" i="20"/>
  <c r="AQ71" i="20"/>
  <c r="I72" i="20"/>
  <c r="J72" i="20"/>
  <c r="K72" i="20"/>
  <c r="L72" i="20"/>
  <c r="M72" i="20"/>
  <c r="N72" i="20"/>
  <c r="O72" i="20"/>
  <c r="P72" i="20"/>
  <c r="Q72" i="20"/>
  <c r="R72" i="20"/>
  <c r="S72" i="20"/>
  <c r="T72" i="20"/>
  <c r="U72" i="20"/>
  <c r="V72" i="20"/>
  <c r="W72" i="20"/>
  <c r="X72" i="20"/>
  <c r="Y72" i="20"/>
  <c r="Z72" i="20"/>
  <c r="AA72" i="20"/>
  <c r="AB72" i="20"/>
  <c r="AC72" i="20"/>
  <c r="AD72" i="20"/>
  <c r="AE72" i="20"/>
  <c r="AF72" i="20"/>
  <c r="AG72" i="20"/>
  <c r="AH72" i="20"/>
  <c r="AI72" i="20"/>
  <c r="AJ72" i="20"/>
  <c r="AK72" i="20"/>
  <c r="AL72" i="20"/>
  <c r="AM72" i="20"/>
  <c r="AN72" i="20"/>
  <c r="AO72" i="20"/>
  <c r="AP72" i="20"/>
  <c r="AQ72" i="20"/>
  <c r="I73" i="20"/>
  <c r="J73" i="20"/>
  <c r="K73" i="20"/>
  <c r="L73" i="20"/>
  <c r="M73" i="20"/>
  <c r="N73" i="20"/>
  <c r="O73" i="20"/>
  <c r="P73" i="20"/>
  <c r="Q73" i="20"/>
  <c r="R73" i="20"/>
  <c r="S73" i="20"/>
  <c r="T73" i="20"/>
  <c r="U73" i="20"/>
  <c r="V73" i="20"/>
  <c r="W73" i="20"/>
  <c r="X73" i="20"/>
  <c r="Y73" i="20"/>
  <c r="Z73" i="20"/>
  <c r="AA73" i="20"/>
  <c r="AB73" i="20"/>
  <c r="AC73" i="20"/>
  <c r="AD73" i="20"/>
  <c r="AE73" i="20"/>
  <c r="AF73" i="20"/>
  <c r="AG73" i="20"/>
  <c r="AH73" i="20"/>
  <c r="AI73" i="20"/>
  <c r="AJ73" i="20"/>
  <c r="AK73" i="20"/>
  <c r="AL73" i="20"/>
  <c r="AM73" i="20"/>
  <c r="AN73" i="20"/>
  <c r="AO73" i="20"/>
  <c r="AP73" i="20"/>
  <c r="AQ73" i="20"/>
  <c r="I74" i="20"/>
  <c r="J74" i="20"/>
  <c r="K74" i="20"/>
  <c r="L74" i="20"/>
  <c r="M74" i="20"/>
  <c r="N74" i="20"/>
  <c r="O74" i="20"/>
  <c r="P74" i="20"/>
  <c r="Q74" i="20"/>
  <c r="R74" i="20"/>
  <c r="S74" i="20"/>
  <c r="T74" i="20"/>
  <c r="U74" i="20"/>
  <c r="V74" i="20"/>
  <c r="W74" i="20"/>
  <c r="X74" i="20"/>
  <c r="Y74" i="20"/>
  <c r="Z74" i="20"/>
  <c r="AA74" i="20"/>
  <c r="AB74" i="20"/>
  <c r="AC74" i="20"/>
  <c r="AD74" i="20"/>
  <c r="AE74" i="20"/>
  <c r="AF74" i="20"/>
  <c r="AG74" i="20"/>
  <c r="AH74" i="20"/>
  <c r="AI74" i="20"/>
  <c r="AJ74" i="20"/>
  <c r="AK74" i="20"/>
  <c r="AL74" i="20"/>
  <c r="AN74" i="20"/>
  <c r="AO74" i="20"/>
  <c r="AP74" i="20"/>
  <c r="AQ74" i="20"/>
  <c r="I75" i="20"/>
  <c r="J75" i="20"/>
  <c r="K75" i="20"/>
  <c r="L75" i="20"/>
  <c r="M75" i="20"/>
  <c r="N75" i="20"/>
  <c r="O75" i="20"/>
  <c r="P75" i="20"/>
  <c r="Q75" i="20"/>
  <c r="R75" i="20"/>
  <c r="S75" i="20"/>
  <c r="T75" i="20"/>
  <c r="U75" i="20"/>
  <c r="V75" i="20"/>
  <c r="W75" i="20"/>
  <c r="X75" i="20"/>
  <c r="Y75" i="20"/>
  <c r="Z75" i="20"/>
  <c r="AA75" i="20"/>
  <c r="AB75" i="20"/>
  <c r="AC75" i="20"/>
  <c r="AD75" i="20"/>
  <c r="AE75" i="20"/>
  <c r="AF75" i="20"/>
  <c r="AG75" i="20"/>
  <c r="AH75" i="20"/>
  <c r="AI75" i="20"/>
  <c r="AJ75" i="20"/>
  <c r="AK75" i="20"/>
  <c r="AL75" i="20"/>
  <c r="AM75" i="20"/>
  <c r="AN75" i="20"/>
  <c r="AO75" i="20"/>
  <c r="AP75" i="20"/>
  <c r="AQ75" i="20"/>
  <c r="I76" i="20"/>
  <c r="J76" i="20"/>
  <c r="K76" i="20"/>
  <c r="L76" i="20"/>
  <c r="M76" i="20"/>
  <c r="N76" i="20"/>
  <c r="O76" i="20"/>
  <c r="P76" i="20"/>
  <c r="Q76" i="20"/>
  <c r="R76" i="20"/>
  <c r="S76" i="20"/>
  <c r="T76" i="20"/>
  <c r="U76" i="20"/>
  <c r="V76" i="20"/>
  <c r="W76" i="20"/>
  <c r="X76" i="20"/>
  <c r="Y76" i="20"/>
  <c r="Z76" i="20"/>
  <c r="AA76" i="20"/>
  <c r="AB76" i="20"/>
  <c r="AC76" i="20"/>
  <c r="AD76" i="20"/>
  <c r="AE76" i="20"/>
  <c r="AF76" i="20"/>
  <c r="AG76" i="20"/>
  <c r="AH76" i="20"/>
  <c r="AI76" i="20"/>
  <c r="AJ76" i="20"/>
  <c r="AK76" i="20"/>
  <c r="AL76" i="20"/>
  <c r="AM76" i="20"/>
  <c r="AN76" i="20"/>
  <c r="AO76" i="20"/>
  <c r="AP76" i="20"/>
  <c r="AQ76" i="20"/>
  <c r="I77" i="20"/>
  <c r="J77" i="20"/>
  <c r="K77" i="20"/>
  <c r="L77" i="20"/>
  <c r="M77" i="20"/>
  <c r="N77" i="20"/>
  <c r="O77" i="20"/>
  <c r="P77" i="20"/>
  <c r="Q77" i="20"/>
  <c r="R77" i="20"/>
  <c r="S77" i="20"/>
  <c r="T77" i="20"/>
  <c r="U77" i="20"/>
  <c r="V77" i="20"/>
  <c r="W77" i="20"/>
  <c r="X77" i="20"/>
  <c r="Y77" i="20"/>
  <c r="Z77" i="20"/>
  <c r="AA77" i="20"/>
  <c r="AB77" i="20"/>
  <c r="AC77" i="20"/>
  <c r="AD77" i="20"/>
  <c r="AE77" i="20"/>
  <c r="AF77" i="20"/>
  <c r="AG77" i="20"/>
  <c r="AH77" i="20"/>
  <c r="AI77" i="20"/>
  <c r="AJ77" i="20"/>
  <c r="AK77" i="20"/>
  <c r="AL77" i="20"/>
  <c r="AM77" i="20"/>
  <c r="AN77" i="20"/>
  <c r="AO77" i="20"/>
  <c r="AP77" i="20"/>
  <c r="AQ77" i="20"/>
  <c r="I78" i="20"/>
  <c r="J78" i="20"/>
  <c r="K78" i="20"/>
  <c r="L78" i="20"/>
  <c r="M78" i="20"/>
  <c r="N78" i="20"/>
  <c r="O78" i="20"/>
  <c r="P78" i="20"/>
  <c r="Q78" i="20"/>
  <c r="R78" i="20"/>
  <c r="S78" i="20"/>
  <c r="T78" i="20"/>
  <c r="U78" i="20"/>
  <c r="V78" i="20"/>
  <c r="W78" i="20"/>
  <c r="X78" i="20"/>
  <c r="Y78" i="20"/>
  <c r="Z78" i="20"/>
  <c r="AA78" i="20"/>
  <c r="AB78" i="20"/>
  <c r="AC78" i="20"/>
  <c r="AD78" i="20"/>
  <c r="AE78" i="20"/>
  <c r="AF78" i="20"/>
  <c r="AG78" i="20"/>
  <c r="AH78" i="20"/>
  <c r="AI78" i="20"/>
  <c r="AJ78" i="20"/>
  <c r="AK78" i="20"/>
  <c r="AL78" i="20"/>
  <c r="AM78" i="20"/>
  <c r="AN78" i="20"/>
  <c r="AO78" i="20"/>
  <c r="AP78" i="20"/>
  <c r="AQ78" i="20"/>
  <c r="I79" i="20"/>
  <c r="J79" i="20"/>
  <c r="K79" i="20"/>
  <c r="L79" i="20"/>
  <c r="M79" i="20"/>
  <c r="N79" i="20"/>
  <c r="O79" i="20"/>
  <c r="P79" i="20"/>
  <c r="Q79" i="20"/>
  <c r="R79" i="20"/>
  <c r="S79" i="20"/>
  <c r="T79" i="20"/>
  <c r="U79" i="20"/>
  <c r="V79" i="20"/>
  <c r="W79" i="20"/>
  <c r="X79" i="20"/>
  <c r="Y79" i="20"/>
  <c r="Z79" i="20"/>
  <c r="AA79" i="20"/>
  <c r="AB79" i="20"/>
  <c r="AC79" i="20"/>
  <c r="AD79" i="20"/>
  <c r="AE79" i="20"/>
  <c r="AF79" i="20"/>
  <c r="AG79" i="20"/>
  <c r="AH79" i="20"/>
  <c r="AI79" i="20"/>
  <c r="AJ79" i="20"/>
  <c r="AK79" i="20"/>
  <c r="AL79" i="20"/>
  <c r="AM79" i="20"/>
  <c r="AN79" i="20"/>
  <c r="AO79" i="20"/>
  <c r="AP79" i="20"/>
  <c r="AQ79" i="20"/>
  <c r="I80" i="20"/>
  <c r="J80" i="20"/>
  <c r="K80" i="20"/>
  <c r="L80" i="20"/>
  <c r="M80" i="20"/>
  <c r="N80" i="20"/>
  <c r="O80" i="20"/>
  <c r="P80" i="20"/>
  <c r="Q80" i="20"/>
  <c r="R80" i="20"/>
  <c r="S80" i="20"/>
  <c r="T80" i="20"/>
  <c r="U80" i="20"/>
  <c r="V80" i="20"/>
  <c r="W80" i="20"/>
  <c r="X80" i="20"/>
  <c r="Y80" i="20"/>
  <c r="Z80" i="20"/>
  <c r="AA80" i="20"/>
  <c r="AB80" i="20"/>
  <c r="AC80" i="20"/>
  <c r="AD80" i="20"/>
  <c r="AE80" i="20"/>
  <c r="AF80" i="20"/>
  <c r="AG80" i="20"/>
  <c r="AH80" i="20"/>
  <c r="AI80" i="20"/>
  <c r="AJ80" i="20"/>
  <c r="AK80" i="20"/>
  <c r="AL80" i="20"/>
  <c r="AM80" i="20"/>
  <c r="AN80" i="20"/>
  <c r="AO80" i="20"/>
  <c r="AP80" i="20"/>
  <c r="AQ80" i="20"/>
  <c r="I81" i="20"/>
  <c r="J81" i="20"/>
  <c r="K81" i="20"/>
  <c r="L81" i="20"/>
  <c r="M81" i="20"/>
  <c r="N81" i="20"/>
  <c r="O81" i="20"/>
  <c r="P81" i="20"/>
  <c r="Q81" i="20"/>
  <c r="R81" i="20"/>
  <c r="S81" i="20"/>
  <c r="T81" i="20"/>
  <c r="U81" i="20"/>
  <c r="V81" i="20"/>
  <c r="W81" i="20"/>
  <c r="X81" i="20"/>
  <c r="Y81" i="20"/>
  <c r="Z81" i="20"/>
  <c r="AA81" i="20"/>
  <c r="AB81" i="20"/>
  <c r="AC81" i="20"/>
  <c r="AD81" i="20"/>
  <c r="AE81" i="20"/>
  <c r="AF81" i="20"/>
  <c r="AG81" i="20"/>
  <c r="AH81" i="20"/>
  <c r="AI81" i="20"/>
  <c r="AJ81" i="20"/>
  <c r="AK81" i="20"/>
  <c r="AL81" i="20"/>
  <c r="AM81" i="20"/>
  <c r="AN81" i="20"/>
  <c r="AO81" i="20"/>
  <c r="AP81" i="20"/>
  <c r="AQ81" i="20"/>
  <c r="I82" i="20"/>
  <c r="J82" i="20"/>
  <c r="K82" i="20"/>
  <c r="L82" i="20"/>
  <c r="M82" i="20"/>
  <c r="N82" i="20"/>
  <c r="O82" i="20"/>
  <c r="P82" i="20"/>
  <c r="Q82" i="20"/>
  <c r="R82" i="20"/>
  <c r="S82" i="20"/>
  <c r="T82" i="20"/>
  <c r="U82" i="20"/>
  <c r="V82" i="20"/>
  <c r="W82" i="20"/>
  <c r="X82" i="20"/>
  <c r="Y82" i="20"/>
  <c r="Z82" i="20"/>
  <c r="AA82" i="20"/>
  <c r="AB82" i="20"/>
  <c r="AC82" i="20"/>
  <c r="AD82" i="20"/>
  <c r="AE82" i="20"/>
  <c r="AF82" i="20"/>
  <c r="AG82" i="20"/>
  <c r="AH82" i="20"/>
  <c r="AI82" i="20"/>
  <c r="AJ82" i="20"/>
  <c r="AK82" i="20"/>
  <c r="AL82" i="20"/>
  <c r="AM82" i="20"/>
  <c r="AN82" i="20"/>
  <c r="AO82" i="20"/>
  <c r="AP82" i="20"/>
  <c r="AQ82" i="20"/>
  <c r="I83" i="20"/>
  <c r="J83" i="20"/>
  <c r="K83" i="20"/>
  <c r="L83" i="20"/>
  <c r="M83" i="20"/>
  <c r="N83" i="20"/>
  <c r="O83" i="20"/>
  <c r="P83" i="20"/>
  <c r="Q83" i="20"/>
  <c r="R83" i="20"/>
  <c r="S83" i="20"/>
  <c r="T83" i="20"/>
  <c r="U83" i="20"/>
  <c r="V83" i="20"/>
  <c r="W83" i="20"/>
  <c r="X83" i="20"/>
  <c r="Y83" i="20"/>
  <c r="Z83" i="20"/>
  <c r="AA83" i="20"/>
  <c r="AB83" i="20"/>
  <c r="AC83" i="20"/>
  <c r="AD83" i="20"/>
  <c r="AE83" i="20"/>
  <c r="AF83" i="20"/>
  <c r="AG83" i="20"/>
  <c r="AH83" i="20"/>
  <c r="AI83" i="20"/>
  <c r="AJ83" i="20"/>
  <c r="AK83" i="20"/>
  <c r="AL83" i="20"/>
  <c r="AM83" i="20"/>
  <c r="AN83" i="20"/>
  <c r="AO83" i="20"/>
  <c r="AP83" i="20"/>
  <c r="AQ83" i="20"/>
  <c r="I84" i="20"/>
  <c r="J84" i="20"/>
  <c r="K84" i="20"/>
  <c r="L84" i="20"/>
  <c r="M84" i="20"/>
  <c r="N84" i="20"/>
  <c r="O84" i="20"/>
  <c r="P84" i="20"/>
  <c r="Q84" i="20"/>
  <c r="R84" i="20"/>
  <c r="S84" i="20"/>
  <c r="T84" i="20"/>
  <c r="U84" i="20"/>
  <c r="V84" i="20"/>
  <c r="W84" i="20"/>
  <c r="X84" i="20"/>
  <c r="Y84" i="20"/>
  <c r="Z84" i="20"/>
  <c r="AA84" i="20"/>
  <c r="AB84" i="20"/>
  <c r="AC84" i="20"/>
  <c r="AD84" i="20"/>
  <c r="AE84" i="20"/>
  <c r="AF84" i="20"/>
  <c r="AG84" i="20"/>
  <c r="AH84" i="20"/>
  <c r="AI84" i="20"/>
  <c r="AJ84" i="20"/>
  <c r="AK84" i="20"/>
  <c r="AL84" i="20"/>
  <c r="AM84" i="20"/>
  <c r="AN84" i="20"/>
  <c r="AO84" i="20"/>
  <c r="AP84" i="20"/>
  <c r="AQ84" i="20"/>
  <c r="I85" i="20"/>
  <c r="J85" i="20"/>
  <c r="K85" i="20"/>
  <c r="L85" i="20"/>
  <c r="M85" i="20"/>
  <c r="N85" i="20"/>
  <c r="O85" i="20"/>
  <c r="P85" i="20"/>
  <c r="Q85" i="20"/>
  <c r="R85" i="20"/>
  <c r="S85" i="20"/>
  <c r="T85" i="20"/>
  <c r="U85" i="20"/>
  <c r="V85" i="20"/>
  <c r="W85" i="20"/>
  <c r="X85" i="20"/>
  <c r="Y85" i="20"/>
  <c r="Z85" i="20"/>
  <c r="AA85" i="20"/>
  <c r="AB85" i="20"/>
  <c r="AC85" i="20"/>
  <c r="AD85" i="20"/>
  <c r="AE85" i="20"/>
  <c r="AF85" i="20"/>
  <c r="AG85" i="20"/>
  <c r="AH85" i="20"/>
  <c r="AI85" i="20"/>
  <c r="AJ85" i="20"/>
  <c r="AK85" i="20"/>
  <c r="AL85" i="20"/>
  <c r="AM85" i="20"/>
  <c r="AN85" i="20"/>
  <c r="AO85" i="20"/>
  <c r="AP85" i="20"/>
  <c r="AQ85" i="20"/>
  <c r="I86" i="20"/>
  <c r="J86" i="20"/>
  <c r="K86" i="20"/>
  <c r="L86" i="20"/>
  <c r="M86" i="20"/>
  <c r="N86" i="20"/>
  <c r="O86" i="20"/>
  <c r="P86" i="20"/>
  <c r="Q86" i="20"/>
  <c r="R86" i="20"/>
  <c r="S86" i="20"/>
  <c r="T86" i="20"/>
  <c r="U86" i="20"/>
  <c r="V86" i="20"/>
  <c r="W86" i="20"/>
  <c r="X86" i="20"/>
  <c r="Y86" i="20"/>
  <c r="Z86" i="20"/>
  <c r="AA86" i="20"/>
  <c r="AB86" i="20"/>
  <c r="AC86" i="20"/>
  <c r="AD86" i="20"/>
  <c r="AE86" i="20"/>
  <c r="AF86" i="20"/>
  <c r="AG86" i="20"/>
  <c r="AH86" i="20"/>
  <c r="AI86" i="20"/>
  <c r="AJ86" i="20"/>
  <c r="AK86" i="20"/>
  <c r="AL86" i="20"/>
  <c r="AM86" i="20"/>
  <c r="AN86" i="20"/>
  <c r="AO86" i="20"/>
  <c r="AP86" i="20"/>
  <c r="AQ86" i="20"/>
  <c r="I87" i="20"/>
  <c r="J87" i="20"/>
  <c r="K87" i="20"/>
  <c r="L87" i="20"/>
  <c r="M87" i="20"/>
  <c r="N87" i="20"/>
  <c r="O87" i="20"/>
  <c r="P87" i="20"/>
  <c r="Q87" i="20"/>
  <c r="R87" i="20"/>
  <c r="S87" i="20"/>
  <c r="T87" i="20"/>
  <c r="U87" i="20"/>
  <c r="V87" i="20"/>
  <c r="W87" i="20"/>
  <c r="X87" i="20"/>
  <c r="Y87" i="20"/>
  <c r="Z87" i="20"/>
  <c r="AA87" i="20"/>
  <c r="AB87" i="20"/>
  <c r="AC87" i="20"/>
  <c r="AD87" i="20"/>
  <c r="AE87" i="20"/>
  <c r="AF87" i="20"/>
  <c r="AG87" i="20"/>
  <c r="AH87" i="20"/>
  <c r="AI87" i="20"/>
  <c r="AJ87" i="20"/>
  <c r="AK87" i="20"/>
  <c r="AL87" i="20"/>
  <c r="AM87" i="20"/>
  <c r="AN87" i="20"/>
  <c r="AO87" i="20"/>
  <c r="AP87" i="20"/>
  <c r="AQ87" i="20"/>
  <c r="I88" i="20"/>
  <c r="J88" i="20"/>
  <c r="K88" i="20"/>
  <c r="L88" i="20"/>
  <c r="M88" i="20"/>
  <c r="N88" i="20"/>
  <c r="O88" i="20"/>
  <c r="P88" i="20"/>
  <c r="Q88" i="20"/>
  <c r="R88" i="20"/>
  <c r="S88" i="20"/>
  <c r="T88" i="20"/>
  <c r="U88" i="20"/>
  <c r="V88" i="20"/>
  <c r="W88" i="20"/>
  <c r="X88" i="20"/>
  <c r="Y88" i="20"/>
  <c r="Z88" i="20"/>
  <c r="AA88" i="20"/>
  <c r="AB88" i="20"/>
  <c r="AC88" i="20"/>
  <c r="AD88" i="20"/>
  <c r="AE88" i="20"/>
  <c r="AF88" i="20"/>
  <c r="AG88" i="20"/>
  <c r="AH88" i="20"/>
  <c r="AI88" i="20"/>
  <c r="AJ88" i="20"/>
  <c r="AK88" i="20"/>
  <c r="AL88" i="20"/>
  <c r="AM88" i="20"/>
  <c r="AN88" i="20"/>
  <c r="AO88" i="20"/>
  <c r="AP88" i="20"/>
  <c r="AQ88" i="20"/>
  <c r="I89" i="20"/>
  <c r="J89" i="20"/>
  <c r="K89" i="20"/>
  <c r="L89" i="20"/>
  <c r="M89" i="20"/>
  <c r="N89" i="20"/>
  <c r="O89" i="20"/>
  <c r="P89" i="20"/>
  <c r="Q89" i="20"/>
  <c r="R89" i="20"/>
  <c r="S89" i="20"/>
  <c r="T89" i="20"/>
  <c r="U89" i="20"/>
  <c r="V89" i="20"/>
  <c r="W89" i="20"/>
  <c r="X89" i="20"/>
  <c r="Y89" i="20"/>
  <c r="Z89" i="20"/>
  <c r="AA89" i="20"/>
  <c r="AB89" i="20"/>
  <c r="AC89" i="20"/>
  <c r="AD89" i="20"/>
  <c r="AE89" i="20"/>
  <c r="AF89" i="20"/>
  <c r="AG89" i="20"/>
  <c r="AH89" i="20"/>
  <c r="AI89" i="20"/>
  <c r="AJ89" i="20"/>
  <c r="AK89" i="20"/>
  <c r="AL89" i="20"/>
  <c r="AM89" i="20"/>
  <c r="AN89" i="20"/>
  <c r="AO89" i="20"/>
  <c r="AP89" i="20"/>
  <c r="AQ89" i="20"/>
  <c r="I90" i="20"/>
  <c r="J90" i="20"/>
  <c r="K90" i="20"/>
  <c r="L90" i="20"/>
  <c r="M90" i="20"/>
  <c r="N90" i="20"/>
  <c r="O90" i="20"/>
  <c r="P90" i="20"/>
  <c r="Q90" i="20"/>
  <c r="R90" i="20"/>
  <c r="S90" i="20"/>
  <c r="T90" i="20"/>
  <c r="U90" i="20"/>
  <c r="V90" i="20"/>
  <c r="W90" i="20"/>
  <c r="X90" i="20"/>
  <c r="Y90" i="20"/>
  <c r="Z90" i="20"/>
  <c r="AA90" i="20"/>
  <c r="AB90" i="20"/>
  <c r="AC90" i="20"/>
  <c r="AD90" i="20"/>
  <c r="AE90" i="20"/>
  <c r="AF90" i="20"/>
  <c r="AG90" i="20"/>
  <c r="AH90" i="20"/>
  <c r="AI90" i="20"/>
  <c r="AJ90" i="20"/>
  <c r="AK90" i="20"/>
  <c r="AL90" i="20"/>
  <c r="AM90" i="20"/>
  <c r="AN90" i="20"/>
  <c r="AO90" i="20"/>
  <c r="AP90" i="20"/>
  <c r="AQ90" i="20"/>
  <c r="I91" i="20"/>
  <c r="J91" i="20"/>
  <c r="K91" i="20"/>
  <c r="L91" i="20"/>
  <c r="M91" i="20"/>
  <c r="N91" i="20"/>
  <c r="O91" i="20"/>
  <c r="P91" i="20"/>
  <c r="Q91" i="20"/>
  <c r="R91" i="20"/>
  <c r="S91" i="20"/>
  <c r="T91" i="20"/>
  <c r="U91" i="20"/>
  <c r="V91" i="20"/>
  <c r="W91" i="20"/>
  <c r="X91" i="20"/>
  <c r="Y91" i="20"/>
  <c r="Z91" i="20"/>
  <c r="AA91" i="20"/>
  <c r="AB91" i="20"/>
  <c r="AC91" i="20"/>
  <c r="AD91" i="20"/>
  <c r="AE91" i="20"/>
  <c r="AF91" i="20"/>
  <c r="AG91" i="20"/>
  <c r="AH91" i="20"/>
  <c r="AI91" i="20"/>
  <c r="AJ91" i="20"/>
  <c r="AK91" i="20"/>
  <c r="AL91" i="20"/>
  <c r="AM91" i="20"/>
  <c r="AN91" i="20"/>
  <c r="AO91" i="20"/>
  <c r="AP91" i="20"/>
  <c r="AQ91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8" i="20"/>
  <c r="H9" i="20"/>
  <c r="O93" i="20" l="1"/>
  <c r="P93" i="20"/>
  <c r="Q93" i="20"/>
  <c r="S93" i="20"/>
  <c r="T93" i="20"/>
  <c r="U93" i="20"/>
  <c r="V93" i="20"/>
  <c r="W93" i="20"/>
  <c r="X93" i="20"/>
  <c r="Y93" i="20"/>
  <c r="AA93" i="20"/>
  <c r="AB93" i="20"/>
  <c r="AD93" i="20"/>
  <c r="AF93" i="20"/>
  <c r="AG93" i="20"/>
  <c r="AH93" i="20"/>
  <c r="AI93" i="20"/>
  <c r="AJ93" i="20"/>
  <c r="AK93" i="20"/>
  <c r="AM93" i="20"/>
  <c r="AN93" i="20"/>
  <c r="AR93" i="20"/>
  <c r="AS93" i="20"/>
  <c r="AU93" i="20"/>
  <c r="AV93" i="20"/>
  <c r="AW93" i="20"/>
  <c r="AX93" i="20"/>
  <c r="AY93" i="20"/>
  <c r="AZ93" i="20"/>
  <c r="BB93" i="20"/>
  <c r="BD93" i="20"/>
  <c r="BH93" i="20"/>
  <c r="BK93" i="20"/>
  <c r="BL93" i="20"/>
  <c r="BO93" i="20"/>
  <c r="BY93" i="20"/>
  <c r="CA93" i="20"/>
  <c r="CB93" i="20"/>
  <c r="CE93" i="20"/>
  <c r="CF93" i="20"/>
  <c r="CH93" i="20"/>
  <c r="CL93" i="20"/>
  <c r="CN93" i="20"/>
  <c r="CO93" i="20"/>
  <c r="CS93" i="20"/>
  <c r="CT93" i="20"/>
  <c r="CU93" i="20"/>
  <c r="CV93" i="20"/>
  <c r="CX93" i="20"/>
  <c r="CY93" i="20"/>
  <c r="DA93" i="20"/>
  <c r="DC93" i="20"/>
  <c r="DE93" i="20"/>
  <c r="DF93" i="20"/>
  <c r="DG93" i="20"/>
  <c r="DP93" i="20"/>
  <c r="DS93" i="20"/>
  <c r="DT93" i="20"/>
  <c r="DZ93" i="20"/>
  <c r="EB93" i="20"/>
  <c r="EC93" i="20"/>
  <c r="EJ93" i="20"/>
  <c r="EL93" i="20"/>
  <c r="EM93" i="20"/>
  <c r="EN93" i="20"/>
  <c r="EO93" i="20"/>
  <c r="EP93" i="20"/>
  <c r="EU93" i="20"/>
  <c r="EY93" i="20"/>
  <c r="FB93" i="20"/>
  <c r="FC93" i="20"/>
  <c r="FF93" i="20"/>
  <c r="FH93" i="20"/>
  <c r="FK93" i="20"/>
  <c r="FM93" i="20"/>
  <c r="FN93" i="20"/>
  <c r="FP93" i="20"/>
  <c r="FR93" i="20"/>
  <c r="FT93" i="20"/>
  <c r="FY93" i="20"/>
  <c r="FZ93" i="20"/>
  <c r="GB93" i="20"/>
  <c r="GF93" i="20"/>
  <c r="GG93" i="20"/>
  <c r="GI93" i="20"/>
  <c r="GO93" i="20"/>
  <c r="GQ93" i="20"/>
  <c r="GR93" i="20"/>
  <c r="GS93" i="20"/>
  <c r="GT93" i="20"/>
  <c r="GV93" i="20"/>
  <c r="GW93" i="20"/>
  <c r="GZ93" i="20"/>
  <c r="HA93" i="20"/>
  <c r="Q94" i="20"/>
  <c r="S94" i="20"/>
  <c r="T94" i="20"/>
  <c r="W94" i="20"/>
  <c r="X94" i="20"/>
  <c r="Y94" i="20"/>
  <c r="Z94" i="20"/>
  <c r="AA94" i="20"/>
  <c r="AD94" i="20"/>
  <c r="AE94" i="20"/>
  <c r="AF94" i="20"/>
  <c r="AG94" i="20"/>
  <c r="AI94" i="20"/>
  <c r="AJ94" i="20"/>
  <c r="AL94" i="20"/>
  <c r="AN94" i="20"/>
  <c r="AP94" i="20"/>
  <c r="AQ94" i="20"/>
  <c r="AR94" i="20"/>
  <c r="AS94" i="20"/>
  <c r="AV94" i="20"/>
  <c r="AW94" i="20"/>
  <c r="AX94" i="20"/>
  <c r="AY94" i="20"/>
  <c r="BD94" i="20"/>
  <c r="BE94" i="20"/>
  <c r="BF94" i="20"/>
  <c r="BH94" i="20"/>
  <c r="BK94" i="20"/>
  <c r="BL94" i="20"/>
  <c r="BM94" i="20"/>
  <c r="BY94" i="20"/>
  <c r="BZ94" i="20"/>
  <c r="CB94" i="20"/>
  <c r="CC94" i="20"/>
  <c r="CE94" i="20"/>
  <c r="CG94" i="20"/>
  <c r="CH94" i="20"/>
  <c r="CI94" i="20"/>
  <c r="CL94" i="20"/>
  <c r="CN94" i="20"/>
  <c r="CR94" i="20"/>
  <c r="CV94" i="20"/>
  <c r="CY94" i="20"/>
  <c r="DA94" i="20"/>
  <c r="DB94" i="20"/>
  <c r="DC94" i="20"/>
  <c r="DE94" i="20"/>
  <c r="DG94" i="20"/>
  <c r="DM94" i="20"/>
  <c r="DQ94" i="20"/>
  <c r="DT94" i="20"/>
  <c r="DV94" i="20"/>
  <c r="DX94" i="20"/>
  <c r="DY94" i="20"/>
  <c r="DZ94" i="20"/>
  <c r="EM94" i="20"/>
  <c r="EO94" i="20"/>
  <c r="EP94" i="20"/>
  <c r="ER94" i="20"/>
  <c r="EV94" i="20"/>
  <c r="EX94" i="20"/>
  <c r="EY94" i="20"/>
  <c r="EZ94" i="20"/>
  <c r="FB94" i="20"/>
  <c r="FD94" i="20"/>
  <c r="FG94" i="20"/>
  <c r="FH94" i="20"/>
  <c r="FM94" i="20"/>
  <c r="FN94" i="20"/>
  <c r="FO94" i="20"/>
  <c r="FP94" i="20"/>
  <c r="FS94" i="20"/>
  <c r="FT94" i="20"/>
  <c r="FV94" i="20"/>
  <c r="FZ94" i="20"/>
  <c r="GC94" i="20"/>
  <c r="GD94" i="20"/>
  <c r="GE94" i="20"/>
  <c r="GG94" i="20"/>
  <c r="GH94" i="20"/>
  <c r="GJ94" i="20"/>
  <c r="GK94" i="20"/>
  <c r="GL94" i="20"/>
  <c r="GM94" i="20"/>
  <c r="GP94" i="20"/>
  <c r="GQ94" i="20"/>
  <c r="GU94" i="20"/>
  <c r="GW94" i="20"/>
  <c r="GZ94" i="20"/>
  <c r="HA94" i="20"/>
  <c r="O95" i="20"/>
  <c r="S95" i="20"/>
  <c r="T95" i="20"/>
  <c r="W95" i="20"/>
  <c r="X95" i="20"/>
  <c r="Y95" i="20"/>
  <c r="AI95" i="20"/>
  <c r="AJ95" i="20"/>
  <c r="AN95" i="20"/>
  <c r="BH95" i="20"/>
  <c r="EV95" i="20"/>
  <c r="GW95" i="20"/>
  <c r="M96" i="20"/>
  <c r="O96" i="20"/>
  <c r="P96" i="20"/>
  <c r="Q96" i="20"/>
  <c r="S96" i="20"/>
  <c r="T96" i="20"/>
  <c r="U96" i="20"/>
  <c r="W96" i="20"/>
  <c r="X96" i="20"/>
  <c r="Y96" i="20"/>
  <c r="AA96" i="20"/>
  <c r="AD96" i="20"/>
  <c r="AF96" i="20"/>
  <c r="AG96" i="20"/>
  <c r="AI96" i="20"/>
  <c r="AM96" i="20"/>
  <c r="AN96" i="20"/>
  <c r="AP96" i="20"/>
  <c r="AR96" i="20"/>
  <c r="AS96" i="20"/>
  <c r="AV96" i="20"/>
  <c r="AX96" i="20"/>
  <c r="AY96" i="20"/>
  <c r="AZ96" i="20"/>
  <c r="BD96" i="20"/>
  <c r="BF96" i="20"/>
  <c r="BH96" i="20"/>
  <c r="BL96" i="20"/>
  <c r="BM96" i="20"/>
  <c r="BV96" i="20"/>
  <c r="BY96" i="20"/>
  <c r="BZ96" i="20"/>
  <c r="CB96" i="20"/>
  <c r="CE96" i="20"/>
  <c r="CH96" i="20"/>
  <c r="CL96" i="20"/>
  <c r="CN96" i="20"/>
  <c r="CT96" i="20"/>
  <c r="CY96" i="20"/>
  <c r="DC96" i="20"/>
  <c r="DD96" i="20"/>
  <c r="DE96" i="20"/>
  <c r="DG96" i="20"/>
  <c r="DH96" i="20"/>
  <c r="DS96" i="20"/>
  <c r="DT96" i="20"/>
  <c r="EF96" i="20"/>
  <c r="EM96" i="20"/>
  <c r="EO96" i="20"/>
  <c r="EP96" i="20"/>
  <c r="ET96" i="20"/>
  <c r="EX96" i="20"/>
  <c r="EY96" i="20"/>
  <c r="FD96" i="20"/>
  <c r="FF96" i="20"/>
  <c r="FG96" i="20"/>
  <c r="FJ96" i="20"/>
  <c r="FK96" i="20"/>
  <c r="FM96" i="20"/>
  <c r="FN96" i="20"/>
  <c r="FO96" i="20"/>
  <c r="FV96" i="20"/>
  <c r="FY96" i="20"/>
  <c r="FZ96" i="20"/>
  <c r="GG96" i="20"/>
  <c r="GQ96" i="20"/>
  <c r="GR96" i="20"/>
  <c r="GS96" i="20"/>
  <c r="GW96" i="20"/>
  <c r="GZ96" i="20"/>
  <c r="O97" i="20"/>
  <c r="Q97" i="20"/>
  <c r="S97" i="20"/>
  <c r="T97" i="20"/>
  <c r="W97" i="20"/>
  <c r="X97" i="20"/>
  <c r="Y97" i="20"/>
  <c r="Z97" i="20"/>
  <c r="AA97" i="20"/>
  <c r="AD97" i="20"/>
  <c r="AE97" i="20"/>
  <c r="AF97" i="20"/>
  <c r="AG97" i="20"/>
  <c r="AI97" i="20"/>
  <c r="AJ97" i="20"/>
  <c r="AL97" i="20"/>
  <c r="AM97" i="20"/>
  <c r="AN97" i="20"/>
  <c r="AP97" i="20"/>
  <c r="AQ97" i="20"/>
  <c r="AR97" i="20"/>
  <c r="AS97" i="20"/>
  <c r="AV97" i="20"/>
  <c r="AW97" i="20"/>
  <c r="AX97" i="20"/>
  <c r="AY97" i="20"/>
  <c r="BD97" i="20"/>
  <c r="BE97" i="20"/>
  <c r="BF97" i="20"/>
  <c r="BH97" i="20"/>
  <c r="BK97" i="20"/>
  <c r="BL97" i="20"/>
  <c r="BM97" i="20"/>
  <c r="BU97" i="20"/>
  <c r="BY97" i="20"/>
  <c r="BZ97" i="20"/>
  <c r="CB97" i="20"/>
  <c r="CC97" i="20"/>
  <c r="CE97" i="20"/>
  <c r="CG97" i="20"/>
  <c r="CH97" i="20"/>
  <c r="CI97" i="20"/>
  <c r="CL97" i="20"/>
  <c r="CN97" i="20"/>
  <c r="CR97" i="20"/>
  <c r="CV97" i="20"/>
  <c r="CY97" i="20"/>
  <c r="DA97" i="20"/>
  <c r="DB97" i="20"/>
  <c r="DC97" i="20"/>
  <c r="DE97" i="20"/>
  <c r="DG97" i="20"/>
  <c r="DQ97" i="20"/>
  <c r="DT97" i="20"/>
  <c r="DV97" i="20"/>
  <c r="DX97" i="20"/>
  <c r="DY97" i="20"/>
  <c r="DZ97" i="20"/>
  <c r="EG97" i="20"/>
  <c r="EI97" i="20"/>
  <c r="EM97" i="20"/>
  <c r="EO97" i="20"/>
  <c r="EP97" i="20"/>
  <c r="ER97" i="20"/>
  <c r="EV97" i="20"/>
  <c r="EX97" i="20"/>
  <c r="EY97" i="20"/>
  <c r="EZ97" i="20"/>
  <c r="FB97" i="20"/>
  <c r="FD97" i="20"/>
  <c r="FG97" i="20"/>
  <c r="FH97" i="20"/>
  <c r="FM97" i="20"/>
  <c r="FN97" i="20"/>
  <c r="FO97" i="20"/>
  <c r="FP97" i="20"/>
  <c r="FS97" i="20"/>
  <c r="FT97" i="20"/>
  <c r="FV97" i="20"/>
  <c r="FY97" i="20"/>
  <c r="FZ97" i="20"/>
  <c r="GC97" i="20"/>
  <c r="GD97" i="20"/>
  <c r="GE97" i="20"/>
  <c r="GG97" i="20"/>
  <c r="GH97" i="20"/>
  <c r="GJ97" i="20"/>
  <c r="GK97" i="20"/>
  <c r="GL97" i="20"/>
  <c r="GM97" i="20"/>
  <c r="GP97" i="20"/>
  <c r="GQ97" i="20"/>
  <c r="GU97" i="20"/>
  <c r="GW97" i="20"/>
  <c r="GZ97" i="20"/>
  <c r="HA97" i="20"/>
  <c r="HC97" i="20"/>
  <c r="CS49" i="18" l="1"/>
  <c r="AY94" i="18" l="1"/>
  <c r="BZ66" i="18"/>
  <c r="EW11" i="18" l="1"/>
  <c r="EC52" i="18"/>
  <c r="I83" i="18" l="1"/>
  <c r="J83" i="18"/>
  <c r="K83" i="18"/>
  <c r="L83" i="18"/>
  <c r="M83" i="18"/>
  <c r="N83" i="18"/>
  <c r="O83" i="18"/>
  <c r="P83" i="18"/>
  <c r="Q83" i="18"/>
  <c r="R83" i="18"/>
  <c r="S83" i="18"/>
  <c r="T83" i="18"/>
  <c r="U83" i="18"/>
  <c r="V83" i="18"/>
  <c r="W83" i="18"/>
  <c r="X83" i="18"/>
  <c r="Y83" i="18"/>
  <c r="Z83" i="18"/>
  <c r="AA83" i="18"/>
  <c r="AB83" i="18"/>
  <c r="AC83" i="18"/>
  <c r="AD83" i="18"/>
  <c r="AE83" i="18"/>
  <c r="AF83" i="18"/>
  <c r="AG83" i="18"/>
  <c r="AH83" i="18"/>
  <c r="AI83" i="18"/>
  <c r="AJ83" i="18"/>
  <c r="AK83" i="18"/>
  <c r="AL83" i="18"/>
  <c r="AM83" i="18"/>
  <c r="AN83" i="18"/>
  <c r="AO83" i="18"/>
  <c r="AP83" i="18"/>
  <c r="AQ83" i="18"/>
  <c r="AR83" i="18"/>
  <c r="AS83" i="18"/>
  <c r="AT83" i="18"/>
  <c r="AU83" i="18"/>
  <c r="AV83" i="18"/>
  <c r="AW83" i="18"/>
  <c r="AX83" i="18"/>
  <c r="AY83" i="18"/>
  <c r="AZ83" i="18"/>
  <c r="BA83" i="18"/>
  <c r="BB83" i="18"/>
  <c r="BC83" i="18"/>
  <c r="BD83" i="18"/>
  <c r="BE83" i="18"/>
  <c r="BF83" i="18"/>
  <c r="BG83" i="18"/>
  <c r="BH83" i="18"/>
  <c r="BI83" i="18"/>
  <c r="BJ83" i="18"/>
  <c r="BK83" i="18"/>
  <c r="BL83" i="18"/>
  <c r="BM83" i="18"/>
  <c r="BN83" i="18"/>
  <c r="BO83" i="18"/>
  <c r="BP83" i="18"/>
  <c r="BQ83" i="18"/>
  <c r="BR83" i="18"/>
  <c r="BS83" i="18"/>
  <c r="BT83" i="18"/>
  <c r="BU83" i="18"/>
  <c r="BV83" i="18"/>
  <c r="BW83" i="18"/>
  <c r="BX83" i="18"/>
  <c r="BY83" i="18"/>
  <c r="BZ83" i="18"/>
  <c r="CA83" i="18"/>
  <c r="CB83" i="18"/>
  <c r="CC83" i="18"/>
  <c r="CD83" i="18"/>
  <c r="CE83" i="18"/>
  <c r="CF83" i="18"/>
  <c r="CG83" i="18"/>
  <c r="CH83" i="18"/>
  <c r="CI83" i="18"/>
  <c r="CJ83" i="18"/>
  <c r="CK83" i="18"/>
  <c r="CL83" i="18"/>
  <c r="CM83" i="18"/>
  <c r="CN83" i="18"/>
  <c r="CO83" i="18"/>
  <c r="CP83" i="18"/>
  <c r="CQ83" i="18"/>
  <c r="CR83" i="18"/>
  <c r="CS83" i="18"/>
  <c r="CT83" i="18"/>
  <c r="CU83" i="18"/>
  <c r="CV83" i="18"/>
  <c r="CW83" i="18"/>
  <c r="CX83" i="18"/>
  <c r="CY83" i="18"/>
  <c r="CZ83" i="18"/>
  <c r="DA83" i="18"/>
  <c r="DB83" i="18"/>
  <c r="DC83" i="18"/>
  <c r="DD83" i="18"/>
  <c r="DE83" i="18"/>
  <c r="DF83" i="18"/>
  <c r="DG83" i="18"/>
  <c r="DH83" i="18"/>
  <c r="DI83" i="18"/>
  <c r="DJ83" i="18"/>
  <c r="DK83" i="18"/>
  <c r="DL83" i="18"/>
  <c r="DM83" i="18"/>
  <c r="DN83" i="18"/>
  <c r="DO83" i="18"/>
  <c r="DP83" i="18"/>
  <c r="DQ83" i="18"/>
  <c r="DR83" i="18"/>
  <c r="DS83" i="18"/>
  <c r="DT83" i="18"/>
  <c r="DU83" i="18"/>
  <c r="DV83" i="18"/>
  <c r="DW83" i="18"/>
  <c r="DX83" i="18"/>
  <c r="DY83" i="18"/>
  <c r="DZ83" i="18"/>
  <c r="EA83" i="18"/>
  <c r="EB83" i="18"/>
  <c r="EC83" i="18"/>
  <c r="ED83" i="18"/>
  <c r="EE83" i="18"/>
  <c r="EF83" i="18"/>
  <c r="EG83" i="18"/>
  <c r="EH83" i="18"/>
  <c r="EI83" i="18"/>
  <c r="EJ83" i="18"/>
  <c r="EK83" i="18"/>
  <c r="EL83" i="18"/>
  <c r="EM83" i="18"/>
  <c r="EN83" i="18"/>
  <c r="EO83" i="18"/>
  <c r="EP83" i="18"/>
  <c r="EQ83" i="18"/>
  <c r="ER83" i="18"/>
  <c r="ES83" i="18"/>
  <c r="ET83" i="18"/>
  <c r="EU83" i="18"/>
  <c r="EV83" i="18"/>
  <c r="EW83" i="18"/>
  <c r="EX83" i="18"/>
  <c r="EY83" i="18"/>
  <c r="EZ83" i="18"/>
  <c r="FA83" i="18"/>
  <c r="FB83" i="18"/>
  <c r="FC83" i="18"/>
  <c r="FD83" i="18"/>
  <c r="FE83" i="18"/>
  <c r="FF83" i="18"/>
  <c r="FG83" i="18"/>
  <c r="FH83" i="18"/>
  <c r="FI83" i="18"/>
  <c r="FJ83" i="18"/>
  <c r="FK83" i="18"/>
  <c r="FL83" i="18"/>
  <c r="FM83" i="18"/>
  <c r="FN83" i="18"/>
  <c r="FO83" i="18"/>
  <c r="FP83" i="18"/>
  <c r="FQ83" i="18"/>
  <c r="FR83" i="18"/>
  <c r="FS83" i="18"/>
  <c r="FT83" i="18"/>
  <c r="FU83" i="18"/>
  <c r="FV83" i="18"/>
  <c r="FW83" i="18"/>
  <c r="FX83" i="18"/>
  <c r="FY83" i="18"/>
  <c r="FZ83" i="18"/>
  <c r="GA83" i="18"/>
  <c r="GB83" i="18"/>
  <c r="GC83" i="18"/>
  <c r="GD83" i="18"/>
  <c r="GE83" i="18"/>
  <c r="GF83" i="18"/>
  <c r="GG83" i="18"/>
  <c r="GH83" i="18"/>
  <c r="GI83" i="18"/>
  <c r="GJ83" i="18"/>
  <c r="GK83" i="18"/>
  <c r="GL83" i="18"/>
  <c r="GM83" i="18"/>
  <c r="GN83" i="18"/>
  <c r="GO83" i="18"/>
  <c r="GP83" i="18"/>
  <c r="GQ83" i="18"/>
  <c r="GR83" i="18"/>
  <c r="GS83" i="18"/>
  <c r="GT83" i="18"/>
  <c r="GU83" i="18"/>
  <c r="GV83" i="18"/>
  <c r="GW83" i="18"/>
  <c r="GX83" i="18"/>
  <c r="GY83" i="18"/>
  <c r="GZ83" i="18"/>
  <c r="HA83" i="18"/>
  <c r="HB83" i="18"/>
  <c r="HC83" i="18"/>
  <c r="I84" i="18"/>
  <c r="J84" i="18"/>
  <c r="K84" i="18"/>
  <c r="L84" i="18"/>
  <c r="M84" i="18"/>
  <c r="N84" i="18"/>
  <c r="O84" i="18"/>
  <c r="P84" i="18"/>
  <c r="Q84" i="18"/>
  <c r="R84" i="18"/>
  <c r="S84" i="18"/>
  <c r="T84" i="18"/>
  <c r="U84" i="18"/>
  <c r="V84" i="18"/>
  <c r="W84" i="18"/>
  <c r="X84" i="18"/>
  <c r="Y84" i="18"/>
  <c r="Z84" i="18"/>
  <c r="AA84" i="18"/>
  <c r="AB84" i="18"/>
  <c r="AC84" i="18"/>
  <c r="AD84" i="18"/>
  <c r="AE84" i="18"/>
  <c r="AF84" i="18"/>
  <c r="AG84" i="18"/>
  <c r="AH84" i="18"/>
  <c r="AI84" i="18"/>
  <c r="AJ84" i="18"/>
  <c r="AK84" i="18"/>
  <c r="AL84" i="18"/>
  <c r="AM84" i="18"/>
  <c r="AN84" i="18"/>
  <c r="AO84" i="18"/>
  <c r="AP84" i="18"/>
  <c r="AQ84" i="18"/>
  <c r="AR84" i="18"/>
  <c r="AS84" i="18"/>
  <c r="AT84" i="18"/>
  <c r="AU84" i="18"/>
  <c r="AV84" i="18"/>
  <c r="AW84" i="18"/>
  <c r="AX84" i="18"/>
  <c r="AY84" i="18"/>
  <c r="AZ84" i="18"/>
  <c r="BA84" i="18"/>
  <c r="BB84" i="18"/>
  <c r="BC84" i="18"/>
  <c r="BD84" i="18"/>
  <c r="BE84" i="18"/>
  <c r="BF84" i="18"/>
  <c r="BG84" i="18"/>
  <c r="BH84" i="18"/>
  <c r="BI84" i="18"/>
  <c r="BJ84" i="18"/>
  <c r="BK84" i="18"/>
  <c r="BL84" i="18"/>
  <c r="BM84" i="18"/>
  <c r="BN84" i="18"/>
  <c r="BO84" i="18"/>
  <c r="BP84" i="18"/>
  <c r="BQ84" i="18"/>
  <c r="BR84" i="18"/>
  <c r="BS84" i="18"/>
  <c r="BT84" i="18"/>
  <c r="BU84" i="18"/>
  <c r="BV84" i="18"/>
  <c r="BW84" i="18"/>
  <c r="BX84" i="18"/>
  <c r="BY84" i="18"/>
  <c r="BZ84" i="18"/>
  <c r="CA84" i="18"/>
  <c r="CB84" i="18"/>
  <c r="CC84" i="18"/>
  <c r="CD84" i="18"/>
  <c r="CE84" i="18"/>
  <c r="CF84" i="18"/>
  <c r="CG84" i="18"/>
  <c r="CH84" i="18"/>
  <c r="CI84" i="18"/>
  <c r="CJ84" i="18"/>
  <c r="CK84" i="18"/>
  <c r="CL84" i="18"/>
  <c r="CM84" i="18"/>
  <c r="CN84" i="18"/>
  <c r="CO84" i="18"/>
  <c r="CP84" i="18"/>
  <c r="CQ84" i="18"/>
  <c r="CR84" i="18"/>
  <c r="CS84" i="18"/>
  <c r="CT84" i="18"/>
  <c r="CU84" i="18"/>
  <c r="CV84" i="18"/>
  <c r="CW84" i="18"/>
  <c r="CX84" i="18"/>
  <c r="CY84" i="18"/>
  <c r="CZ84" i="18"/>
  <c r="DA84" i="18"/>
  <c r="DB84" i="18"/>
  <c r="DC84" i="18"/>
  <c r="DD84" i="18"/>
  <c r="DE84" i="18"/>
  <c r="DF84" i="18"/>
  <c r="DG84" i="18"/>
  <c r="DH84" i="18"/>
  <c r="DI84" i="18"/>
  <c r="DJ84" i="18"/>
  <c r="DK84" i="18"/>
  <c r="DL84" i="18"/>
  <c r="DM84" i="18"/>
  <c r="DN84" i="18"/>
  <c r="DO84" i="18"/>
  <c r="DP84" i="18"/>
  <c r="DQ84" i="18"/>
  <c r="DR84" i="18"/>
  <c r="DS84" i="18"/>
  <c r="DT84" i="18"/>
  <c r="DU84" i="18"/>
  <c r="DV84" i="18"/>
  <c r="DW84" i="18"/>
  <c r="DX84" i="18"/>
  <c r="DY84" i="18"/>
  <c r="DZ84" i="18"/>
  <c r="EA84" i="18"/>
  <c r="EB84" i="18"/>
  <c r="EC84" i="18"/>
  <c r="ED84" i="18"/>
  <c r="EE84" i="18"/>
  <c r="EF84" i="18"/>
  <c r="EG84" i="18"/>
  <c r="EH84" i="18"/>
  <c r="EI84" i="18"/>
  <c r="EJ84" i="18"/>
  <c r="EK84" i="18"/>
  <c r="EL84" i="18"/>
  <c r="EM84" i="18"/>
  <c r="EN84" i="18"/>
  <c r="EO84" i="18"/>
  <c r="EP84" i="18"/>
  <c r="EQ84" i="18"/>
  <c r="ER84" i="18"/>
  <c r="ES84" i="18"/>
  <c r="ET84" i="18"/>
  <c r="EU84" i="18"/>
  <c r="EV84" i="18"/>
  <c r="EW84" i="18"/>
  <c r="EX84" i="18"/>
  <c r="EY84" i="18"/>
  <c r="EZ84" i="18"/>
  <c r="FA84" i="18"/>
  <c r="FB84" i="18"/>
  <c r="FC84" i="18"/>
  <c r="FD84" i="18"/>
  <c r="FE84" i="18"/>
  <c r="FF84" i="18"/>
  <c r="FG84" i="18"/>
  <c r="FH84" i="18"/>
  <c r="FI84" i="18"/>
  <c r="FJ84" i="18"/>
  <c r="FK84" i="18"/>
  <c r="FL84" i="18"/>
  <c r="FM84" i="18"/>
  <c r="FN84" i="18"/>
  <c r="FO84" i="18"/>
  <c r="FP84" i="18"/>
  <c r="FQ84" i="18"/>
  <c r="FR84" i="18"/>
  <c r="FS84" i="18"/>
  <c r="FT84" i="18"/>
  <c r="FU84" i="18"/>
  <c r="FV84" i="18"/>
  <c r="FW84" i="18"/>
  <c r="FX84" i="18"/>
  <c r="FY84" i="18"/>
  <c r="FZ84" i="18"/>
  <c r="GA84" i="18"/>
  <c r="GB84" i="18"/>
  <c r="GC84" i="18"/>
  <c r="GD84" i="18"/>
  <c r="GE84" i="18"/>
  <c r="GF84" i="18"/>
  <c r="GG84" i="18"/>
  <c r="GH84" i="18"/>
  <c r="GI84" i="18"/>
  <c r="GJ84" i="18"/>
  <c r="GK84" i="18"/>
  <c r="GL84" i="18"/>
  <c r="GM84" i="18"/>
  <c r="GN84" i="18"/>
  <c r="GO84" i="18"/>
  <c r="GP84" i="18"/>
  <c r="GQ84" i="18"/>
  <c r="GR84" i="18"/>
  <c r="GS84" i="18"/>
  <c r="GT84" i="18"/>
  <c r="GU84" i="18"/>
  <c r="GV84" i="18"/>
  <c r="GW84" i="18"/>
  <c r="GX84" i="18"/>
  <c r="GY84" i="18"/>
  <c r="GZ84" i="18"/>
  <c r="HA84" i="18"/>
  <c r="HB84" i="18"/>
  <c r="HC84" i="18"/>
  <c r="I85" i="18"/>
  <c r="J85" i="18"/>
  <c r="K85" i="18"/>
  <c r="L85" i="18"/>
  <c r="M85" i="18"/>
  <c r="N85" i="18"/>
  <c r="O85" i="18"/>
  <c r="P85" i="18"/>
  <c r="Q85" i="18"/>
  <c r="R85" i="18"/>
  <c r="S85" i="18"/>
  <c r="T85" i="18"/>
  <c r="U85" i="18"/>
  <c r="V85" i="18"/>
  <c r="W85" i="18"/>
  <c r="X85" i="18"/>
  <c r="Y85" i="18"/>
  <c r="Z85" i="18"/>
  <c r="AA85" i="18"/>
  <c r="AB85" i="18"/>
  <c r="AC85" i="18"/>
  <c r="AD85" i="18"/>
  <c r="AE85" i="18"/>
  <c r="AF85" i="18"/>
  <c r="AG85" i="18"/>
  <c r="AH85" i="18"/>
  <c r="AI85" i="18"/>
  <c r="AJ85" i="18"/>
  <c r="AK85" i="18"/>
  <c r="AL85" i="18"/>
  <c r="AM85" i="18"/>
  <c r="AN85" i="18"/>
  <c r="AO85" i="18"/>
  <c r="AP85" i="18"/>
  <c r="AQ85" i="18"/>
  <c r="AR85" i="18"/>
  <c r="AS85" i="18"/>
  <c r="AT85" i="18"/>
  <c r="AU85" i="18"/>
  <c r="AV85" i="18"/>
  <c r="AW85" i="18"/>
  <c r="AX85" i="18"/>
  <c r="AY85" i="18"/>
  <c r="AZ85" i="18"/>
  <c r="BA85" i="18"/>
  <c r="BB85" i="18"/>
  <c r="BC85" i="18"/>
  <c r="BD85" i="18"/>
  <c r="BE85" i="18"/>
  <c r="BF85" i="18"/>
  <c r="BG85" i="18"/>
  <c r="BH85" i="18"/>
  <c r="BI85" i="18"/>
  <c r="BJ85" i="18"/>
  <c r="BK85" i="18"/>
  <c r="BL85" i="18"/>
  <c r="BM85" i="18"/>
  <c r="BN85" i="18"/>
  <c r="BO85" i="18"/>
  <c r="BP85" i="18"/>
  <c r="BQ85" i="18"/>
  <c r="BR85" i="18"/>
  <c r="BS85" i="18"/>
  <c r="BT85" i="18"/>
  <c r="BU85" i="18"/>
  <c r="BV85" i="18"/>
  <c r="BW85" i="18"/>
  <c r="BX85" i="18"/>
  <c r="BY85" i="18"/>
  <c r="BZ85" i="18"/>
  <c r="CA85" i="18"/>
  <c r="CB85" i="18"/>
  <c r="CC85" i="18"/>
  <c r="CD85" i="18"/>
  <c r="CE85" i="18"/>
  <c r="CF85" i="18"/>
  <c r="CG85" i="18"/>
  <c r="CH85" i="18"/>
  <c r="CI85" i="18"/>
  <c r="CJ85" i="18"/>
  <c r="CK85" i="18"/>
  <c r="CL85" i="18"/>
  <c r="CM85" i="18"/>
  <c r="CN85" i="18"/>
  <c r="CO85" i="18"/>
  <c r="CP85" i="18"/>
  <c r="CQ85" i="18"/>
  <c r="CR85" i="18"/>
  <c r="CS85" i="18"/>
  <c r="CT85" i="18"/>
  <c r="CU85" i="18"/>
  <c r="CV85" i="18"/>
  <c r="CW85" i="18"/>
  <c r="CX85" i="18"/>
  <c r="CY85" i="18"/>
  <c r="CZ85" i="18"/>
  <c r="DA85" i="18"/>
  <c r="DB85" i="18"/>
  <c r="DC85" i="18"/>
  <c r="DD85" i="18"/>
  <c r="DE85" i="18"/>
  <c r="DF85" i="18"/>
  <c r="DG85" i="18"/>
  <c r="DH85" i="18"/>
  <c r="DI85" i="18"/>
  <c r="DJ85" i="18"/>
  <c r="DK85" i="18"/>
  <c r="DL85" i="18"/>
  <c r="DM85" i="18"/>
  <c r="DN85" i="18"/>
  <c r="DO85" i="18"/>
  <c r="DP85" i="18"/>
  <c r="DQ85" i="18"/>
  <c r="DR85" i="18"/>
  <c r="DS85" i="18"/>
  <c r="DT85" i="18"/>
  <c r="DU85" i="18"/>
  <c r="DV85" i="18"/>
  <c r="DW85" i="18"/>
  <c r="DX85" i="18"/>
  <c r="DY85" i="18"/>
  <c r="DZ85" i="18"/>
  <c r="EA85" i="18"/>
  <c r="EB85" i="18"/>
  <c r="EC85" i="18"/>
  <c r="ED85" i="18"/>
  <c r="EE85" i="18"/>
  <c r="EF85" i="18"/>
  <c r="EG85" i="18"/>
  <c r="EH85" i="18"/>
  <c r="EI85" i="18"/>
  <c r="EJ85" i="18"/>
  <c r="EK85" i="18"/>
  <c r="EL85" i="18"/>
  <c r="EM85" i="18"/>
  <c r="EN85" i="18"/>
  <c r="EO85" i="18"/>
  <c r="EP85" i="18"/>
  <c r="EQ85" i="18"/>
  <c r="ER85" i="18"/>
  <c r="ES85" i="18"/>
  <c r="ET85" i="18"/>
  <c r="EU85" i="18"/>
  <c r="EV85" i="18"/>
  <c r="EW85" i="18"/>
  <c r="EX85" i="18"/>
  <c r="EY85" i="18"/>
  <c r="EZ85" i="18"/>
  <c r="FA85" i="18"/>
  <c r="FB85" i="18"/>
  <c r="FC85" i="18"/>
  <c r="FD85" i="18"/>
  <c r="FE85" i="18"/>
  <c r="FF85" i="18"/>
  <c r="FG85" i="18"/>
  <c r="FH85" i="18"/>
  <c r="FI85" i="18"/>
  <c r="FJ85" i="18"/>
  <c r="FK85" i="18"/>
  <c r="FL85" i="18"/>
  <c r="FM85" i="18"/>
  <c r="FN85" i="18"/>
  <c r="FO85" i="18"/>
  <c r="FP85" i="18"/>
  <c r="FQ85" i="18"/>
  <c r="FR85" i="18"/>
  <c r="FS85" i="18"/>
  <c r="FT85" i="18"/>
  <c r="FU85" i="18"/>
  <c r="FV85" i="18"/>
  <c r="FW85" i="18"/>
  <c r="FX85" i="18"/>
  <c r="FY85" i="18"/>
  <c r="FZ85" i="18"/>
  <c r="GA85" i="18"/>
  <c r="GB85" i="18"/>
  <c r="GC85" i="18"/>
  <c r="GD85" i="18"/>
  <c r="GE85" i="18"/>
  <c r="GF85" i="18"/>
  <c r="GG85" i="18"/>
  <c r="GH85" i="18"/>
  <c r="GI85" i="18"/>
  <c r="GJ85" i="18"/>
  <c r="GK85" i="18"/>
  <c r="GL85" i="18"/>
  <c r="GM85" i="18"/>
  <c r="GN85" i="18"/>
  <c r="GO85" i="18"/>
  <c r="GP85" i="18"/>
  <c r="GQ85" i="18"/>
  <c r="GR85" i="18"/>
  <c r="GS85" i="18"/>
  <c r="GT85" i="18"/>
  <c r="GU85" i="18"/>
  <c r="GV85" i="18"/>
  <c r="GW85" i="18"/>
  <c r="GX85" i="18"/>
  <c r="GY85" i="18"/>
  <c r="GZ85" i="18"/>
  <c r="HA85" i="18"/>
  <c r="HB85" i="18"/>
  <c r="HC85" i="18"/>
  <c r="I86" i="18"/>
  <c r="J86" i="18"/>
  <c r="K86" i="18"/>
  <c r="L86" i="18"/>
  <c r="M86" i="18"/>
  <c r="N86" i="18"/>
  <c r="O86" i="18"/>
  <c r="P86" i="18"/>
  <c r="Q86" i="18"/>
  <c r="R86" i="18"/>
  <c r="S86" i="18"/>
  <c r="T86" i="18"/>
  <c r="U86" i="18"/>
  <c r="V86" i="18"/>
  <c r="W86" i="18"/>
  <c r="X86" i="18"/>
  <c r="Y86" i="18"/>
  <c r="Z86" i="18"/>
  <c r="AA86" i="18"/>
  <c r="AB86" i="18"/>
  <c r="AC86" i="18"/>
  <c r="AD86" i="18"/>
  <c r="AE86" i="18"/>
  <c r="AF86" i="18"/>
  <c r="AG86" i="18"/>
  <c r="AH86" i="18"/>
  <c r="AI86" i="18"/>
  <c r="AJ86" i="18"/>
  <c r="AK86" i="18"/>
  <c r="AL86" i="18"/>
  <c r="AM86" i="18"/>
  <c r="AN86" i="18"/>
  <c r="AO86" i="18"/>
  <c r="AP86" i="18"/>
  <c r="AQ86" i="18"/>
  <c r="AR86" i="18"/>
  <c r="AS86" i="18"/>
  <c r="AT86" i="18"/>
  <c r="AU86" i="18"/>
  <c r="AV86" i="18"/>
  <c r="AW86" i="18"/>
  <c r="AX86" i="18"/>
  <c r="AY86" i="18"/>
  <c r="AZ86" i="18"/>
  <c r="BA86" i="18"/>
  <c r="BB86" i="18"/>
  <c r="BC86" i="18"/>
  <c r="BD86" i="18"/>
  <c r="BE86" i="18"/>
  <c r="BF86" i="18"/>
  <c r="BG86" i="18"/>
  <c r="BH86" i="18"/>
  <c r="BI86" i="18"/>
  <c r="BJ86" i="18"/>
  <c r="BK86" i="18"/>
  <c r="BL86" i="18"/>
  <c r="BM86" i="18"/>
  <c r="BN86" i="18"/>
  <c r="BO86" i="18"/>
  <c r="BP86" i="18"/>
  <c r="BQ86" i="18"/>
  <c r="BR86" i="18"/>
  <c r="BS86" i="18"/>
  <c r="BT86" i="18"/>
  <c r="BU86" i="18"/>
  <c r="BV86" i="18"/>
  <c r="BW86" i="18"/>
  <c r="BX86" i="18"/>
  <c r="BY86" i="18"/>
  <c r="BZ86" i="18"/>
  <c r="CA86" i="18"/>
  <c r="CB86" i="18"/>
  <c r="CC86" i="18"/>
  <c r="CD86" i="18"/>
  <c r="CE86" i="18"/>
  <c r="CF86" i="18"/>
  <c r="CG86" i="18"/>
  <c r="CH86" i="18"/>
  <c r="CI86" i="18"/>
  <c r="CJ86" i="18"/>
  <c r="CK86" i="18"/>
  <c r="CL86" i="18"/>
  <c r="CM86" i="18"/>
  <c r="CN86" i="18"/>
  <c r="CO86" i="18"/>
  <c r="CP86" i="18"/>
  <c r="CQ86" i="18"/>
  <c r="CR86" i="18"/>
  <c r="CS86" i="18"/>
  <c r="CT86" i="18"/>
  <c r="CU86" i="18"/>
  <c r="CV86" i="18"/>
  <c r="CW86" i="18"/>
  <c r="CX86" i="18"/>
  <c r="CY86" i="18"/>
  <c r="CZ86" i="18"/>
  <c r="DA86" i="18"/>
  <c r="DB86" i="18"/>
  <c r="DC86" i="18"/>
  <c r="DD86" i="18"/>
  <c r="DE86" i="18"/>
  <c r="DF86" i="18"/>
  <c r="DG86" i="18"/>
  <c r="DH86" i="18"/>
  <c r="DI86" i="18"/>
  <c r="DJ86" i="18"/>
  <c r="DK86" i="18"/>
  <c r="DL86" i="18"/>
  <c r="DM86" i="18"/>
  <c r="DN86" i="18"/>
  <c r="DO86" i="18"/>
  <c r="DP86" i="18"/>
  <c r="DQ86" i="18"/>
  <c r="DR86" i="18"/>
  <c r="DS86" i="18"/>
  <c r="DT86" i="18"/>
  <c r="DU86" i="18"/>
  <c r="DV86" i="18"/>
  <c r="DW86" i="18"/>
  <c r="DX86" i="18"/>
  <c r="DY86" i="18"/>
  <c r="DZ86" i="18"/>
  <c r="EA86" i="18"/>
  <c r="EB86" i="18"/>
  <c r="EC86" i="18"/>
  <c r="ED86" i="18"/>
  <c r="EE86" i="18"/>
  <c r="EF86" i="18"/>
  <c r="EG86" i="18"/>
  <c r="EH86" i="18"/>
  <c r="EI86" i="18"/>
  <c r="EJ86" i="18"/>
  <c r="EK86" i="18"/>
  <c r="EL86" i="18"/>
  <c r="EM86" i="18"/>
  <c r="EN86" i="18"/>
  <c r="EO86" i="18"/>
  <c r="EP86" i="18"/>
  <c r="EQ86" i="18"/>
  <c r="ER86" i="18"/>
  <c r="ES86" i="18"/>
  <c r="ET86" i="18"/>
  <c r="EU86" i="18"/>
  <c r="EV86" i="18"/>
  <c r="EW86" i="18"/>
  <c r="EX86" i="18"/>
  <c r="EY86" i="18"/>
  <c r="EZ86" i="18"/>
  <c r="FA86" i="18"/>
  <c r="FB86" i="18"/>
  <c r="FC86" i="18"/>
  <c r="FD86" i="18"/>
  <c r="FE86" i="18"/>
  <c r="FF86" i="18"/>
  <c r="FG86" i="18"/>
  <c r="FH86" i="18"/>
  <c r="FI86" i="18"/>
  <c r="FJ86" i="18"/>
  <c r="FK86" i="18"/>
  <c r="FL86" i="18"/>
  <c r="FM86" i="18"/>
  <c r="FN86" i="18"/>
  <c r="FO86" i="18"/>
  <c r="FP86" i="18"/>
  <c r="FQ86" i="18"/>
  <c r="FR86" i="18"/>
  <c r="FS86" i="18"/>
  <c r="FT86" i="18"/>
  <c r="FU86" i="18"/>
  <c r="FV86" i="18"/>
  <c r="FW86" i="18"/>
  <c r="FX86" i="18"/>
  <c r="FY86" i="18"/>
  <c r="FZ86" i="18"/>
  <c r="GA86" i="18"/>
  <c r="GB86" i="18"/>
  <c r="GC86" i="18"/>
  <c r="GD86" i="18"/>
  <c r="GE86" i="18"/>
  <c r="GF86" i="18"/>
  <c r="GG86" i="18"/>
  <c r="GH86" i="18"/>
  <c r="GI86" i="18"/>
  <c r="GJ86" i="18"/>
  <c r="GK86" i="18"/>
  <c r="GL86" i="18"/>
  <c r="GM86" i="18"/>
  <c r="GN86" i="18"/>
  <c r="GO86" i="18"/>
  <c r="GP86" i="18"/>
  <c r="GQ86" i="18"/>
  <c r="GR86" i="18"/>
  <c r="GS86" i="18"/>
  <c r="GT86" i="18"/>
  <c r="GU86" i="18"/>
  <c r="GV86" i="18"/>
  <c r="GW86" i="18"/>
  <c r="GX86" i="18"/>
  <c r="GY86" i="18"/>
  <c r="GZ86" i="18"/>
  <c r="HA86" i="18"/>
  <c r="HB86" i="18"/>
  <c r="HC86" i="18"/>
  <c r="I87" i="18"/>
  <c r="J87" i="18"/>
  <c r="K87" i="18"/>
  <c r="L87" i="18"/>
  <c r="M87" i="18"/>
  <c r="N87" i="18"/>
  <c r="O87" i="18"/>
  <c r="P87" i="18"/>
  <c r="Q87" i="18"/>
  <c r="R87" i="18"/>
  <c r="S87" i="18"/>
  <c r="T87" i="18"/>
  <c r="U87" i="18"/>
  <c r="V87" i="18"/>
  <c r="W87" i="18"/>
  <c r="X87" i="18"/>
  <c r="Y87" i="18"/>
  <c r="Z87" i="18"/>
  <c r="AA87" i="18"/>
  <c r="AB87" i="18"/>
  <c r="AC87" i="18"/>
  <c r="AD87" i="18"/>
  <c r="AE87" i="18"/>
  <c r="AF87" i="18"/>
  <c r="AG87" i="18"/>
  <c r="AH87" i="18"/>
  <c r="AI87" i="18"/>
  <c r="AJ87" i="18"/>
  <c r="AK87" i="18"/>
  <c r="AL87" i="18"/>
  <c r="AM87" i="18"/>
  <c r="AN87" i="18"/>
  <c r="AO87" i="18"/>
  <c r="AP87" i="18"/>
  <c r="AQ87" i="18"/>
  <c r="AR87" i="18"/>
  <c r="AS87" i="18"/>
  <c r="AT87" i="18"/>
  <c r="AU87" i="18"/>
  <c r="AV87" i="18"/>
  <c r="AW87" i="18"/>
  <c r="AX87" i="18"/>
  <c r="AY87" i="18"/>
  <c r="AZ87" i="18"/>
  <c r="BA87" i="18"/>
  <c r="BB87" i="18"/>
  <c r="BC87" i="18"/>
  <c r="BD87" i="18"/>
  <c r="BE87" i="18"/>
  <c r="BF87" i="18"/>
  <c r="BG87" i="18"/>
  <c r="BH87" i="18"/>
  <c r="BI87" i="18"/>
  <c r="BJ87" i="18"/>
  <c r="BK87" i="18"/>
  <c r="BL87" i="18"/>
  <c r="BM87" i="18"/>
  <c r="BN87" i="18"/>
  <c r="BO87" i="18"/>
  <c r="BP87" i="18"/>
  <c r="BQ87" i="18"/>
  <c r="BR87" i="18"/>
  <c r="BS87" i="18"/>
  <c r="BT87" i="18"/>
  <c r="BU87" i="18"/>
  <c r="BV87" i="18"/>
  <c r="BW87" i="18"/>
  <c r="BX87" i="18"/>
  <c r="BY87" i="18"/>
  <c r="BZ87" i="18"/>
  <c r="CA87" i="18"/>
  <c r="CB87" i="18"/>
  <c r="CC87" i="18"/>
  <c r="CD87" i="18"/>
  <c r="CE87" i="18"/>
  <c r="CF87" i="18"/>
  <c r="CG87" i="18"/>
  <c r="CH87" i="18"/>
  <c r="CI87" i="18"/>
  <c r="CJ87" i="18"/>
  <c r="CK87" i="18"/>
  <c r="CL87" i="18"/>
  <c r="CM87" i="18"/>
  <c r="CN87" i="18"/>
  <c r="CO87" i="18"/>
  <c r="CP87" i="18"/>
  <c r="CQ87" i="18"/>
  <c r="CR87" i="18"/>
  <c r="CS87" i="18"/>
  <c r="CT87" i="18"/>
  <c r="CU87" i="18"/>
  <c r="CV87" i="18"/>
  <c r="CW87" i="18"/>
  <c r="CX87" i="18"/>
  <c r="CY87" i="18"/>
  <c r="CZ87" i="18"/>
  <c r="DA87" i="18"/>
  <c r="DB87" i="18"/>
  <c r="DC87" i="18"/>
  <c r="DD87" i="18"/>
  <c r="DE87" i="18"/>
  <c r="DF87" i="18"/>
  <c r="DG87" i="18"/>
  <c r="DH87" i="18"/>
  <c r="DI87" i="18"/>
  <c r="DJ87" i="18"/>
  <c r="DK87" i="18"/>
  <c r="DL87" i="18"/>
  <c r="DM87" i="18"/>
  <c r="DN87" i="18"/>
  <c r="DO87" i="18"/>
  <c r="DP87" i="18"/>
  <c r="DQ87" i="18"/>
  <c r="DR87" i="18"/>
  <c r="DS87" i="18"/>
  <c r="DT87" i="18"/>
  <c r="DU87" i="18"/>
  <c r="DV87" i="18"/>
  <c r="DW87" i="18"/>
  <c r="DX87" i="18"/>
  <c r="DY87" i="18"/>
  <c r="DZ87" i="18"/>
  <c r="EA87" i="18"/>
  <c r="EB87" i="18"/>
  <c r="EC87" i="18"/>
  <c r="ED87" i="18"/>
  <c r="EE87" i="18"/>
  <c r="EF87" i="18"/>
  <c r="EG87" i="18"/>
  <c r="EH87" i="18"/>
  <c r="EI87" i="18"/>
  <c r="EJ87" i="18"/>
  <c r="EK87" i="18"/>
  <c r="EL87" i="18"/>
  <c r="EM87" i="18"/>
  <c r="EN87" i="18"/>
  <c r="EO87" i="18"/>
  <c r="EP87" i="18"/>
  <c r="EQ87" i="18"/>
  <c r="ER87" i="18"/>
  <c r="ES87" i="18"/>
  <c r="ET87" i="18"/>
  <c r="EU87" i="18"/>
  <c r="EV87" i="18"/>
  <c r="EW87" i="18"/>
  <c r="EX87" i="18"/>
  <c r="EY87" i="18"/>
  <c r="EZ87" i="18"/>
  <c r="FA87" i="18"/>
  <c r="FB87" i="18"/>
  <c r="FC87" i="18"/>
  <c r="FD87" i="18"/>
  <c r="FE87" i="18"/>
  <c r="FF87" i="18"/>
  <c r="FG87" i="18"/>
  <c r="FH87" i="18"/>
  <c r="FI87" i="18"/>
  <c r="FJ87" i="18"/>
  <c r="FK87" i="18"/>
  <c r="FL87" i="18"/>
  <c r="FM87" i="18"/>
  <c r="FN87" i="18"/>
  <c r="FO87" i="18"/>
  <c r="FP87" i="18"/>
  <c r="FQ87" i="18"/>
  <c r="FR87" i="18"/>
  <c r="FS87" i="18"/>
  <c r="FT87" i="18"/>
  <c r="FU87" i="18"/>
  <c r="FV87" i="18"/>
  <c r="FW87" i="18"/>
  <c r="FX87" i="18"/>
  <c r="FY87" i="18"/>
  <c r="FZ87" i="18"/>
  <c r="GA87" i="18"/>
  <c r="GB87" i="18"/>
  <c r="GC87" i="18"/>
  <c r="GD87" i="18"/>
  <c r="GE87" i="18"/>
  <c r="GF87" i="18"/>
  <c r="GG87" i="18"/>
  <c r="GH87" i="18"/>
  <c r="GI87" i="18"/>
  <c r="GJ87" i="18"/>
  <c r="GK87" i="18"/>
  <c r="GL87" i="18"/>
  <c r="GM87" i="18"/>
  <c r="GN87" i="18"/>
  <c r="GO87" i="18"/>
  <c r="GP87" i="18"/>
  <c r="GQ87" i="18"/>
  <c r="GR87" i="18"/>
  <c r="GS87" i="18"/>
  <c r="GT87" i="18"/>
  <c r="GU87" i="18"/>
  <c r="GV87" i="18"/>
  <c r="GW87" i="18"/>
  <c r="GX87" i="18"/>
  <c r="GY87" i="18"/>
  <c r="GZ87" i="18"/>
  <c r="HA87" i="18"/>
  <c r="HB87" i="18"/>
  <c r="HC87" i="18"/>
  <c r="I88" i="18"/>
  <c r="J88" i="18"/>
  <c r="K88" i="18"/>
  <c r="L88" i="18"/>
  <c r="M88" i="18"/>
  <c r="N88" i="18"/>
  <c r="O88" i="18"/>
  <c r="P88" i="18"/>
  <c r="Q88" i="18"/>
  <c r="R88" i="18"/>
  <c r="S88" i="18"/>
  <c r="T88" i="18"/>
  <c r="U88" i="18"/>
  <c r="V88" i="18"/>
  <c r="W88" i="18"/>
  <c r="X88" i="18"/>
  <c r="Y88" i="18"/>
  <c r="Z88" i="18"/>
  <c r="AA88" i="18"/>
  <c r="AB88" i="18"/>
  <c r="AC88" i="18"/>
  <c r="AD88" i="18"/>
  <c r="AE88" i="18"/>
  <c r="AF88" i="18"/>
  <c r="AG88" i="18"/>
  <c r="AH88" i="18"/>
  <c r="AI88" i="18"/>
  <c r="AJ88" i="18"/>
  <c r="AK88" i="18"/>
  <c r="AL88" i="18"/>
  <c r="AM88" i="18"/>
  <c r="AN88" i="18"/>
  <c r="AO88" i="18"/>
  <c r="AP88" i="18"/>
  <c r="AQ88" i="18"/>
  <c r="AR88" i="18"/>
  <c r="AS88" i="18"/>
  <c r="AT88" i="18"/>
  <c r="AU88" i="18"/>
  <c r="AV88" i="18"/>
  <c r="AW88" i="18"/>
  <c r="AX88" i="18"/>
  <c r="AY88" i="18"/>
  <c r="AZ88" i="18"/>
  <c r="BA88" i="18"/>
  <c r="BB88" i="18"/>
  <c r="BC88" i="18"/>
  <c r="BD88" i="18"/>
  <c r="BE88" i="18"/>
  <c r="BF88" i="18"/>
  <c r="BG88" i="18"/>
  <c r="BH88" i="18"/>
  <c r="BI88" i="18"/>
  <c r="BJ88" i="18"/>
  <c r="BK88" i="18"/>
  <c r="BL88" i="18"/>
  <c r="BM88" i="18"/>
  <c r="BN88" i="18"/>
  <c r="BO88" i="18"/>
  <c r="BP88" i="18"/>
  <c r="BQ88" i="18"/>
  <c r="BR88" i="18"/>
  <c r="BS88" i="18"/>
  <c r="BT88" i="18"/>
  <c r="BU88" i="18"/>
  <c r="BV88" i="18"/>
  <c r="BW88" i="18"/>
  <c r="BX88" i="18"/>
  <c r="BY88" i="18"/>
  <c r="BZ88" i="18"/>
  <c r="CA88" i="18"/>
  <c r="CB88" i="18"/>
  <c r="CC88" i="18"/>
  <c r="CD88" i="18"/>
  <c r="CE88" i="18"/>
  <c r="CF88" i="18"/>
  <c r="CG88" i="18"/>
  <c r="CH88" i="18"/>
  <c r="CI88" i="18"/>
  <c r="CJ88" i="18"/>
  <c r="CK88" i="18"/>
  <c r="CL88" i="18"/>
  <c r="CM88" i="18"/>
  <c r="CN88" i="18"/>
  <c r="CO88" i="18"/>
  <c r="CP88" i="18"/>
  <c r="CQ88" i="18"/>
  <c r="CR88" i="18"/>
  <c r="CS88" i="18"/>
  <c r="CT88" i="18"/>
  <c r="CU88" i="18"/>
  <c r="CV88" i="18"/>
  <c r="CW88" i="18"/>
  <c r="CX88" i="18"/>
  <c r="CY88" i="18"/>
  <c r="CZ88" i="18"/>
  <c r="DA88" i="18"/>
  <c r="DB88" i="18"/>
  <c r="DC88" i="18"/>
  <c r="DD88" i="18"/>
  <c r="DE88" i="18"/>
  <c r="DF88" i="18"/>
  <c r="DG88" i="18"/>
  <c r="DH88" i="18"/>
  <c r="DI88" i="18"/>
  <c r="DJ88" i="18"/>
  <c r="DK88" i="18"/>
  <c r="DL88" i="18"/>
  <c r="DM88" i="18"/>
  <c r="DN88" i="18"/>
  <c r="DO88" i="18"/>
  <c r="DP88" i="18"/>
  <c r="DQ88" i="18"/>
  <c r="DR88" i="18"/>
  <c r="DS88" i="18"/>
  <c r="DT88" i="18"/>
  <c r="DU88" i="18"/>
  <c r="DV88" i="18"/>
  <c r="DW88" i="18"/>
  <c r="DX88" i="18"/>
  <c r="DY88" i="18"/>
  <c r="DZ88" i="18"/>
  <c r="EA88" i="18"/>
  <c r="EB88" i="18"/>
  <c r="EC88" i="18"/>
  <c r="ED88" i="18"/>
  <c r="EE88" i="18"/>
  <c r="EF88" i="18"/>
  <c r="EG88" i="18"/>
  <c r="EH88" i="18"/>
  <c r="EI88" i="18"/>
  <c r="EJ88" i="18"/>
  <c r="EK88" i="18"/>
  <c r="EL88" i="18"/>
  <c r="EM88" i="18"/>
  <c r="EN88" i="18"/>
  <c r="EO88" i="18"/>
  <c r="EP88" i="18"/>
  <c r="EQ88" i="18"/>
  <c r="ER88" i="18"/>
  <c r="ES88" i="18"/>
  <c r="ET88" i="18"/>
  <c r="EU88" i="18"/>
  <c r="EV88" i="18"/>
  <c r="EW88" i="18"/>
  <c r="EX88" i="18"/>
  <c r="EY88" i="18"/>
  <c r="EZ88" i="18"/>
  <c r="FA88" i="18"/>
  <c r="FB88" i="18"/>
  <c r="FC88" i="18"/>
  <c r="FD88" i="18"/>
  <c r="FE88" i="18"/>
  <c r="FF88" i="18"/>
  <c r="FG88" i="18"/>
  <c r="FH88" i="18"/>
  <c r="FI88" i="18"/>
  <c r="FJ88" i="18"/>
  <c r="FK88" i="18"/>
  <c r="FL88" i="18"/>
  <c r="FM88" i="18"/>
  <c r="FN88" i="18"/>
  <c r="FO88" i="18"/>
  <c r="FP88" i="18"/>
  <c r="FQ88" i="18"/>
  <c r="FR88" i="18"/>
  <c r="FS88" i="18"/>
  <c r="FT88" i="18"/>
  <c r="FU88" i="18"/>
  <c r="FV88" i="18"/>
  <c r="FW88" i="18"/>
  <c r="FX88" i="18"/>
  <c r="FY88" i="18"/>
  <c r="FZ88" i="18"/>
  <c r="GA88" i="18"/>
  <c r="GB88" i="18"/>
  <c r="GC88" i="18"/>
  <c r="GD88" i="18"/>
  <c r="GE88" i="18"/>
  <c r="GF88" i="18"/>
  <c r="GG88" i="18"/>
  <c r="GH88" i="18"/>
  <c r="GI88" i="18"/>
  <c r="GJ88" i="18"/>
  <c r="GK88" i="18"/>
  <c r="GL88" i="18"/>
  <c r="GM88" i="18"/>
  <c r="GN88" i="18"/>
  <c r="GO88" i="18"/>
  <c r="GP88" i="18"/>
  <c r="GQ88" i="18"/>
  <c r="GR88" i="18"/>
  <c r="GS88" i="18"/>
  <c r="GT88" i="18"/>
  <c r="GU88" i="18"/>
  <c r="GV88" i="18"/>
  <c r="GW88" i="18"/>
  <c r="GX88" i="18"/>
  <c r="GY88" i="18"/>
  <c r="GZ88" i="18"/>
  <c r="HA88" i="18"/>
  <c r="HB88" i="18"/>
  <c r="HC88" i="18"/>
  <c r="I89" i="18"/>
  <c r="J89" i="18"/>
  <c r="K89" i="18"/>
  <c r="L89" i="18"/>
  <c r="M89" i="18"/>
  <c r="N89" i="18"/>
  <c r="O89" i="18"/>
  <c r="P89" i="18"/>
  <c r="Q89" i="18"/>
  <c r="R89" i="18"/>
  <c r="S89" i="18"/>
  <c r="T89" i="18"/>
  <c r="U89" i="18"/>
  <c r="V89" i="18"/>
  <c r="W89" i="18"/>
  <c r="X89" i="18"/>
  <c r="Y89" i="18"/>
  <c r="Z89" i="18"/>
  <c r="AA89" i="18"/>
  <c r="AB89" i="18"/>
  <c r="AC89" i="18"/>
  <c r="AD89" i="18"/>
  <c r="AE89" i="18"/>
  <c r="AF89" i="18"/>
  <c r="AG89" i="18"/>
  <c r="AH89" i="18"/>
  <c r="AI89" i="18"/>
  <c r="AJ89" i="18"/>
  <c r="AK89" i="18"/>
  <c r="AL89" i="18"/>
  <c r="AM89" i="18"/>
  <c r="AN89" i="18"/>
  <c r="AO89" i="18"/>
  <c r="AP89" i="18"/>
  <c r="AQ89" i="18"/>
  <c r="AR89" i="18"/>
  <c r="AS89" i="18"/>
  <c r="AT89" i="18"/>
  <c r="AU89" i="18"/>
  <c r="AV89" i="18"/>
  <c r="AW89" i="18"/>
  <c r="AX89" i="18"/>
  <c r="AY89" i="18"/>
  <c r="AZ89" i="18"/>
  <c r="BA89" i="18"/>
  <c r="BB89" i="18"/>
  <c r="BC89" i="18"/>
  <c r="BD89" i="18"/>
  <c r="BE89" i="18"/>
  <c r="BF89" i="18"/>
  <c r="BG89" i="18"/>
  <c r="BH89" i="18"/>
  <c r="BI89" i="18"/>
  <c r="BJ89" i="18"/>
  <c r="BK89" i="18"/>
  <c r="BL89" i="18"/>
  <c r="BM89" i="18"/>
  <c r="BN89" i="18"/>
  <c r="BO89" i="18"/>
  <c r="BP89" i="18"/>
  <c r="BQ89" i="18"/>
  <c r="BR89" i="18"/>
  <c r="BS89" i="18"/>
  <c r="BT89" i="18"/>
  <c r="BU89" i="18"/>
  <c r="BV89" i="18"/>
  <c r="BW89" i="18"/>
  <c r="BX89" i="18"/>
  <c r="BY89" i="18"/>
  <c r="BZ89" i="18"/>
  <c r="CA89" i="18"/>
  <c r="CB89" i="18"/>
  <c r="CC89" i="18"/>
  <c r="CD89" i="18"/>
  <c r="CE89" i="18"/>
  <c r="CF89" i="18"/>
  <c r="CG89" i="18"/>
  <c r="CH89" i="18"/>
  <c r="CI89" i="18"/>
  <c r="CJ89" i="18"/>
  <c r="CK89" i="18"/>
  <c r="CL89" i="18"/>
  <c r="CM89" i="18"/>
  <c r="CN89" i="18"/>
  <c r="CO89" i="18"/>
  <c r="CP89" i="18"/>
  <c r="CQ89" i="18"/>
  <c r="CR89" i="18"/>
  <c r="CS89" i="18"/>
  <c r="CT89" i="18"/>
  <c r="CU89" i="18"/>
  <c r="CV89" i="18"/>
  <c r="CW89" i="18"/>
  <c r="CX89" i="18"/>
  <c r="CY89" i="18"/>
  <c r="CZ89" i="18"/>
  <c r="DA89" i="18"/>
  <c r="DB89" i="18"/>
  <c r="DC89" i="18"/>
  <c r="DD89" i="18"/>
  <c r="DE89" i="18"/>
  <c r="DF89" i="18"/>
  <c r="DG89" i="18"/>
  <c r="DH89" i="18"/>
  <c r="DI89" i="18"/>
  <c r="DJ89" i="18"/>
  <c r="DK89" i="18"/>
  <c r="DL89" i="18"/>
  <c r="DM89" i="18"/>
  <c r="DN89" i="18"/>
  <c r="DO89" i="18"/>
  <c r="DP89" i="18"/>
  <c r="DQ89" i="18"/>
  <c r="DR89" i="18"/>
  <c r="DS89" i="18"/>
  <c r="DT89" i="18"/>
  <c r="DU89" i="18"/>
  <c r="DV89" i="18"/>
  <c r="DW89" i="18"/>
  <c r="DX89" i="18"/>
  <c r="DY89" i="18"/>
  <c r="DZ89" i="18"/>
  <c r="EA89" i="18"/>
  <c r="EB89" i="18"/>
  <c r="EC89" i="18"/>
  <c r="ED89" i="18"/>
  <c r="EE89" i="18"/>
  <c r="EF89" i="18"/>
  <c r="EG89" i="18"/>
  <c r="EH89" i="18"/>
  <c r="EI89" i="18"/>
  <c r="EJ89" i="18"/>
  <c r="EK89" i="18"/>
  <c r="EL89" i="18"/>
  <c r="EM89" i="18"/>
  <c r="EN89" i="18"/>
  <c r="EO89" i="18"/>
  <c r="EP89" i="18"/>
  <c r="EQ89" i="18"/>
  <c r="ER89" i="18"/>
  <c r="ES89" i="18"/>
  <c r="ET89" i="18"/>
  <c r="EU89" i="18"/>
  <c r="EV89" i="18"/>
  <c r="EW89" i="18"/>
  <c r="EX89" i="18"/>
  <c r="EY89" i="18"/>
  <c r="EZ89" i="18"/>
  <c r="FA89" i="18"/>
  <c r="FB89" i="18"/>
  <c r="FC89" i="18"/>
  <c r="FD89" i="18"/>
  <c r="FE89" i="18"/>
  <c r="FF89" i="18"/>
  <c r="FG89" i="18"/>
  <c r="FH89" i="18"/>
  <c r="FI89" i="18"/>
  <c r="FJ89" i="18"/>
  <c r="FK89" i="18"/>
  <c r="FL89" i="18"/>
  <c r="FM89" i="18"/>
  <c r="FN89" i="18"/>
  <c r="FO89" i="18"/>
  <c r="FP89" i="18"/>
  <c r="FQ89" i="18"/>
  <c r="FR89" i="18"/>
  <c r="FS89" i="18"/>
  <c r="FT89" i="18"/>
  <c r="FU89" i="18"/>
  <c r="FV89" i="18"/>
  <c r="FW89" i="18"/>
  <c r="FX89" i="18"/>
  <c r="FY89" i="18"/>
  <c r="FZ89" i="18"/>
  <c r="GA89" i="18"/>
  <c r="GB89" i="18"/>
  <c r="GC89" i="18"/>
  <c r="GD89" i="18"/>
  <c r="GE89" i="18"/>
  <c r="GF89" i="18"/>
  <c r="GG89" i="18"/>
  <c r="GH89" i="18"/>
  <c r="GI89" i="18"/>
  <c r="GJ89" i="18"/>
  <c r="GK89" i="18"/>
  <c r="GL89" i="18"/>
  <c r="GM89" i="18"/>
  <c r="GN89" i="18"/>
  <c r="GO89" i="18"/>
  <c r="GP89" i="18"/>
  <c r="GQ89" i="18"/>
  <c r="GR89" i="18"/>
  <c r="GS89" i="18"/>
  <c r="GT89" i="18"/>
  <c r="GU89" i="18"/>
  <c r="GV89" i="18"/>
  <c r="GW89" i="18"/>
  <c r="GX89" i="18"/>
  <c r="GY89" i="18"/>
  <c r="GZ89" i="18"/>
  <c r="HA89" i="18"/>
  <c r="HB89" i="18"/>
  <c r="HC89" i="18"/>
  <c r="I90" i="18"/>
  <c r="J90" i="18"/>
  <c r="K90" i="18"/>
  <c r="L90" i="18"/>
  <c r="M90" i="18"/>
  <c r="N90" i="18"/>
  <c r="O90" i="18"/>
  <c r="P90" i="18"/>
  <c r="Q90" i="18"/>
  <c r="R90" i="18"/>
  <c r="S90" i="18"/>
  <c r="T90" i="18"/>
  <c r="U90" i="18"/>
  <c r="V90" i="18"/>
  <c r="W90" i="18"/>
  <c r="X90" i="18"/>
  <c r="Y90" i="18"/>
  <c r="Z90" i="18"/>
  <c r="AA90" i="18"/>
  <c r="AB90" i="18"/>
  <c r="AC90" i="18"/>
  <c r="AD90" i="18"/>
  <c r="AE90" i="18"/>
  <c r="AF90" i="18"/>
  <c r="AG90" i="18"/>
  <c r="AH90" i="18"/>
  <c r="AI90" i="18"/>
  <c r="AJ90" i="18"/>
  <c r="AK90" i="18"/>
  <c r="AL90" i="18"/>
  <c r="AM90" i="18"/>
  <c r="AN90" i="18"/>
  <c r="AO90" i="18"/>
  <c r="AP90" i="18"/>
  <c r="AQ90" i="18"/>
  <c r="AR90" i="18"/>
  <c r="AS90" i="18"/>
  <c r="AT90" i="18"/>
  <c r="AU90" i="18"/>
  <c r="AV90" i="18"/>
  <c r="AW90" i="18"/>
  <c r="AX90" i="18"/>
  <c r="AY90" i="18"/>
  <c r="AZ90" i="18"/>
  <c r="BA90" i="18"/>
  <c r="BB90" i="18"/>
  <c r="BC90" i="18"/>
  <c r="BD90" i="18"/>
  <c r="BE90" i="18"/>
  <c r="BF90" i="18"/>
  <c r="BG90" i="18"/>
  <c r="BH90" i="18"/>
  <c r="BI90" i="18"/>
  <c r="BJ90" i="18"/>
  <c r="BK90" i="18"/>
  <c r="BL90" i="18"/>
  <c r="BM90" i="18"/>
  <c r="BN90" i="18"/>
  <c r="BO90" i="18"/>
  <c r="BP90" i="18"/>
  <c r="BQ90" i="18"/>
  <c r="BR90" i="18"/>
  <c r="BS90" i="18"/>
  <c r="BT90" i="18"/>
  <c r="BU90" i="18"/>
  <c r="BV90" i="18"/>
  <c r="BW90" i="18"/>
  <c r="BX90" i="18"/>
  <c r="BY90" i="18"/>
  <c r="BZ90" i="18"/>
  <c r="CA90" i="18"/>
  <c r="CB90" i="18"/>
  <c r="CC90" i="18"/>
  <c r="CD90" i="18"/>
  <c r="CE90" i="18"/>
  <c r="CF90" i="18"/>
  <c r="CG90" i="18"/>
  <c r="CH90" i="18"/>
  <c r="CI90" i="18"/>
  <c r="CJ90" i="18"/>
  <c r="CK90" i="18"/>
  <c r="CL90" i="18"/>
  <c r="CM90" i="18"/>
  <c r="CN90" i="18"/>
  <c r="CO90" i="18"/>
  <c r="CP90" i="18"/>
  <c r="CQ90" i="18"/>
  <c r="CR90" i="18"/>
  <c r="CS90" i="18"/>
  <c r="CT90" i="18"/>
  <c r="CU90" i="18"/>
  <c r="CV90" i="18"/>
  <c r="CW90" i="18"/>
  <c r="CX90" i="18"/>
  <c r="CY90" i="18"/>
  <c r="CZ90" i="18"/>
  <c r="DA90" i="18"/>
  <c r="DB90" i="18"/>
  <c r="DC90" i="18"/>
  <c r="DD90" i="18"/>
  <c r="DE90" i="18"/>
  <c r="DF90" i="18"/>
  <c r="DG90" i="18"/>
  <c r="DH90" i="18"/>
  <c r="DI90" i="18"/>
  <c r="DJ90" i="18"/>
  <c r="DK90" i="18"/>
  <c r="DL90" i="18"/>
  <c r="DM90" i="18"/>
  <c r="DN90" i="18"/>
  <c r="DO90" i="18"/>
  <c r="DP90" i="18"/>
  <c r="DQ90" i="18"/>
  <c r="DR90" i="18"/>
  <c r="DS90" i="18"/>
  <c r="DT90" i="18"/>
  <c r="DU90" i="18"/>
  <c r="DV90" i="18"/>
  <c r="DW90" i="18"/>
  <c r="DX90" i="18"/>
  <c r="DY90" i="18"/>
  <c r="DZ90" i="18"/>
  <c r="EA90" i="18"/>
  <c r="EB90" i="18"/>
  <c r="EC90" i="18"/>
  <c r="ED90" i="18"/>
  <c r="EE90" i="18"/>
  <c r="EF90" i="18"/>
  <c r="EG90" i="18"/>
  <c r="EH90" i="18"/>
  <c r="EI90" i="18"/>
  <c r="EJ90" i="18"/>
  <c r="EK90" i="18"/>
  <c r="EL90" i="18"/>
  <c r="EM90" i="18"/>
  <c r="EN90" i="18"/>
  <c r="EO90" i="18"/>
  <c r="EP90" i="18"/>
  <c r="EQ90" i="18"/>
  <c r="ER90" i="18"/>
  <c r="ES90" i="18"/>
  <c r="ET90" i="18"/>
  <c r="EU90" i="18"/>
  <c r="EV90" i="18"/>
  <c r="EW90" i="18"/>
  <c r="EX90" i="18"/>
  <c r="EY90" i="18"/>
  <c r="EZ90" i="18"/>
  <c r="FA90" i="18"/>
  <c r="FB90" i="18"/>
  <c r="FC90" i="18"/>
  <c r="FD90" i="18"/>
  <c r="FE90" i="18"/>
  <c r="FF90" i="18"/>
  <c r="FG90" i="18"/>
  <c r="FH90" i="18"/>
  <c r="FI90" i="18"/>
  <c r="FJ90" i="18"/>
  <c r="FK90" i="18"/>
  <c r="FL90" i="18"/>
  <c r="FM90" i="18"/>
  <c r="FN90" i="18"/>
  <c r="FO90" i="18"/>
  <c r="FP90" i="18"/>
  <c r="FQ90" i="18"/>
  <c r="FR90" i="18"/>
  <c r="FS90" i="18"/>
  <c r="FT90" i="18"/>
  <c r="FU90" i="18"/>
  <c r="FV90" i="18"/>
  <c r="FW90" i="18"/>
  <c r="FX90" i="18"/>
  <c r="FY90" i="18"/>
  <c r="FZ90" i="18"/>
  <c r="GA90" i="18"/>
  <c r="GB90" i="18"/>
  <c r="GC90" i="18"/>
  <c r="GD90" i="18"/>
  <c r="GE90" i="18"/>
  <c r="GF90" i="18"/>
  <c r="GG90" i="18"/>
  <c r="GH90" i="18"/>
  <c r="GI90" i="18"/>
  <c r="GJ90" i="18"/>
  <c r="GK90" i="18"/>
  <c r="GL90" i="18"/>
  <c r="GM90" i="18"/>
  <c r="GN90" i="18"/>
  <c r="GO90" i="18"/>
  <c r="GP90" i="18"/>
  <c r="GQ90" i="18"/>
  <c r="GR90" i="18"/>
  <c r="GS90" i="18"/>
  <c r="GT90" i="18"/>
  <c r="GU90" i="18"/>
  <c r="GV90" i="18"/>
  <c r="GW90" i="18"/>
  <c r="GX90" i="18"/>
  <c r="GY90" i="18"/>
  <c r="GZ90" i="18"/>
  <c r="HA90" i="18"/>
  <c r="HB90" i="18"/>
  <c r="HC90" i="18"/>
  <c r="I91" i="18"/>
  <c r="J91" i="18"/>
  <c r="K91" i="18"/>
  <c r="L91" i="18"/>
  <c r="M91" i="18"/>
  <c r="N91" i="18"/>
  <c r="O91" i="18"/>
  <c r="P91" i="18"/>
  <c r="Q91" i="18"/>
  <c r="R91" i="18"/>
  <c r="S91" i="18"/>
  <c r="T91" i="18"/>
  <c r="U91" i="18"/>
  <c r="V91" i="18"/>
  <c r="W91" i="18"/>
  <c r="X91" i="18"/>
  <c r="Y91" i="18"/>
  <c r="Z91" i="18"/>
  <c r="AA91" i="18"/>
  <c r="AB91" i="18"/>
  <c r="AC91" i="18"/>
  <c r="AD91" i="18"/>
  <c r="AE91" i="18"/>
  <c r="AF91" i="18"/>
  <c r="AG91" i="18"/>
  <c r="AH91" i="18"/>
  <c r="AI91" i="18"/>
  <c r="AJ91" i="18"/>
  <c r="AK91" i="18"/>
  <c r="AL91" i="18"/>
  <c r="AM91" i="18"/>
  <c r="AN91" i="18"/>
  <c r="AO91" i="18"/>
  <c r="AP91" i="18"/>
  <c r="AQ91" i="18"/>
  <c r="AR91" i="18"/>
  <c r="AS91" i="18"/>
  <c r="AT91" i="18"/>
  <c r="AU91" i="18"/>
  <c r="AV91" i="18"/>
  <c r="AW91" i="18"/>
  <c r="AX91" i="18"/>
  <c r="AY91" i="18"/>
  <c r="AZ91" i="18"/>
  <c r="BA91" i="18"/>
  <c r="BB91" i="18"/>
  <c r="BC91" i="18"/>
  <c r="BD91" i="18"/>
  <c r="BE91" i="18"/>
  <c r="BF91" i="18"/>
  <c r="BG91" i="18"/>
  <c r="BH91" i="18"/>
  <c r="BI91" i="18"/>
  <c r="BJ91" i="18"/>
  <c r="BK91" i="18"/>
  <c r="BL91" i="18"/>
  <c r="BM91" i="18"/>
  <c r="BN91" i="18"/>
  <c r="BO91" i="18"/>
  <c r="BP91" i="18"/>
  <c r="BQ91" i="18"/>
  <c r="BR91" i="18"/>
  <c r="BS91" i="18"/>
  <c r="BT91" i="18"/>
  <c r="BU91" i="18"/>
  <c r="BV91" i="18"/>
  <c r="BW91" i="18"/>
  <c r="BX91" i="18"/>
  <c r="BY91" i="18"/>
  <c r="BZ91" i="18"/>
  <c r="CA91" i="18"/>
  <c r="CB91" i="18"/>
  <c r="CC91" i="18"/>
  <c r="CD91" i="18"/>
  <c r="CE91" i="18"/>
  <c r="CF91" i="18"/>
  <c r="CG91" i="18"/>
  <c r="CH91" i="18"/>
  <c r="CI91" i="18"/>
  <c r="CJ91" i="18"/>
  <c r="CK91" i="18"/>
  <c r="CL91" i="18"/>
  <c r="CM91" i="18"/>
  <c r="CN91" i="18"/>
  <c r="CO91" i="18"/>
  <c r="CP91" i="18"/>
  <c r="CQ91" i="18"/>
  <c r="CR91" i="18"/>
  <c r="CS91" i="18"/>
  <c r="CT91" i="18"/>
  <c r="CU91" i="18"/>
  <c r="CV91" i="18"/>
  <c r="CW91" i="18"/>
  <c r="CX91" i="18"/>
  <c r="CY91" i="18"/>
  <c r="CZ91" i="18"/>
  <c r="DA91" i="18"/>
  <c r="DB91" i="18"/>
  <c r="DC91" i="18"/>
  <c r="DD91" i="18"/>
  <c r="DE91" i="18"/>
  <c r="DF91" i="18"/>
  <c r="DG91" i="18"/>
  <c r="DH91" i="18"/>
  <c r="DI91" i="18"/>
  <c r="DJ91" i="18"/>
  <c r="DK91" i="18"/>
  <c r="DL91" i="18"/>
  <c r="DM91" i="18"/>
  <c r="DN91" i="18"/>
  <c r="DO91" i="18"/>
  <c r="DP91" i="18"/>
  <c r="DQ91" i="18"/>
  <c r="DR91" i="18"/>
  <c r="DS91" i="18"/>
  <c r="DT91" i="18"/>
  <c r="DU91" i="18"/>
  <c r="DV91" i="18"/>
  <c r="DW91" i="18"/>
  <c r="DX91" i="18"/>
  <c r="DY91" i="18"/>
  <c r="DZ91" i="18"/>
  <c r="EA91" i="18"/>
  <c r="EB91" i="18"/>
  <c r="EC91" i="18"/>
  <c r="ED91" i="18"/>
  <c r="EE91" i="18"/>
  <c r="EF91" i="18"/>
  <c r="EG91" i="18"/>
  <c r="EH91" i="18"/>
  <c r="EI91" i="18"/>
  <c r="EJ91" i="18"/>
  <c r="EK91" i="18"/>
  <c r="EL91" i="18"/>
  <c r="EM91" i="18"/>
  <c r="EN91" i="18"/>
  <c r="EO91" i="18"/>
  <c r="EP91" i="18"/>
  <c r="EQ91" i="18"/>
  <c r="ER91" i="18"/>
  <c r="ES91" i="18"/>
  <c r="ET91" i="18"/>
  <c r="EU91" i="18"/>
  <c r="EV91" i="18"/>
  <c r="EW91" i="18"/>
  <c r="EX91" i="18"/>
  <c r="EY91" i="18"/>
  <c r="EZ91" i="18"/>
  <c r="FA91" i="18"/>
  <c r="FB91" i="18"/>
  <c r="FC91" i="18"/>
  <c r="FD91" i="18"/>
  <c r="FE91" i="18"/>
  <c r="FF91" i="18"/>
  <c r="FG91" i="18"/>
  <c r="FH91" i="18"/>
  <c r="FI91" i="18"/>
  <c r="FJ91" i="18"/>
  <c r="FK91" i="18"/>
  <c r="FL91" i="18"/>
  <c r="FM91" i="18"/>
  <c r="FN91" i="18"/>
  <c r="FO91" i="18"/>
  <c r="FP91" i="18"/>
  <c r="FQ91" i="18"/>
  <c r="FR91" i="18"/>
  <c r="FS91" i="18"/>
  <c r="FT91" i="18"/>
  <c r="FU91" i="18"/>
  <c r="FV91" i="18"/>
  <c r="FW91" i="18"/>
  <c r="FX91" i="18"/>
  <c r="FY91" i="18"/>
  <c r="FZ91" i="18"/>
  <c r="GA91" i="18"/>
  <c r="GB91" i="18"/>
  <c r="GC91" i="18"/>
  <c r="GD91" i="18"/>
  <c r="GE91" i="18"/>
  <c r="GF91" i="18"/>
  <c r="GG91" i="18"/>
  <c r="GH91" i="18"/>
  <c r="GI91" i="18"/>
  <c r="GJ91" i="18"/>
  <c r="GK91" i="18"/>
  <c r="GL91" i="18"/>
  <c r="GM91" i="18"/>
  <c r="GN91" i="18"/>
  <c r="GO91" i="18"/>
  <c r="GP91" i="18"/>
  <c r="GQ91" i="18"/>
  <c r="GR91" i="18"/>
  <c r="GS91" i="18"/>
  <c r="GT91" i="18"/>
  <c r="GU91" i="18"/>
  <c r="GV91" i="18"/>
  <c r="GW91" i="18"/>
  <c r="GX91" i="18"/>
  <c r="GY91" i="18"/>
  <c r="GZ91" i="18"/>
  <c r="HA91" i="18"/>
  <c r="HB91" i="18"/>
  <c r="HC91" i="18"/>
  <c r="I92" i="18"/>
  <c r="J92" i="18"/>
  <c r="K92" i="18"/>
  <c r="L92" i="18"/>
  <c r="M92" i="18"/>
  <c r="N92" i="18"/>
  <c r="O92" i="18"/>
  <c r="P92" i="18"/>
  <c r="Q92" i="18"/>
  <c r="R92" i="18"/>
  <c r="S92" i="18"/>
  <c r="T92" i="18"/>
  <c r="U92" i="18"/>
  <c r="V92" i="18"/>
  <c r="W92" i="18"/>
  <c r="X92" i="18"/>
  <c r="Y92" i="18"/>
  <c r="Z92" i="18"/>
  <c r="AA92" i="18"/>
  <c r="AB92" i="18"/>
  <c r="AC92" i="18"/>
  <c r="AD92" i="18"/>
  <c r="AE92" i="18"/>
  <c r="AF92" i="18"/>
  <c r="AG92" i="18"/>
  <c r="AH92" i="18"/>
  <c r="AI92" i="18"/>
  <c r="AJ92" i="18"/>
  <c r="AK92" i="18"/>
  <c r="AL92" i="18"/>
  <c r="AM92" i="18"/>
  <c r="AN92" i="18"/>
  <c r="AO92" i="18"/>
  <c r="AP92" i="18"/>
  <c r="AQ92" i="18"/>
  <c r="AR92" i="18"/>
  <c r="AS92" i="18"/>
  <c r="AT92" i="18"/>
  <c r="AU92" i="18"/>
  <c r="AV92" i="18"/>
  <c r="AW92" i="18"/>
  <c r="AX92" i="18"/>
  <c r="AY92" i="18"/>
  <c r="AZ92" i="18"/>
  <c r="BA92" i="18"/>
  <c r="BB92" i="18"/>
  <c r="BC92" i="18"/>
  <c r="BD92" i="18"/>
  <c r="BE92" i="18"/>
  <c r="BF92" i="18"/>
  <c r="BG92" i="18"/>
  <c r="BH92" i="18"/>
  <c r="BI92" i="18"/>
  <c r="BJ92" i="18"/>
  <c r="BK92" i="18"/>
  <c r="BL92" i="18"/>
  <c r="BM92" i="18"/>
  <c r="BN92" i="18"/>
  <c r="BO92" i="18"/>
  <c r="BP92" i="18"/>
  <c r="BQ92" i="18"/>
  <c r="BR92" i="18"/>
  <c r="BS92" i="18"/>
  <c r="BT92" i="18"/>
  <c r="BU92" i="18"/>
  <c r="BV92" i="18"/>
  <c r="BW92" i="18"/>
  <c r="BX92" i="18"/>
  <c r="BY92" i="18"/>
  <c r="BZ92" i="18"/>
  <c r="CA92" i="18"/>
  <c r="CB92" i="18"/>
  <c r="CC92" i="18"/>
  <c r="CD92" i="18"/>
  <c r="CE92" i="18"/>
  <c r="CF92" i="18"/>
  <c r="CG92" i="18"/>
  <c r="CH92" i="18"/>
  <c r="CI92" i="18"/>
  <c r="CJ92" i="18"/>
  <c r="CK92" i="18"/>
  <c r="CL92" i="18"/>
  <c r="CM92" i="18"/>
  <c r="CN92" i="18"/>
  <c r="CO92" i="18"/>
  <c r="CP92" i="18"/>
  <c r="CQ92" i="18"/>
  <c r="CR92" i="18"/>
  <c r="CS92" i="18"/>
  <c r="CT92" i="18"/>
  <c r="CU92" i="18"/>
  <c r="CV92" i="18"/>
  <c r="CW92" i="18"/>
  <c r="CX92" i="18"/>
  <c r="CY92" i="18"/>
  <c r="CZ92" i="18"/>
  <c r="DA92" i="18"/>
  <c r="DB92" i="18"/>
  <c r="DC92" i="18"/>
  <c r="DD92" i="18"/>
  <c r="DE92" i="18"/>
  <c r="DF92" i="18"/>
  <c r="DG92" i="18"/>
  <c r="DH92" i="18"/>
  <c r="DI92" i="18"/>
  <c r="DJ92" i="18"/>
  <c r="DK92" i="18"/>
  <c r="DL92" i="18"/>
  <c r="DM92" i="18"/>
  <c r="DN92" i="18"/>
  <c r="DO92" i="18"/>
  <c r="DP92" i="18"/>
  <c r="DQ92" i="18"/>
  <c r="DR92" i="18"/>
  <c r="DS92" i="18"/>
  <c r="DT92" i="18"/>
  <c r="DU92" i="18"/>
  <c r="DV92" i="18"/>
  <c r="DW92" i="18"/>
  <c r="DX92" i="18"/>
  <c r="DY92" i="18"/>
  <c r="DZ92" i="18"/>
  <c r="EA92" i="18"/>
  <c r="EB92" i="18"/>
  <c r="EC92" i="18"/>
  <c r="ED92" i="18"/>
  <c r="EE92" i="18"/>
  <c r="EF92" i="18"/>
  <c r="EG92" i="18"/>
  <c r="EH92" i="18"/>
  <c r="EI92" i="18"/>
  <c r="EJ92" i="18"/>
  <c r="EK92" i="18"/>
  <c r="EL92" i="18"/>
  <c r="EM92" i="18"/>
  <c r="EN92" i="18"/>
  <c r="EO92" i="18"/>
  <c r="EP92" i="18"/>
  <c r="EQ92" i="18"/>
  <c r="ER92" i="18"/>
  <c r="ES92" i="18"/>
  <c r="ET92" i="18"/>
  <c r="EU92" i="18"/>
  <c r="EV92" i="18"/>
  <c r="EW92" i="18"/>
  <c r="EX92" i="18"/>
  <c r="EY92" i="18"/>
  <c r="EZ92" i="18"/>
  <c r="FA92" i="18"/>
  <c r="FB92" i="18"/>
  <c r="FC92" i="18"/>
  <c r="FD92" i="18"/>
  <c r="FE92" i="18"/>
  <c r="FF92" i="18"/>
  <c r="FG92" i="18"/>
  <c r="FH92" i="18"/>
  <c r="FI92" i="18"/>
  <c r="FJ92" i="18"/>
  <c r="FK92" i="18"/>
  <c r="FL92" i="18"/>
  <c r="FM92" i="18"/>
  <c r="FN92" i="18"/>
  <c r="FO92" i="18"/>
  <c r="FP92" i="18"/>
  <c r="FQ92" i="18"/>
  <c r="FR92" i="18"/>
  <c r="FS92" i="18"/>
  <c r="FT92" i="18"/>
  <c r="FU92" i="18"/>
  <c r="FV92" i="18"/>
  <c r="FW92" i="18"/>
  <c r="FX92" i="18"/>
  <c r="FY92" i="18"/>
  <c r="FZ92" i="18"/>
  <c r="GA92" i="18"/>
  <c r="GB92" i="18"/>
  <c r="GC92" i="18"/>
  <c r="GD92" i="18"/>
  <c r="GE92" i="18"/>
  <c r="GF92" i="18"/>
  <c r="GG92" i="18"/>
  <c r="GH92" i="18"/>
  <c r="GI92" i="18"/>
  <c r="GJ92" i="18"/>
  <c r="GK92" i="18"/>
  <c r="GL92" i="18"/>
  <c r="GM92" i="18"/>
  <c r="GN92" i="18"/>
  <c r="GO92" i="18"/>
  <c r="GP92" i="18"/>
  <c r="GQ92" i="18"/>
  <c r="GR92" i="18"/>
  <c r="GS92" i="18"/>
  <c r="GT92" i="18"/>
  <c r="GU92" i="18"/>
  <c r="GV92" i="18"/>
  <c r="GW92" i="18"/>
  <c r="GX92" i="18"/>
  <c r="GY92" i="18"/>
  <c r="GZ92" i="18"/>
  <c r="HA92" i="18"/>
  <c r="HB92" i="18"/>
  <c r="HC92" i="18"/>
  <c r="H92" i="18"/>
  <c r="H91" i="18"/>
  <c r="H90" i="18"/>
  <c r="H89" i="18"/>
  <c r="H88" i="18"/>
  <c r="H87" i="18"/>
  <c r="H86" i="18"/>
  <c r="H85" i="18"/>
  <c r="H84" i="18"/>
  <c r="H83" i="18"/>
  <c r="I68" i="18"/>
  <c r="J68" i="18"/>
  <c r="K68" i="18"/>
  <c r="L68" i="18"/>
  <c r="M68" i="18"/>
  <c r="N68" i="18"/>
  <c r="O68" i="18"/>
  <c r="P68" i="18"/>
  <c r="Q68" i="18"/>
  <c r="R68" i="18"/>
  <c r="S68" i="18"/>
  <c r="T68" i="18"/>
  <c r="U68" i="18"/>
  <c r="V68" i="18"/>
  <c r="W68" i="18"/>
  <c r="X68" i="18"/>
  <c r="Y68" i="18"/>
  <c r="Z68" i="18"/>
  <c r="AA68" i="18"/>
  <c r="AB68" i="18"/>
  <c r="AC68" i="18"/>
  <c r="AD68" i="18"/>
  <c r="AE68" i="18"/>
  <c r="AF68" i="18"/>
  <c r="AG68" i="18"/>
  <c r="AH68" i="18"/>
  <c r="AI68" i="18"/>
  <c r="AJ68" i="18"/>
  <c r="AK68" i="18"/>
  <c r="AL68" i="18"/>
  <c r="AM68" i="18"/>
  <c r="AN68" i="18"/>
  <c r="AO68" i="18"/>
  <c r="AP68" i="18"/>
  <c r="AQ68" i="18"/>
  <c r="AR68" i="18"/>
  <c r="AS68" i="18"/>
  <c r="AT68" i="18"/>
  <c r="AU68" i="18"/>
  <c r="AV68" i="18"/>
  <c r="AW68" i="18"/>
  <c r="AX68" i="18"/>
  <c r="AY68" i="18"/>
  <c r="AZ68" i="18"/>
  <c r="BA68" i="18"/>
  <c r="BB68" i="18"/>
  <c r="BC68" i="18"/>
  <c r="BD68" i="18"/>
  <c r="BE68" i="18"/>
  <c r="BF68" i="18"/>
  <c r="BG68" i="18"/>
  <c r="BH68" i="18"/>
  <c r="BI68" i="18"/>
  <c r="BJ68" i="18"/>
  <c r="BK68" i="18"/>
  <c r="BL68" i="18"/>
  <c r="BM68" i="18"/>
  <c r="BN68" i="18"/>
  <c r="BO68" i="18"/>
  <c r="BP68" i="18"/>
  <c r="BQ68" i="18"/>
  <c r="BR68" i="18"/>
  <c r="BS68" i="18"/>
  <c r="BT68" i="18"/>
  <c r="BU68" i="18"/>
  <c r="BV68" i="18"/>
  <c r="BW68" i="18"/>
  <c r="BX68" i="18"/>
  <c r="BY68" i="18"/>
  <c r="BZ68" i="18"/>
  <c r="CA68" i="18"/>
  <c r="CB68" i="18"/>
  <c r="CC68" i="18"/>
  <c r="CD68" i="18"/>
  <c r="CE68" i="18"/>
  <c r="CF68" i="18"/>
  <c r="CG68" i="18"/>
  <c r="CH68" i="18"/>
  <c r="CI68" i="18"/>
  <c r="CJ68" i="18"/>
  <c r="CK68" i="18"/>
  <c r="CL68" i="18"/>
  <c r="CM68" i="18"/>
  <c r="CN68" i="18"/>
  <c r="CO68" i="18"/>
  <c r="CP68" i="18"/>
  <c r="CQ68" i="18"/>
  <c r="CR68" i="18"/>
  <c r="CS68" i="18"/>
  <c r="CT68" i="18"/>
  <c r="CU68" i="18"/>
  <c r="CV68" i="18"/>
  <c r="CW68" i="18"/>
  <c r="CX68" i="18"/>
  <c r="CY68" i="18"/>
  <c r="CZ68" i="18"/>
  <c r="DA68" i="18"/>
  <c r="DB68" i="18"/>
  <c r="DC68" i="18"/>
  <c r="DD68" i="18"/>
  <c r="DE68" i="18"/>
  <c r="DF68" i="18"/>
  <c r="DG68" i="18"/>
  <c r="DH68" i="18"/>
  <c r="DI68" i="18"/>
  <c r="DJ68" i="18"/>
  <c r="DK68" i="18"/>
  <c r="DL68" i="18"/>
  <c r="DM68" i="18"/>
  <c r="DN68" i="18"/>
  <c r="DO68" i="18"/>
  <c r="DP68" i="18"/>
  <c r="DQ68" i="18"/>
  <c r="DR68" i="18"/>
  <c r="DS68" i="18"/>
  <c r="DT68" i="18"/>
  <c r="DU68" i="18"/>
  <c r="DV68" i="18"/>
  <c r="DW68" i="18"/>
  <c r="DX68" i="18"/>
  <c r="DY68" i="18"/>
  <c r="DZ68" i="18"/>
  <c r="EA68" i="18"/>
  <c r="EB68" i="18"/>
  <c r="EC68" i="18"/>
  <c r="ED68" i="18"/>
  <c r="EE68" i="18"/>
  <c r="EF68" i="18"/>
  <c r="EG68" i="18"/>
  <c r="EH68" i="18"/>
  <c r="EI68" i="18"/>
  <c r="EJ68" i="18"/>
  <c r="EK68" i="18"/>
  <c r="EL68" i="18"/>
  <c r="EM68" i="18"/>
  <c r="EN68" i="18"/>
  <c r="EO68" i="18"/>
  <c r="EP68" i="18"/>
  <c r="EQ68" i="18"/>
  <c r="ER68" i="18"/>
  <c r="ES68" i="18"/>
  <c r="ET68" i="18"/>
  <c r="EU68" i="18"/>
  <c r="EV68" i="18"/>
  <c r="EW68" i="18"/>
  <c r="EX68" i="18"/>
  <c r="EY68" i="18"/>
  <c r="EZ68" i="18"/>
  <c r="FA68" i="18"/>
  <c r="FB68" i="18"/>
  <c r="FC68" i="18"/>
  <c r="FD68" i="18"/>
  <c r="FE68" i="18"/>
  <c r="FF68" i="18"/>
  <c r="FG68" i="18"/>
  <c r="FH68" i="18"/>
  <c r="FI68" i="18"/>
  <c r="FJ68" i="18"/>
  <c r="FK68" i="18"/>
  <c r="FL68" i="18"/>
  <c r="FM68" i="18"/>
  <c r="FN68" i="18"/>
  <c r="FO68" i="18"/>
  <c r="FP68" i="18"/>
  <c r="FQ68" i="18"/>
  <c r="FR68" i="18"/>
  <c r="FS68" i="18"/>
  <c r="FT68" i="18"/>
  <c r="FU68" i="18"/>
  <c r="FV68" i="18"/>
  <c r="FW68" i="18"/>
  <c r="FX68" i="18"/>
  <c r="FY68" i="18"/>
  <c r="FZ68" i="18"/>
  <c r="GA68" i="18"/>
  <c r="GB68" i="18"/>
  <c r="GC68" i="18"/>
  <c r="GD68" i="18"/>
  <c r="GE68" i="18"/>
  <c r="GF68" i="18"/>
  <c r="GG68" i="18"/>
  <c r="GH68" i="18"/>
  <c r="GI68" i="18"/>
  <c r="GJ68" i="18"/>
  <c r="GK68" i="18"/>
  <c r="GL68" i="18"/>
  <c r="GM68" i="18"/>
  <c r="GN68" i="18"/>
  <c r="GO68" i="18"/>
  <c r="GP68" i="18"/>
  <c r="GQ68" i="18"/>
  <c r="GR68" i="18"/>
  <c r="GS68" i="18"/>
  <c r="GT68" i="18"/>
  <c r="GU68" i="18"/>
  <c r="GV68" i="18"/>
  <c r="GW68" i="18"/>
  <c r="GX68" i="18"/>
  <c r="GY68" i="18"/>
  <c r="GZ68" i="18"/>
  <c r="HA68" i="18"/>
  <c r="HB68" i="18"/>
  <c r="HC68" i="18"/>
  <c r="I69" i="18"/>
  <c r="J69" i="18"/>
  <c r="K69" i="18"/>
  <c r="L69" i="18"/>
  <c r="M69" i="18"/>
  <c r="N69" i="18"/>
  <c r="O69" i="18"/>
  <c r="P69" i="18"/>
  <c r="Q69" i="18"/>
  <c r="R69" i="18"/>
  <c r="S69" i="18"/>
  <c r="T69" i="18"/>
  <c r="U69" i="18"/>
  <c r="V69" i="18"/>
  <c r="W69" i="18"/>
  <c r="X69" i="18"/>
  <c r="Y69" i="18"/>
  <c r="Z69" i="18"/>
  <c r="AA69" i="18"/>
  <c r="AB69" i="18"/>
  <c r="AC69" i="18"/>
  <c r="AD69" i="18"/>
  <c r="AE69" i="18"/>
  <c r="AF69" i="18"/>
  <c r="AG69" i="18"/>
  <c r="AH69" i="18"/>
  <c r="AI69" i="18"/>
  <c r="AJ69" i="18"/>
  <c r="AK69" i="18"/>
  <c r="AL69" i="18"/>
  <c r="AM69" i="18"/>
  <c r="AN69" i="18"/>
  <c r="AO69" i="18"/>
  <c r="AP69" i="18"/>
  <c r="AQ69" i="18"/>
  <c r="AR69" i="18"/>
  <c r="AS69" i="18"/>
  <c r="AT69" i="18"/>
  <c r="AU69" i="18"/>
  <c r="AV69" i="18"/>
  <c r="AW69" i="18"/>
  <c r="AX69" i="18"/>
  <c r="AY69" i="18"/>
  <c r="AZ69" i="18"/>
  <c r="BA69" i="18"/>
  <c r="BB69" i="18"/>
  <c r="BC69" i="18"/>
  <c r="BD69" i="18"/>
  <c r="BE69" i="18"/>
  <c r="BF69" i="18"/>
  <c r="BG69" i="18"/>
  <c r="BH69" i="18"/>
  <c r="BI69" i="18"/>
  <c r="BJ69" i="18"/>
  <c r="BK69" i="18"/>
  <c r="BL69" i="18"/>
  <c r="BM69" i="18"/>
  <c r="BN69" i="18"/>
  <c r="BO69" i="18"/>
  <c r="BP69" i="18"/>
  <c r="BQ69" i="18"/>
  <c r="BR69" i="18"/>
  <c r="BS69" i="18"/>
  <c r="BT69" i="18"/>
  <c r="BU69" i="18"/>
  <c r="BV69" i="18"/>
  <c r="BW69" i="18"/>
  <c r="BX69" i="18"/>
  <c r="BY69" i="18"/>
  <c r="BZ69" i="18"/>
  <c r="CA69" i="18"/>
  <c r="CB69" i="18"/>
  <c r="CC69" i="18"/>
  <c r="CD69" i="18"/>
  <c r="CE69" i="18"/>
  <c r="CF69" i="18"/>
  <c r="CG69" i="18"/>
  <c r="CH69" i="18"/>
  <c r="CI69" i="18"/>
  <c r="CJ69" i="18"/>
  <c r="CK69" i="18"/>
  <c r="CL69" i="18"/>
  <c r="CM69" i="18"/>
  <c r="CN69" i="18"/>
  <c r="CO69" i="18"/>
  <c r="CP69" i="18"/>
  <c r="CQ69" i="18"/>
  <c r="CR69" i="18"/>
  <c r="CS69" i="18"/>
  <c r="CT69" i="18"/>
  <c r="CU69" i="18"/>
  <c r="CV69" i="18"/>
  <c r="CW69" i="18"/>
  <c r="CX69" i="18"/>
  <c r="CY69" i="18"/>
  <c r="CZ69" i="18"/>
  <c r="DA69" i="18"/>
  <c r="DB69" i="18"/>
  <c r="DC69" i="18"/>
  <c r="DD69" i="18"/>
  <c r="DE69" i="18"/>
  <c r="DF69" i="18"/>
  <c r="DG69" i="18"/>
  <c r="DH69" i="18"/>
  <c r="DI69" i="18"/>
  <c r="DJ69" i="18"/>
  <c r="DK69" i="18"/>
  <c r="DL69" i="18"/>
  <c r="DM69" i="18"/>
  <c r="DN69" i="18"/>
  <c r="DO69" i="18"/>
  <c r="DP69" i="18"/>
  <c r="DQ69" i="18"/>
  <c r="DR69" i="18"/>
  <c r="DS69" i="18"/>
  <c r="DT69" i="18"/>
  <c r="DU69" i="18"/>
  <c r="DV69" i="18"/>
  <c r="DW69" i="18"/>
  <c r="DX69" i="18"/>
  <c r="DY69" i="18"/>
  <c r="DZ69" i="18"/>
  <c r="EA69" i="18"/>
  <c r="EB69" i="18"/>
  <c r="EC69" i="18"/>
  <c r="ED69" i="18"/>
  <c r="EE69" i="18"/>
  <c r="EF69" i="18"/>
  <c r="EG69" i="18"/>
  <c r="EH69" i="18"/>
  <c r="EI69" i="18"/>
  <c r="EJ69" i="18"/>
  <c r="EK69" i="18"/>
  <c r="EL69" i="18"/>
  <c r="EM69" i="18"/>
  <c r="EN69" i="18"/>
  <c r="EO69" i="18"/>
  <c r="EP69" i="18"/>
  <c r="EQ69" i="18"/>
  <c r="ER69" i="18"/>
  <c r="ES69" i="18"/>
  <c r="ET69" i="18"/>
  <c r="EU69" i="18"/>
  <c r="EV69" i="18"/>
  <c r="EW69" i="18"/>
  <c r="EX69" i="18"/>
  <c r="EY69" i="18"/>
  <c r="EZ69" i="18"/>
  <c r="FA69" i="18"/>
  <c r="FB69" i="18"/>
  <c r="FC69" i="18"/>
  <c r="FD69" i="18"/>
  <c r="FE69" i="18"/>
  <c r="FF69" i="18"/>
  <c r="FG69" i="18"/>
  <c r="FH69" i="18"/>
  <c r="FI69" i="18"/>
  <c r="FJ69" i="18"/>
  <c r="FK69" i="18"/>
  <c r="FL69" i="18"/>
  <c r="FM69" i="18"/>
  <c r="FN69" i="18"/>
  <c r="FO69" i="18"/>
  <c r="FP69" i="18"/>
  <c r="FQ69" i="18"/>
  <c r="FR69" i="18"/>
  <c r="FS69" i="18"/>
  <c r="FT69" i="18"/>
  <c r="FU69" i="18"/>
  <c r="FV69" i="18"/>
  <c r="FW69" i="18"/>
  <c r="FX69" i="18"/>
  <c r="FY69" i="18"/>
  <c r="FZ69" i="18"/>
  <c r="GA69" i="18"/>
  <c r="GB69" i="18"/>
  <c r="GC69" i="18"/>
  <c r="GD69" i="18"/>
  <c r="GE69" i="18"/>
  <c r="GF69" i="18"/>
  <c r="GG69" i="18"/>
  <c r="GH69" i="18"/>
  <c r="GI69" i="18"/>
  <c r="GJ69" i="18"/>
  <c r="GK69" i="18"/>
  <c r="GL69" i="18"/>
  <c r="GM69" i="18"/>
  <c r="GN69" i="18"/>
  <c r="GO69" i="18"/>
  <c r="GP69" i="18"/>
  <c r="GQ69" i="18"/>
  <c r="GR69" i="18"/>
  <c r="GS69" i="18"/>
  <c r="GT69" i="18"/>
  <c r="GU69" i="18"/>
  <c r="GV69" i="18"/>
  <c r="GW69" i="18"/>
  <c r="GX69" i="18"/>
  <c r="GY69" i="18"/>
  <c r="GZ69" i="18"/>
  <c r="HA69" i="18"/>
  <c r="HB69" i="18"/>
  <c r="HC69" i="18"/>
  <c r="I70" i="18"/>
  <c r="J70" i="18"/>
  <c r="K70" i="18"/>
  <c r="L70" i="18"/>
  <c r="M70" i="18"/>
  <c r="N70" i="18"/>
  <c r="O70" i="18"/>
  <c r="P70" i="18"/>
  <c r="Q70" i="18"/>
  <c r="R70" i="18"/>
  <c r="S70" i="18"/>
  <c r="T70" i="18"/>
  <c r="U70" i="18"/>
  <c r="V70" i="18"/>
  <c r="W70" i="18"/>
  <c r="X70" i="18"/>
  <c r="Y70" i="18"/>
  <c r="Z70" i="18"/>
  <c r="AA70" i="18"/>
  <c r="AB70" i="18"/>
  <c r="AC70" i="18"/>
  <c r="AD70" i="18"/>
  <c r="AE70" i="18"/>
  <c r="AF70" i="18"/>
  <c r="AG70" i="18"/>
  <c r="AH70" i="18"/>
  <c r="AI70" i="18"/>
  <c r="AJ70" i="18"/>
  <c r="AK70" i="18"/>
  <c r="AL70" i="18"/>
  <c r="AM70" i="18"/>
  <c r="AN70" i="18"/>
  <c r="AO70" i="18"/>
  <c r="AP70" i="18"/>
  <c r="AQ70" i="18"/>
  <c r="AR70" i="18"/>
  <c r="AS70" i="18"/>
  <c r="AT70" i="18"/>
  <c r="AU70" i="18"/>
  <c r="AV70" i="18"/>
  <c r="AW70" i="18"/>
  <c r="AX70" i="18"/>
  <c r="AY70" i="18"/>
  <c r="AZ70" i="18"/>
  <c r="BA70" i="18"/>
  <c r="BB70" i="18"/>
  <c r="BC70" i="18"/>
  <c r="BD70" i="18"/>
  <c r="BE70" i="18"/>
  <c r="BF70" i="18"/>
  <c r="BG70" i="18"/>
  <c r="BH70" i="18"/>
  <c r="BI70" i="18"/>
  <c r="BJ70" i="18"/>
  <c r="BK70" i="18"/>
  <c r="BL70" i="18"/>
  <c r="BM70" i="18"/>
  <c r="BN70" i="18"/>
  <c r="BO70" i="18"/>
  <c r="BP70" i="18"/>
  <c r="BQ70" i="18"/>
  <c r="BR70" i="18"/>
  <c r="BS70" i="18"/>
  <c r="BT70" i="18"/>
  <c r="BU70" i="18"/>
  <c r="BV70" i="18"/>
  <c r="BW70" i="18"/>
  <c r="BX70" i="18"/>
  <c r="BY70" i="18"/>
  <c r="BZ70" i="18"/>
  <c r="CA70" i="18"/>
  <c r="CB70" i="18"/>
  <c r="CC70" i="18"/>
  <c r="CD70" i="18"/>
  <c r="CE70" i="18"/>
  <c r="CF70" i="18"/>
  <c r="CG70" i="18"/>
  <c r="CH70" i="18"/>
  <c r="CI70" i="18"/>
  <c r="CJ70" i="18"/>
  <c r="CK70" i="18"/>
  <c r="CL70" i="18"/>
  <c r="CM70" i="18"/>
  <c r="CN70" i="18"/>
  <c r="CO70" i="18"/>
  <c r="CP70" i="18"/>
  <c r="CQ70" i="18"/>
  <c r="CR70" i="18"/>
  <c r="CS70" i="18"/>
  <c r="CT70" i="18"/>
  <c r="CU70" i="18"/>
  <c r="CV70" i="18"/>
  <c r="CW70" i="18"/>
  <c r="CX70" i="18"/>
  <c r="CY70" i="18"/>
  <c r="CZ70" i="18"/>
  <c r="DA70" i="18"/>
  <c r="DB70" i="18"/>
  <c r="DC70" i="18"/>
  <c r="DD70" i="18"/>
  <c r="DE70" i="18"/>
  <c r="DF70" i="18"/>
  <c r="DG70" i="18"/>
  <c r="DH70" i="18"/>
  <c r="DI70" i="18"/>
  <c r="DJ70" i="18"/>
  <c r="DK70" i="18"/>
  <c r="DL70" i="18"/>
  <c r="DM70" i="18"/>
  <c r="DN70" i="18"/>
  <c r="DO70" i="18"/>
  <c r="DP70" i="18"/>
  <c r="DQ70" i="18"/>
  <c r="DR70" i="18"/>
  <c r="DS70" i="18"/>
  <c r="DT70" i="18"/>
  <c r="DU70" i="18"/>
  <c r="DV70" i="18"/>
  <c r="DW70" i="18"/>
  <c r="DX70" i="18"/>
  <c r="DY70" i="18"/>
  <c r="DZ70" i="18"/>
  <c r="EA70" i="18"/>
  <c r="EB70" i="18"/>
  <c r="EC70" i="18"/>
  <c r="ED70" i="18"/>
  <c r="EE70" i="18"/>
  <c r="EF70" i="18"/>
  <c r="EG70" i="18"/>
  <c r="EH70" i="18"/>
  <c r="EI70" i="18"/>
  <c r="EJ70" i="18"/>
  <c r="EK70" i="18"/>
  <c r="EL70" i="18"/>
  <c r="EM70" i="18"/>
  <c r="EN70" i="18"/>
  <c r="EO70" i="18"/>
  <c r="EP70" i="18"/>
  <c r="EQ70" i="18"/>
  <c r="ER70" i="18"/>
  <c r="ES70" i="18"/>
  <c r="ET70" i="18"/>
  <c r="EU70" i="18"/>
  <c r="EV70" i="18"/>
  <c r="EW70" i="18"/>
  <c r="EX70" i="18"/>
  <c r="EY70" i="18"/>
  <c r="EZ70" i="18"/>
  <c r="FA70" i="18"/>
  <c r="FB70" i="18"/>
  <c r="FC70" i="18"/>
  <c r="FD70" i="18"/>
  <c r="FE70" i="18"/>
  <c r="FF70" i="18"/>
  <c r="FG70" i="18"/>
  <c r="FH70" i="18"/>
  <c r="FI70" i="18"/>
  <c r="FJ70" i="18"/>
  <c r="FK70" i="18"/>
  <c r="FL70" i="18"/>
  <c r="FM70" i="18"/>
  <c r="FN70" i="18"/>
  <c r="FO70" i="18"/>
  <c r="FP70" i="18"/>
  <c r="FQ70" i="18"/>
  <c r="FR70" i="18"/>
  <c r="FS70" i="18"/>
  <c r="FT70" i="18"/>
  <c r="FU70" i="18"/>
  <c r="FV70" i="18"/>
  <c r="FW70" i="18"/>
  <c r="FX70" i="18"/>
  <c r="FY70" i="18"/>
  <c r="FZ70" i="18"/>
  <c r="GA70" i="18"/>
  <c r="GB70" i="18"/>
  <c r="GC70" i="18"/>
  <c r="GD70" i="18"/>
  <c r="GE70" i="18"/>
  <c r="GF70" i="18"/>
  <c r="GG70" i="18"/>
  <c r="GH70" i="18"/>
  <c r="GI70" i="18"/>
  <c r="GJ70" i="18"/>
  <c r="GK70" i="18"/>
  <c r="GL70" i="18"/>
  <c r="GM70" i="18"/>
  <c r="GN70" i="18"/>
  <c r="GO70" i="18"/>
  <c r="GP70" i="18"/>
  <c r="GQ70" i="18"/>
  <c r="GR70" i="18"/>
  <c r="GS70" i="18"/>
  <c r="GT70" i="18"/>
  <c r="GU70" i="18"/>
  <c r="GV70" i="18"/>
  <c r="GW70" i="18"/>
  <c r="GX70" i="18"/>
  <c r="GY70" i="18"/>
  <c r="GZ70" i="18"/>
  <c r="HA70" i="18"/>
  <c r="HB70" i="18"/>
  <c r="HC70" i="18"/>
  <c r="I71" i="18"/>
  <c r="J71" i="18"/>
  <c r="K71" i="18"/>
  <c r="L71" i="18"/>
  <c r="M71" i="18"/>
  <c r="N71" i="18"/>
  <c r="O71" i="18"/>
  <c r="P71" i="18"/>
  <c r="Q71" i="18"/>
  <c r="R71" i="18"/>
  <c r="S71" i="18"/>
  <c r="T71" i="18"/>
  <c r="U71" i="18"/>
  <c r="V71" i="18"/>
  <c r="W71" i="18"/>
  <c r="X71" i="18"/>
  <c r="Y71" i="18"/>
  <c r="Z71" i="18"/>
  <c r="AA71" i="18"/>
  <c r="AB71" i="18"/>
  <c r="AC71" i="18"/>
  <c r="AD71" i="18"/>
  <c r="AE71" i="18"/>
  <c r="AF71" i="18"/>
  <c r="AG71" i="18"/>
  <c r="AH71" i="18"/>
  <c r="AI71" i="18"/>
  <c r="AJ71" i="18"/>
  <c r="AK71" i="18"/>
  <c r="AL71" i="18"/>
  <c r="AM71" i="18"/>
  <c r="AN71" i="18"/>
  <c r="AO71" i="18"/>
  <c r="AP71" i="18"/>
  <c r="AQ71" i="18"/>
  <c r="AR71" i="18"/>
  <c r="AS71" i="18"/>
  <c r="AT71" i="18"/>
  <c r="AU71" i="18"/>
  <c r="AV71" i="18"/>
  <c r="AW71" i="18"/>
  <c r="AX71" i="18"/>
  <c r="AY71" i="18"/>
  <c r="AZ71" i="18"/>
  <c r="BA71" i="18"/>
  <c r="BB71" i="18"/>
  <c r="BC71" i="18"/>
  <c r="BD71" i="18"/>
  <c r="BE71" i="18"/>
  <c r="BF71" i="18"/>
  <c r="BG71" i="18"/>
  <c r="BH71" i="18"/>
  <c r="BI71" i="18"/>
  <c r="BJ71" i="18"/>
  <c r="BK71" i="18"/>
  <c r="BL71" i="18"/>
  <c r="BM71" i="18"/>
  <c r="BN71" i="18"/>
  <c r="BO71" i="18"/>
  <c r="BP71" i="18"/>
  <c r="BQ71" i="18"/>
  <c r="BR71" i="18"/>
  <c r="BS71" i="18"/>
  <c r="BT71" i="18"/>
  <c r="BU71" i="18"/>
  <c r="BV71" i="18"/>
  <c r="BW71" i="18"/>
  <c r="BX71" i="18"/>
  <c r="BY71" i="18"/>
  <c r="BZ71" i="18"/>
  <c r="CA71" i="18"/>
  <c r="CB71" i="18"/>
  <c r="CC71" i="18"/>
  <c r="CD71" i="18"/>
  <c r="CE71" i="18"/>
  <c r="CF71" i="18"/>
  <c r="CG71" i="18"/>
  <c r="CH71" i="18"/>
  <c r="CI71" i="18"/>
  <c r="CJ71" i="18"/>
  <c r="CK71" i="18"/>
  <c r="CL71" i="18"/>
  <c r="CM71" i="18"/>
  <c r="CN71" i="18"/>
  <c r="CO71" i="18"/>
  <c r="CP71" i="18"/>
  <c r="CQ71" i="18"/>
  <c r="CR71" i="18"/>
  <c r="CS71" i="18"/>
  <c r="CT71" i="18"/>
  <c r="CU71" i="18"/>
  <c r="CV71" i="18"/>
  <c r="CW71" i="18"/>
  <c r="CX71" i="18"/>
  <c r="CY71" i="18"/>
  <c r="CZ71" i="18"/>
  <c r="DA71" i="18"/>
  <c r="DB71" i="18"/>
  <c r="DC71" i="18"/>
  <c r="DD71" i="18"/>
  <c r="DE71" i="18"/>
  <c r="DF71" i="18"/>
  <c r="DG71" i="18"/>
  <c r="DH71" i="18"/>
  <c r="DI71" i="18"/>
  <c r="DJ71" i="18"/>
  <c r="DK71" i="18"/>
  <c r="DL71" i="18"/>
  <c r="DM71" i="18"/>
  <c r="DN71" i="18"/>
  <c r="DO71" i="18"/>
  <c r="DP71" i="18"/>
  <c r="DQ71" i="18"/>
  <c r="DR71" i="18"/>
  <c r="DS71" i="18"/>
  <c r="DT71" i="18"/>
  <c r="DU71" i="18"/>
  <c r="DV71" i="18"/>
  <c r="DW71" i="18"/>
  <c r="DX71" i="18"/>
  <c r="DY71" i="18"/>
  <c r="DZ71" i="18"/>
  <c r="EA71" i="18"/>
  <c r="EB71" i="18"/>
  <c r="EC71" i="18"/>
  <c r="ED71" i="18"/>
  <c r="EE71" i="18"/>
  <c r="EF71" i="18"/>
  <c r="EG71" i="18"/>
  <c r="EH71" i="18"/>
  <c r="EI71" i="18"/>
  <c r="EJ71" i="18"/>
  <c r="EK71" i="18"/>
  <c r="EL71" i="18"/>
  <c r="EM71" i="18"/>
  <c r="EN71" i="18"/>
  <c r="EO71" i="18"/>
  <c r="EP71" i="18"/>
  <c r="EQ71" i="18"/>
  <c r="ER71" i="18"/>
  <c r="ES71" i="18"/>
  <c r="ET71" i="18"/>
  <c r="EU71" i="18"/>
  <c r="EV71" i="18"/>
  <c r="EW71" i="18"/>
  <c r="EX71" i="18"/>
  <c r="EY71" i="18"/>
  <c r="EZ71" i="18"/>
  <c r="FA71" i="18"/>
  <c r="FB71" i="18"/>
  <c r="FC71" i="18"/>
  <c r="FD71" i="18"/>
  <c r="FE71" i="18"/>
  <c r="FF71" i="18"/>
  <c r="FG71" i="18"/>
  <c r="FH71" i="18"/>
  <c r="FI71" i="18"/>
  <c r="FJ71" i="18"/>
  <c r="FK71" i="18"/>
  <c r="FL71" i="18"/>
  <c r="FM71" i="18"/>
  <c r="FN71" i="18"/>
  <c r="FO71" i="18"/>
  <c r="FP71" i="18"/>
  <c r="FQ71" i="18"/>
  <c r="FR71" i="18"/>
  <c r="FS71" i="18"/>
  <c r="FT71" i="18"/>
  <c r="FU71" i="18"/>
  <c r="FV71" i="18"/>
  <c r="FW71" i="18"/>
  <c r="FX71" i="18"/>
  <c r="FY71" i="18"/>
  <c r="FZ71" i="18"/>
  <c r="GA71" i="18"/>
  <c r="GB71" i="18"/>
  <c r="GC71" i="18"/>
  <c r="GD71" i="18"/>
  <c r="GE71" i="18"/>
  <c r="GF71" i="18"/>
  <c r="GG71" i="18"/>
  <c r="GH71" i="18"/>
  <c r="GI71" i="18"/>
  <c r="GJ71" i="18"/>
  <c r="GK71" i="18"/>
  <c r="GL71" i="18"/>
  <c r="GM71" i="18"/>
  <c r="GN71" i="18"/>
  <c r="GO71" i="18"/>
  <c r="GP71" i="18"/>
  <c r="GQ71" i="18"/>
  <c r="GR71" i="18"/>
  <c r="GS71" i="18"/>
  <c r="GT71" i="18"/>
  <c r="GU71" i="18"/>
  <c r="GV71" i="18"/>
  <c r="GW71" i="18"/>
  <c r="GX71" i="18"/>
  <c r="GY71" i="18"/>
  <c r="GZ71" i="18"/>
  <c r="HA71" i="18"/>
  <c r="HB71" i="18"/>
  <c r="HC71" i="18"/>
  <c r="I72" i="18"/>
  <c r="J72" i="18"/>
  <c r="K72" i="18"/>
  <c r="L72" i="18"/>
  <c r="M72" i="18"/>
  <c r="N72" i="18"/>
  <c r="O72" i="18"/>
  <c r="P72" i="18"/>
  <c r="Q72" i="18"/>
  <c r="R72" i="18"/>
  <c r="S72" i="18"/>
  <c r="T72" i="18"/>
  <c r="U72" i="18"/>
  <c r="V72" i="18"/>
  <c r="W72" i="18"/>
  <c r="X72" i="18"/>
  <c r="Y72" i="18"/>
  <c r="Z72" i="18"/>
  <c r="AA72" i="18"/>
  <c r="AB72" i="18"/>
  <c r="AC72" i="18"/>
  <c r="AD72" i="18"/>
  <c r="AE72" i="18"/>
  <c r="AF72" i="18"/>
  <c r="AG72" i="18"/>
  <c r="AH72" i="18"/>
  <c r="AI72" i="18"/>
  <c r="AJ72" i="18"/>
  <c r="AK72" i="18"/>
  <c r="AL72" i="18"/>
  <c r="AM72" i="18"/>
  <c r="AN72" i="18"/>
  <c r="AO72" i="18"/>
  <c r="AP72" i="18"/>
  <c r="AQ72" i="18"/>
  <c r="AR72" i="18"/>
  <c r="AS72" i="18"/>
  <c r="AT72" i="18"/>
  <c r="AU72" i="18"/>
  <c r="AV72" i="18"/>
  <c r="AW72" i="18"/>
  <c r="AX72" i="18"/>
  <c r="AY72" i="18"/>
  <c r="AZ72" i="18"/>
  <c r="BA72" i="18"/>
  <c r="BB72" i="18"/>
  <c r="BC72" i="18"/>
  <c r="BD72" i="18"/>
  <c r="BE72" i="18"/>
  <c r="BF72" i="18"/>
  <c r="BG72" i="18"/>
  <c r="BH72" i="18"/>
  <c r="BI72" i="18"/>
  <c r="BJ72" i="18"/>
  <c r="BK72" i="18"/>
  <c r="BL72" i="18"/>
  <c r="BM72" i="18"/>
  <c r="BN72" i="18"/>
  <c r="BO72" i="18"/>
  <c r="BP72" i="18"/>
  <c r="BQ72" i="18"/>
  <c r="BR72" i="18"/>
  <c r="BS72" i="18"/>
  <c r="BT72" i="18"/>
  <c r="BU72" i="18"/>
  <c r="BV72" i="18"/>
  <c r="BW72" i="18"/>
  <c r="BX72" i="18"/>
  <c r="BY72" i="18"/>
  <c r="BZ72" i="18"/>
  <c r="CA72" i="18"/>
  <c r="CB72" i="18"/>
  <c r="CC72" i="18"/>
  <c r="CD72" i="18"/>
  <c r="CE72" i="18"/>
  <c r="CF72" i="18"/>
  <c r="CG72" i="18"/>
  <c r="CH72" i="18"/>
  <c r="CI72" i="18"/>
  <c r="CJ72" i="18"/>
  <c r="CK72" i="18"/>
  <c r="CL72" i="18"/>
  <c r="CM72" i="18"/>
  <c r="CN72" i="18"/>
  <c r="CO72" i="18"/>
  <c r="CP72" i="18"/>
  <c r="CQ72" i="18"/>
  <c r="CR72" i="18"/>
  <c r="CS72" i="18"/>
  <c r="CT72" i="18"/>
  <c r="CU72" i="18"/>
  <c r="CV72" i="18"/>
  <c r="CW72" i="18"/>
  <c r="CX72" i="18"/>
  <c r="CY72" i="18"/>
  <c r="CZ72" i="18"/>
  <c r="DA72" i="18"/>
  <c r="DB72" i="18"/>
  <c r="DC72" i="18"/>
  <c r="DD72" i="18"/>
  <c r="DE72" i="18"/>
  <c r="DF72" i="18"/>
  <c r="DG72" i="18"/>
  <c r="DH72" i="18"/>
  <c r="DI72" i="18"/>
  <c r="DJ72" i="18"/>
  <c r="DK72" i="18"/>
  <c r="DL72" i="18"/>
  <c r="DM72" i="18"/>
  <c r="DN72" i="18"/>
  <c r="DO72" i="18"/>
  <c r="DP72" i="18"/>
  <c r="DQ72" i="18"/>
  <c r="DR72" i="18"/>
  <c r="DS72" i="18"/>
  <c r="DT72" i="18"/>
  <c r="DU72" i="18"/>
  <c r="DV72" i="18"/>
  <c r="DW72" i="18"/>
  <c r="DX72" i="18"/>
  <c r="DY72" i="18"/>
  <c r="DZ72" i="18"/>
  <c r="EA72" i="18"/>
  <c r="EB72" i="18"/>
  <c r="EC72" i="18"/>
  <c r="ED72" i="18"/>
  <c r="EE72" i="18"/>
  <c r="EF72" i="18"/>
  <c r="EG72" i="18"/>
  <c r="EH72" i="18"/>
  <c r="EI72" i="18"/>
  <c r="EJ72" i="18"/>
  <c r="EK72" i="18"/>
  <c r="EL72" i="18"/>
  <c r="EM72" i="18"/>
  <c r="EN72" i="18"/>
  <c r="EO72" i="18"/>
  <c r="EP72" i="18"/>
  <c r="EQ72" i="18"/>
  <c r="ER72" i="18"/>
  <c r="ES72" i="18"/>
  <c r="ET72" i="18"/>
  <c r="EU72" i="18"/>
  <c r="EV72" i="18"/>
  <c r="EW72" i="18"/>
  <c r="EX72" i="18"/>
  <c r="EY72" i="18"/>
  <c r="EZ72" i="18"/>
  <c r="FA72" i="18"/>
  <c r="FB72" i="18"/>
  <c r="FC72" i="18"/>
  <c r="FD72" i="18"/>
  <c r="FE72" i="18"/>
  <c r="FF72" i="18"/>
  <c r="FG72" i="18"/>
  <c r="FH72" i="18"/>
  <c r="FI72" i="18"/>
  <c r="FJ72" i="18"/>
  <c r="FK72" i="18"/>
  <c r="FL72" i="18"/>
  <c r="FM72" i="18"/>
  <c r="FN72" i="18"/>
  <c r="FO72" i="18"/>
  <c r="FP72" i="18"/>
  <c r="FQ72" i="18"/>
  <c r="FR72" i="18"/>
  <c r="FS72" i="18"/>
  <c r="FT72" i="18"/>
  <c r="FU72" i="18"/>
  <c r="FV72" i="18"/>
  <c r="FW72" i="18"/>
  <c r="FX72" i="18"/>
  <c r="FY72" i="18"/>
  <c r="FZ72" i="18"/>
  <c r="GA72" i="18"/>
  <c r="GB72" i="18"/>
  <c r="GC72" i="18"/>
  <c r="GD72" i="18"/>
  <c r="GE72" i="18"/>
  <c r="GF72" i="18"/>
  <c r="GG72" i="18"/>
  <c r="GH72" i="18"/>
  <c r="GI72" i="18"/>
  <c r="GJ72" i="18"/>
  <c r="GK72" i="18"/>
  <c r="GL72" i="18"/>
  <c r="GM72" i="18"/>
  <c r="GN72" i="18"/>
  <c r="GO72" i="18"/>
  <c r="GP72" i="18"/>
  <c r="GQ72" i="18"/>
  <c r="GR72" i="18"/>
  <c r="GS72" i="18"/>
  <c r="GT72" i="18"/>
  <c r="GU72" i="18"/>
  <c r="GV72" i="18"/>
  <c r="GW72" i="18"/>
  <c r="GX72" i="18"/>
  <c r="GY72" i="18"/>
  <c r="GZ72" i="18"/>
  <c r="HA72" i="18"/>
  <c r="HB72" i="18"/>
  <c r="HC72" i="18"/>
  <c r="I73" i="18"/>
  <c r="J73" i="18"/>
  <c r="K73" i="18"/>
  <c r="L73" i="18"/>
  <c r="M73" i="18"/>
  <c r="N73" i="18"/>
  <c r="O73" i="18"/>
  <c r="P73" i="18"/>
  <c r="Q73" i="18"/>
  <c r="R73" i="18"/>
  <c r="S73" i="18"/>
  <c r="T73" i="18"/>
  <c r="U73" i="18"/>
  <c r="V73" i="18"/>
  <c r="W73" i="18"/>
  <c r="X73" i="18"/>
  <c r="Y73" i="18"/>
  <c r="Z73" i="18"/>
  <c r="AA73" i="18"/>
  <c r="AB73" i="18"/>
  <c r="AC73" i="18"/>
  <c r="AD73" i="18"/>
  <c r="AE73" i="18"/>
  <c r="AF73" i="18"/>
  <c r="AG73" i="18"/>
  <c r="AH73" i="18"/>
  <c r="AI73" i="18"/>
  <c r="AJ73" i="18"/>
  <c r="AK73" i="18"/>
  <c r="AL73" i="18"/>
  <c r="AM73" i="18"/>
  <c r="AN73" i="18"/>
  <c r="AO73" i="18"/>
  <c r="AP73" i="18"/>
  <c r="AQ73" i="18"/>
  <c r="AR73" i="18"/>
  <c r="AS73" i="18"/>
  <c r="AT73" i="18"/>
  <c r="AU73" i="18"/>
  <c r="AV73" i="18"/>
  <c r="AW73" i="18"/>
  <c r="AX73" i="18"/>
  <c r="AY73" i="18"/>
  <c r="AZ73" i="18"/>
  <c r="BA73" i="18"/>
  <c r="BB73" i="18"/>
  <c r="BC73" i="18"/>
  <c r="BD73" i="18"/>
  <c r="BE73" i="18"/>
  <c r="BF73" i="18"/>
  <c r="BG73" i="18"/>
  <c r="BH73" i="18"/>
  <c r="BI73" i="18"/>
  <c r="BJ73" i="18"/>
  <c r="BK73" i="18"/>
  <c r="BL73" i="18"/>
  <c r="BM73" i="18"/>
  <c r="BN73" i="18"/>
  <c r="BO73" i="18"/>
  <c r="BP73" i="18"/>
  <c r="BQ73" i="18"/>
  <c r="BR73" i="18"/>
  <c r="BS73" i="18"/>
  <c r="BT73" i="18"/>
  <c r="BU73" i="18"/>
  <c r="BV73" i="18"/>
  <c r="BW73" i="18"/>
  <c r="BX73" i="18"/>
  <c r="BY73" i="18"/>
  <c r="BZ73" i="18"/>
  <c r="CA73" i="18"/>
  <c r="CB73" i="18"/>
  <c r="CC73" i="18"/>
  <c r="CD73" i="18"/>
  <c r="CE73" i="18"/>
  <c r="CF73" i="18"/>
  <c r="CG73" i="18"/>
  <c r="CH73" i="18"/>
  <c r="CI73" i="18"/>
  <c r="CJ73" i="18"/>
  <c r="CK73" i="18"/>
  <c r="CL73" i="18"/>
  <c r="CM73" i="18"/>
  <c r="CN73" i="18"/>
  <c r="CO73" i="18"/>
  <c r="CP73" i="18"/>
  <c r="CQ73" i="18"/>
  <c r="CR73" i="18"/>
  <c r="CS73" i="18"/>
  <c r="CT73" i="18"/>
  <c r="CU73" i="18"/>
  <c r="CV73" i="18"/>
  <c r="CW73" i="18"/>
  <c r="CX73" i="18"/>
  <c r="CY73" i="18"/>
  <c r="CZ73" i="18"/>
  <c r="DA73" i="18"/>
  <c r="DB73" i="18"/>
  <c r="DC73" i="18"/>
  <c r="DD73" i="18"/>
  <c r="DE73" i="18"/>
  <c r="DF73" i="18"/>
  <c r="DG73" i="18"/>
  <c r="DH73" i="18"/>
  <c r="DI73" i="18"/>
  <c r="DJ73" i="18"/>
  <c r="DK73" i="18"/>
  <c r="DL73" i="18"/>
  <c r="DM73" i="18"/>
  <c r="DN73" i="18"/>
  <c r="DO73" i="18"/>
  <c r="DP73" i="18"/>
  <c r="DQ73" i="18"/>
  <c r="DR73" i="18"/>
  <c r="DS73" i="18"/>
  <c r="DT73" i="18"/>
  <c r="DU73" i="18"/>
  <c r="DV73" i="18"/>
  <c r="DW73" i="18"/>
  <c r="DX73" i="18"/>
  <c r="DY73" i="18"/>
  <c r="DZ73" i="18"/>
  <c r="EA73" i="18"/>
  <c r="EB73" i="18"/>
  <c r="EC73" i="18"/>
  <c r="ED73" i="18"/>
  <c r="EE73" i="18"/>
  <c r="EF73" i="18"/>
  <c r="EG73" i="18"/>
  <c r="EH73" i="18"/>
  <c r="EI73" i="18"/>
  <c r="EJ73" i="18"/>
  <c r="EK73" i="18"/>
  <c r="EL73" i="18"/>
  <c r="EM73" i="18"/>
  <c r="EN73" i="18"/>
  <c r="EO73" i="18"/>
  <c r="EP73" i="18"/>
  <c r="EQ73" i="18"/>
  <c r="ER73" i="18"/>
  <c r="ES73" i="18"/>
  <c r="ET73" i="18"/>
  <c r="EU73" i="18"/>
  <c r="EV73" i="18"/>
  <c r="EW73" i="18"/>
  <c r="EX73" i="18"/>
  <c r="EY73" i="18"/>
  <c r="EZ73" i="18"/>
  <c r="FA73" i="18"/>
  <c r="FB73" i="18"/>
  <c r="FC73" i="18"/>
  <c r="FD73" i="18"/>
  <c r="FE73" i="18"/>
  <c r="FF73" i="18"/>
  <c r="FG73" i="18"/>
  <c r="FH73" i="18"/>
  <c r="FI73" i="18"/>
  <c r="FJ73" i="18"/>
  <c r="FK73" i="18"/>
  <c r="FL73" i="18"/>
  <c r="FM73" i="18"/>
  <c r="FN73" i="18"/>
  <c r="FO73" i="18"/>
  <c r="FP73" i="18"/>
  <c r="FQ73" i="18"/>
  <c r="FR73" i="18"/>
  <c r="FS73" i="18"/>
  <c r="FT73" i="18"/>
  <c r="FU73" i="18"/>
  <c r="FV73" i="18"/>
  <c r="FW73" i="18"/>
  <c r="FX73" i="18"/>
  <c r="FY73" i="18"/>
  <c r="FZ73" i="18"/>
  <c r="GA73" i="18"/>
  <c r="GB73" i="18"/>
  <c r="GC73" i="18"/>
  <c r="GD73" i="18"/>
  <c r="GE73" i="18"/>
  <c r="GF73" i="18"/>
  <c r="GG73" i="18"/>
  <c r="GH73" i="18"/>
  <c r="GI73" i="18"/>
  <c r="GJ73" i="18"/>
  <c r="GK73" i="18"/>
  <c r="GL73" i="18"/>
  <c r="GM73" i="18"/>
  <c r="GN73" i="18"/>
  <c r="GO73" i="18"/>
  <c r="GP73" i="18"/>
  <c r="GQ73" i="18"/>
  <c r="GR73" i="18"/>
  <c r="GS73" i="18"/>
  <c r="GT73" i="18"/>
  <c r="GU73" i="18"/>
  <c r="GV73" i="18"/>
  <c r="GW73" i="18"/>
  <c r="GX73" i="18"/>
  <c r="GY73" i="18"/>
  <c r="GZ73" i="18"/>
  <c r="HA73" i="18"/>
  <c r="HB73" i="18"/>
  <c r="HC73" i="18"/>
  <c r="I74" i="18"/>
  <c r="J74" i="18"/>
  <c r="K74" i="18"/>
  <c r="L74" i="18"/>
  <c r="M74" i="18"/>
  <c r="N74" i="18"/>
  <c r="O74" i="18"/>
  <c r="P74" i="18"/>
  <c r="Q74" i="18"/>
  <c r="R74" i="18"/>
  <c r="S74" i="18"/>
  <c r="T74" i="18"/>
  <c r="U74" i="18"/>
  <c r="V74" i="18"/>
  <c r="W74" i="18"/>
  <c r="X74" i="18"/>
  <c r="Y74" i="18"/>
  <c r="Z74" i="18"/>
  <c r="AA74" i="18"/>
  <c r="AB74" i="18"/>
  <c r="AC74" i="18"/>
  <c r="AD74" i="18"/>
  <c r="AE74" i="18"/>
  <c r="AF74" i="18"/>
  <c r="AG74" i="18"/>
  <c r="AH74" i="18"/>
  <c r="AI74" i="18"/>
  <c r="AJ74" i="18"/>
  <c r="AK74" i="18"/>
  <c r="AL74" i="18"/>
  <c r="AM74" i="18"/>
  <c r="AN74" i="18"/>
  <c r="AO74" i="18"/>
  <c r="AP74" i="18"/>
  <c r="AQ74" i="18"/>
  <c r="AR74" i="18"/>
  <c r="AS74" i="18"/>
  <c r="AT74" i="18"/>
  <c r="AU74" i="18"/>
  <c r="AV74" i="18"/>
  <c r="AW74" i="18"/>
  <c r="AX74" i="18"/>
  <c r="AY74" i="18"/>
  <c r="AZ74" i="18"/>
  <c r="BA74" i="18"/>
  <c r="BB74" i="18"/>
  <c r="BC74" i="18"/>
  <c r="BD74" i="18"/>
  <c r="BE74" i="18"/>
  <c r="BF74" i="18"/>
  <c r="BG74" i="18"/>
  <c r="BH74" i="18"/>
  <c r="BI74" i="18"/>
  <c r="BJ74" i="18"/>
  <c r="BK74" i="18"/>
  <c r="BL74" i="18"/>
  <c r="BM74" i="18"/>
  <c r="BN74" i="18"/>
  <c r="BO74" i="18"/>
  <c r="BP74" i="18"/>
  <c r="BQ74" i="18"/>
  <c r="BR74" i="18"/>
  <c r="BS74" i="18"/>
  <c r="BT74" i="18"/>
  <c r="BU74" i="18"/>
  <c r="BV74" i="18"/>
  <c r="BW74" i="18"/>
  <c r="BX74" i="18"/>
  <c r="BY74" i="18"/>
  <c r="BZ74" i="18"/>
  <c r="CA74" i="18"/>
  <c r="CB74" i="18"/>
  <c r="CC74" i="18"/>
  <c r="CD74" i="18"/>
  <c r="CE74" i="18"/>
  <c r="CF74" i="18"/>
  <c r="CG74" i="18"/>
  <c r="CH74" i="18"/>
  <c r="CI74" i="18"/>
  <c r="CJ74" i="18"/>
  <c r="CK74" i="18"/>
  <c r="CL74" i="18"/>
  <c r="CM74" i="18"/>
  <c r="CN74" i="18"/>
  <c r="CO74" i="18"/>
  <c r="CP74" i="18"/>
  <c r="CQ74" i="18"/>
  <c r="CR74" i="18"/>
  <c r="CS74" i="18"/>
  <c r="CT74" i="18"/>
  <c r="CU74" i="18"/>
  <c r="CV74" i="18"/>
  <c r="CW74" i="18"/>
  <c r="CX74" i="18"/>
  <c r="CY74" i="18"/>
  <c r="CZ74" i="18"/>
  <c r="DA74" i="18"/>
  <c r="DB74" i="18"/>
  <c r="DC74" i="18"/>
  <c r="DD74" i="18"/>
  <c r="DE74" i="18"/>
  <c r="DF74" i="18"/>
  <c r="DG74" i="18"/>
  <c r="DH74" i="18"/>
  <c r="DI74" i="18"/>
  <c r="DJ74" i="18"/>
  <c r="DK74" i="18"/>
  <c r="DL74" i="18"/>
  <c r="DM74" i="18"/>
  <c r="DN74" i="18"/>
  <c r="DO74" i="18"/>
  <c r="DP74" i="18"/>
  <c r="DQ74" i="18"/>
  <c r="DR74" i="18"/>
  <c r="DS74" i="18"/>
  <c r="DT74" i="18"/>
  <c r="DU74" i="18"/>
  <c r="DV74" i="18"/>
  <c r="DW74" i="18"/>
  <c r="DX74" i="18"/>
  <c r="DY74" i="18"/>
  <c r="DZ74" i="18"/>
  <c r="EA74" i="18"/>
  <c r="EB74" i="18"/>
  <c r="EC74" i="18"/>
  <c r="ED74" i="18"/>
  <c r="EE74" i="18"/>
  <c r="EF74" i="18"/>
  <c r="EG74" i="18"/>
  <c r="EH74" i="18"/>
  <c r="EI74" i="18"/>
  <c r="EJ74" i="18"/>
  <c r="EK74" i="18"/>
  <c r="EL74" i="18"/>
  <c r="EM74" i="18"/>
  <c r="EN74" i="18"/>
  <c r="EO74" i="18"/>
  <c r="EP74" i="18"/>
  <c r="EQ74" i="18"/>
  <c r="ER74" i="18"/>
  <c r="ES74" i="18"/>
  <c r="ET74" i="18"/>
  <c r="EU74" i="18"/>
  <c r="EV74" i="18"/>
  <c r="EW74" i="18"/>
  <c r="EX74" i="18"/>
  <c r="EY74" i="18"/>
  <c r="EZ74" i="18"/>
  <c r="FA74" i="18"/>
  <c r="FB74" i="18"/>
  <c r="FC74" i="18"/>
  <c r="FD74" i="18"/>
  <c r="FE74" i="18"/>
  <c r="FF74" i="18"/>
  <c r="FG74" i="18"/>
  <c r="FH74" i="18"/>
  <c r="FI74" i="18"/>
  <c r="FJ74" i="18"/>
  <c r="FK74" i="18"/>
  <c r="FL74" i="18"/>
  <c r="FM74" i="18"/>
  <c r="FN74" i="18"/>
  <c r="FO74" i="18"/>
  <c r="FP74" i="18"/>
  <c r="FQ74" i="18"/>
  <c r="FR74" i="18"/>
  <c r="FS74" i="18"/>
  <c r="FT74" i="18"/>
  <c r="FU74" i="18"/>
  <c r="FV74" i="18"/>
  <c r="FW74" i="18"/>
  <c r="FX74" i="18"/>
  <c r="FY74" i="18"/>
  <c r="FZ74" i="18"/>
  <c r="GA74" i="18"/>
  <c r="GB74" i="18"/>
  <c r="GC74" i="18"/>
  <c r="GD74" i="18"/>
  <c r="GE74" i="18"/>
  <c r="GF74" i="18"/>
  <c r="GG74" i="18"/>
  <c r="GH74" i="18"/>
  <c r="GI74" i="18"/>
  <c r="GJ74" i="18"/>
  <c r="GK74" i="18"/>
  <c r="GL74" i="18"/>
  <c r="GM74" i="18"/>
  <c r="GN74" i="18"/>
  <c r="GO74" i="18"/>
  <c r="GP74" i="18"/>
  <c r="GQ74" i="18"/>
  <c r="GR74" i="18"/>
  <c r="GS74" i="18"/>
  <c r="GT74" i="18"/>
  <c r="GU74" i="18"/>
  <c r="GV74" i="18"/>
  <c r="GW74" i="18"/>
  <c r="GX74" i="18"/>
  <c r="GY74" i="18"/>
  <c r="GZ74" i="18"/>
  <c r="HA74" i="18"/>
  <c r="HB74" i="18"/>
  <c r="HC74" i="18"/>
  <c r="I75" i="18"/>
  <c r="J75" i="18"/>
  <c r="K75" i="18"/>
  <c r="L75" i="18"/>
  <c r="M75" i="18"/>
  <c r="N75" i="18"/>
  <c r="O75" i="18"/>
  <c r="P75" i="18"/>
  <c r="Q75" i="18"/>
  <c r="R75" i="18"/>
  <c r="S75" i="18"/>
  <c r="T75" i="18"/>
  <c r="U75" i="18"/>
  <c r="V75" i="18"/>
  <c r="W75" i="18"/>
  <c r="X75" i="18"/>
  <c r="Y75" i="18"/>
  <c r="Z75" i="18"/>
  <c r="AA75" i="18"/>
  <c r="AB75" i="18"/>
  <c r="AC75" i="18"/>
  <c r="AD75" i="18"/>
  <c r="AE75" i="18"/>
  <c r="AF75" i="18"/>
  <c r="AG75" i="18"/>
  <c r="AH75" i="18"/>
  <c r="AI75" i="18"/>
  <c r="AJ75" i="18"/>
  <c r="AK75" i="18"/>
  <c r="AL75" i="18"/>
  <c r="AM75" i="18"/>
  <c r="AN75" i="18"/>
  <c r="AO75" i="18"/>
  <c r="AP75" i="18"/>
  <c r="AQ75" i="18"/>
  <c r="AR75" i="18"/>
  <c r="AS75" i="18"/>
  <c r="AT75" i="18"/>
  <c r="AU75" i="18"/>
  <c r="AV75" i="18"/>
  <c r="AW75" i="18"/>
  <c r="AX75" i="18"/>
  <c r="AY75" i="18"/>
  <c r="AZ75" i="18"/>
  <c r="BA75" i="18"/>
  <c r="BB75" i="18"/>
  <c r="BC75" i="18"/>
  <c r="BD75" i="18"/>
  <c r="BE75" i="18"/>
  <c r="BF75" i="18"/>
  <c r="BG75" i="18"/>
  <c r="BH75" i="18"/>
  <c r="BI75" i="18"/>
  <c r="BJ75" i="18"/>
  <c r="BK75" i="18"/>
  <c r="BL75" i="18"/>
  <c r="BM75" i="18"/>
  <c r="BN75" i="18"/>
  <c r="BO75" i="18"/>
  <c r="BP75" i="18"/>
  <c r="BQ75" i="18"/>
  <c r="BR75" i="18"/>
  <c r="BS75" i="18"/>
  <c r="BT75" i="18"/>
  <c r="BU75" i="18"/>
  <c r="BV75" i="18"/>
  <c r="BW75" i="18"/>
  <c r="BX75" i="18"/>
  <c r="BY75" i="18"/>
  <c r="BZ75" i="18"/>
  <c r="CA75" i="18"/>
  <c r="CB75" i="18"/>
  <c r="CC75" i="18"/>
  <c r="CD75" i="18"/>
  <c r="CE75" i="18"/>
  <c r="CF75" i="18"/>
  <c r="CG75" i="18"/>
  <c r="CH75" i="18"/>
  <c r="CI75" i="18"/>
  <c r="CJ75" i="18"/>
  <c r="CK75" i="18"/>
  <c r="CL75" i="18"/>
  <c r="CM75" i="18"/>
  <c r="CN75" i="18"/>
  <c r="CO75" i="18"/>
  <c r="CP75" i="18"/>
  <c r="CQ75" i="18"/>
  <c r="CR75" i="18"/>
  <c r="CS75" i="18"/>
  <c r="CT75" i="18"/>
  <c r="CU75" i="18"/>
  <c r="CV75" i="18"/>
  <c r="CW75" i="18"/>
  <c r="CX75" i="18"/>
  <c r="CY75" i="18"/>
  <c r="CZ75" i="18"/>
  <c r="DA75" i="18"/>
  <c r="DB75" i="18"/>
  <c r="DC75" i="18"/>
  <c r="DD75" i="18"/>
  <c r="DE75" i="18"/>
  <c r="DF75" i="18"/>
  <c r="DG75" i="18"/>
  <c r="DH75" i="18"/>
  <c r="DI75" i="18"/>
  <c r="DJ75" i="18"/>
  <c r="DK75" i="18"/>
  <c r="DL75" i="18"/>
  <c r="DM75" i="18"/>
  <c r="DN75" i="18"/>
  <c r="DO75" i="18"/>
  <c r="DP75" i="18"/>
  <c r="DQ75" i="18"/>
  <c r="DR75" i="18"/>
  <c r="DS75" i="18"/>
  <c r="DT75" i="18"/>
  <c r="DU75" i="18"/>
  <c r="DV75" i="18"/>
  <c r="DW75" i="18"/>
  <c r="DX75" i="18"/>
  <c r="DY75" i="18"/>
  <c r="DZ75" i="18"/>
  <c r="EA75" i="18"/>
  <c r="EB75" i="18"/>
  <c r="EC75" i="18"/>
  <c r="ED75" i="18"/>
  <c r="EE75" i="18"/>
  <c r="EF75" i="18"/>
  <c r="EG75" i="18"/>
  <c r="EH75" i="18"/>
  <c r="EI75" i="18"/>
  <c r="EJ75" i="18"/>
  <c r="EK75" i="18"/>
  <c r="EL75" i="18"/>
  <c r="EM75" i="18"/>
  <c r="EN75" i="18"/>
  <c r="EO75" i="18"/>
  <c r="EP75" i="18"/>
  <c r="EQ75" i="18"/>
  <c r="ER75" i="18"/>
  <c r="ES75" i="18"/>
  <c r="ET75" i="18"/>
  <c r="EU75" i="18"/>
  <c r="EV75" i="18"/>
  <c r="EW75" i="18"/>
  <c r="EX75" i="18"/>
  <c r="EY75" i="18"/>
  <c r="EZ75" i="18"/>
  <c r="FA75" i="18"/>
  <c r="FB75" i="18"/>
  <c r="FC75" i="18"/>
  <c r="FD75" i="18"/>
  <c r="FE75" i="18"/>
  <c r="FF75" i="18"/>
  <c r="FG75" i="18"/>
  <c r="FH75" i="18"/>
  <c r="FI75" i="18"/>
  <c r="FJ75" i="18"/>
  <c r="FK75" i="18"/>
  <c r="FL75" i="18"/>
  <c r="FM75" i="18"/>
  <c r="FN75" i="18"/>
  <c r="FO75" i="18"/>
  <c r="FP75" i="18"/>
  <c r="FQ75" i="18"/>
  <c r="FR75" i="18"/>
  <c r="FS75" i="18"/>
  <c r="FT75" i="18"/>
  <c r="FU75" i="18"/>
  <c r="FV75" i="18"/>
  <c r="FW75" i="18"/>
  <c r="FX75" i="18"/>
  <c r="FY75" i="18"/>
  <c r="FZ75" i="18"/>
  <c r="GA75" i="18"/>
  <c r="GB75" i="18"/>
  <c r="GC75" i="18"/>
  <c r="GD75" i="18"/>
  <c r="GE75" i="18"/>
  <c r="GF75" i="18"/>
  <c r="GG75" i="18"/>
  <c r="GH75" i="18"/>
  <c r="GI75" i="18"/>
  <c r="GJ75" i="18"/>
  <c r="GK75" i="18"/>
  <c r="GL75" i="18"/>
  <c r="GM75" i="18"/>
  <c r="GN75" i="18"/>
  <c r="GO75" i="18"/>
  <c r="GP75" i="18"/>
  <c r="GQ75" i="18"/>
  <c r="GR75" i="18"/>
  <c r="GS75" i="18"/>
  <c r="GT75" i="18"/>
  <c r="GU75" i="18"/>
  <c r="GV75" i="18"/>
  <c r="GW75" i="18"/>
  <c r="GX75" i="18"/>
  <c r="GY75" i="18"/>
  <c r="GZ75" i="18"/>
  <c r="HA75" i="18"/>
  <c r="HB75" i="18"/>
  <c r="HC75" i="18"/>
  <c r="I76" i="18"/>
  <c r="J76" i="18"/>
  <c r="K76" i="18"/>
  <c r="L76" i="18"/>
  <c r="M76" i="18"/>
  <c r="N76" i="18"/>
  <c r="O76" i="18"/>
  <c r="P76" i="18"/>
  <c r="Q76" i="18"/>
  <c r="R76" i="18"/>
  <c r="S76" i="18"/>
  <c r="T76" i="18"/>
  <c r="U76" i="18"/>
  <c r="V76" i="18"/>
  <c r="W76" i="18"/>
  <c r="X76" i="18"/>
  <c r="Y76" i="18"/>
  <c r="Z76" i="18"/>
  <c r="AA76" i="18"/>
  <c r="AB76" i="18"/>
  <c r="AC76" i="18"/>
  <c r="AD76" i="18"/>
  <c r="AE76" i="18"/>
  <c r="AF76" i="18"/>
  <c r="AG76" i="18"/>
  <c r="AH76" i="18"/>
  <c r="AI76" i="18"/>
  <c r="AJ76" i="18"/>
  <c r="AK76" i="18"/>
  <c r="AL76" i="18"/>
  <c r="AM76" i="18"/>
  <c r="AN76" i="18"/>
  <c r="AO76" i="18"/>
  <c r="AP76" i="18"/>
  <c r="AQ76" i="18"/>
  <c r="AR76" i="18"/>
  <c r="AS76" i="18"/>
  <c r="AT76" i="18"/>
  <c r="AU76" i="18"/>
  <c r="AV76" i="18"/>
  <c r="AW76" i="18"/>
  <c r="AX76" i="18"/>
  <c r="AY76" i="18"/>
  <c r="AZ76" i="18"/>
  <c r="BA76" i="18"/>
  <c r="BB76" i="18"/>
  <c r="BC76" i="18"/>
  <c r="BD76" i="18"/>
  <c r="BE76" i="18"/>
  <c r="BF76" i="18"/>
  <c r="BG76" i="18"/>
  <c r="BH76" i="18"/>
  <c r="BI76" i="18"/>
  <c r="BJ76" i="18"/>
  <c r="BK76" i="18"/>
  <c r="BL76" i="18"/>
  <c r="BM76" i="18"/>
  <c r="BN76" i="18"/>
  <c r="BO76" i="18"/>
  <c r="BP76" i="18"/>
  <c r="BQ76" i="18"/>
  <c r="BR76" i="18"/>
  <c r="BS76" i="18"/>
  <c r="BT76" i="18"/>
  <c r="BU76" i="18"/>
  <c r="BV76" i="18"/>
  <c r="BW76" i="18"/>
  <c r="BX76" i="18"/>
  <c r="BY76" i="18"/>
  <c r="BZ76" i="18"/>
  <c r="CA76" i="18"/>
  <c r="CB76" i="18"/>
  <c r="CC76" i="18"/>
  <c r="CD76" i="18"/>
  <c r="CE76" i="18"/>
  <c r="CF76" i="18"/>
  <c r="CG76" i="18"/>
  <c r="CH76" i="18"/>
  <c r="CI76" i="18"/>
  <c r="CJ76" i="18"/>
  <c r="CK76" i="18"/>
  <c r="CL76" i="18"/>
  <c r="CM76" i="18"/>
  <c r="CN76" i="18"/>
  <c r="CO76" i="18"/>
  <c r="CP76" i="18"/>
  <c r="CQ76" i="18"/>
  <c r="CR76" i="18"/>
  <c r="CS76" i="18"/>
  <c r="CT76" i="18"/>
  <c r="CU76" i="18"/>
  <c r="CV76" i="18"/>
  <c r="CW76" i="18"/>
  <c r="CX76" i="18"/>
  <c r="CY76" i="18"/>
  <c r="CZ76" i="18"/>
  <c r="DA76" i="18"/>
  <c r="DB76" i="18"/>
  <c r="DC76" i="18"/>
  <c r="DD76" i="18"/>
  <c r="DE76" i="18"/>
  <c r="DF76" i="18"/>
  <c r="DG76" i="18"/>
  <c r="DH76" i="18"/>
  <c r="DI76" i="18"/>
  <c r="DJ76" i="18"/>
  <c r="DK76" i="18"/>
  <c r="DL76" i="18"/>
  <c r="DM76" i="18"/>
  <c r="DN76" i="18"/>
  <c r="DO76" i="18"/>
  <c r="DP76" i="18"/>
  <c r="DQ76" i="18"/>
  <c r="DR76" i="18"/>
  <c r="DS76" i="18"/>
  <c r="DT76" i="18"/>
  <c r="DU76" i="18"/>
  <c r="DV76" i="18"/>
  <c r="DW76" i="18"/>
  <c r="DX76" i="18"/>
  <c r="DY76" i="18"/>
  <c r="DZ76" i="18"/>
  <c r="EA76" i="18"/>
  <c r="EB76" i="18"/>
  <c r="EC76" i="18"/>
  <c r="ED76" i="18"/>
  <c r="EE76" i="18"/>
  <c r="EF76" i="18"/>
  <c r="EG76" i="18"/>
  <c r="EH76" i="18"/>
  <c r="EI76" i="18"/>
  <c r="EJ76" i="18"/>
  <c r="EK76" i="18"/>
  <c r="EL76" i="18"/>
  <c r="EM76" i="18"/>
  <c r="EN76" i="18"/>
  <c r="EO76" i="18"/>
  <c r="EP76" i="18"/>
  <c r="EQ76" i="18"/>
  <c r="ER76" i="18"/>
  <c r="ES76" i="18"/>
  <c r="ET76" i="18"/>
  <c r="EU76" i="18"/>
  <c r="EV76" i="18"/>
  <c r="EW76" i="18"/>
  <c r="EX76" i="18"/>
  <c r="EY76" i="18"/>
  <c r="EZ76" i="18"/>
  <c r="FA76" i="18"/>
  <c r="FB76" i="18"/>
  <c r="FC76" i="18"/>
  <c r="FD76" i="18"/>
  <c r="FE76" i="18"/>
  <c r="FF76" i="18"/>
  <c r="FG76" i="18"/>
  <c r="FH76" i="18"/>
  <c r="FI76" i="18"/>
  <c r="FJ76" i="18"/>
  <c r="FK76" i="18"/>
  <c r="FL76" i="18"/>
  <c r="FM76" i="18"/>
  <c r="FN76" i="18"/>
  <c r="FO76" i="18"/>
  <c r="FP76" i="18"/>
  <c r="FQ76" i="18"/>
  <c r="FR76" i="18"/>
  <c r="FS76" i="18"/>
  <c r="FT76" i="18"/>
  <c r="FU76" i="18"/>
  <c r="FV76" i="18"/>
  <c r="FW76" i="18"/>
  <c r="FX76" i="18"/>
  <c r="FY76" i="18"/>
  <c r="FZ76" i="18"/>
  <c r="GA76" i="18"/>
  <c r="GB76" i="18"/>
  <c r="GC76" i="18"/>
  <c r="GD76" i="18"/>
  <c r="GE76" i="18"/>
  <c r="GF76" i="18"/>
  <c r="GG76" i="18"/>
  <c r="GH76" i="18"/>
  <c r="GI76" i="18"/>
  <c r="GJ76" i="18"/>
  <c r="GK76" i="18"/>
  <c r="GL76" i="18"/>
  <c r="GM76" i="18"/>
  <c r="GN76" i="18"/>
  <c r="GO76" i="18"/>
  <c r="GP76" i="18"/>
  <c r="GQ76" i="18"/>
  <c r="GR76" i="18"/>
  <c r="GS76" i="18"/>
  <c r="GT76" i="18"/>
  <c r="GU76" i="18"/>
  <c r="GV76" i="18"/>
  <c r="GW76" i="18"/>
  <c r="GX76" i="18"/>
  <c r="GY76" i="18"/>
  <c r="GZ76" i="18"/>
  <c r="HA76" i="18"/>
  <c r="HB76" i="18"/>
  <c r="HC76" i="18"/>
  <c r="I77" i="18"/>
  <c r="J77" i="18"/>
  <c r="K77" i="18"/>
  <c r="L77" i="18"/>
  <c r="M77" i="18"/>
  <c r="N77" i="18"/>
  <c r="O77" i="18"/>
  <c r="P77" i="18"/>
  <c r="Q77" i="18"/>
  <c r="R77" i="18"/>
  <c r="S77" i="18"/>
  <c r="T77" i="18"/>
  <c r="U77" i="18"/>
  <c r="V77" i="18"/>
  <c r="W77" i="18"/>
  <c r="X77" i="18"/>
  <c r="Y77" i="18"/>
  <c r="Z77" i="18"/>
  <c r="AA77" i="18"/>
  <c r="AB77" i="18"/>
  <c r="AC77" i="18"/>
  <c r="AD77" i="18"/>
  <c r="AE77" i="18"/>
  <c r="AF77" i="18"/>
  <c r="AG77" i="18"/>
  <c r="AH77" i="18"/>
  <c r="AI77" i="18"/>
  <c r="AJ77" i="18"/>
  <c r="AK77" i="18"/>
  <c r="AL77" i="18"/>
  <c r="AM77" i="18"/>
  <c r="AN77" i="18"/>
  <c r="AO77" i="18"/>
  <c r="AP77" i="18"/>
  <c r="AQ77" i="18"/>
  <c r="AR77" i="18"/>
  <c r="AS77" i="18"/>
  <c r="AT77" i="18"/>
  <c r="AU77" i="18"/>
  <c r="AV77" i="18"/>
  <c r="AW77" i="18"/>
  <c r="AX77" i="18"/>
  <c r="AY77" i="18"/>
  <c r="AZ77" i="18"/>
  <c r="BA77" i="18"/>
  <c r="BB77" i="18"/>
  <c r="BC77" i="18"/>
  <c r="BD77" i="18"/>
  <c r="BE77" i="18"/>
  <c r="BF77" i="18"/>
  <c r="BG77" i="18"/>
  <c r="BH77" i="18"/>
  <c r="BI77" i="18"/>
  <c r="BJ77" i="18"/>
  <c r="BK77" i="18"/>
  <c r="BL77" i="18"/>
  <c r="BM77" i="18"/>
  <c r="BN77" i="18"/>
  <c r="BO77" i="18"/>
  <c r="BP77" i="18"/>
  <c r="BQ77" i="18"/>
  <c r="BR77" i="18"/>
  <c r="BS77" i="18"/>
  <c r="BT77" i="18"/>
  <c r="BU77" i="18"/>
  <c r="BV77" i="18"/>
  <c r="BW77" i="18"/>
  <c r="BX77" i="18"/>
  <c r="BY77" i="18"/>
  <c r="BZ77" i="18"/>
  <c r="CA77" i="18"/>
  <c r="CB77" i="18"/>
  <c r="CC77" i="18"/>
  <c r="CD77" i="18"/>
  <c r="CE77" i="18"/>
  <c r="CF77" i="18"/>
  <c r="CG77" i="18"/>
  <c r="CH77" i="18"/>
  <c r="CI77" i="18"/>
  <c r="CJ77" i="18"/>
  <c r="CK77" i="18"/>
  <c r="CL77" i="18"/>
  <c r="CM77" i="18"/>
  <c r="CN77" i="18"/>
  <c r="CO77" i="18"/>
  <c r="CP77" i="18"/>
  <c r="CQ77" i="18"/>
  <c r="CR77" i="18"/>
  <c r="CS77" i="18"/>
  <c r="CT77" i="18"/>
  <c r="CU77" i="18"/>
  <c r="CV77" i="18"/>
  <c r="CW77" i="18"/>
  <c r="CX77" i="18"/>
  <c r="CY77" i="18"/>
  <c r="CZ77" i="18"/>
  <c r="DA77" i="18"/>
  <c r="DB77" i="18"/>
  <c r="DC77" i="18"/>
  <c r="DD77" i="18"/>
  <c r="DE77" i="18"/>
  <c r="DF77" i="18"/>
  <c r="DG77" i="18"/>
  <c r="DH77" i="18"/>
  <c r="DI77" i="18"/>
  <c r="DJ77" i="18"/>
  <c r="DK77" i="18"/>
  <c r="DL77" i="18"/>
  <c r="DM77" i="18"/>
  <c r="DN77" i="18"/>
  <c r="DO77" i="18"/>
  <c r="DP77" i="18"/>
  <c r="DQ77" i="18"/>
  <c r="DR77" i="18"/>
  <c r="DS77" i="18"/>
  <c r="DT77" i="18"/>
  <c r="DU77" i="18"/>
  <c r="DV77" i="18"/>
  <c r="DW77" i="18"/>
  <c r="DX77" i="18"/>
  <c r="DY77" i="18"/>
  <c r="DZ77" i="18"/>
  <c r="EA77" i="18"/>
  <c r="EB77" i="18"/>
  <c r="EC77" i="18"/>
  <c r="ED77" i="18"/>
  <c r="EE77" i="18"/>
  <c r="EF77" i="18"/>
  <c r="EG77" i="18"/>
  <c r="EH77" i="18"/>
  <c r="EI77" i="18"/>
  <c r="EJ77" i="18"/>
  <c r="EK77" i="18"/>
  <c r="EL77" i="18"/>
  <c r="EM77" i="18"/>
  <c r="EN77" i="18"/>
  <c r="EO77" i="18"/>
  <c r="EP77" i="18"/>
  <c r="EQ77" i="18"/>
  <c r="ER77" i="18"/>
  <c r="ES77" i="18"/>
  <c r="ET77" i="18"/>
  <c r="EU77" i="18"/>
  <c r="EV77" i="18"/>
  <c r="EW77" i="18"/>
  <c r="EX77" i="18"/>
  <c r="EY77" i="18"/>
  <c r="EZ77" i="18"/>
  <c r="FA77" i="18"/>
  <c r="FB77" i="18"/>
  <c r="FC77" i="18"/>
  <c r="FD77" i="18"/>
  <c r="FE77" i="18"/>
  <c r="FF77" i="18"/>
  <c r="FG77" i="18"/>
  <c r="FH77" i="18"/>
  <c r="FI77" i="18"/>
  <c r="FJ77" i="18"/>
  <c r="FK77" i="18"/>
  <c r="FL77" i="18"/>
  <c r="FM77" i="18"/>
  <c r="FN77" i="18"/>
  <c r="FO77" i="18"/>
  <c r="FP77" i="18"/>
  <c r="FQ77" i="18"/>
  <c r="FR77" i="18"/>
  <c r="FS77" i="18"/>
  <c r="FT77" i="18"/>
  <c r="FU77" i="18"/>
  <c r="FV77" i="18"/>
  <c r="FW77" i="18"/>
  <c r="FX77" i="18"/>
  <c r="FY77" i="18"/>
  <c r="FZ77" i="18"/>
  <c r="GA77" i="18"/>
  <c r="GB77" i="18"/>
  <c r="GC77" i="18"/>
  <c r="GD77" i="18"/>
  <c r="GE77" i="18"/>
  <c r="GF77" i="18"/>
  <c r="GG77" i="18"/>
  <c r="GH77" i="18"/>
  <c r="GI77" i="18"/>
  <c r="GJ77" i="18"/>
  <c r="GK77" i="18"/>
  <c r="GL77" i="18"/>
  <c r="GM77" i="18"/>
  <c r="GN77" i="18"/>
  <c r="GO77" i="18"/>
  <c r="GP77" i="18"/>
  <c r="GQ77" i="18"/>
  <c r="GR77" i="18"/>
  <c r="GS77" i="18"/>
  <c r="GT77" i="18"/>
  <c r="GU77" i="18"/>
  <c r="GV77" i="18"/>
  <c r="GW77" i="18"/>
  <c r="GX77" i="18"/>
  <c r="GY77" i="18"/>
  <c r="GZ77" i="18"/>
  <c r="HA77" i="18"/>
  <c r="HB77" i="18"/>
  <c r="HC77" i="18"/>
  <c r="I78" i="18"/>
  <c r="J78" i="18"/>
  <c r="K78" i="18"/>
  <c r="L78" i="18"/>
  <c r="M78" i="18"/>
  <c r="N78" i="18"/>
  <c r="O78" i="18"/>
  <c r="P78" i="18"/>
  <c r="Q78" i="18"/>
  <c r="R78" i="18"/>
  <c r="S78" i="18"/>
  <c r="T78" i="18"/>
  <c r="U78" i="18"/>
  <c r="V78" i="18"/>
  <c r="W78" i="18"/>
  <c r="X78" i="18"/>
  <c r="Y78" i="18"/>
  <c r="Z78" i="18"/>
  <c r="AA78" i="18"/>
  <c r="AB78" i="18"/>
  <c r="AC78" i="18"/>
  <c r="AD78" i="18"/>
  <c r="AE78" i="18"/>
  <c r="AF78" i="18"/>
  <c r="AG78" i="18"/>
  <c r="AH78" i="18"/>
  <c r="AI78" i="18"/>
  <c r="AJ78" i="18"/>
  <c r="AK78" i="18"/>
  <c r="AL78" i="18"/>
  <c r="AM78" i="18"/>
  <c r="AN78" i="18"/>
  <c r="AO78" i="18"/>
  <c r="AP78" i="18"/>
  <c r="AQ78" i="18"/>
  <c r="AR78" i="18"/>
  <c r="AS78" i="18"/>
  <c r="AT78" i="18"/>
  <c r="AU78" i="18"/>
  <c r="AV78" i="18"/>
  <c r="AW78" i="18"/>
  <c r="AX78" i="18"/>
  <c r="AY78" i="18"/>
  <c r="AZ78" i="18"/>
  <c r="BA78" i="18"/>
  <c r="BB78" i="18"/>
  <c r="BC78" i="18"/>
  <c r="BD78" i="18"/>
  <c r="BE78" i="18"/>
  <c r="BF78" i="18"/>
  <c r="BG78" i="18"/>
  <c r="BH78" i="18"/>
  <c r="BI78" i="18"/>
  <c r="BJ78" i="18"/>
  <c r="BK78" i="18"/>
  <c r="BL78" i="18"/>
  <c r="BM78" i="18"/>
  <c r="BN78" i="18"/>
  <c r="BO78" i="18"/>
  <c r="BP78" i="18"/>
  <c r="BQ78" i="18"/>
  <c r="BR78" i="18"/>
  <c r="BS78" i="18"/>
  <c r="BT78" i="18"/>
  <c r="BU78" i="18"/>
  <c r="BV78" i="18"/>
  <c r="BW78" i="18"/>
  <c r="BX78" i="18"/>
  <c r="BY78" i="18"/>
  <c r="BZ78" i="18"/>
  <c r="CA78" i="18"/>
  <c r="CB78" i="18"/>
  <c r="CC78" i="18"/>
  <c r="CD78" i="18"/>
  <c r="CE78" i="18"/>
  <c r="CF78" i="18"/>
  <c r="CG78" i="18"/>
  <c r="CH78" i="18"/>
  <c r="CI78" i="18"/>
  <c r="CJ78" i="18"/>
  <c r="CK78" i="18"/>
  <c r="CL78" i="18"/>
  <c r="CM78" i="18"/>
  <c r="CN78" i="18"/>
  <c r="CO78" i="18"/>
  <c r="CP78" i="18"/>
  <c r="CQ78" i="18"/>
  <c r="CR78" i="18"/>
  <c r="CS78" i="18"/>
  <c r="CT78" i="18"/>
  <c r="CU78" i="18"/>
  <c r="CV78" i="18"/>
  <c r="CW78" i="18"/>
  <c r="CX78" i="18"/>
  <c r="CY78" i="18"/>
  <c r="CZ78" i="18"/>
  <c r="DA78" i="18"/>
  <c r="DB78" i="18"/>
  <c r="DC78" i="18"/>
  <c r="DD78" i="18"/>
  <c r="DE78" i="18"/>
  <c r="DF78" i="18"/>
  <c r="DG78" i="18"/>
  <c r="DH78" i="18"/>
  <c r="DI78" i="18"/>
  <c r="DJ78" i="18"/>
  <c r="DK78" i="18"/>
  <c r="DL78" i="18"/>
  <c r="DM78" i="18"/>
  <c r="DN78" i="18"/>
  <c r="DO78" i="18"/>
  <c r="DP78" i="18"/>
  <c r="DQ78" i="18"/>
  <c r="DR78" i="18"/>
  <c r="DS78" i="18"/>
  <c r="DT78" i="18"/>
  <c r="DU78" i="18"/>
  <c r="DV78" i="18"/>
  <c r="DW78" i="18"/>
  <c r="DX78" i="18"/>
  <c r="DY78" i="18"/>
  <c r="DZ78" i="18"/>
  <c r="EA78" i="18"/>
  <c r="EB78" i="18"/>
  <c r="EC78" i="18"/>
  <c r="ED78" i="18"/>
  <c r="EE78" i="18"/>
  <c r="EF78" i="18"/>
  <c r="EG78" i="18"/>
  <c r="EH78" i="18"/>
  <c r="EI78" i="18"/>
  <c r="EJ78" i="18"/>
  <c r="EK78" i="18"/>
  <c r="EL78" i="18"/>
  <c r="EM78" i="18"/>
  <c r="EN78" i="18"/>
  <c r="EO78" i="18"/>
  <c r="EP78" i="18"/>
  <c r="EQ78" i="18"/>
  <c r="ER78" i="18"/>
  <c r="ES78" i="18"/>
  <c r="ET78" i="18"/>
  <c r="EU78" i="18"/>
  <c r="EV78" i="18"/>
  <c r="EW78" i="18"/>
  <c r="EX78" i="18"/>
  <c r="EY78" i="18"/>
  <c r="EZ78" i="18"/>
  <c r="FA78" i="18"/>
  <c r="FB78" i="18"/>
  <c r="FC78" i="18"/>
  <c r="FD78" i="18"/>
  <c r="FE78" i="18"/>
  <c r="FF78" i="18"/>
  <c r="FG78" i="18"/>
  <c r="FH78" i="18"/>
  <c r="FI78" i="18"/>
  <c r="FJ78" i="18"/>
  <c r="FK78" i="18"/>
  <c r="FL78" i="18"/>
  <c r="FM78" i="18"/>
  <c r="FN78" i="18"/>
  <c r="FO78" i="18"/>
  <c r="FP78" i="18"/>
  <c r="FQ78" i="18"/>
  <c r="FR78" i="18"/>
  <c r="FS78" i="18"/>
  <c r="FT78" i="18"/>
  <c r="FU78" i="18"/>
  <c r="FV78" i="18"/>
  <c r="FW78" i="18"/>
  <c r="FX78" i="18"/>
  <c r="FY78" i="18"/>
  <c r="FZ78" i="18"/>
  <c r="GA78" i="18"/>
  <c r="GB78" i="18"/>
  <c r="GC78" i="18"/>
  <c r="GD78" i="18"/>
  <c r="GE78" i="18"/>
  <c r="GF78" i="18"/>
  <c r="GG78" i="18"/>
  <c r="GH78" i="18"/>
  <c r="GI78" i="18"/>
  <c r="GJ78" i="18"/>
  <c r="GK78" i="18"/>
  <c r="GL78" i="18"/>
  <c r="GM78" i="18"/>
  <c r="GN78" i="18"/>
  <c r="GO78" i="18"/>
  <c r="GP78" i="18"/>
  <c r="GQ78" i="18"/>
  <c r="GR78" i="18"/>
  <c r="GS78" i="18"/>
  <c r="GT78" i="18"/>
  <c r="GU78" i="18"/>
  <c r="GV78" i="18"/>
  <c r="GW78" i="18"/>
  <c r="GX78" i="18"/>
  <c r="GY78" i="18"/>
  <c r="GZ78" i="18"/>
  <c r="HA78" i="18"/>
  <c r="HB78" i="18"/>
  <c r="HC78" i="18"/>
  <c r="I79" i="18"/>
  <c r="J79" i="18"/>
  <c r="K79" i="18"/>
  <c r="L79" i="18"/>
  <c r="M79" i="18"/>
  <c r="N79" i="18"/>
  <c r="O79" i="18"/>
  <c r="P79" i="18"/>
  <c r="Q79" i="18"/>
  <c r="R79" i="18"/>
  <c r="S79" i="18"/>
  <c r="T79" i="18"/>
  <c r="U79" i="18"/>
  <c r="V79" i="18"/>
  <c r="W79" i="18"/>
  <c r="X79" i="18"/>
  <c r="Y79" i="18"/>
  <c r="Z79" i="18"/>
  <c r="AA79" i="18"/>
  <c r="AB79" i="18"/>
  <c r="AC79" i="18"/>
  <c r="AD79" i="18"/>
  <c r="AE79" i="18"/>
  <c r="AF79" i="18"/>
  <c r="AG79" i="18"/>
  <c r="AH79" i="18"/>
  <c r="AI79" i="18"/>
  <c r="AJ79" i="18"/>
  <c r="AK79" i="18"/>
  <c r="AL79" i="18"/>
  <c r="AM79" i="18"/>
  <c r="AN79" i="18"/>
  <c r="AO79" i="18"/>
  <c r="AP79" i="18"/>
  <c r="AQ79" i="18"/>
  <c r="AR79" i="18"/>
  <c r="AS79" i="18"/>
  <c r="AT79" i="18"/>
  <c r="AU79" i="18"/>
  <c r="AV79" i="18"/>
  <c r="AW79" i="18"/>
  <c r="AX79" i="18"/>
  <c r="AY79" i="18"/>
  <c r="AZ79" i="18"/>
  <c r="BA79" i="18"/>
  <c r="BB79" i="18"/>
  <c r="BC79" i="18"/>
  <c r="BD79" i="18"/>
  <c r="BE79" i="18"/>
  <c r="BF79" i="18"/>
  <c r="BG79" i="18"/>
  <c r="BH79" i="18"/>
  <c r="BI79" i="18"/>
  <c r="BJ79" i="18"/>
  <c r="BK79" i="18"/>
  <c r="BL79" i="18"/>
  <c r="BM79" i="18"/>
  <c r="BN79" i="18"/>
  <c r="BO79" i="18"/>
  <c r="BP79" i="18"/>
  <c r="BQ79" i="18"/>
  <c r="BR79" i="18"/>
  <c r="BS79" i="18"/>
  <c r="BT79" i="18"/>
  <c r="BU79" i="18"/>
  <c r="BV79" i="18"/>
  <c r="BW79" i="18"/>
  <c r="BX79" i="18"/>
  <c r="BY79" i="18"/>
  <c r="BZ79" i="18"/>
  <c r="CA79" i="18"/>
  <c r="CB79" i="18"/>
  <c r="CC79" i="18"/>
  <c r="CD79" i="18"/>
  <c r="CE79" i="18"/>
  <c r="CF79" i="18"/>
  <c r="CG79" i="18"/>
  <c r="CH79" i="18"/>
  <c r="CI79" i="18"/>
  <c r="CJ79" i="18"/>
  <c r="CK79" i="18"/>
  <c r="CL79" i="18"/>
  <c r="CM79" i="18"/>
  <c r="CN79" i="18"/>
  <c r="CO79" i="18"/>
  <c r="CP79" i="18"/>
  <c r="CQ79" i="18"/>
  <c r="CR79" i="18"/>
  <c r="CS79" i="18"/>
  <c r="CT79" i="18"/>
  <c r="CU79" i="18"/>
  <c r="CV79" i="18"/>
  <c r="CW79" i="18"/>
  <c r="CX79" i="18"/>
  <c r="CY79" i="18"/>
  <c r="CZ79" i="18"/>
  <c r="DA79" i="18"/>
  <c r="DB79" i="18"/>
  <c r="DC79" i="18"/>
  <c r="DD79" i="18"/>
  <c r="DE79" i="18"/>
  <c r="DF79" i="18"/>
  <c r="DG79" i="18"/>
  <c r="DH79" i="18"/>
  <c r="DI79" i="18"/>
  <c r="DJ79" i="18"/>
  <c r="DK79" i="18"/>
  <c r="DL79" i="18"/>
  <c r="DM79" i="18"/>
  <c r="DN79" i="18"/>
  <c r="DO79" i="18"/>
  <c r="DP79" i="18"/>
  <c r="DQ79" i="18"/>
  <c r="DR79" i="18"/>
  <c r="DS79" i="18"/>
  <c r="DT79" i="18"/>
  <c r="DU79" i="18"/>
  <c r="DV79" i="18"/>
  <c r="DW79" i="18"/>
  <c r="DX79" i="18"/>
  <c r="DY79" i="18"/>
  <c r="DZ79" i="18"/>
  <c r="EA79" i="18"/>
  <c r="EB79" i="18"/>
  <c r="EC79" i="18"/>
  <c r="ED79" i="18"/>
  <c r="EE79" i="18"/>
  <c r="EF79" i="18"/>
  <c r="EG79" i="18"/>
  <c r="EH79" i="18"/>
  <c r="EI79" i="18"/>
  <c r="EJ79" i="18"/>
  <c r="EK79" i="18"/>
  <c r="EL79" i="18"/>
  <c r="EM79" i="18"/>
  <c r="EN79" i="18"/>
  <c r="EO79" i="18"/>
  <c r="EP79" i="18"/>
  <c r="EQ79" i="18"/>
  <c r="ER79" i="18"/>
  <c r="ES79" i="18"/>
  <c r="ET79" i="18"/>
  <c r="EU79" i="18"/>
  <c r="EV79" i="18"/>
  <c r="EW79" i="18"/>
  <c r="EX79" i="18"/>
  <c r="EY79" i="18"/>
  <c r="EZ79" i="18"/>
  <c r="FA79" i="18"/>
  <c r="FB79" i="18"/>
  <c r="FC79" i="18"/>
  <c r="FD79" i="18"/>
  <c r="FE79" i="18"/>
  <c r="FF79" i="18"/>
  <c r="FG79" i="18"/>
  <c r="FH79" i="18"/>
  <c r="FI79" i="18"/>
  <c r="FJ79" i="18"/>
  <c r="FK79" i="18"/>
  <c r="FL79" i="18"/>
  <c r="FM79" i="18"/>
  <c r="FN79" i="18"/>
  <c r="FO79" i="18"/>
  <c r="FP79" i="18"/>
  <c r="FQ79" i="18"/>
  <c r="FR79" i="18"/>
  <c r="FS79" i="18"/>
  <c r="FT79" i="18"/>
  <c r="FU79" i="18"/>
  <c r="FV79" i="18"/>
  <c r="FW79" i="18"/>
  <c r="FX79" i="18"/>
  <c r="FY79" i="18"/>
  <c r="FZ79" i="18"/>
  <c r="GA79" i="18"/>
  <c r="GB79" i="18"/>
  <c r="GC79" i="18"/>
  <c r="GD79" i="18"/>
  <c r="GE79" i="18"/>
  <c r="GF79" i="18"/>
  <c r="GG79" i="18"/>
  <c r="GH79" i="18"/>
  <c r="GI79" i="18"/>
  <c r="GJ79" i="18"/>
  <c r="GK79" i="18"/>
  <c r="GL79" i="18"/>
  <c r="GM79" i="18"/>
  <c r="GN79" i="18"/>
  <c r="GO79" i="18"/>
  <c r="GP79" i="18"/>
  <c r="GQ79" i="18"/>
  <c r="GR79" i="18"/>
  <c r="GS79" i="18"/>
  <c r="GT79" i="18"/>
  <c r="GU79" i="18"/>
  <c r="GV79" i="18"/>
  <c r="GW79" i="18"/>
  <c r="GX79" i="18"/>
  <c r="GY79" i="18"/>
  <c r="GZ79" i="18"/>
  <c r="HA79" i="18"/>
  <c r="HB79" i="18"/>
  <c r="HC79" i="18"/>
  <c r="I80" i="18"/>
  <c r="J80" i="18"/>
  <c r="K80" i="18"/>
  <c r="L80" i="18"/>
  <c r="M80" i="18"/>
  <c r="N80" i="18"/>
  <c r="O80" i="18"/>
  <c r="P80" i="18"/>
  <c r="Q80" i="18"/>
  <c r="R80" i="18"/>
  <c r="S80" i="18"/>
  <c r="T80" i="18"/>
  <c r="U80" i="18"/>
  <c r="V80" i="18"/>
  <c r="W80" i="18"/>
  <c r="X80" i="18"/>
  <c r="Y80" i="18"/>
  <c r="Z80" i="18"/>
  <c r="AA80" i="18"/>
  <c r="AB80" i="18"/>
  <c r="AC80" i="18"/>
  <c r="AD80" i="18"/>
  <c r="AE80" i="18"/>
  <c r="AF80" i="18"/>
  <c r="AG80" i="18"/>
  <c r="AH80" i="18"/>
  <c r="AI80" i="18"/>
  <c r="AJ80" i="18"/>
  <c r="AK80" i="18"/>
  <c r="AL80" i="18"/>
  <c r="AM80" i="18"/>
  <c r="AN80" i="18"/>
  <c r="AO80" i="18"/>
  <c r="AP80" i="18"/>
  <c r="AQ80" i="18"/>
  <c r="AR80" i="18"/>
  <c r="AS80" i="18"/>
  <c r="AT80" i="18"/>
  <c r="AU80" i="18"/>
  <c r="AV80" i="18"/>
  <c r="AW80" i="18"/>
  <c r="AX80" i="18"/>
  <c r="AY80" i="18"/>
  <c r="AZ80" i="18"/>
  <c r="BA80" i="18"/>
  <c r="BB80" i="18"/>
  <c r="BC80" i="18"/>
  <c r="BD80" i="18"/>
  <c r="BE80" i="18"/>
  <c r="BF80" i="18"/>
  <c r="BG80" i="18"/>
  <c r="BH80" i="18"/>
  <c r="BI80" i="18"/>
  <c r="BJ80" i="18"/>
  <c r="BK80" i="18"/>
  <c r="BL80" i="18"/>
  <c r="BM80" i="18"/>
  <c r="BN80" i="18"/>
  <c r="BO80" i="18"/>
  <c r="BP80" i="18"/>
  <c r="BQ80" i="18"/>
  <c r="BR80" i="18"/>
  <c r="BS80" i="18"/>
  <c r="BT80" i="18"/>
  <c r="BU80" i="18"/>
  <c r="BV80" i="18"/>
  <c r="BW80" i="18"/>
  <c r="BX80" i="18"/>
  <c r="BY80" i="18"/>
  <c r="BZ80" i="18"/>
  <c r="CA80" i="18"/>
  <c r="CB80" i="18"/>
  <c r="CC80" i="18"/>
  <c r="CD80" i="18"/>
  <c r="CE80" i="18"/>
  <c r="CF80" i="18"/>
  <c r="CG80" i="18"/>
  <c r="CH80" i="18"/>
  <c r="CI80" i="18"/>
  <c r="CJ80" i="18"/>
  <c r="CK80" i="18"/>
  <c r="CL80" i="18"/>
  <c r="CM80" i="18"/>
  <c r="CN80" i="18"/>
  <c r="CO80" i="18"/>
  <c r="CP80" i="18"/>
  <c r="CQ80" i="18"/>
  <c r="CR80" i="18"/>
  <c r="CS80" i="18"/>
  <c r="CT80" i="18"/>
  <c r="CU80" i="18"/>
  <c r="CV80" i="18"/>
  <c r="CW80" i="18"/>
  <c r="CX80" i="18"/>
  <c r="CY80" i="18"/>
  <c r="CZ80" i="18"/>
  <c r="DA80" i="18"/>
  <c r="DB80" i="18"/>
  <c r="DC80" i="18"/>
  <c r="DD80" i="18"/>
  <c r="DE80" i="18"/>
  <c r="DF80" i="18"/>
  <c r="DG80" i="18"/>
  <c r="DH80" i="18"/>
  <c r="DI80" i="18"/>
  <c r="DJ80" i="18"/>
  <c r="DK80" i="18"/>
  <c r="DL80" i="18"/>
  <c r="DM80" i="18"/>
  <c r="DN80" i="18"/>
  <c r="DO80" i="18"/>
  <c r="DP80" i="18"/>
  <c r="DQ80" i="18"/>
  <c r="DR80" i="18"/>
  <c r="DS80" i="18"/>
  <c r="DT80" i="18"/>
  <c r="DU80" i="18"/>
  <c r="DV80" i="18"/>
  <c r="DW80" i="18"/>
  <c r="DX80" i="18"/>
  <c r="DY80" i="18"/>
  <c r="DZ80" i="18"/>
  <c r="EA80" i="18"/>
  <c r="EB80" i="18"/>
  <c r="EC80" i="18"/>
  <c r="ED80" i="18"/>
  <c r="EE80" i="18"/>
  <c r="EF80" i="18"/>
  <c r="EG80" i="18"/>
  <c r="EH80" i="18"/>
  <c r="EI80" i="18"/>
  <c r="EJ80" i="18"/>
  <c r="EK80" i="18"/>
  <c r="EL80" i="18"/>
  <c r="EM80" i="18"/>
  <c r="EN80" i="18"/>
  <c r="EO80" i="18"/>
  <c r="EP80" i="18"/>
  <c r="EQ80" i="18"/>
  <c r="ER80" i="18"/>
  <c r="ES80" i="18"/>
  <c r="ET80" i="18"/>
  <c r="EU80" i="18"/>
  <c r="EV80" i="18"/>
  <c r="EW80" i="18"/>
  <c r="EX80" i="18"/>
  <c r="EY80" i="18"/>
  <c r="EZ80" i="18"/>
  <c r="FA80" i="18"/>
  <c r="FB80" i="18"/>
  <c r="FC80" i="18"/>
  <c r="FD80" i="18"/>
  <c r="FE80" i="18"/>
  <c r="FF80" i="18"/>
  <c r="FG80" i="18"/>
  <c r="FH80" i="18"/>
  <c r="FI80" i="18"/>
  <c r="FJ80" i="18"/>
  <c r="FK80" i="18"/>
  <c r="FL80" i="18"/>
  <c r="FM80" i="18"/>
  <c r="FN80" i="18"/>
  <c r="FO80" i="18"/>
  <c r="FP80" i="18"/>
  <c r="FQ80" i="18"/>
  <c r="FR80" i="18"/>
  <c r="FS80" i="18"/>
  <c r="FT80" i="18"/>
  <c r="FU80" i="18"/>
  <c r="FV80" i="18"/>
  <c r="FW80" i="18"/>
  <c r="FX80" i="18"/>
  <c r="FY80" i="18"/>
  <c r="FZ80" i="18"/>
  <c r="GA80" i="18"/>
  <c r="GB80" i="18"/>
  <c r="GC80" i="18"/>
  <c r="GD80" i="18"/>
  <c r="GE80" i="18"/>
  <c r="GF80" i="18"/>
  <c r="GG80" i="18"/>
  <c r="GH80" i="18"/>
  <c r="GI80" i="18"/>
  <c r="GJ80" i="18"/>
  <c r="GK80" i="18"/>
  <c r="GL80" i="18"/>
  <c r="GM80" i="18"/>
  <c r="GN80" i="18"/>
  <c r="GO80" i="18"/>
  <c r="GP80" i="18"/>
  <c r="GQ80" i="18"/>
  <c r="GR80" i="18"/>
  <c r="GS80" i="18"/>
  <c r="GT80" i="18"/>
  <c r="GU80" i="18"/>
  <c r="GV80" i="18"/>
  <c r="GW80" i="18"/>
  <c r="GX80" i="18"/>
  <c r="GY80" i="18"/>
  <c r="GZ80" i="18"/>
  <c r="HA80" i="18"/>
  <c r="HB80" i="18"/>
  <c r="HC80" i="18"/>
  <c r="I81" i="18"/>
  <c r="J81" i="18"/>
  <c r="K81" i="18"/>
  <c r="L81" i="18"/>
  <c r="M81" i="18"/>
  <c r="N81" i="18"/>
  <c r="O81" i="18"/>
  <c r="P81" i="18"/>
  <c r="Q81" i="18"/>
  <c r="R81" i="18"/>
  <c r="S81" i="18"/>
  <c r="T81" i="18"/>
  <c r="U81" i="18"/>
  <c r="V81" i="18"/>
  <c r="W81" i="18"/>
  <c r="X81" i="18"/>
  <c r="Y81" i="18"/>
  <c r="Z81" i="18"/>
  <c r="AA81" i="18"/>
  <c r="AB81" i="18"/>
  <c r="AC81" i="18"/>
  <c r="AD81" i="18"/>
  <c r="AE81" i="18"/>
  <c r="AF81" i="18"/>
  <c r="AG81" i="18"/>
  <c r="AH81" i="18"/>
  <c r="AI81" i="18"/>
  <c r="AJ81" i="18"/>
  <c r="AK81" i="18"/>
  <c r="AL81" i="18"/>
  <c r="AM81" i="18"/>
  <c r="AN81" i="18"/>
  <c r="AO81" i="18"/>
  <c r="AP81" i="18"/>
  <c r="AQ81" i="18"/>
  <c r="AR81" i="18"/>
  <c r="AS81" i="18"/>
  <c r="AT81" i="18"/>
  <c r="AU81" i="18"/>
  <c r="AV81" i="18"/>
  <c r="AW81" i="18"/>
  <c r="AX81" i="18"/>
  <c r="AY81" i="18"/>
  <c r="AZ81" i="18"/>
  <c r="BA81" i="18"/>
  <c r="BB81" i="18"/>
  <c r="BC81" i="18"/>
  <c r="BD81" i="18"/>
  <c r="BE81" i="18"/>
  <c r="BF81" i="18"/>
  <c r="BG81" i="18"/>
  <c r="BH81" i="18"/>
  <c r="BI81" i="18"/>
  <c r="BJ81" i="18"/>
  <c r="BK81" i="18"/>
  <c r="BL81" i="18"/>
  <c r="BM81" i="18"/>
  <c r="BN81" i="18"/>
  <c r="BO81" i="18"/>
  <c r="BP81" i="18"/>
  <c r="BQ81" i="18"/>
  <c r="BR81" i="18"/>
  <c r="BS81" i="18"/>
  <c r="BT81" i="18"/>
  <c r="BU81" i="18"/>
  <c r="BV81" i="18"/>
  <c r="BW81" i="18"/>
  <c r="BX81" i="18"/>
  <c r="BY81" i="18"/>
  <c r="BZ81" i="18"/>
  <c r="CA81" i="18"/>
  <c r="CB81" i="18"/>
  <c r="CC81" i="18"/>
  <c r="CD81" i="18"/>
  <c r="CE81" i="18"/>
  <c r="CF81" i="18"/>
  <c r="CG81" i="18"/>
  <c r="CH81" i="18"/>
  <c r="CI81" i="18"/>
  <c r="CJ81" i="18"/>
  <c r="CK81" i="18"/>
  <c r="CL81" i="18"/>
  <c r="CM81" i="18"/>
  <c r="CN81" i="18"/>
  <c r="CO81" i="18"/>
  <c r="CP81" i="18"/>
  <c r="CQ81" i="18"/>
  <c r="CR81" i="18"/>
  <c r="CS81" i="18"/>
  <c r="CT81" i="18"/>
  <c r="CU81" i="18"/>
  <c r="CV81" i="18"/>
  <c r="CW81" i="18"/>
  <c r="CX81" i="18"/>
  <c r="CY81" i="18"/>
  <c r="CZ81" i="18"/>
  <c r="DA81" i="18"/>
  <c r="DB81" i="18"/>
  <c r="DC81" i="18"/>
  <c r="DD81" i="18"/>
  <c r="DE81" i="18"/>
  <c r="DF81" i="18"/>
  <c r="DG81" i="18"/>
  <c r="DH81" i="18"/>
  <c r="DI81" i="18"/>
  <c r="DJ81" i="18"/>
  <c r="DK81" i="18"/>
  <c r="DL81" i="18"/>
  <c r="DM81" i="18"/>
  <c r="DN81" i="18"/>
  <c r="DO81" i="18"/>
  <c r="DP81" i="18"/>
  <c r="DQ81" i="18"/>
  <c r="DR81" i="18"/>
  <c r="DS81" i="18"/>
  <c r="DT81" i="18"/>
  <c r="DU81" i="18"/>
  <c r="DV81" i="18"/>
  <c r="DW81" i="18"/>
  <c r="DX81" i="18"/>
  <c r="DY81" i="18"/>
  <c r="DZ81" i="18"/>
  <c r="EA81" i="18"/>
  <c r="EB81" i="18"/>
  <c r="EC81" i="18"/>
  <c r="ED81" i="18"/>
  <c r="EE81" i="18"/>
  <c r="EF81" i="18"/>
  <c r="EG81" i="18"/>
  <c r="EH81" i="18"/>
  <c r="EI81" i="18"/>
  <c r="EJ81" i="18"/>
  <c r="EK81" i="18"/>
  <c r="EL81" i="18"/>
  <c r="EM81" i="18"/>
  <c r="EN81" i="18"/>
  <c r="EO81" i="18"/>
  <c r="EP81" i="18"/>
  <c r="EQ81" i="18"/>
  <c r="ER81" i="18"/>
  <c r="ES81" i="18"/>
  <c r="ET81" i="18"/>
  <c r="EU81" i="18"/>
  <c r="EV81" i="18"/>
  <c r="EW81" i="18"/>
  <c r="EX81" i="18"/>
  <c r="EY81" i="18"/>
  <c r="EZ81" i="18"/>
  <c r="FA81" i="18"/>
  <c r="FB81" i="18"/>
  <c r="FC81" i="18"/>
  <c r="FD81" i="18"/>
  <c r="FE81" i="18"/>
  <c r="FF81" i="18"/>
  <c r="FG81" i="18"/>
  <c r="FH81" i="18"/>
  <c r="FI81" i="18"/>
  <c r="FJ81" i="18"/>
  <c r="FK81" i="18"/>
  <c r="FL81" i="18"/>
  <c r="FM81" i="18"/>
  <c r="FN81" i="18"/>
  <c r="FO81" i="18"/>
  <c r="FP81" i="18"/>
  <c r="FQ81" i="18"/>
  <c r="FR81" i="18"/>
  <c r="FS81" i="18"/>
  <c r="FT81" i="18"/>
  <c r="FU81" i="18"/>
  <c r="FV81" i="18"/>
  <c r="FW81" i="18"/>
  <c r="FX81" i="18"/>
  <c r="FY81" i="18"/>
  <c r="FZ81" i="18"/>
  <c r="GA81" i="18"/>
  <c r="GB81" i="18"/>
  <c r="GC81" i="18"/>
  <c r="GD81" i="18"/>
  <c r="GE81" i="18"/>
  <c r="GF81" i="18"/>
  <c r="GG81" i="18"/>
  <c r="GH81" i="18"/>
  <c r="GI81" i="18"/>
  <c r="GJ81" i="18"/>
  <c r="GK81" i="18"/>
  <c r="GL81" i="18"/>
  <c r="GM81" i="18"/>
  <c r="GN81" i="18"/>
  <c r="GO81" i="18"/>
  <c r="GP81" i="18"/>
  <c r="GQ81" i="18"/>
  <c r="GR81" i="18"/>
  <c r="GS81" i="18"/>
  <c r="GT81" i="18"/>
  <c r="GU81" i="18"/>
  <c r="GV81" i="18"/>
  <c r="GW81" i="18"/>
  <c r="GX81" i="18"/>
  <c r="GY81" i="18"/>
  <c r="GZ81" i="18"/>
  <c r="HA81" i="18"/>
  <c r="HB81" i="18"/>
  <c r="HC81" i="18"/>
  <c r="I82" i="18"/>
  <c r="J82" i="18"/>
  <c r="K82" i="18"/>
  <c r="L82" i="18"/>
  <c r="M82" i="18"/>
  <c r="N82" i="18"/>
  <c r="O82" i="18"/>
  <c r="P82" i="18"/>
  <c r="Q82" i="18"/>
  <c r="R82" i="18"/>
  <c r="S82" i="18"/>
  <c r="T82" i="18"/>
  <c r="U82" i="18"/>
  <c r="V82" i="18"/>
  <c r="W82" i="18"/>
  <c r="X82" i="18"/>
  <c r="Y82" i="18"/>
  <c r="Z82" i="18"/>
  <c r="AA82" i="18"/>
  <c r="AB82" i="18"/>
  <c r="AC82" i="18"/>
  <c r="AD82" i="18"/>
  <c r="AE82" i="18"/>
  <c r="AF82" i="18"/>
  <c r="AG82" i="18"/>
  <c r="AH82" i="18"/>
  <c r="AI82" i="18"/>
  <c r="AJ82" i="18"/>
  <c r="AK82" i="18"/>
  <c r="AL82" i="18"/>
  <c r="AM82" i="18"/>
  <c r="AN82" i="18"/>
  <c r="AO82" i="18"/>
  <c r="AP82" i="18"/>
  <c r="AQ82" i="18"/>
  <c r="AR82" i="18"/>
  <c r="AS82" i="18"/>
  <c r="AT82" i="18"/>
  <c r="AU82" i="18"/>
  <c r="AV82" i="18"/>
  <c r="AW82" i="18"/>
  <c r="AX82" i="18"/>
  <c r="AY82" i="18"/>
  <c r="AZ82" i="18"/>
  <c r="BA82" i="18"/>
  <c r="BB82" i="18"/>
  <c r="BC82" i="18"/>
  <c r="BD82" i="18"/>
  <c r="BE82" i="18"/>
  <c r="BF82" i="18"/>
  <c r="BG82" i="18"/>
  <c r="BH82" i="18"/>
  <c r="BI82" i="18"/>
  <c r="BJ82" i="18"/>
  <c r="BK82" i="18"/>
  <c r="BL82" i="18"/>
  <c r="BM82" i="18"/>
  <c r="BN82" i="18"/>
  <c r="BO82" i="18"/>
  <c r="BP82" i="18"/>
  <c r="BQ82" i="18"/>
  <c r="BR82" i="18"/>
  <c r="BS82" i="18"/>
  <c r="BT82" i="18"/>
  <c r="BU82" i="18"/>
  <c r="BV82" i="18"/>
  <c r="BW82" i="18"/>
  <c r="BX82" i="18"/>
  <c r="BY82" i="18"/>
  <c r="BZ82" i="18"/>
  <c r="CA82" i="18"/>
  <c r="CB82" i="18"/>
  <c r="CC82" i="18"/>
  <c r="CD82" i="18"/>
  <c r="CE82" i="18"/>
  <c r="CF82" i="18"/>
  <c r="CG82" i="18"/>
  <c r="CH82" i="18"/>
  <c r="CI82" i="18"/>
  <c r="CJ82" i="18"/>
  <c r="CK82" i="18"/>
  <c r="CL82" i="18"/>
  <c r="CM82" i="18"/>
  <c r="CN82" i="18"/>
  <c r="CO82" i="18"/>
  <c r="CP82" i="18"/>
  <c r="CQ82" i="18"/>
  <c r="CR82" i="18"/>
  <c r="CS82" i="18"/>
  <c r="CT82" i="18"/>
  <c r="CU82" i="18"/>
  <c r="CV82" i="18"/>
  <c r="CW82" i="18"/>
  <c r="CX82" i="18"/>
  <c r="CY82" i="18"/>
  <c r="CZ82" i="18"/>
  <c r="DA82" i="18"/>
  <c r="DB82" i="18"/>
  <c r="DC82" i="18"/>
  <c r="DD82" i="18"/>
  <c r="DE82" i="18"/>
  <c r="DF82" i="18"/>
  <c r="DG82" i="18"/>
  <c r="DH82" i="18"/>
  <c r="DI82" i="18"/>
  <c r="DJ82" i="18"/>
  <c r="DK82" i="18"/>
  <c r="DL82" i="18"/>
  <c r="DM82" i="18"/>
  <c r="DN82" i="18"/>
  <c r="DO82" i="18"/>
  <c r="DP82" i="18"/>
  <c r="DQ82" i="18"/>
  <c r="DR82" i="18"/>
  <c r="DS82" i="18"/>
  <c r="DT82" i="18"/>
  <c r="DU82" i="18"/>
  <c r="DV82" i="18"/>
  <c r="DW82" i="18"/>
  <c r="DX82" i="18"/>
  <c r="DY82" i="18"/>
  <c r="DZ82" i="18"/>
  <c r="EA82" i="18"/>
  <c r="EB82" i="18"/>
  <c r="EC82" i="18"/>
  <c r="ED82" i="18"/>
  <c r="EE82" i="18"/>
  <c r="EF82" i="18"/>
  <c r="EG82" i="18"/>
  <c r="EH82" i="18"/>
  <c r="EI82" i="18"/>
  <c r="EJ82" i="18"/>
  <c r="EK82" i="18"/>
  <c r="EL82" i="18"/>
  <c r="EM82" i="18"/>
  <c r="EN82" i="18"/>
  <c r="EO82" i="18"/>
  <c r="EP82" i="18"/>
  <c r="EQ82" i="18"/>
  <c r="ER82" i="18"/>
  <c r="ES82" i="18"/>
  <c r="ET82" i="18"/>
  <c r="EU82" i="18"/>
  <c r="EV82" i="18"/>
  <c r="EW82" i="18"/>
  <c r="EX82" i="18"/>
  <c r="EY82" i="18"/>
  <c r="EZ82" i="18"/>
  <c r="FA82" i="18"/>
  <c r="FB82" i="18"/>
  <c r="FC82" i="18"/>
  <c r="FD82" i="18"/>
  <c r="FE82" i="18"/>
  <c r="FF82" i="18"/>
  <c r="FG82" i="18"/>
  <c r="FH82" i="18"/>
  <c r="FI82" i="18"/>
  <c r="FJ82" i="18"/>
  <c r="FK82" i="18"/>
  <c r="FL82" i="18"/>
  <c r="FM82" i="18"/>
  <c r="FN82" i="18"/>
  <c r="FO82" i="18"/>
  <c r="FP82" i="18"/>
  <c r="FQ82" i="18"/>
  <c r="FR82" i="18"/>
  <c r="FS82" i="18"/>
  <c r="FT82" i="18"/>
  <c r="FU82" i="18"/>
  <c r="FV82" i="18"/>
  <c r="FW82" i="18"/>
  <c r="FX82" i="18"/>
  <c r="FY82" i="18"/>
  <c r="FZ82" i="18"/>
  <c r="GA82" i="18"/>
  <c r="GB82" i="18"/>
  <c r="GC82" i="18"/>
  <c r="GD82" i="18"/>
  <c r="GE82" i="18"/>
  <c r="GF82" i="18"/>
  <c r="GG82" i="18"/>
  <c r="GH82" i="18"/>
  <c r="GI82" i="18"/>
  <c r="GJ82" i="18"/>
  <c r="GK82" i="18"/>
  <c r="GL82" i="18"/>
  <c r="GM82" i="18"/>
  <c r="GN82" i="18"/>
  <c r="GO82" i="18"/>
  <c r="GP82" i="18"/>
  <c r="GQ82" i="18"/>
  <c r="GR82" i="18"/>
  <c r="GS82" i="18"/>
  <c r="GT82" i="18"/>
  <c r="GU82" i="18"/>
  <c r="GV82" i="18"/>
  <c r="GW82" i="18"/>
  <c r="GX82" i="18"/>
  <c r="GY82" i="18"/>
  <c r="GZ82" i="18"/>
  <c r="HA82" i="18"/>
  <c r="HB82" i="18"/>
  <c r="HC82" i="18"/>
  <c r="H82" i="18"/>
  <c r="H81" i="18"/>
  <c r="H80" i="18"/>
  <c r="H79" i="18"/>
  <c r="H78" i="18"/>
  <c r="H77" i="18"/>
  <c r="H76" i="18"/>
  <c r="H75" i="18"/>
  <c r="H74" i="18"/>
  <c r="H73" i="18"/>
  <c r="H72" i="18"/>
  <c r="H71" i="18"/>
  <c r="H70" i="18"/>
  <c r="H69" i="18"/>
  <c r="H68" i="18"/>
  <c r="I58" i="18"/>
  <c r="J58" i="18"/>
  <c r="K58" i="18"/>
  <c r="L58" i="18"/>
  <c r="M58" i="18"/>
  <c r="N58" i="18"/>
  <c r="O58" i="18"/>
  <c r="P58" i="18"/>
  <c r="Q58" i="18"/>
  <c r="R58" i="18"/>
  <c r="S58" i="18"/>
  <c r="T58" i="18"/>
  <c r="U58" i="18"/>
  <c r="V58" i="18"/>
  <c r="W58" i="18"/>
  <c r="X58" i="18"/>
  <c r="Y58" i="18"/>
  <c r="Z58" i="18"/>
  <c r="AA58" i="18"/>
  <c r="AB58" i="18"/>
  <c r="AC58" i="18"/>
  <c r="AD58" i="18"/>
  <c r="AE58" i="18"/>
  <c r="AF58" i="18"/>
  <c r="AG58" i="18"/>
  <c r="AH58" i="18"/>
  <c r="AI58" i="18"/>
  <c r="AJ58" i="18"/>
  <c r="AK58" i="18"/>
  <c r="AL58" i="18"/>
  <c r="AM58" i="18"/>
  <c r="AN58" i="18"/>
  <c r="AO58" i="18"/>
  <c r="AP58" i="18"/>
  <c r="AQ58" i="18"/>
  <c r="AR58" i="18"/>
  <c r="AS58" i="18"/>
  <c r="AT58" i="18"/>
  <c r="AU58" i="18"/>
  <c r="AV58" i="18"/>
  <c r="AW58" i="18"/>
  <c r="AX58" i="18"/>
  <c r="AY58" i="18"/>
  <c r="AZ58" i="18"/>
  <c r="BA58" i="18"/>
  <c r="BB58" i="18"/>
  <c r="BC58" i="18"/>
  <c r="BD58" i="18"/>
  <c r="BE58" i="18"/>
  <c r="BF58" i="18"/>
  <c r="BG58" i="18"/>
  <c r="BH58" i="18"/>
  <c r="BI58" i="18"/>
  <c r="BJ58" i="18"/>
  <c r="BK58" i="18"/>
  <c r="BL58" i="18"/>
  <c r="BM58" i="18"/>
  <c r="BN58" i="18"/>
  <c r="BO58" i="18"/>
  <c r="BP58" i="18"/>
  <c r="BQ58" i="18"/>
  <c r="BR58" i="18"/>
  <c r="BS58" i="18"/>
  <c r="BT58" i="18"/>
  <c r="BU58" i="18"/>
  <c r="BV58" i="18"/>
  <c r="BW58" i="18"/>
  <c r="BX58" i="18"/>
  <c r="BY58" i="18"/>
  <c r="BZ58" i="18"/>
  <c r="CA58" i="18"/>
  <c r="CB58" i="18"/>
  <c r="CC58" i="18"/>
  <c r="CD58" i="18"/>
  <c r="CE58" i="18"/>
  <c r="CF58" i="18"/>
  <c r="CG58" i="18"/>
  <c r="CH58" i="18"/>
  <c r="CI58" i="18"/>
  <c r="CJ58" i="18"/>
  <c r="CK58" i="18"/>
  <c r="CL58" i="18"/>
  <c r="CM58" i="18"/>
  <c r="CN58" i="18"/>
  <c r="CO58" i="18"/>
  <c r="CP58" i="18"/>
  <c r="CQ58" i="18"/>
  <c r="CR58" i="18"/>
  <c r="CS58" i="18"/>
  <c r="CT58" i="18"/>
  <c r="CU58" i="18"/>
  <c r="CV58" i="18"/>
  <c r="CW58" i="18"/>
  <c r="CX58" i="18"/>
  <c r="CY58" i="18"/>
  <c r="CZ58" i="18"/>
  <c r="DA58" i="18"/>
  <c r="DB58" i="18"/>
  <c r="DC58" i="18"/>
  <c r="DD58" i="18"/>
  <c r="DE58" i="18"/>
  <c r="DF58" i="18"/>
  <c r="DG58" i="18"/>
  <c r="DH58" i="18"/>
  <c r="DI58" i="18"/>
  <c r="DJ58" i="18"/>
  <c r="DK58" i="18"/>
  <c r="DL58" i="18"/>
  <c r="DM58" i="18"/>
  <c r="DN58" i="18"/>
  <c r="DO58" i="18"/>
  <c r="DP58" i="18"/>
  <c r="DQ58" i="18"/>
  <c r="DR58" i="18"/>
  <c r="DS58" i="18"/>
  <c r="DT58" i="18"/>
  <c r="DU58" i="18"/>
  <c r="DV58" i="18"/>
  <c r="DW58" i="18"/>
  <c r="DX58" i="18"/>
  <c r="DY58" i="18"/>
  <c r="DZ58" i="18"/>
  <c r="EA58" i="18"/>
  <c r="EB58" i="18"/>
  <c r="EC58" i="18"/>
  <c r="ED58" i="18"/>
  <c r="EE58" i="18"/>
  <c r="EF58" i="18"/>
  <c r="EG58" i="18"/>
  <c r="EH58" i="18"/>
  <c r="EI58" i="18"/>
  <c r="EJ58" i="18"/>
  <c r="EK58" i="18"/>
  <c r="EL58" i="18"/>
  <c r="EM58" i="18"/>
  <c r="EN58" i="18"/>
  <c r="EO58" i="18"/>
  <c r="EP58" i="18"/>
  <c r="EQ58" i="18"/>
  <c r="ER58" i="18"/>
  <c r="ES58" i="18"/>
  <c r="ET58" i="18"/>
  <c r="EU58" i="18"/>
  <c r="EV58" i="18"/>
  <c r="EW58" i="18"/>
  <c r="EX58" i="18"/>
  <c r="EY58" i="18"/>
  <c r="EZ58" i="18"/>
  <c r="FA58" i="18"/>
  <c r="FB58" i="18"/>
  <c r="FC58" i="18"/>
  <c r="FD58" i="18"/>
  <c r="FE58" i="18"/>
  <c r="FF58" i="18"/>
  <c r="FG58" i="18"/>
  <c r="FH58" i="18"/>
  <c r="FI58" i="18"/>
  <c r="FJ58" i="18"/>
  <c r="FK58" i="18"/>
  <c r="FL58" i="18"/>
  <c r="FM58" i="18"/>
  <c r="FN58" i="18"/>
  <c r="FO58" i="18"/>
  <c r="FP58" i="18"/>
  <c r="FQ58" i="18"/>
  <c r="FR58" i="18"/>
  <c r="FS58" i="18"/>
  <c r="FT58" i="18"/>
  <c r="FU58" i="18"/>
  <c r="FV58" i="18"/>
  <c r="FW58" i="18"/>
  <c r="FX58" i="18"/>
  <c r="FY58" i="18"/>
  <c r="FZ58" i="18"/>
  <c r="GA58" i="18"/>
  <c r="GB58" i="18"/>
  <c r="GC58" i="18"/>
  <c r="GD58" i="18"/>
  <c r="GE58" i="18"/>
  <c r="GF58" i="18"/>
  <c r="GG58" i="18"/>
  <c r="GH58" i="18"/>
  <c r="GI58" i="18"/>
  <c r="GJ58" i="18"/>
  <c r="GK58" i="18"/>
  <c r="GL58" i="18"/>
  <c r="GM58" i="18"/>
  <c r="GN58" i="18"/>
  <c r="GO58" i="18"/>
  <c r="GP58" i="18"/>
  <c r="GQ58" i="18"/>
  <c r="GR58" i="18"/>
  <c r="GS58" i="18"/>
  <c r="GT58" i="18"/>
  <c r="GU58" i="18"/>
  <c r="GV58" i="18"/>
  <c r="GW58" i="18"/>
  <c r="GX58" i="18"/>
  <c r="GY58" i="18"/>
  <c r="GZ58" i="18"/>
  <c r="HA58" i="18"/>
  <c r="HB58" i="18"/>
  <c r="HC58" i="18"/>
  <c r="I59" i="18"/>
  <c r="J59" i="18"/>
  <c r="K59" i="18"/>
  <c r="L59" i="18"/>
  <c r="M59" i="18"/>
  <c r="N59" i="18"/>
  <c r="O59" i="18"/>
  <c r="P59" i="18"/>
  <c r="Q59" i="18"/>
  <c r="R59" i="18"/>
  <c r="S59" i="18"/>
  <c r="T59" i="18"/>
  <c r="U59" i="18"/>
  <c r="V59" i="18"/>
  <c r="W59" i="18"/>
  <c r="X59" i="18"/>
  <c r="Y59" i="18"/>
  <c r="Z59" i="18"/>
  <c r="AA59" i="18"/>
  <c r="AB59" i="18"/>
  <c r="AC59" i="18"/>
  <c r="AD59" i="18"/>
  <c r="AE59" i="18"/>
  <c r="AF59" i="18"/>
  <c r="AG59" i="18"/>
  <c r="AH59" i="18"/>
  <c r="AI59" i="18"/>
  <c r="AJ59" i="18"/>
  <c r="AK59" i="18"/>
  <c r="AL59" i="18"/>
  <c r="AM59" i="18"/>
  <c r="AN59" i="18"/>
  <c r="AO59" i="18"/>
  <c r="AP59" i="18"/>
  <c r="AQ59" i="18"/>
  <c r="AR59" i="18"/>
  <c r="AS59" i="18"/>
  <c r="AT59" i="18"/>
  <c r="AU59" i="18"/>
  <c r="AV59" i="18"/>
  <c r="AW59" i="18"/>
  <c r="AX59" i="18"/>
  <c r="AY59" i="18"/>
  <c r="AZ59" i="18"/>
  <c r="BA59" i="18"/>
  <c r="BB59" i="18"/>
  <c r="BC59" i="18"/>
  <c r="BD59" i="18"/>
  <c r="BE59" i="18"/>
  <c r="BF59" i="18"/>
  <c r="BG59" i="18"/>
  <c r="BH59" i="18"/>
  <c r="BI59" i="18"/>
  <c r="BJ59" i="18"/>
  <c r="BK59" i="18"/>
  <c r="BL59" i="18"/>
  <c r="BM59" i="18"/>
  <c r="BN59" i="18"/>
  <c r="BO59" i="18"/>
  <c r="BP59" i="18"/>
  <c r="BQ59" i="18"/>
  <c r="BR59" i="18"/>
  <c r="BS59" i="18"/>
  <c r="BT59" i="18"/>
  <c r="BU59" i="18"/>
  <c r="BV59" i="18"/>
  <c r="BW59" i="18"/>
  <c r="BX59" i="18"/>
  <c r="BY59" i="18"/>
  <c r="BZ59" i="18"/>
  <c r="CA59" i="18"/>
  <c r="CB59" i="18"/>
  <c r="CC59" i="18"/>
  <c r="CD59" i="18"/>
  <c r="CE59" i="18"/>
  <c r="CF59" i="18"/>
  <c r="CG59" i="18"/>
  <c r="CH59" i="18"/>
  <c r="CI59" i="18"/>
  <c r="CJ59" i="18"/>
  <c r="CK59" i="18"/>
  <c r="CL59" i="18"/>
  <c r="CM59" i="18"/>
  <c r="CN59" i="18"/>
  <c r="CO59" i="18"/>
  <c r="CP59" i="18"/>
  <c r="CQ59" i="18"/>
  <c r="CR59" i="18"/>
  <c r="CS59" i="18"/>
  <c r="CT59" i="18"/>
  <c r="CU59" i="18"/>
  <c r="CV59" i="18"/>
  <c r="CW59" i="18"/>
  <c r="CX59" i="18"/>
  <c r="CY59" i="18"/>
  <c r="CZ59" i="18"/>
  <c r="DA59" i="18"/>
  <c r="DB59" i="18"/>
  <c r="DC59" i="18"/>
  <c r="DD59" i="18"/>
  <c r="DE59" i="18"/>
  <c r="DF59" i="18"/>
  <c r="DG59" i="18"/>
  <c r="DH59" i="18"/>
  <c r="DI59" i="18"/>
  <c r="DJ59" i="18"/>
  <c r="DK59" i="18"/>
  <c r="DL59" i="18"/>
  <c r="DM59" i="18"/>
  <c r="DN59" i="18"/>
  <c r="DO59" i="18"/>
  <c r="DP59" i="18"/>
  <c r="DQ59" i="18"/>
  <c r="DR59" i="18"/>
  <c r="DS59" i="18"/>
  <c r="DT59" i="18"/>
  <c r="DU59" i="18"/>
  <c r="DV59" i="18"/>
  <c r="DW59" i="18"/>
  <c r="DX59" i="18"/>
  <c r="DY59" i="18"/>
  <c r="DZ59" i="18"/>
  <c r="EA59" i="18"/>
  <c r="EB59" i="18"/>
  <c r="EC59" i="18"/>
  <c r="ED59" i="18"/>
  <c r="EE59" i="18"/>
  <c r="EF59" i="18"/>
  <c r="EG59" i="18"/>
  <c r="EH59" i="18"/>
  <c r="EI59" i="18"/>
  <c r="EJ59" i="18"/>
  <c r="EK59" i="18"/>
  <c r="EL59" i="18"/>
  <c r="EM59" i="18"/>
  <c r="EN59" i="18"/>
  <c r="EO59" i="18"/>
  <c r="EP59" i="18"/>
  <c r="EQ59" i="18"/>
  <c r="ER59" i="18"/>
  <c r="ES59" i="18"/>
  <c r="ET59" i="18"/>
  <c r="EU59" i="18"/>
  <c r="EV59" i="18"/>
  <c r="EW59" i="18"/>
  <c r="EX59" i="18"/>
  <c r="EY59" i="18"/>
  <c r="EZ59" i="18"/>
  <c r="FA59" i="18"/>
  <c r="FB59" i="18"/>
  <c r="FC59" i="18"/>
  <c r="FD59" i="18"/>
  <c r="FE59" i="18"/>
  <c r="FF59" i="18"/>
  <c r="FG59" i="18"/>
  <c r="FH59" i="18"/>
  <c r="FI59" i="18"/>
  <c r="FJ59" i="18"/>
  <c r="FK59" i="18"/>
  <c r="FL59" i="18"/>
  <c r="FM59" i="18"/>
  <c r="FN59" i="18"/>
  <c r="FO59" i="18"/>
  <c r="FP59" i="18"/>
  <c r="FQ59" i="18"/>
  <c r="FR59" i="18"/>
  <c r="FS59" i="18"/>
  <c r="FT59" i="18"/>
  <c r="FU59" i="18"/>
  <c r="FV59" i="18"/>
  <c r="FW59" i="18"/>
  <c r="FX59" i="18"/>
  <c r="FY59" i="18"/>
  <c r="FZ59" i="18"/>
  <c r="GA59" i="18"/>
  <c r="GB59" i="18"/>
  <c r="GC59" i="18"/>
  <c r="GD59" i="18"/>
  <c r="GE59" i="18"/>
  <c r="GF59" i="18"/>
  <c r="GG59" i="18"/>
  <c r="GH59" i="18"/>
  <c r="GI59" i="18"/>
  <c r="GJ59" i="18"/>
  <c r="GK59" i="18"/>
  <c r="GL59" i="18"/>
  <c r="GM59" i="18"/>
  <c r="GN59" i="18"/>
  <c r="GO59" i="18"/>
  <c r="GP59" i="18"/>
  <c r="GQ59" i="18"/>
  <c r="GR59" i="18"/>
  <c r="GS59" i="18"/>
  <c r="GT59" i="18"/>
  <c r="GU59" i="18"/>
  <c r="GV59" i="18"/>
  <c r="GW59" i="18"/>
  <c r="GX59" i="18"/>
  <c r="GY59" i="18"/>
  <c r="GZ59" i="18"/>
  <c r="HA59" i="18"/>
  <c r="HB59" i="18"/>
  <c r="HC59" i="18"/>
  <c r="I60" i="18"/>
  <c r="J60" i="18"/>
  <c r="K60" i="18"/>
  <c r="L60" i="18"/>
  <c r="M60" i="18"/>
  <c r="N60" i="18"/>
  <c r="O60" i="18"/>
  <c r="P60" i="18"/>
  <c r="Q60" i="18"/>
  <c r="R60" i="18"/>
  <c r="S60" i="18"/>
  <c r="T60" i="18"/>
  <c r="U60" i="18"/>
  <c r="V60" i="18"/>
  <c r="W60" i="18"/>
  <c r="X60" i="18"/>
  <c r="Y60" i="18"/>
  <c r="Z60" i="18"/>
  <c r="AA60" i="18"/>
  <c r="AB60" i="18"/>
  <c r="AC60" i="18"/>
  <c r="AD60" i="18"/>
  <c r="AE60" i="18"/>
  <c r="AF60" i="18"/>
  <c r="AG60" i="18"/>
  <c r="AH60" i="18"/>
  <c r="AI60" i="18"/>
  <c r="AJ60" i="18"/>
  <c r="AK60" i="18"/>
  <c r="AL60" i="18"/>
  <c r="AM60" i="18"/>
  <c r="AN60" i="18"/>
  <c r="AO60" i="18"/>
  <c r="AP60" i="18"/>
  <c r="AQ60" i="18"/>
  <c r="AR60" i="18"/>
  <c r="AS60" i="18"/>
  <c r="AT60" i="18"/>
  <c r="AU60" i="18"/>
  <c r="AV60" i="18"/>
  <c r="AW60" i="18"/>
  <c r="AX60" i="18"/>
  <c r="AY60" i="18"/>
  <c r="AZ60" i="18"/>
  <c r="BA60" i="18"/>
  <c r="BB60" i="18"/>
  <c r="BC60" i="18"/>
  <c r="BD60" i="18"/>
  <c r="BE60" i="18"/>
  <c r="BF60" i="18"/>
  <c r="BG60" i="18"/>
  <c r="BH60" i="18"/>
  <c r="BI60" i="18"/>
  <c r="BJ60" i="18"/>
  <c r="BK60" i="18"/>
  <c r="BL60" i="18"/>
  <c r="BM60" i="18"/>
  <c r="BN60" i="18"/>
  <c r="BO60" i="18"/>
  <c r="BP60" i="18"/>
  <c r="BQ60" i="18"/>
  <c r="BR60" i="18"/>
  <c r="BS60" i="18"/>
  <c r="BT60" i="18"/>
  <c r="BU60" i="18"/>
  <c r="BV60" i="18"/>
  <c r="BW60" i="18"/>
  <c r="BX60" i="18"/>
  <c r="BY60" i="18"/>
  <c r="BZ60" i="18"/>
  <c r="CA60" i="18"/>
  <c r="CB60" i="18"/>
  <c r="CC60" i="18"/>
  <c r="CD60" i="18"/>
  <c r="CE60" i="18"/>
  <c r="CF60" i="18"/>
  <c r="CG60" i="18"/>
  <c r="CH60" i="18"/>
  <c r="CI60" i="18"/>
  <c r="CJ60" i="18"/>
  <c r="CK60" i="18"/>
  <c r="CL60" i="18"/>
  <c r="CM60" i="18"/>
  <c r="CN60" i="18"/>
  <c r="CO60" i="18"/>
  <c r="CP60" i="18"/>
  <c r="CQ60" i="18"/>
  <c r="CR60" i="18"/>
  <c r="CS60" i="18"/>
  <c r="CT60" i="18"/>
  <c r="CU60" i="18"/>
  <c r="CV60" i="18"/>
  <c r="CW60" i="18"/>
  <c r="CX60" i="18"/>
  <c r="CY60" i="18"/>
  <c r="CZ60" i="18"/>
  <c r="DA60" i="18"/>
  <c r="DB60" i="18"/>
  <c r="DC60" i="18"/>
  <c r="DD60" i="18"/>
  <c r="DE60" i="18"/>
  <c r="DF60" i="18"/>
  <c r="DG60" i="18"/>
  <c r="DH60" i="18"/>
  <c r="DI60" i="18"/>
  <c r="DJ60" i="18"/>
  <c r="DK60" i="18"/>
  <c r="DL60" i="18"/>
  <c r="DM60" i="18"/>
  <c r="DN60" i="18"/>
  <c r="DO60" i="18"/>
  <c r="DP60" i="18"/>
  <c r="DQ60" i="18"/>
  <c r="DR60" i="18"/>
  <c r="DS60" i="18"/>
  <c r="DT60" i="18"/>
  <c r="DU60" i="18"/>
  <c r="DV60" i="18"/>
  <c r="DW60" i="18"/>
  <c r="DX60" i="18"/>
  <c r="DY60" i="18"/>
  <c r="DZ60" i="18"/>
  <c r="EA60" i="18"/>
  <c r="EB60" i="18"/>
  <c r="EC60" i="18"/>
  <c r="ED60" i="18"/>
  <c r="EE60" i="18"/>
  <c r="EF60" i="18"/>
  <c r="EG60" i="18"/>
  <c r="EH60" i="18"/>
  <c r="EI60" i="18"/>
  <c r="EJ60" i="18"/>
  <c r="EK60" i="18"/>
  <c r="EL60" i="18"/>
  <c r="EM60" i="18"/>
  <c r="EN60" i="18"/>
  <c r="EO60" i="18"/>
  <c r="EP60" i="18"/>
  <c r="EQ60" i="18"/>
  <c r="ER60" i="18"/>
  <c r="ES60" i="18"/>
  <c r="ET60" i="18"/>
  <c r="EU60" i="18"/>
  <c r="EV60" i="18"/>
  <c r="EW60" i="18"/>
  <c r="EX60" i="18"/>
  <c r="EY60" i="18"/>
  <c r="EZ60" i="18"/>
  <c r="FA60" i="18"/>
  <c r="FB60" i="18"/>
  <c r="FC60" i="18"/>
  <c r="FD60" i="18"/>
  <c r="FE60" i="18"/>
  <c r="FF60" i="18"/>
  <c r="FG60" i="18"/>
  <c r="FH60" i="18"/>
  <c r="FI60" i="18"/>
  <c r="FJ60" i="18"/>
  <c r="FK60" i="18"/>
  <c r="FL60" i="18"/>
  <c r="FM60" i="18"/>
  <c r="FN60" i="18"/>
  <c r="FO60" i="18"/>
  <c r="FP60" i="18"/>
  <c r="FQ60" i="18"/>
  <c r="FR60" i="18"/>
  <c r="FS60" i="18"/>
  <c r="FT60" i="18"/>
  <c r="FU60" i="18"/>
  <c r="FV60" i="18"/>
  <c r="FW60" i="18"/>
  <c r="FX60" i="18"/>
  <c r="FY60" i="18"/>
  <c r="FZ60" i="18"/>
  <c r="GA60" i="18"/>
  <c r="GB60" i="18"/>
  <c r="GC60" i="18"/>
  <c r="GD60" i="18"/>
  <c r="GE60" i="18"/>
  <c r="GF60" i="18"/>
  <c r="GG60" i="18"/>
  <c r="GH60" i="18"/>
  <c r="GI60" i="18"/>
  <c r="GJ60" i="18"/>
  <c r="GK60" i="18"/>
  <c r="GL60" i="18"/>
  <c r="GM60" i="18"/>
  <c r="GN60" i="18"/>
  <c r="GO60" i="18"/>
  <c r="GP60" i="18"/>
  <c r="GQ60" i="18"/>
  <c r="GR60" i="18"/>
  <c r="GS60" i="18"/>
  <c r="GT60" i="18"/>
  <c r="GU60" i="18"/>
  <c r="GV60" i="18"/>
  <c r="GW60" i="18"/>
  <c r="GX60" i="18"/>
  <c r="GY60" i="18"/>
  <c r="GZ60" i="18"/>
  <c r="HA60" i="18"/>
  <c r="HB60" i="18"/>
  <c r="HC60" i="18"/>
  <c r="I61" i="18"/>
  <c r="J61" i="18"/>
  <c r="K61" i="18"/>
  <c r="L61" i="18"/>
  <c r="M61" i="18"/>
  <c r="N61" i="18"/>
  <c r="O61" i="18"/>
  <c r="P61" i="18"/>
  <c r="Q61" i="18"/>
  <c r="R61" i="18"/>
  <c r="S61" i="18"/>
  <c r="T61" i="18"/>
  <c r="U61" i="18"/>
  <c r="V61" i="18"/>
  <c r="W61" i="18"/>
  <c r="X61" i="18"/>
  <c r="Y61" i="18"/>
  <c r="Z61" i="18"/>
  <c r="AA61" i="18"/>
  <c r="AB61" i="18"/>
  <c r="AC61" i="18"/>
  <c r="AD61" i="18"/>
  <c r="AE61" i="18"/>
  <c r="AF61" i="18"/>
  <c r="AG61" i="18"/>
  <c r="AH61" i="18"/>
  <c r="AI61" i="18"/>
  <c r="AJ61" i="18"/>
  <c r="AK61" i="18"/>
  <c r="AL61" i="18"/>
  <c r="AM61" i="18"/>
  <c r="AN61" i="18"/>
  <c r="AO61" i="18"/>
  <c r="AP61" i="18"/>
  <c r="AQ61" i="18"/>
  <c r="AR61" i="18"/>
  <c r="AS61" i="18"/>
  <c r="AT61" i="18"/>
  <c r="AU61" i="18"/>
  <c r="AV61" i="18"/>
  <c r="AW61" i="18"/>
  <c r="AX61" i="18"/>
  <c r="AY61" i="18"/>
  <c r="AZ61" i="18"/>
  <c r="BA61" i="18"/>
  <c r="BB61" i="18"/>
  <c r="BC61" i="18"/>
  <c r="BD61" i="18"/>
  <c r="BE61" i="18"/>
  <c r="BF61" i="18"/>
  <c r="BG61" i="18"/>
  <c r="BH61" i="18"/>
  <c r="BI61" i="18"/>
  <c r="BJ61" i="18"/>
  <c r="BK61" i="18"/>
  <c r="BL61" i="18"/>
  <c r="BM61" i="18"/>
  <c r="BN61" i="18"/>
  <c r="BO61" i="18"/>
  <c r="BP61" i="18"/>
  <c r="BQ61" i="18"/>
  <c r="BR61" i="18"/>
  <c r="BS61" i="18"/>
  <c r="BT61" i="18"/>
  <c r="BU61" i="18"/>
  <c r="BV61" i="18"/>
  <c r="BW61" i="18"/>
  <c r="BX61" i="18"/>
  <c r="BY61" i="18"/>
  <c r="BZ61" i="18"/>
  <c r="CA61" i="18"/>
  <c r="CB61" i="18"/>
  <c r="CC61" i="18"/>
  <c r="CD61" i="18"/>
  <c r="CE61" i="18"/>
  <c r="CF61" i="18"/>
  <c r="CG61" i="18"/>
  <c r="CH61" i="18"/>
  <c r="CI61" i="18"/>
  <c r="CJ61" i="18"/>
  <c r="CK61" i="18"/>
  <c r="CL61" i="18"/>
  <c r="CM61" i="18"/>
  <c r="CN61" i="18"/>
  <c r="CO61" i="18"/>
  <c r="CP61" i="18"/>
  <c r="CQ61" i="18"/>
  <c r="CR61" i="18"/>
  <c r="CS61" i="18"/>
  <c r="CT61" i="18"/>
  <c r="CU61" i="18"/>
  <c r="CV61" i="18"/>
  <c r="CW61" i="18"/>
  <c r="CX61" i="18"/>
  <c r="CY61" i="18"/>
  <c r="CZ61" i="18"/>
  <c r="DA61" i="18"/>
  <c r="DB61" i="18"/>
  <c r="DC61" i="18"/>
  <c r="DD61" i="18"/>
  <c r="DE61" i="18"/>
  <c r="DF61" i="18"/>
  <c r="DG61" i="18"/>
  <c r="DH61" i="18"/>
  <c r="DI61" i="18"/>
  <c r="DJ61" i="18"/>
  <c r="DK61" i="18"/>
  <c r="DL61" i="18"/>
  <c r="DM61" i="18"/>
  <c r="DN61" i="18"/>
  <c r="DO61" i="18"/>
  <c r="DP61" i="18"/>
  <c r="DQ61" i="18"/>
  <c r="DR61" i="18"/>
  <c r="DS61" i="18"/>
  <c r="DT61" i="18"/>
  <c r="DU61" i="18"/>
  <c r="DV61" i="18"/>
  <c r="DW61" i="18"/>
  <c r="DX61" i="18"/>
  <c r="DY61" i="18"/>
  <c r="DZ61" i="18"/>
  <c r="EA61" i="18"/>
  <c r="EB61" i="18"/>
  <c r="EC61" i="18"/>
  <c r="ED61" i="18"/>
  <c r="EE61" i="18"/>
  <c r="EF61" i="18"/>
  <c r="EG61" i="18"/>
  <c r="EH61" i="18"/>
  <c r="EI61" i="18"/>
  <c r="EJ61" i="18"/>
  <c r="EK61" i="18"/>
  <c r="EL61" i="18"/>
  <c r="EM61" i="18"/>
  <c r="EN61" i="18"/>
  <c r="EO61" i="18"/>
  <c r="EP61" i="18"/>
  <c r="EQ61" i="18"/>
  <c r="ER61" i="18"/>
  <c r="ES61" i="18"/>
  <c r="ET61" i="18"/>
  <c r="EU61" i="18"/>
  <c r="EV61" i="18"/>
  <c r="EW61" i="18"/>
  <c r="EX61" i="18"/>
  <c r="EY61" i="18"/>
  <c r="EZ61" i="18"/>
  <c r="FA61" i="18"/>
  <c r="FB61" i="18"/>
  <c r="FC61" i="18"/>
  <c r="FD61" i="18"/>
  <c r="FE61" i="18"/>
  <c r="FF61" i="18"/>
  <c r="FG61" i="18"/>
  <c r="FH61" i="18"/>
  <c r="FI61" i="18"/>
  <c r="FJ61" i="18"/>
  <c r="FK61" i="18"/>
  <c r="FL61" i="18"/>
  <c r="FM61" i="18"/>
  <c r="FN61" i="18"/>
  <c r="FO61" i="18"/>
  <c r="FP61" i="18"/>
  <c r="FQ61" i="18"/>
  <c r="FR61" i="18"/>
  <c r="FS61" i="18"/>
  <c r="FT61" i="18"/>
  <c r="FU61" i="18"/>
  <c r="FV61" i="18"/>
  <c r="FW61" i="18"/>
  <c r="FX61" i="18"/>
  <c r="FY61" i="18"/>
  <c r="FZ61" i="18"/>
  <c r="GA61" i="18"/>
  <c r="GB61" i="18"/>
  <c r="GC61" i="18"/>
  <c r="GD61" i="18"/>
  <c r="GE61" i="18"/>
  <c r="GF61" i="18"/>
  <c r="GG61" i="18"/>
  <c r="GH61" i="18"/>
  <c r="GI61" i="18"/>
  <c r="GJ61" i="18"/>
  <c r="GK61" i="18"/>
  <c r="GL61" i="18"/>
  <c r="GM61" i="18"/>
  <c r="GN61" i="18"/>
  <c r="GO61" i="18"/>
  <c r="GP61" i="18"/>
  <c r="GQ61" i="18"/>
  <c r="GR61" i="18"/>
  <c r="GS61" i="18"/>
  <c r="GT61" i="18"/>
  <c r="GU61" i="18"/>
  <c r="GV61" i="18"/>
  <c r="GW61" i="18"/>
  <c r="GX61" i="18"/>
  <c r="GY61" i="18"/>
  <c r="GZ61" i="18"/>
  <c r="HA61" i="18"/>
  <c r="HB61" i="18"/>
  <c r="HC61" i="18"/>
  <c r="I62" i="18"/>
  <c r="J62" i="18"/>
  <c r="K62" i="18"/>
  <c r="L62" i="18"/>
  <c r="M62" i="18"/>
  <c r="N62" i="18"/>
  <c r="O62" i="18"/>
  <c r="P62" i="18"/>
  <c r="Q62" i="18"/>
  <c r="R62" i="18"/>
  <c r="S62" i="18"/>
  <c r="T62" i="18"/>
  <c r="U62" i="18"/>
  <c r="V62" i="18"/>
  <c r="W62" i="18"/>
  <c r="X62" i="18"/>
  <c r="Y62" i="18"/>
  <c r="Z62" i="18"/>
  <c r="AA62" i="18"/>
  <c r="AB62" i="18"/>
  <c r="AC62" i="18"/>
  <c r="AD62" i="18"/>
  <c r="AE62" i="18"/>
  <c r="AF62" i="18"/>
  <c r="AG62" i="18"/>
  <c r="AH62" i="18"/>
  <c r="AI62" i="18"/>
  <c r="AJ62" i="18"/>
  <c r="AK62" i="18"/>
  <c r="AL62" i="18"/>
  <c r="AM62" i="18"/>
  <c r="AN62" i="18"/>
  <c r="AO62" i="18"/>
  <c r="AP62" i="18"/>
  <c r="AQ62" i="18"/>
  <c r="AR62" i="18"/>
  <c r="AS62" i="18"/>
  <c r="AT62" i="18"/>
  <c r="AU62" i="18"/>
  <c r="AV62" i="18"/>
  <c r="AW62" i="18"/>
  <c r="AX62" i="18"/>
  <c r="AY62" i="18"/>
  <c r="AZ62" i="18"/>
  <c r="BA62" i="18"/>
  <c r="BB62" i="18"/>
  <c r="BC62" i="18"/>
  <c r="BD62" i="18"/>
  <c r="BE62" i="18"/>
  <c r="BF62" i="18"/>
  <c r="BG62" i="18"/>
  <c r="BH62" i="18"/>
  <c r="BI62" i="18"/>
  <c r="BJ62" i="18"/>
  <c r="BK62" i="18"/>
  <c r="BL62" i="18"/>
  <c r="BM62" i="18"/>
  <c r="BN62" i="18"/>
  <c r="BO62" i="18"/>
  <c r="BP62" i="18"/>
  <c r="BQ62" i="18"/>
  <c r="BR62" i="18"/>
  <c r="BS62" i="18"/>
  <c r="BT62" i="18"/>
  <c r="BU62" i="18"/>
  <c r="BV62" i="18"/>
  <c r="BW62" i="18"/>
  <c r="BX62" i="18"/>
  <c r="BY62" i="18"/>
  <c r="BZ62" i="18"/>
  <c r="CA62" i="18"/>
  <c r="CB62" i="18"/>
  <c r="CC62" i="18"/>
  <c r="CD62" i="18"/>
  <c r="CE62" i="18"/>
  <c r="CF62" i="18"/>
  <c r="CG62" i="18"/>
  <c r="CH62" i="18"/>
  <c r="CI62" i="18"/>
  <c r="CJ62" i="18"/>
  <c r="CK62" i="18"/>
  <c r="CL62" i="18"/>
  <c r="CM62" i="18"/>
  <c r="CN62" i="18"/>
  <c r="CO62" i="18"/>
  <c r="CP62" i="18"/>
  <c r="CQ62" i="18"/>
  <c r="CR62" i="18"/>
  <c r="CS62" i="18"/>
  <c r="CT62" i="18"/>
  <c r="CU62" i="18"/>
  <c r="CV62" i="18"/>
  <c r="CW62" i="18"/>
  <c r="CX62" i="18"/>
  <c r="CY62" i="18"/>
  <c r="CZ62" i="18"/>
  <c r="DA62" i="18"/>
  <c r="DB62" i="18"/>
  <c r="DC62" i="18"/>
  <c r="DD62" i="18"/>
  <c r="DE62" i="18"/>
  <c r="DF62" i="18"/>
  <c r="DG62" i="18"/>
  <c r="DH62" i="18"/>
  <c r="DI62" i="18"/>
  <c r="DJ62" i="18"/>
  <c r="DK62" i="18"/>
  <c r="DL62" i="18"/>
  <c r="DM62" i="18"/>
  <c r="DN62" i="18"/>
  <c r="DO62" i="18"/>
  <c r="DP62" i="18"/>
  <c r="DQ62" i="18"/>
  <c r="DR62" i="18"/>
  <c r="DS62" i="18"/>
  <c r="DT62" i="18"/>
  <c r="DU62" i="18"/>
  <c r="DV62" i="18"/>
  <c r="DW62" i="18"/>
  <c r="DX62" i="18"/>
  <c r="DY62" i="18"/>
  <c r="DZ62" i="18"/>
  <c r="EA62" i="18"/>
  <c r="EB62" i="18"/>
  <c r="EC62" i="18"/>
  <c r="ED62" i="18"/>
  <c r="EE62" i="18"/>
  <c r="EF62" i="18"/>
  <c r="EG62" i="18"/>
  <c r="EH62" i="18"/>
  <c r="EI62" i="18"/>
  <c r="EJ62" i="18"/>
  <c r="EK62" i="18"/>
  <c r="EL62" i="18"/>
  <c r="EM62" i="18"/>
  <c r="EN62" i="18"/>
  <c r="EO62" i="18"/>
  <c r="EP62" i="18"/>
  <c r="EQ62" i="18"/>
  <c r="ER62" i="18"/>
  <c r="ES62" i="18"/>
  <c r="ET62" i="18"/>
  <c r="EU62" i="18"/>
  <c r="EV62" i="18"/>
  <c r="EW62" i="18"/>
  <c r="EX62" i="18"/>
  <c r="EY62" i="18"/>
  <c r="EZ62" i="18"/>
  <c r="FA62" i="18"/>
  <c r="FB62" i="18"/>
  <c r="FC62" i="18"/>
  <c r="FD62" i="18"/>
  <c r="FE62" i="18"/>
  <c r="FF62" i="18"/>
  <c r="FG62" i="18"/>
  <c r="FH62" i="18"/>
  <c r="FI62" i="18"/>
  <c r="FJ62" i="18"/>
  <c r="FK62" i="18"/>
  <c r="FL62" i="18"/>
  <c r="FM62" i="18"/>
  <c r="FN62" i="18"/>
  <c r="FO62" i="18"/>
  <c r="FP62" i="18"/>
  <c r="FQ62" i="18"/>
  <c r="FR62" i="18"/>
  <c r="FS62" i="18"/>
  <c r="FT62" i="18"/>
  <c r="FU62" i="18"/>
  <c r="FV62" i="18"/>
  <c r="FW62" i="18"/>
  <c r="FX62" i="18"/>
  <c r="FY62" i="18"/>
  <c r="FZ62" i="18"/>
  <c r="GA62" i="18"/>
  <c r="GB62" i="18"/>
  <c r="GC62" i="18"/>
  <c r="GD62" i="18"/>
  <c r="GE62" i="18"/>
  <c r="GF62" i="18"/>
  <c r="GG62" i="18"/>
  <c r="GH62" i="18"/>
  <c r="GI62" i="18"/>
  <c r="GJ62" i="18"/>
  <c r="GK62" i="18"/>
  <c r="GL62" i="18"/>
  <c r="GM62" i="18"/>
  <c r="GN62" i="18"/>
  <c r="GO62" i="18"/>
  <c r="GP62" i="18"/>
  <c r="GQ62" i="18"/>
  <c r="GR62" i="18"/>
  <c r="GS62" i="18"/>
  <c r="GT62" i="18"/>
  <c r="GU62" i="18"/>
  <c r="GV62" i="18"/>
  <c r="GW62" i="18"/>
  <c r="GX62" i="18"/>
  <c r="GY62" i="18"/>
  <c r="GZ62" i="18"/>
  <c r="HA62" i="18"/>
  <c r="HB62" i="18"/>
  <c r="HC62" i="18"/>
  <c r="I63" i="18"/>
  <c r="J63" i="18"/>
  <c r="K63" i="18"/>
  <c r="L63" i="18"/>
  <c r="M63" i="18"/>
  <c r="N63" i="18"/>
  <c r="O63" i="18"/>
  <c r="P63" i="18"/>
  <c r="Q63" i="18"/>
  <c r="R63" i="18"/>
  <c r="S63" i="18"/>
  <c r="T63" i="18"/>
  <c r="U63" i="18"/>
  <c r="V63" i="18"/>
  <c r="W63" i="18"/>
  <c r="X63" i="18"/>
  <c r="Y63" i="18"/>
  <c r="Z63" i="18"/>
  <c r="AA63" i="18"/>
  <c r="AB63" i="18"/>
  <c r="AC63" i="18"/>
  <c r="AD63" i="18"/>
  <c r="AE63" i="18"/>
  <c r="AF63" i="18"/>
  <c r="AG63" i="18"/>
  <c r="AH63" i="18"/>
  <c r="AI63" i="18"/>
  <c r="AJ63" i="18"/>
  <c r="AK63" i="18"/>
  <c r="AL63" i="18"/>
  <c r="AM63" i="18"/>
  <c r="AN63" i="18"/>
  <c r="AO63" i="18"/>
  <c r="AP63" i="18"/>
  <c r="AQ63" i="18"/>
  <c r="AR63" i="18"/>
  <c r="AS63" i="18"/>
  <c r="AT63" i="18"/>
  <c r="AU63" i="18"/>
  <c r="AV63" i="18"/>
  <c r="AW63" i="18"/>
  <c r="AX63" i="18"/>
  <c r="AY63" i="18"/>
  <c r="AZ63" i="18"/>
  <c r="BA63" i="18"/>
  <c r="BB63" i="18"/>
  <c r="BC63" i="18"/>
  <c r="BD63" i="18"/>
  <c r="BE63" i="18"/>
  <c r="BF63" i="18"/>
  <c r="BG63" i="18"/>
  <c r="BH63" i="18"/>
  <c r="BI63" i="18"/>
  <c r="BJ63" i="18"/>
  <c r="BK63" i="18"/>
  <c r="BL63" i="18"/>
  <c r="BM63" i="18"/>
  <c r="BN63" i="18"/>
  <c r="BO63" i="18"/>
  <c r="BP63" i="18"/>
  <c r="BQ63" i="18"/>
  <c r="BR63" i="18"/>
  <c r="BS63" i="18"/>
  <c r="BT63" i="18"/>
  <c r="BU63" i="18"/>
  <c r="BV63" i="18"/>
  <c r="BW63" i="18"/>
  <c r="BX63" i="18"/>
  <c r="BY63" i="18"/>
  <c r="BZ63" i="18"/>
  <c r="CA63" i="18"/>
  <c r="CB63" i="18"/>
  <c r="CC63" i="18"/>
  <c r="CD63" i="18"/>
  <c r="CE63" i="18"/>
  <c r="CF63" i="18"/>
  <c r="CG63" i="18"/>
  <c r="CH63" i="18"/>
  <c r="CI63" i="18"/>
  <c r="CJ63" i="18"/>
  <c r="CK63" i="18"/>
  <c r="CL63" i="18"/>
  <c r="CM63" i="18"/>
  <c r="CN63" i="18"/>
  <c r="CO63" i="18"/>
  <c r="CP63" i="18"/>
  <c r="CQ63" i="18"/>
  <c r="CR63" i="18"/>
  <c r="CS63" i="18"/>
  <c r="CT63" i="18"/>
  <c r="CU63" i="18"/>
  <c r="CV63" i="18"/>
  <c r="CW63" i="18"/>
  <c r="CX63" i="18"/>
  <c r="CY63" i="18"/>
  <c r="CZ63" i="18"/>
  <c r="DA63" i="18"/>
  <c r="DB63" i="18"/>
  <c r="DC63" i="18"/>
  <c r="DD63" i="18"/>
  <c r="DE63" i="18"/>
  <c r="DF63" i="18"/>
  <c r="DG63" i="18"/>
  <c r="DH63" i="18"/>
  <c r="DI63" i="18"/>
  <c r="DJ63" i="18"/>
  <c r="DK63" i="18"/>
  <c r="DL63" i="18"/>
  <c r="DM63" i="18"/>
  <c r="DN63" i="18"/>
  <c r="DO63" i="18"/>
  <c r="DP63" i="18"/>
  <c r="DQ63" i="18"/>
  <c r="DR63" i="18"/>
  <c r="DS63" i="18"/>
  <c r="DT63" i="18"/>
  <c r="DU63" i="18"/>
  <c r="DV63" i="18"/>
  <c r="DW63" i="18"/>
  <c r="DX63" i="18"/>
  <c r="DY63" i="18"/>
  <c r="DZ63" i="18"/>
  <c r="EA63" i="18"/>
  <c r="EB63" i="18"/>
  <c r="EC63" i="18"/>
  <c r="ED63" i="18"/>
  <c r="EE63" i="18"/>
  <c r="EF63" i="18"/>
  <c r="EG63" i="18"/>
  <c r="EH63" i="18"/>
  <c r="EI63" i="18"/>
  <c r="EJ63" i="18"/>
  <c r="EK63" i="18"/>
  <c r="EL63" i="18"/>
  <c r="EM63" i="18"/>
  <c r="EN63" i="18"/>
  <c r="EO63" i="18"/>
  <c r="EP63" i="18"/>
  <c r="EQ63" i="18"/>
  <c r="ER63" i="18"/>
  <c r="ES63" i="18"/>
  <c r="ET63" i="18"/>
  <c r="EU63" i="18"/>
  <c r="EV63" i="18"/>
  <c r="EW63" i="18"/>
  <c r="EX63" i="18"/>
  <c r="EY63" i="18"/>
  <c r="EZ63" i="18"/>
  <c r="FA63" i="18"/>
  <c r="FB63" i="18"/>
  <c r="FC63" i="18"/>
  <c r="FD63" i="18"/>
  <c r="FE63" i="18"/>
  <c r="FF63" i="18"/>
  <c r="FG63" i="18"/>
  <c r="FH63" i="18"/>
  <c r="FI63" i="18"/>
  <c r="FJ63" i="18"/>
  <c r="FK63" i="18"/>
  <c r="FL63" i="18"/>
  <c r="FM63" i="18"/>
  <c r="FN63" i="18"/>
  <c r="FO63" i="18"/>
  <c r="FP63" i="18"/>
  <c r="FQ63" i="18"/>
  <c r="FR63" i="18"/>
  <c r="FS63" i="18"/>
  <c r="FT63" i="18"/>
  <c r="FU63" i="18"/>
  <c r="FV63" i="18"/>
  <c r="FW63" i="18"/>
  <c r="FX63" i="18"/>
  <c r="FY63" i="18"/>
  <c r="FZ63" i="18"/>
  <c r="GA63" i="18"/>
  <c r="GB63" i="18"/>
  <c r="GC63" i="18"/>
  <c r="GD63" i="18"/>
  <c r="GE63" i="18"/>
  <c r="GF63" i="18"/>
  <c r="GG63" i="18"/>
  <c r="GH63" i="18"/>
  <c r="GI63" i="18"/>
  <c r="GJ63" i="18"/>
  <c r="GK63" i="18"/>
  <c r="GL63" i="18"/>
  <c r="GM63" i="18"/>
  <c r="GN63" i="18"/>
  <c r="GO63" i="18"/>
  <c r="GP63" i="18"/>
  <c r="GQ63" i="18"/>
  <c r="GR63" i="18"/>
  <c r="GS63" i="18"/>
  <c r="GT63" i="18"/>
  <c r="GU63" i="18"/>
  <c r="GV63" i="18"/>
  <c r="GW63" i="18"/>
  <c r="GX63" i="18"/>
  <c r="GY63" i="18"/>
  <c r="GZ63" i="18"/>
  <c r="HA63" i="18"/>
  <c r="HB63" i="18"/>
  <c r="HC63" i="18"/>
  <c r="I64" i="18"/>
  <c r="J64" i="18"/>
  <c r="K64" i="18"/>
  <c r="L64" i="18"/>
  <c r="M64" i="18"/>
  <c r="N64" i="18"/>
  <c r="O64" i="18"/>
  <c r="P64" i="18"/>
  <c r="Q64" i="18"/>
  <c r="R64" i="18"/>
  <c r="S64" i="18"/>
  <c r="T64" i="18"/>
  <c r="U64" i="18"/>
  <c r="V64" i="18"/>
  <c r="W64" i="18"/>
  <c r="X64" i="18"/>
  <c r="Y64" i="18"/>
  <c r="Z64" i="18"/>
  <c r="AA64" i="18"/>
  <c r="AB64" i="18"/>
  <c r="AC64" i="18"/>
  <c r="AD64" i="18"/>
  <c r="AE64" i="18"/>
  <c r="AF64" i="18"/>
  <c r="AG64" i="18"/>
  <c r="AH64" i="18"/>
  <c r="AI64" i="18"/>
  <c r="AJ64" i="18"/>
  <c r="AK64" i="18"/>
  <c r="AL64" i="18"/>
  <c r="AM64" i="18"/>
  <c r="AN64" i="18"/>
  <c r="AO64" i="18"/>
  <c r="AP64" i="18"/>
  <c r="AQ64" i="18"/>
  <c r="AR64" i="18"/>
  <c r="AS64" i="18"/>
  <c r="AT64" i="18"/>
  <c r="AU64" i="18"/>
  <c r="AV64" i="18"/>
  <c r="AW64" i="18"/>
  <c r="AX64" i="18"/>
  <c r="AY64" i="18"/>
  <c r="AZ64" i="18"/>
  <c r="BA64" i="18"/>
  <c r="BB64" i="18"/>
  <c r="BC64" i="18"/>
  <c r="BD64" i="18"/>
  <c r="BE64" i="18"/>
  <c r="BF64" i="18"/>
  <c r="BG64" i="18"/>
  <c r="BH64" i="18"/>
  <c r="BI64" i="18"/>
  <c r="BJ64" i="18"/>
  <c r="BK64" i="18"/>
  <c r="BL64" i="18"/>
  <c r="BM64" i="18"/>
  <c r="BN64" i="18"/>
  <c r="BO64" i="18"/>
  <c r="BP64" i="18"/>
  <c r="BQ64" i="18"/>
  <c r="BR64" i="18"/>
  <c r="BS64" i="18"/>
  <c r="BT64" i="18"/>
  <c r="BU64" i="18"/>
  <c r="BV64" i="18"/>
  <c r="BW64" i="18"/>
  <c r="BX64" i="18"/>
  <c r="BY64" i="18"/>
  <c r="BZ64" i="18"/>
  <c r="CA64" i="18"/>
  <c r="CB64" i="18"/>
  <c r="CC64" i="18"/>
  <c r="CD64" i="18"/>
  <c r="CE64" i="18"/>
  <c r="CF64" i="18"/>
  <c r="CG64" i="18"/>
  <c r="CH64" i="18"/>
  <c r="CI64" i="18"/>
  <c r="CJ64" i="18"/>
  <c r="CK64" i="18"/>
  <c r="CL64" i="18"/>
  <c r="CM64" i="18"/>
  <c r="CN64" i="18"/>
  <c r="CO64" i="18"/>
  <c r="CP64" i="18"/>
  <c r="CQ64" i="18"/>
  <c r="CR64" i="18"/>
  <c r="CS64" i="18"/>
  <c r="CT64" i="18"/>
  <c r="CU64" i="18"/>
  <c r="CV64" i="18"/>
  <c r="CW64" i="18"/>
  <c r="CX64" i="18"/>
  <c r="CY64" i="18"/>
  <c r="CZ64" i="18"/>
  <c r="DA64" i="18"/>
  <c r="DB64" i="18"/>
  <c r="DC64" i="18"/>
  <c r="DD64" i="18"/>
  <c r="DE64" i="18"/>
  <c r="DF64" i="18"/>
  <c r="DG64" i="18"/>
  <c r="DH64" i="18"/>
  <c r="DI64" i="18"/>
  <c r="DJ64" i="18"/>
  <c r="DK64" i="18"/>
  <c r="DL64" i="18"/>
  <c r="DM64" i="18"/>
  <c r="DN64" i="18"/>
  <c r="DO64" i="18"/>
  <c r="DP64" i="18"/>
  <c r="DQ64" i="18"/>
  <c r="DR64" i="18"/>
  <c r="DS64" i="18"/>
  <c r="DT64" i="18"/>
  <c r="DU64" i="18"/>
  <c r="DV64" i="18"/>
  <c r="DW64" i="18"/>
  <c r="DX64" i="18"/>
  <c r="DY64" i="18"/>
  <c r="DZ64" i="18"/>
  <c r="EA64" i="18"/>
  <c r="EB64" i="18"/>
  <c r="EC64" i="18"/>
  <c r="ED64" i="18"/>
  <c r="EE64" i="18"/>
  <c r="EF64" i="18"/>
  <c r="EG64" i="18"/>
  <c r="EH64" i="18"/>
  <c r="EI64" i="18"/>
  <c r="EJ64" i="18"/>
  <c r="EK64" i="18"/>
  <c r="EL64" i="18"/>
  <c r="EM64" i="18"/>
  <c r="EN64" i="18"/>
  <c r="EO64" i="18"/>
  <c r="EP64" i="18"/>
  <c r="EQ64" i="18"/>
  <c r="ER64" i="18"/>
  <c r="ES64" i="18"/>
  <c r="ET64" i="18"/>
  <c r="EU64" i="18"/>
  <c r="EV64" i="18"/>
  <c r="EW64" i="18"/>
  <c r="EX64" i="18"/>
  <c r="EY64" i="18"/>
  <c r="EZ64" i="18"/>
  <c r="FA64" i="18"/>
  <c r="FB64" i="18"/>
  <c r="FC64" i="18"/>
  <c r="FD64" i="18"/>
  <c r="FE64" i="18"/>
  <c r="FF64" i="18"/>
  <c r="FG64" i="18"/>
  <c r="FH64" i="18"/>
  <c r="FI64" i="18"/>
  <c r="FJ64" i="18"/>
  <c r="FK64" i="18"/>
  <c r="FL64" i="18"/>
  <c r="FM64" i="18"/>
  <c r="FN64" i="18"/>
  <c r="FO64" i="18"/>
  <c r="FP64" i="18"/>
  <c r="FQ64" i="18"/>
  <c r="FR64" i="18"/>
  <c r="FS64" i="18"/>
  <c r="FT64" i="18"/>
  <c r="FU64" i="18"/>
  <c r="FV64" i="18"/>
  <c r="FW64" i="18"/>
  <c r="FX64" i="18"/>
  <c r="FY64" i="18"/>
  <c r="FZ64" i="18"/>
  <c r="GA64" i="18"/>
  <c r="GB64" i="18"/>
  <c r="GC64" i="18"/>
  <c r="GD64" i="18"/>
  <c r="GE64" i="18"/>
  <c r="GF64" i="18"/>
  <c r="GG64" i="18"/>
  <c r="GH64" i="18"/>
  <c r="GI64" i="18"/>
  <c r="GJ64" i="18"/>
  <c r="GK64" i="18"/>
  <c r="GL64" i="18"/>
  <c r="GM64" i="18"/>
  <c r="GN64" i="18"/>
  <c r="GO64" i="18"/>
  <c r="GP64" i="18"/>
  <c r="GQ64" i="18"/>
  <c r="GR64" i="18"/>
  <c r="GS64" i="18"/>
  <c r="GT64" i="18"/>
  <c r="GU64" i="18"/>
  <c r="GV64" i="18"/>
  <c r="GW64" i="18"/>
  <c r="GX64" i="18"/>
  <c r="GY64" i="18"/>
  <c r="GZ64" i="18"/>
  <c r="HA64" i="18"/>
  <c r="HB64" i="18"/>
  <c r="HC64" i="18"/>
  <c r="I65" i="18"/>
  <c r="J65" i="18"/>
  <c r="K65" i="18"/>
  <c r="L65" i="18"/>
  <c r="M65" i="18"/>
  <c r="N65" i="18"/>
  <c r="O65" i="18"/>
  <c r="P65" i="18"/>
  <c r="Q65" i="18"/>
  <c r="R65" i="18"/>
  <c r="S65" i="18"/>
  <c r="T65" i="18"/>
  <c r="U65" i="18"/>
  <c r="V65" i="18"/>
  <c r="W65" i="18"/>
  <c r="X65" i="18"/>
  <c r="Y65" i="18"/>
  <c r="Z65" i="18"/>
  <c r="AA65" i="18"/>
  <c r="AB65" i="18"/>
  <c r="AC65" i="18"/>
  <c r="AD65" i="18"/>
  <c r="AE65" i="18"/>
  <c r="AF65" i="18"/>
  <c r="AG65" i="18"/>
  <c r="AH65" i="18"/>
  <c r="AI65" i="18"/>
  <c r="AJ65" i="18"/>
  <c r="AK65" i="18"/>
  <c r="AL65" i="18"/>
  <c r="AM65" i="18"/>
  <c r="AN65" i="18"/>
  <c r="AO65" i="18"/>
  <c r="AP65" i="18"/>
  <c r="AQ65" i="18"/>
  <c r="AR65" i="18"/>
  <c r="AS65" i="18"/>
  <c r="AT65" i="18"/>
  <c r="AU65" i="18"/>
  <c r="AV65" i="18"/>
  <c r="AW65" i="18"/>
  <c r="AX65" i="18"/>
  <c r="AY65" i="18"/>
  <c r="AZ65" i="18"/>
  <c r="BA65" i="18"/>
  <c r="BB65" i="18"/>
  <c r="BC65" i="18"/>
  <c r="BD65" i="18"/>
  <c r="BE65" i="18"/>
  <c r="BF65" i="18"/>
  <c r="BG65" i="18"/>
  <c r="BH65" i="18"/>
  <c r="BI65" i="18"/>
  <c r="BJ65" i="18"/>
  <c r="BK65" i="18"/>
  <c r="BL65" i="18"/>
  <c r="BM65" i="18"/>
  <c r="BN65" i="18"/>
  <c r="BO65" i="18"/>
  <c r="BP65" i="18"/>
  <c r="BQ65" i="18"/>
  <c r="BR65" i="18"/>
  <c r="BS65" i="18"/>
  <c r="BT65" i="18"/>
  <c r="BU65" i="18"/>
  <c r="BV65" i="18"/>
  <c r="BW65" i="18"/>
  <c r="BX65" i="18"/>
  <c r="BY65" i="18"/>
  <c r="BZ65" i="18"/>
  <c r="CA65" i="18"/>
  <c r="CB65" i="18"/>
  <c r="CC65" i="18"/>
  <c r="CD65" i="18"/>
  <c r="CE65" i="18"/>
  <c r="CF65" i="18"/>
  <c r="CG65" i="18"/>
  <c r="CH65" i="18"/>
  <c r="CI65" i="18"/>
  <c r="CJ65" i="18"/>
  <c r="CK65" i="18"/>
  <c r="CL65" i="18"/>
  <c r="CM65" i="18"/>
  <c r="CN65" i="18"/>
  <c r="CO65" i="18"/>
  <c r="CP65" i="18"/>
  <c r="CQ65" i="18"/>
  <c r="CR65" i="18"/>
  <c r="CS65" i="18"/>
  <c r="CT65" i="18"/>
  <c r="CU65" i="18"/>
  <c r="CV65" i="18"/>
  <c r="CW65" i="18"/>
  <c r="CX65" i="18"/>
  <c r="CY65" i="18"/>
  <c r="CZ65" i="18"/>
  <c r="DA65" i="18"/>
  <c r="DB65" i="18"/>
  <c r="DC65" i="18"/>
  <c r="DD65" i="18"/>
  <c r="DE65" i="18"/>
  <c r="DF65" i="18"/>
  <c r="DG65" i="18"/>
  <c r="DH65" i="18"/>
  <c r="DI65" i="18"/>
  <c r="DJ65" i="18"/>
  <c r="DK65" i="18"/>
  <c r="DL65" i="18"/>
  <c r="DM65" i="18"/>
  <c r="DN65" i="18"/>
  <c r="DO65" i="18"/>
  <c r="DP65" i="18"/>
  <c r="DQ65" i="18"/>
  <c r="DR65" i="18"/>
  <c r="DS65" i="18"/>
  <c r="DT65" i="18"/>
  <c r="DU65" i="18"/>
  <c r="DV65" i="18"/>
  <c r="DW65" i="18"/>
  <c r="DX65" i="18"/>
  <c r="DY65" i="18"/>
  <c r="DZ65" i="18"/>
  <c r="EA65" i="18"/>
  <c r="EB65" i="18"/>
  <c r="EC65" i="18"/>
  <c r="ED65" i="18"/>
  <c r="EE65" i="18"/>
  <c r="EF65" i="18"/>
  <c r="EG65" i="18"/>
  <c r="EH65" i="18"/>
  <c r="EI65" i="18"/>
  <c r="EJ65" i="18"/>
  <c r="EK65" i="18"/>
  <c r="EL65" i="18"/>
  <c r="EM65" i="18"/>
  <c r="EN65" i="18"/>
  <c r="EO65" i="18"/>
  <c r="EP65" i="18"/>
  <c r="EQ65" i="18"/>
  <c r="ER65" i="18"/>
  <c r="ES65" i="18"/>
  <c r="ET65" i="18"/>
  <c r="EU65" i="18"/>
  <c r="EV65" i="18"/>
  <c r="EW65" i="18"/>
  <c r="EX65" i="18"/>
  <c r="EY65" i="18"/>
  <c r="EZ65" i="18"/>
  <c r="FA65" i="18"/>
  <c r="FB65" i="18"/>
  <c r="FC65" i="18"/>
  <c r="FD65" i="18"/>
  <c r="FE65" i="18"/>
  <c r="FF65" i="18"/>
  <c r="FG65" i="18"/>
  <c r="FH65" i="18"/>
  <c r="FI65" i="18"/>
  <c r="FJ65" i="18"/>
  <c r="FK65" i="18"/>
  <c r="FL65" i="18"/>
  <c r="FM65" i="18"/>
  <c r="FN65" i="18"/>
  <c r="FO65" i="18"/>
  <c r="FP65" i="18"/>
  <c r="FQ65" i="18"/>
  <c r="FR65" i="18"/>
  <c r="FS65" i="18"/>
  <c r="FT65" i="18"/>
  <c r="FU65" i="18"/>
  <c r="FV65" i="18"/>
  <c r="FW65" i="18"/>
  <c r="FX65" i="18"/>
  <c r="FY65" i="18"/>
  <c r="FZ65" i="18"/>
  <c r="GA65" i="18"/>
  <c r="GB65" i="18"/>
  <c r="GC65" i="18"/>
  <c r="GD65" i="18"/>
  <c r="GE65" i="18"/>
  <c r="GF65" i="18"/>
  <c r="GG65" i="18"/>
  <c r="GH65" i="18"/>
  <c r="GI65" i="18"/>
  <c r="GJ65" i="18"/>
  <c r="GK65" i="18"/>
  <c r="GL65" i="18"/>
  <c r="GM65" i="18"/>
  <c r="GN65" i="18"/>
  <c r="GO65" i="18"/>
  <c r="GP65" i="18"/>
  <c r="GQ65" i="18"/>
  <c r="GR65" i="18"/>
  <c r="GS65" i="18"/>
  <c r="GT65" i="18"/>
  <c r="GU65" i="18"/>
  <c r="GV65" i="18"/>
  <c r="GW65" i="18"/>
  <c r="GX65" i="18"/>
  <c r="GY65" i="18"/>
  <c r="GZ65" i="18"/>
  <c r="HA65" i="18"/>
  <c r="HB65" i="18"/>
  <c r="HC65" i="18"/>
  <c r="I66" i="18"/>
  <c r="J66" i="18"/>
  <c r="K66" i="18"/>
  <c r="L66" i="18"/>
  <c r="M66" i="18"/>
  <c r="N66" i="18"/>
  <c r="O66" i="18"/>
  <c r="P66" i="18"/>
  <c r="Q66" i="18"/>
  <c r="R66" i="18"/>
  <c r="S66" i="18"/>
  <c r="T66" i="18"/>
  <c r="U66" i="18"/>
  <c r="V66" i="18"/>
  <c r="W66" i="18"/>
  <c r="X66" i="18"/>
  <c r="Y66" i="18"/>
  <c r="Z66" i="18"/>
  <c r="AA66" i="18"/>
  <c r="AB66" i="18"/>
  <c r="AC66" i="18"/>
  <c r="AD66" i="18"/>
  <c r="AE66" i="18"/>
  <c r="AF66" i="18"/>
  <c r="AG66" i="18"/>
  <c r="AH66" i="18"/>
  <c r="AI66" i="18"/>
  <c r="AJ66" i="18"/>
  <c r="AK66" i="18"/>
  <c r="AL66" i="18"/>
  <c r="AM66" i="18"/>
  <c r="AN66" i="18"/>
  <c r="AO66" i="18"/>
  <c r="AP66" i="18"/>
  <c r="AQ66" i="18"/>
  <c r="AR66" i="18"/>
  <c r="AS66" i="18"/>
  <c r="AT66" i="18"/>
  <c r="AU66" i="18"/>
  <c r="AV66" i="18"/>
  <c r="AW66" i="18"/>
  <c r="AX66" i="18"/>
  <c r="AY66" i="18"/>
  <c r="AZ66" i="18"/>
  <c r="BA66" i="18"/>
  <c r="BB66" i="18"/>
  <c r="BC66" i="18"/>
  <c r="BD66" i="18"/>
  <c r="BE66" i="18"/>
  <c r="BF66" i="18"/>
  <c r="BG66" i="18"/>
  <c r="BH66" i="18"/>
  <c r="BI66" i="18"/>
  <c r="BJ66" i="18"/>
  <c r="BK66" i="18"/>
  <c r="BL66" i="18"/>
  <c r="BM66" i="18"/>
  <c r="BN66" i="18"/>
  <c r="BO66" i="18"/>
  <c r="BP66" i="18"/>
  <c r="BQ66" i="18"/>
  <c r="BR66" i="18"/>
  <c r="BS66" i="18"/>
  <c r="BT66" i="18"/>
  <c r="BU66" i="18"/>
  <c r="BV66" i="18"/>
  <c r="BW66" i="18"/>
  <c r="BX66" i="18"/>
  <c r="BY66" i="18"/>
  <c r="CA66" i="18"/>
  <c r="CB66" i="18"/>
  <c r="CC66" i="18"/>
  <c r="CD66" i="18"/>
  <c r="CE66" i="18"/>
  <c r="CF66" i="18"/>
  <c r="CG66" i="18"/>
  <c r="CH66" i="18"/>
  <c r="CI66" i="18"/>
  <c r="CJ66" i="18"/>
  <c r="CK66" i="18"/>
  <c r="CL66" i="18"/>
  <c r="CM66" i="18"/>
  <c r="CN66" i="18"/>
  <c r="CO66" i="18"/>
  <c r="CP66" i="18"/>
  <c r="CQ66" i="18"/>
  <c r="CR66" i="18"/>
  <c r="CS66" i="18"/>
  <c r="CT66" i="18"/>
  <c r="CU66" i="18"/>
  <c r="CV66" i="18"/>
  <c r="CW66" i="18"/>
  <c r="CX66" i="18"/>
  <c r="CY66" i="18"/>
  <c r="CZ66" i="18"/>
  <c r="DA66" i="18"/>
  <c r="DB66" i="18"/>
  <c r="DC66" i="18"/>
  <c r="DD66" i="18"/>
  <c r="DE66" i="18"/>
  <c r="DF66" i="18"/>
  <c r="DG66" i="18"/>
  <c r="DH66" i="18"/>
  <c r="DI66" i="18"/>
  <c r="DJ66" i="18"/>
  <c r="DK66" i="18"/>
  <c r="DL66" i="18"/>
  <c r="DM66" i="18"/>
  <c r="DN66" i="18"/>
  <c r="DO66" i="18"/>
  <c r="DP66" i="18"/>
  <c r="DQ66" i="18"/>
  <c r="DR66" i="18"/>
  <c r="DS66" i="18"/>
  <c r="DT66" i="18"/>
  <c r="DU66" i="18"/>
  <c r="DV66" i="18"/>
  <c r="DW66" i="18"/>
  <c r="DX66" i="18"/>
  <c r="DY66" i="18"/>
  <c r="DZ66" i="18"/>
  <c r="EA66" i="18"/>
  <c r="EB66" i="18"/>
  <c r="EC66" i="18"/>
  <c r="ED66" i="18"/>
  <c r="EE66" i="18"/>
  <c r="EF66" i="18"/>
  <c r="EG66" i="18"/>
  <c r="EH66" i="18"/>
  <c r="EI66" i="18"/>
  <c r="EJ66" i="18"/>
  <c r="EK66" i="18"/>
  <c r="EL66" i="18"/>
  <c r="EM66" i="18"/>
  <c r="EN66" i="18"/>
  <c r="EO66" i="18"/>
  <c r="EP66" i="18"/>
  <c r="EQ66" i="18"/>
  <c r="ER66" i="18"/>
  <c r="ES66" i="18"/>
  <c r="ET66" i="18"/>
  <c r="EU66" i="18"/>
  <c r="EV66" i="18"/>
  <c r="EW66" i="18"/>
  <c r="EX66" i="18"/>
  <c r="EY66" i="18"/>
  <c r="EZ66" i="18"/>
  <c r="FA66" i="18"/>
  <c r="FB66" i="18"/>
  <c r="FC66" i="18"/>
  <c r="FD66" i="18"/>
  <c r="FE66" i="18"/>
  <c r="FF66" i="18"/>
  <c r="FG66" i="18"/>
  <c r="FH66" i="18"/>
  <c r="FI66" i="18"/>
  <c r="FJ66" i="18"/>
  <c r="FK66" i="18"/>
  <c r="FL66" i="18"/>
  <c r="FM66" i="18"/>
  <c r="FN66" i="18"/>
  <c r="FO66" i="18"/>
  <c r="FP66" i="18"/>
  <c r="FQ66" i="18"/>
  <c r="FR66" i="18"/>
  <c r="FS66" i="18"/>
  <c r="FT66" i="18"/>
  <c r="FU66" i="18"/>
  <c r="FV66" i="18"/>
  <c r="FW66" i="18"/>
  <c r="FX66" i="18"/>
  <c r="FY66" i="18"/>
  <c r="FZ66" i="18"/>
  <c r="GA66" i="18"/>
  <c r="GB66" i="18"/>
  <c r="GC66" i="18"/>
  <c r="GD66" i="18"/>
  <c r="GE66" i="18"/>
  <c r="GF66" i="18"/>
  <c r="GG66" i="18"/>
  <c r="GH66" i="18"/>
  <c r="GI66" i="18"/>
  <c r="GJ66" i="18"/>
  <c r="GK66" i="18"/>
  <c r="GL66" i="18"/>
  <c r="GM66" i="18"/>
  <c r="GN66" i="18"/>
  <c r="GO66" i="18"/>
  <c r="GP66" i="18"/>
  <c r="GQ66" i="18"/>
  <c r="GR66" i="18"/>
  <c r="GS66" i="18"/>
  <c r="GT66" i="18"/>
  <c r="GU66" i="18"/>
  <c r="GV66" i="18"/>
  <c r="GW66" i="18"/>
  <c r="GX66" i="18"/>
  <c r="GY66" i="18"/>
  <c r="GZ66" i="18"/>
  <c r="HA66" i="18"/>
  <c r="HB66" i="18"/>
  <c r="HC66" i="18"/>
  <c r="I67" i="18"/>
  <c r="J67" i="18"/>
  <c r="K67" i="18"/>
  <c r="L67" i="18"/>
  <c r="M67" i="18"/>
  <c r="N67" i="18"/>
  <c r="O67" i="18"/>
  <c r="P67" i="18"/>
  <c r="Q67" i="18"/>
  <c r="R67" i="18"/>
  <c r="S67" i="18"/>
  <c r="T67" i="18"/>
  <c r="U67" i="18"/>
  <c r="V67" i="18"/>
  <c r="W67" i="18"/>
  <c r="X67" i="18"/>
  <c r="Y67" i="18"/>
  <c r="Z67" i="18"/>
  <c r="AA67" i="18"/>
  <c r="AB67" i="18"/>
  <c r="AC67" i="18"/>
  <c r="AD67" i="18"/>
  <c r="AE67" i="18"/>
  <c r="AF67" i="18"/>
  <c r="AG67" i="18"/>
  <c r="AH67" i="18"/>
  <c r="AI67" i="18"/>
  <c r="AJ67" i="18"/>
  <c r="AK67" i="18"/>
  <c r="AL67" i="18"/>
  <c r="AM67" i="18"/>
  <c r="AN67" i="18"/>
  <c r="AO67" i="18"/>
  <c r="AP67" i="18"/>
  <c r="AQ67" i="18"/>
  <c r="AR67" i="18"/>
  <c r="AS67" i="18"/>
  <c r="AT67" i="18"/>
  <c r="AU67" i="18"/>
  <c r="AV67" i="18"/>
  <c r="AW67" i="18"/>
  <c r="AX67" i="18"/>
  <c r="AY67" i="18"/>
  <c r="AZ67" i="18"/>
  <c r="BA67" i="18"/>
  <c r="BB67" i="18"/>
  <c r="BC67" i="18"/>
  <c r="BD67" i="18"/>
  <c r="BE67" i="18"/>
  <c r="BF67" i="18"/>
  <c r="BG67" i="18"/>
  <c r="BH67" i="18"/>
  <c r="BI67" i="18"/>
  <c r="BJ67" i="18"/>
  <c r="BK67" i="18"/>
  <c r="BL67" i="18"/>
  <c r="BM67" i="18"/>
  <c r="BN67" i="18"/>
  <c r="BO67" i="18"/>
  <c r="BP67" i="18"/>
  <c r="BQ67" i="18"/>
  <c r="BR67" i="18"/>
  <c r="BS67" i="18"/>
  <c r="BT67" i="18"/>
  <c r="BU67" i="18"/>
  <c r="BV67" i="18"/>
  <c r="BW67" i="18"/>
  <c r="BX67" i="18"/>
  <c r="BY67" i="18"/>
  <c r="BZ67" i="18"/>
  <c r="CA67" i="18"/>
  <c r="CB67" i="18"/>
  <c r="CC67" i="18"/>
  <c r="CD67" i="18"/>
  <c r="CE67" i="18"/>
  <c r="CF67" i="18"/>
  <c r="CG67" i="18"/>
  <c r="CH67" i="18"/>
  <c r="CI67" i="18"/>
  <c r="CJ67" i="18"/>
  <c r="CK67" i="18"/>
  <c r="CL67" i="18"/>
  <c r="CM67" i="18"/>
  <c r="CN67" i="18"/>
  <c r="CO67" i="18"/>
  <c r="CP67" i="18"/>
  <c r="CQ67" i="18"/>
  <c r="CR67" i="18"/>
  <c r="CS67" i="18"/>
  <c r="CT67" i="18"/>
  <c r="CU67" i="18"/>
  <c r="CV67" i="18"/>
  <c r="CW67" i="18"/>
  <c r="CX67" i="18"/>
  <c r="CY67" i="18"/>
  <c r="CZ67" i="18"/>
  <c r="DA67" i="18"/>
  <c r="DB67" i="18"/>
  <c r="DC67" i="18"/>
  <c r="DD67" i="18"/>
  <c r="DE67" i="18"/>
  <c r="DF67" i="18"/>
  <c r="DG67" i="18"/>
  <c r="DH67" i="18"/>
  <c r="DI67" i="18"/>
  <c r="DJ67" i="18"/>
  <c r="DK67" i="18"/>
  <c r="DL67" i="18"/>
  <c r="DM67" i="18"/>
  <c r="DN67" i="18"/>
  <c r="DO67" i="18"/>
  <c r="DP67" i="18"/>
  <c r="DQ67" i="18"/>
  <c r="DR67" i="18"/>
  <c r="DS67" i="18"/>
  <c r="DT67" i="18"/>
  <c r="DU67" i="18"/>
  <c r="DV67" i="18"/>
  <c r="DW67" i="18"/>
  <c r="DX67" i="18"/>
  <c r="DY67" i="18"/>
  <c r="DZ67" i="18"/>
  <c r="EA67" i="18"/>
  <c r="EB67" i="18"/>
  <c r="EC67" i="18"/>
  <c r="ED67" i="18"/>
  <c r="EE67" i="18"/>
  <c r="EF67" i="18"/>
  <c r="EG67" i="18"/>
  <c r="EH67" i="18"/>
  <c r="EI67" i="18"/>
  <c r="EJ67" i="18"/>
  <c r="EK67" i="18"/>
  <c r="EL67" i="18"/>
  <c r="EM67" i="18"/>
  <c r="EN67" i="18"/>
  <c r="EO67" i="18"/>
  <c r="EP67" i="18"/>
  <c r="EQ67" i="18"/>
  <c r="ER67" i="18"/>
  <c r="ES67" i="18"/>
  <c r="ET67" i="18"/>
  <c r="EU67" i="18"/>
  <c r="EV67" i="18"/>
  <c r="EW67" i="18"/>
  <c r="EX67" i="18"/>
  <c r="EY67" i="18"/>
  <c r="EZ67" i="18"/>
  <c r="FA67" i="18"/>
  <c r="FB67" i="18"/>
  <c r="FC67" i="18"/>
  <c r="FD67" i="18"/>
  <c r="FE67" i="18"/>
  <c r="FF67" i="18"/>
  <c r="FG67" i="18"/>
  <c r="FH67" i="18"/>
  <c r="FI67" i="18"/>
  <c r="FJ67" i="18"/>
  <c r="FK67" i="18"/>
  <c r="FL67" i="18"/>
  <c r="FM67" i="18"/>
  <c r="FN67" i="18"/>
  <c r="FO67" i="18"/>
  <c r="FP67" i="18"/>
  <c r="FQ67" i="18"/>
  <c r="FR67" i="18"/>
  <c r="FS67" i="18"/>
  <c r="FT67" i="18"/>
  <c r="FU67" i="18"/>
  <c r="FV67" i="18"/>
  <c r="FW67" i="18"/>
  <c r="FX67" i="18"/>
  <c r="FY67" i="18"/>
  <c r="FZ67" i="18"/>
  <c r="GA67" i="18"/>
  <c r="GB67" i="18"/>
  <c r="GC67" i="18"/>
  <c r="GD67" i="18"/>
  <c r="GE67" i="18"/>
  <c r="GF67" i="18"/>
  <c r="GG67" i="18"/>
  <c r="GH67" i="18"/>
  <c r="GI67" i="18"/>
  <c r="GJ67" i="18"/>
  <c r="GK67" i="18"/>
  <c r="GL67" i="18"/>
  <c r="GM67" i="18"/>
  <c r="GN67" i="18"/>
  <c r="GO67" i="18"/>
  <c r="GP67" i="18"/>
  <c r="GQ67" i="18"/>
  <c r="GR67" i="18"/>
  <c r="GS67" i="18"/>
  <c r="GT67" i="18"/>
  <c r="GU67" i="18"/>
  <c r="GV67" i="18"/>
  <c r="GW67" i="18"/>
  <c r="GX67" i="18"/>
  <c r="GY67" i="18"/>
  <c r="GZ67" i="18"/>
  <c r="HA67" i="18"/>
  <c r="HB67" i="18"/>
  <c r="HC67" i="18"/>
  <c r="H67" i="18"/>
  <c r="H66" i="18"/>
  <c r="H65" i="18"/>
  <c r="H64" i="18"/>
  <c r="H63" i="18"/>
  <c r="H62" i="18"/>
  <c r="H61" i="18"/>
  <c r="H60" i="18"/>
  <c r="H59" i="18"/>
  <c r="H58" i="18"/>
  <c r="I51" i="18"/>
  <c r="J51" i="18"/>
  <c r="K51" i="18"/>
  <c r="L51" i="18"/>
  <c r="M51" i="18"/>
  <c r="N51" i="18"/>
  <c r="O51" i="18"/>
  <c r="P51" i="18"/>
  <c r="Q51" i="18"/>
  <c r="R51" i="18"/>
  <c r="S51" i="18"/>
  <c r="T51" i="18"/>
  <c r="U51" i="18"/>
  <c r="V51" i="18"/>
  <c r="W51" i="18"/>
  <c r="X51" i="18"/>
  <c r="Y51" i="18"/>
  <c r="Z51" i="18"/>
  <c r="AA51" i="18"/>
  <c r="AB51" i="18"/>
  <c r="AC51" i="18"/>
  <c r="AD51" i="18"/>
  <c r="AE51" i="18"/>
  <c r="AF51" i="18"/>
  <c r="AG51" i="18"/>
  <c r="AH51" i="18"/>
  <c r="AI51" i="18"/>
  <c r="AJ51" i="18"/>
  <c r="AK51" i="18"/>
  <c r="AL51" i="18"/>
  <c r="AM51" i="18"/>
  <c r="AN51" i="18"/>
  <c r="AO51" i="18"/>
  <c r="AP51" i="18"/>
  <c r="AQ51" i="18"/>
  <c r="AR51" i="18"/>
  <c r="AS51" i="18"/>
  <c r="AT51" i="18"/>
  <c r="AU51" i="18"/>
  <c r="AV51" i="18"/>
  <c r="AW51" i="18"/>
  <c r="AX51" i="18"/>
  <c r="AY51" i="18"/>
  <c r="AZ51" i="18"/>
  <c r="BA51" i="18"/>
  <c r="BB51" i="18"/>
  <c r="BC51" i="18"/>
  <c r="BD51" i="18"/>
  <c r="BE51" i="18"/>
  <c r="BF51" i="18"/>
  <c r="BG51" i="18"/>
  <c r="BH51" i="18"/>
  <c r="BI51" i="18"/>
  <c r="BJ51" i="18"/>
  <c r="BK51" i="18"/>
  <c r="BL51" i="18"/>
  <c r="BM51" i="18"/>
  <c r="BN51" i="18"/>
  <c r="BO51" i="18"/>
  <c r="BP51" i="18"/>
  <c r="BQ51" i="18"/>
  <c r="BR51" i="18"/>
  <c r="BS51" i="18"/>
  <c r="BT51" i="18"/>
  <c r="BU51" i="18"/>
  <c r="BV51" i="18"/>
  <c r="BW51" i="18"/>
  <c r="BX51" i="18"/>
  <c r="BY51" i="18"/>
  <c r="BZ51" i="18"/>
  <c r="CA51" i="18"/>
  <c r="CB51" i="18"/>
  <c r="CC51" i="18"/>
  <c r="CD51" i="18"/>
  <c r="CE51" i="18"/>
  <c r="CF51" i="18"/>
  <c r="CG51" i="18"/>
  <c r="CH51" i="18"/>
  <c r="CI51" i="18"/>
  <c r="CJ51" i="18"/>
  <c r="CK51" i="18"/>
  <c r="CL51" i="18"/>
  <c r="CM51" i="18"/>
  <c r="CN51" i="18"/>
  <c r="CO51" i="18"/>
  <c r="CP51" i="18"/>
  <c r="CQ51" i="18"/>
  <c r="CR51" i="18"/>
  <c r="CS51" i="18"/>
  <c r="CT51" i="18"/>
  <c r="CU51" i="18"/>
  <c r="CV51" i="18"/>
  <c r="CW51" i="18"/>
  <c r="CX51" i="18"/>
  <c r="CY51" i="18"/>
  <c r="CZ51" i="18"/>
  <c r="DA51" i="18"/>
  <c r="DB51" i="18"/>
  <c r="DC51" i="18"/>
  <c r="DD51" i="18"/>
  <c r="DE51" i="18"/>
  <c r="DF51" i="18"/>
  <c r="DG51" i="18"/>
  <c r="DH51" i="18"/>
  <c r="DI51" i="18"/>
  <c r="DJ51" i="18"/>
  <c r="DK51" i="18"/>
  <c r="DL51" i="18"/>
  <c r="DM51" i="18"/>
  <c r="DN51" i="18"/>
  <c r="DO51" i="18"/>
  <c r="DP51" i="18"/>
  <c r="DQ51" i="18"/>
  <c r="DR51" i="18"/>
  <c r="DS51" i="18"/>
  <c r="DT51" i="18"/>
  <c r="DU51" i="18"/>
  <c r="DV51" i="18"/>
  <c r="DW51" i="18"/>
  <c r="DX51" i="18"/>
  <c r="DY51" i="18"/>
  <c r="DZ51" i="18"/>
  <c r="EA51" i="18"/>
  <c r="EB51" i="18"/>
  <c r="EC51" i="18"/>
  <c r="ED51" i="18"/>
  <c r="EE51" i="18"/>
  <c r="EF51" i="18"/>
  <c r="EG51" i="18"/>
  <c r="EH51" i="18"/>
  <c r="EI51" i="18"/>
  <c r="EJ51" i="18"/>
  <c r="EK51" i="18"/>
  <c r="EL51" i="18"/>
  <c r="EM51" i="18"/>
  <c r="EN51" i="18"/>
  <c r="EO51" i="18"/>
  <c r="EP51" i="18"/>
  <c r="EQ51" i="18"/>
  <c r="ER51" i="18"/>
  <c r="ES51" i="18"/>
  <c r="ET51" i="18"/>
  <c r="EU51" i="18"/>
  <c r="EV51" i="18"/>
  <c r="EW51" i="18"/>
  <c r="EX51" i="18"/>
  <c r="EY51" i="18"/>
  <c r="EZ51" i="18"/>
  <c r="FA51" i="18"/>
  <c r="FB51" i="18"/>
  <c r="FC51" i="18"/>
  <c r="FD51" i="18"/>
  <c r="FE51" i="18"/>
  <c r="FF51" i="18"/>
  <c r="FG51" i="18"/>
  <c r="FH51" i="18"/>
  <c r="FI51" i="18"/>
  <c r="FJ51" i="18"/>
  <c r="FK51" i="18"/>
  <c r="FL51" i="18"/>
  <c r="FM51" i="18"/>
  <c r="FN51" i="18"/>
  <c r="FO51" i="18"/>
  <c r="FP51" i="18"/>
  <c r="FQ51" i="18"/>
  <c r="FR51" i="18"/>
  <c r="FS51" i="18"/>
  <c r="FT51" i="18"/>
  <c r="FU51" i="18"/>
  <c r="FV51" i="18"/>
  <c r="FW51" i="18"/>
  <c r="FX51" i="18"/>
  <c r="FY51" i="18"/>
  <c r="FZ51" i="18"/>
  <c r="GA51" i="18"/>
  <c r="GB51" i="18"/>
  <c r="GC51" i="18"/>
  <c r="GD51" i="18"/>
  <c r="GE51" i="18"/>
  <c r="GF51" i="18"/>
  <c r="GG51" i="18"/>
  <c r="GH51" i="18"/>
  <c r="GI51" i="18"/>
  <c r="GJ51" i="18"/>
  <c r="GK51" i="18"/>
  <c r="GL51" i="18"/>
  <c r="GM51" i="18"/>
  <c r="GN51" i="18"/>
  <c r="GO51" i="18"/>
  <c r="GP51" i="18"/>
  <c r="GQ51" i="18"/>
  <c r="GR51" i="18"/>
  <c r="GS51" i="18"/>
  <c r="GT51" i="18"/>
  <c r="GU51" i="18"/>
  <c r="GV51" i="18"/>
  <c r="GW51" i="18"/>
  <c r="GX51" i="18"/>
  <c r="GY51" i="18"/>
  <c r="GZ51" i="18"/>
  <c r="HA51" i="18"/>
  <c r="HB51" i="18"/>
  <c r="HC51" i="18"/>
  <c r="I52" i="18"/>
  <c r="J52" i="18"/>
  <c r="K52" i="18"/>
  <c r="L52" i="18"/>
  <c r="M52" i="18"/>
  <c r="N52" i="18"/>
  <c r="O52" i="18"/>
  <c r="P52" i="18"/>
  <c r="Q52" i="18"/>
  <c r="R52" i="18"/>
  <c r="S52" i="18"/>
  <c r="T52" i="18"/>
  <c r="U52" i="18"/>
  <c r="V52" i="18"/>
  <c r="W52" i="18"/>
  <c r="X52" i="18"/>
  <c r="Y52" i="18"/>
  <c r="Z52" i="18"/>
  <c r="AA52" i="18"/>
  <c r="AB52" i="18"/>
  <c r="AC52" i="18"/>
  <c r="AD52" i="18"/>
  <c r="AE52" i="18"/>
  <c r="AF52" i="18"/>
  <c r="AG52" i="18"/>
  <c r="AH52" i="18"/>
  <c r="AI52" i="18"/>
  <c r="AJ52" i="18"/>
  <c r="AK52" i="18"/>
  <c r="AL52" i="18"/>
  <c r="AM52" i="18"/>
  <c r="AN52" i="18"/>
  <c r="AO52" i="18"/>
  <c r="AP52" i="18"/>
  <c r="AQ52" i="18"/>
  <c r="AR52" i="18"/>
  <c r="AS52" i="18"/>
  <c r="AT52" i="18"/>
  <c r="AU52" i="18"/>
  <c r="AV52" i="18"/>
  <c r="AW52" i="18"/>
  <c r="AX52" i="18"/>
  <c r="AY52" i="18"/>
  <c r="AZ52" i="18"/>
  <c r="BA52" i="18"/>
  <c r="BB52" i="18"/>
  <c r="BC52" i="18"/>
  <c r="BD52" i="18"/>
  <c r="BE52" i="18"/>
  <c r="BF52" i="18"/>
  <c r="BG52" i="18"/>
  <c r="BH52" i="18"/>
  <c r="BI52" i="18"/>
  <c r="BJ52" i="18"/>
  <c r="BK52" i="18"/>
  <c r="BL52" i="18"/>
  <c r="BM52" i="18"/>
  <c r="BN52" i="18"/>
  <c r="BO52" i="18"/>
  <c r="BP52" i="18"/>
  <c r="BQ52" i="18"/>
  <c r="BR52" i="18"/>
  <c r="BS52" i="18"/>
  <c r="BT52" i="18"/>
  <c r="BU52" i="18"/>
  <c r="BV52" i="18"/>
  <c r="BW52" i="18"/>
  <c r="BX52" i="18"/>
  <c r="BY52" i="18"/>
  <c r="BZ52" i="18"/>
  <c r="CA52" i="18"/>
  <c r="CB52" i="18"/>
  <c r="CC52" i="18"/>
  <c r="CD52" i="18"/>
  <c r="CE52" i="18"/>
  <c r="CF52" i="18"/>
  <c r="CG52" i="18"/>
  <c r="CH52" i="18"/>
  <c r="CI52" i="18"/>
  <c r="CJ52" i="18"/>
  <c r="CK52" i="18"/>
  <c r="CL52" i="18"/>
  <c r="CM52" i="18"/>
  <c r="CN52" i="18"/>
  <c r="CO52" i="18"/>
  <c r="CP52" i="18"/>
  <c r="CQ52" i="18"/>
  <c r="CR52" i="18"/>
  <c r="CS52" i="18"/>
  <c r="CT52" i="18"/>
  <c r="CU52" i="18"/>
  <c r="CV52" i="18"/>
  <c r="CW52" i="18"/>
  <c r="CX52" i="18"/>
  <c r="CY52" i="18"/>
  <c r="CZ52" i="18"/>
  <c r="DA52" i="18"/>
  <c r="DB52" i="18"/>
  <c r="DC52" i="18"/>
  <c r="DD52" i="18"/>
  <c r="DE52" i="18"/>
  <c r="DF52" i="18"/>
  <c r="DG52" i="18"/>
  <c r="DH52" i="18"/>
  <c r="DI52" i="18"/>
  <c r="DJ52" i="18"/>
  <c r="DK52" i="18"/>
  <c r="DL52" i="18"/>
  <c r="DM52" i="18"/>
  <c r="DN52" i="18"/>
  <c r="DO52" i="18"/>
  <c r="DP52" i="18"/>
  <c r="DQ52" i="18"/>
  <c r="DR52" i="18"/>
  <c r="DS52" i="18"/>
  <c r="DT52" i="18"/>
  <c r="DU52" i="18"/>
  <c r="DV52" i="18"/>
  <c r="DW52" i="18"/>
  <c r="DX52" i="18"/>
  <c r="DY52" i="18"/>
  <c r="DZ52" i="18"/>
  <c r="EA52" i="18"/>
  <c r="EB52" i="18"/>
  <c r="ED52" i="18"/>
  <c r="EE52" i="18"/>
  <c r="EF52" i="18"/>
  <c r="EG52" i="18"/>
  <c r="EH52" i="18"/>
  <c r="EI52" i="18"/>
  <c r="EJ52" i="18"/>
  <c r="EK52" i="18"/>
  <c r="EL52" i="18"/>
  <c r="EM52" i="18"/>
  <c r="EN52" i="18"/>
  <c r="EO52" i="18"/>
  <c r="EP52" i="18"/>
  <c r="EQ52" i="18"/>
  <c r="ER52" i="18"/>
  <c r="ES52" i="18"/>
  <c r="ET52" i="18"/>
  <c r="EU52" i="18"/>
  <c r="EV52" i="18"/>
  <c r="EW52" i="18"/>
  <c r="EX52" i="18"/>
  <c r="EY52" i="18"/>
  <c r="EZ52" i="18"/>
  <c r="FA52" i="18"/>
  <c r="FB52" i="18"/>
  <c r="FC52" i="18"/>
  <c r="FD52" i="18"/>
  <c r="FE52" i="18"/>
  <c r="FF52" i="18"/>
  <c r="FG52" i="18"/>
  <c r="FH52" i="18"/>
  <c r="FI52" i="18"/>
  <c r="FJ52" i="18"/>
  <c r="FK52" i="18"/>
  <c r="FL52" i="18"/>
  <c r="FM52" i="18"/>
  <c r="FN52" i="18"/>
  <c r="FO52" i="18"/>
  <c r="FP52" i="18"/>
  <c r="FQ52" i="18"/>
  <c r="FR52" i="18"/>
  <c r="FS52" i="18"/>
  <c r="FT52" i="18"/>
  <c r="FU52" i="18"/>
  <c r="FV52" i="18"/>
  <c r="FW52" i="18"/>
  <c r="FX52" i="18"/>
  <c r="FY52" i="18"/>
  <c r="FZ52" i="18"/>
  <c r="GA52" i="18"/>
  <c r="GB52" i="18"/>
  <c r="GC52" i="18"/>
  <c r="GD52" i="18"/>
  <c r="GE52" i="18"/>
  <c r="GF52" i="18"/>
  <c r="GG52" i="18"/>
  <c r="GH52" i="18"/>
  <c r="GI52" i="18"/>
  <c r="GJ52" i="18"/>
  <c r="GK52" i="18"/>
  <c r="GL52" i="18"/>
  <c r="GM52" i="18"/>
  <c r="GN52" i="18"/>
  <c r="GO52" i="18"/>
  <c r="GP52" i="18"/>
  <c r="GQ52" i="18"/>
  <c r="GR52" i="18"/>
  <c r="GS52" i="18"/>
  <c r="GT52" i="18"/>
  <c r="GU52" i="18"/>
  <c r="GV52" i="18"/>
  <c r="GW52" i="18"/>
  <c r="GX52" i="18"/>
  <c r="GY52" i="18"/>
  <c r="GZ52" i="18"/>
  <c r="HA52" i="18"/>
  <c r="HB52" i="18"/>
  <c r="HC52" i="18"/>
  <c r="I53" i="18"/>
  <c r="J53" i="18"/>
  <c r="K53" i="18"/>
  <c r="L53" i="18"/>
  <c r="M53" i="18"/>
  <c r="N53" i="18"/>
  <c r="O53" i="18"/>
  <c r="P53" i="18"/>
  <c r="Q53" i="18"/>
  <c r="R53" i="18"/>
  <c r="S53" i="18"/>
  <c r="T53" i="18"/>
  <c r="U53" i="18"/>
  <c r="V53" i="18"/>
  <c r="W53" i="18"/>
  <c r="X53" i="18"/>
  <c r="Y53" i="18"/>
  <c r="Z53" i="18"/>
  <c r="AA53" i="18"/>
  <c r="AB53" i="18"/>
  <c r="AC53" i="18"/>
  <c r="AD53" i="18"/>
  <c r="AE53" i="18"/>
  <c r="AF53" i="18"/>
  <c r="AG53" i="18"/>
  <c r="AH53" i="18"/>
  <c r="AI53" i="18"/>
  <c r="AJ53" i="18"/>
  <c r="AK53" i="18"/>
  <c r="AL53" i="18"/>
  <c r="AM53" i="18"/>
  <c r="AN53" i="18"/>
  <c r="AO53" i="18"/>
  <c r="AP53" i="18"/>
  <c r="AQ53" i="18"/>
  <c r="AR53" i="18"/>
  <c r="AS53" i="18"/>
  <c r="AT53" i="18"/>
  <c r="AU53" i="18"/>
  <c r="AV53" i="18"/>
  <c r="AW53" i="18"/>
  <c r="AX53" i="18"/>
  <c r="AY53" i="18"/>
  <c r="AZ53" i="18"/>
  <c r="BA53" i="18"/>
  <c r="BB53" i="18"/>
  <c r="BC53" i="18"/>
  <c r="BD53" i="18"/>
  <c r="BE53" i="18"/>
  <c r="BF53" i="18"/>
  <c r="BG53" i="18"/>
  <c r="BH53" i="18"/>
  <c r="BI53" i="18"/>
  <c r="BJ53" i="18"/>
  <c r="BK53" i="18"/>
  <c r="BL53" i="18"/>
  <c r="BM53" i="18"/>
  <c r="BN53" i="18"/>
  <c r="BO53" i="18"/>
  <c r="BP53" i="18"/>
  <c r="BQ53" i="18"/>
  <c r="BR53" i="18"/>
  <c r="BS53" i="18"/>
  <c r="BT53" i="18"/>
  <c r="BU53" i="18"/>
  <c r="BV53" i="18"/>
  <c r="BW53" i="18"/>
  <c r="BX53" i="18"/>
  <c r="BY53" i="18"/>
  <c r="BZ53" i="18"/>
  <c r="CA53" i="18"/>
  <c r="CB53" i="18"/>
  <c r="CC53" i="18"/>
  <c r="CD53" i="18"/>
  <c r="CE53" i="18"/>
  <c r="CF53" i="18"/>
  <c r="CG53" i="18"/>
  <c r="CH53" i="18"/>
  <c r="CI53" i="18"/>
  <c r="CJ53" i="18"/>
  <c r="CK53" i="18"/>
  <c r="CL53" i="18"/>
  <c r="CM53" i="18"/>
  <c r="CN53" i="18"/>
  <c r="CO53" i="18"/>
  <c r="CP53" i="18"/>
  <c r="CQ53" i="18"/>
  <c r="CR53" i="18"/>
  <c r="CS53" i="18"/>
  <c r="CT53" i="18"/>
  <c r="CU53" i="18"/>
  <c r="CV53" i="18"/>
  <c r="CW53" i="18"/>
  <c r="CX53" i="18"/>
  <c r="CY53" i="18"/>
  <c r="CZ53" i="18"/>
  <c r="DA53" i="18"/>
  <c r="DB53" i="18"/>
  <c r="DC53" i="18"/>
  <c r="DD53" i="18"/>
  <c r="DE53" i="18"/>
  <c r="DF53" i="18"/>
  <c r="DG53" i="18"/>
  <c r="DH53" i="18"/>
  <c r="DI53" i="18"/>
  <c r="DJ53" i="18"/>
  <c r="DK53" i="18"/>
  <c r="DL53" i="18"/>
  <c r="DM53" i="18"/>
  <c r="DN53" i="18"/>
  <c r="DO53" i="18"/>
  <c r="DP53" i="18"/>
  <c r="DQ53" i="18"/>
  <c r="DR53" i="18"/>
  <c r="DS53" i="18"/>
  <c r="DT53" i="18"/>
  <c r="DU53" i="18"/>
  <c r="DV53" i="18"/>
  <c r="DW53" i="18"/>
  <c r="DX53" i="18"/>
  <c r="DY53" i="18"/>
  <c r="DZ53" i="18"/>
  <c r="EA53" i="18"/>
  <c r="EB53" i="18"/>
  <c r="EC53" i="18"/>
  <c r="ED53" i="18"/>
  <c r="EE53" i="18"/>
  <c r="EF53" i="18"/>
  <c r="EG53" i="18"/>
  <c r="EH53" i="18"/>
  <c r="EI53" i="18"/>
  <c r="EJ53" i="18"/>
  <c r="EK53" i="18"/>
  <c r="EL53" i="18"/>
  <c r="EM53" i="18"/>
  <c r="EN53" i="18"/>
  <c r="EO53" i="18"/>
  <c r="EP53" i="18"/>
  <c r="EQ53" i="18"/>
  <c r="ER53" i="18"/>
  <c r="ES53" i="18"/>
  <c r="ET53" i="18"/>
  <c r="EU53" i="18"/>
  <c r="EV53" i="18"/>
  <c r="EW53" i="18"/>
  <c r="EX53" i="18"/>
  <c r="EY53" i="18"/>
  <c r="EZ53" i="18"/>
  <c r="FA53" i="18"/>
  <c r="FB53" i="18"/>
  <c r="FC53" i="18"/>
  <c r="FD53" i="18"/>
  <c r="FE53" i="18"/>
  <c r="FF53" i="18"/>
  <c r="FG53" i="18"/>
  <c r="FH53" i="18"/>
  <c r="FI53" i="18"/>
  <c r="FJ53" i="18"/>
  <c r="FK53" i="18"/>
  <c r="FL53" i="18"/>
  <c r="FM53" i="18"/>
  <c r="FN53" i="18"/>
  <c r="FO53" i="18"/>
  <c r="FP53" i="18"/>
  <c r="FQ53" i="18"/>
  <c r="FR53" i="18"/>
  <c r="FS53" i="18"/>
  <c r="FT53" i="18"/>
  <c r="FU53" i="18"/>
  <c r="FV53" i="18"/>
  <c r="FW53" i="18"/>
  <c r="FX53" i="18"/>
  <c r="FY53" i="18"/>
  <c r="FZ53" i="18"/>
  <c r="GA53" i="18"/>
  <c r="GB53" i="18"/>
  <c r="GC53" i="18"/>
  <c r="GD53" i="18"/>
  <c r="GE53" i="18"/>
  <c r="GF53" i="18"/>
  <c r="GG53" i="18"/>
  <c r="GH53" i="18"/>
  <c r="GI53" i="18"/>
  <c r="GJ53" i="18"/>
  <c r="GK53" i="18"/>
  <c r="GL53" i="18"/>
  <c r="GM53" i="18"/>
  <c r="GN53" i="18"/>
  <c r="GO53" i="18"/>
  <c r="GP53" i="18"/>
  <c r="GQ53" i="18"/>
  <c r="GR53" i="18"/>
  <c r="GS53" i="18"/>
  <c r="GT53" i="18"/>
  <c r="GU53" i="18"/>
  <c r="GV53" i="18"/>
  <c r="GW53" i="18"/>
  <c r="GX53" i="18"/>
  <c r="GY53" i="18"/>
  <c r="GZ53" i="18"/>
  <c r="HA53" i="18"/>
  <c r="HB53" i="18"/>
  <c r="HC53" i="18"/>
  <c r="I54" i="18"/>
  <c r="J54" i="18"/>
  <c r="K54" i="18"/>
  <c r="L54" i="18"/>
  <c r="M54" i="18"/>
  <c r="N54" i="18"/>
  <c r="O54" i="18"/>
  <c r="P54" i="18"/>
  <c r="Q54" i="18"/>
  <c r="R54" i="18"/>
  <c r="S54" i="18"/>
  <c r="T54" i="18"/>
  <c r="U54" i="18"/>
  <c r="V54" i="18"/>
  <c r="W54" i="18"/>
  <c r="X54" i="18"/>
  <c r="Y54" i="18"/>
  <c r="Z54" i="18"/>
  <c r="AA54" i="18"/>
  <c r="AB54" i="18"/>
  <c r="AC54" i="18"/>
  <c r="AD54" i="18"/>
  <c r="AE54" i="18"/>
  <c r="AF54" i="18"/>
  <c r="AG54" i="18"/>
  <c r="AH54" i="18"/>
  <c r="AI54" i="18"/>
  <c r="AJ54" i="18"/>
  <c r="AK54" i="18"/>
  <c r="AL54" i="18"/>
  <c r="AM54" i="18"/>
  <c r="AN54" i="18"/>
  <c r="AO54" i="18"/>
  <c r="AP54" i="18"/>
  <c r="AQ54" i="18"/>
  <c r="AR54" i="18"/>
  <c r="AS54" i="18"/>
  <c r="AT54" i="18"/>
  <c r="AU54" i="18"/>
  <c r="AV54" i="18"/>
  <c r="AW54" i="18"/>
  <c r="AX54" i="18"/>
  <c r="AY54" i="18"/>
  <c r="AZ54" i="18"/>
  <c r="BA54" i="18"/>
  <c r="BB54" i="18"/>
  <c r="BC54" i="18"/>
  <c r="BD54" i="18"/>
  <c r="BE54" i="18"/>
  <c r="BF54" i="18"/>
  <c r="BG54" i="18"/>
  <c r="BH54" i="18"/>
  <c r="BI54" i="18"/>
  <c r="BJ54" i="18"/>
  <c r="BK54" i="18"/>
  <c r="BL54" i="18"/>
  <c r="BM54" i="18"/>
  <c r="BN54" i="18"/>
  <c r="BO54" i="18"/>
  <c r="BP54" i="18"/>
  <c r="BQ54" i="18"/>
  <c r="BR54" i="18"/>
  <c r="BS54" i="18"/>
  <c r="BT54" i="18"/>
  <c r="BU54" i="18"/>
  <c r="BV54" i="18"/>
  <c r="BW54" i="18"/>
  <c r="BX54" i="18"/>
  <c r="BY54" i="18"/>
  <c r="BZ54" i="18"/>
  <c r="CA54" i="18"/>
  <c r="CB54" i="18"/>
  <c r="CC54" i="18"/>
  <c r="CD54" i="18"/>
  <c r="CE54" i="18"/>
  <c r="CF54" i="18"/>
  <c r="CG54" i="18"/>
  <c r="CH54" i="18"/>
  <c r="CI54" i="18"/>
  <c r="CJ54" i="18"/>
  <c r="CK54" i="18"/>
  <c r="CL54" i="18"/>
  <c r="CM54" i="18"/>
  <c r="CN54" i="18"/>
  <c r="CO54" i="18"/>
  <c r="CP54" i="18"/>
  <c r="CQ54" i="18"/>
  <c r="CR54" i="18"/>
  <c r="CS54" i="18"/>
  <c r="CT54" i="18"/>
  <c r="CU54" i="18"/>
  <c r="CV54" i="18"/>
  <c r="CW54" i="18"/>
  <c r="CX54" i="18"/>
  <c r="CY54" i="18"/>
  <c r="CZ54" i="18"/>
  <c r="DA54" i="18"/>
  <c r="DB54" i="18"/>
  <c r="DC54" i="18"/>
  <c r="DD54" i="18"/>
  <c r="DE54" i="18"/>
  <c r="DF54" i="18"/>
  <c r="DG54" i="18"/>
  <c r="DH54" i="18"/>
  <c r="DI54" i="18"/>
  <c r="DJ54" i="18"/>
  <c r="DK54" i="18"/>
  <c r="DL54" i="18"/>
  <c r="DM54" i="18"/>
  <c r="DN54" i="18"/>
  <c r="DO54" i="18"/>
  <c r="DP54" i="18"/>
  <c r="DQ54" i="18"/>
  <c r="DR54" i="18"/>
  <c r="DS54" i="18"/>
  <c r="DT54" i="18"/>
  <c r="DU54" i="18"/>
  <c r="DV54" i="18"/>
  <c r="DW54" i="18"/>
  <c r="DX54" i="18"/>
  <c r="DY54" i="18"/>
  <c r="DZ54" i="18"/>
  <c r="EA54" i="18"/>
  <c r="EB54" i="18"/>
  <c r="EC54" i="18"/>
  <c r="ED54" i="18"/>
  <c r="EE54" i="18"/>
  <c r="EF54" i="18"/>
  <c r="EG54" i="18"/>
  <c r="EH54" i="18"/>
  <c r="EI54" i="18"/>
  <c r="EJ54" i="18"/>
  <c r="EK54" i="18"/>
  <c r="EL54" i="18"/>
  <c r="EM54" i="18"/>
  <c r="EN54" i="18"/>
  <c r="EO54" i="18"/>
  <c r="EP54" i="18"/>
  <c r="EQ54" i="18"/>
  <c r="ER54" i="18"/>
  <c r="ES54" i="18"/>
  <c r="ET54" i="18"/>
  <c r="EU54" i="18"/>
  <c r="EV54" i="18"/>
  <c r="EW54" i="18"/>
  <c r="EX54" i="18"/>
  <c r="EY54" i="18"/>
  <c r="EZ54" i="18"/>
  <c r="FA54" i="18"/>
  <c r="FB54" i="18"/>
  <c r="FC54" i="18"/>
  <c r="FD54" i="18"/>
  <c r="FE54" i="18"/>
  <c r="FF54" i="18"/>
  <c r="FG54" i="18"/>
  <c r="FH54" i="18"/>
  <c r="FI54" i="18"/>
  <c r="FJ54" i="18"/>
  <c r="FK54" i="18"/>
  <c r="FL54" i="18"/>
  <c r="FM54" i="18"/>
  <c r="FN54" i="18"/>
  <c r="FO54" i="18"/>
  <c r="FP54" i="18"/>
  <c r="FQ54" i="18"/>
  <c r="FR54" i="18"/>
  <c r="FS54" i="18"/>
  <c r="FT54" i="18"/>
  <c r="FU54" i="18"/>
  <c r="FV54" i="18"/>
  <c r="FW54" i="18"/>
  <c r="FX54" i="18"/>
  <c r="FY54" i="18"/>
  <c r="FZ54" i="18"/>
  <c r="GA54" i="18"/>
  <c r="GB54" i="18"/>
  <c r="GC54" i="18"/>
  <c r="GD54" i="18"/>
  <c r="GE54" i="18"/>
  <c r="GF54" i="18"/>
  <c r="GG54" i="18"/>
  <c r="GH54" i="18"/>
  <c r="GI54" i="18"/>
  <c r="GJ54" i="18"/>
  <c r="GK54" i="18"/>
  <c r="GL54" i="18"/>
  <c r="GM54" i="18"/>
  <c r="GN54" i="18"/>
  <c r="GO54" i="18"/>
  <c r="GP54" i="18"/>
  <c r="GQ54" i="18"/>
  <c r="GR54" i="18"/>
  <c r="GS54" i="18"/>
  <c r="GT54" i="18"/>
  <c r="GU54" i="18"/>
  <c r="GV54" i="18"/>
  <c r="GW54" i="18"/>
  <c r="GX54" i="18"/>
  <c r="GY54" i="18"/>
  <c r="GZ54" i="18"/>
  <c r="HA54" i="18"/>
  <c r="HB54" i="18"/>
  <c r="HC54" i="18"/>
  <c r="I55" i="18"/>
  <c r="J55" i="18"/>
  <c r="K55" i="18"/>
  <c r="L55" i="18"/>
  <c r="M55" i="18"/>
  <c r="N55" i="18"/>
  <c r="O55" i="18"/>
  <c r="P55" i="18"/>
  <c r="Q55" i="18"/>
  <c r="R55" i="18"/>
  <c r="S55" i="18"/>
  <c r="T55" i="18"/>
  <c r="U55" i="18"/>
  <c r="V55" i="18"/>
  <c r="W55" i="18"/>
  <c r="X55" i="18"/>
  <c r="Y55" i="18"/>
  <c r="Z55" i="18"/>
  <c r="AA55" i="18"/>
  <c r="AB55" i="18"/>
  <c r="AC55" i="18"/>
  <c r="AD55" i="18"/>
  <c r="AE55" i="18"/>
  <c r="AF55" i="18"/>
  <c r="AG55" i="18"/>
  <c r="AH55" i="18"/>
  <c r="AI55" i="18"/>
  <c r="AJ55" i="18"/>
  <c r="AK55" i="18"/>
  <c r="AL55" i="18"/>
  <c r="AM55" i="18"/>
  <c r="AN55" i="18"/>
  <c r="AO55" i="18"/>
  <c r="AP55" i="18"/>
  <c r="AQ55" i="18"/>
  <c r="AR55" i="18"/>
  <c r="AS55" i="18"/>
  <c r="AT55" i="18"/>
  <c r="AU55" i="18"/>
  <c r="AV55" i="18"/>
  <c r="AW55" i="18"/>
  <c r="AX55" i="18"/>
  <c r="AY55" i="18"/>
  <c r="AZ55" i="18"/>
  <c r="BA55" i="18"/>
  <c r="BB55" i="18"/>
  <c r="BC55" i="18"/>
  <c r="BD55" i="18"/>
  <c r="BE55" i="18"/>
  <c r="BF55" i="18"/>
  <c r="BG55" i="18"/>
  <c r="BH55" i="18"/>
  <c r="BI55" i="18"/>
  <c r="BJ55" i="18"/>
  <c r="BK55" i="18"/>
  <c r="BL55" i="18"/>
  <c r="BM55" i="18"/>
  <c r="BN55" i="18"/>
  <c r="BO55" i="18"/>
  <c r="BP55" i="18"/>
  <c r="BQ55" i="18"/>
  <c r="BR55" i="18"/>
  <c r="BS55" i="18"/>
  <c r="BT55" i="18"/>
  <c r="BU55" i="18"/>
  <c r="BV55" i="18"/>
  <c r="BW55" i="18"/>
  <c r="BX55" i="18"/>
  <c r="BY55" i="18"/>
  <c r="BZ55" i="18"/>
  <c r="CA55" i="18"/>
  <c r="CB55" i="18"/>
  <c r="CC55" i="18"/>
  <c r="CD55" i="18"/>
  <c r="CE55" i="18"/>
  <c r="CF55" i="18"/>
  <c r="CG55" i="18"/>
  <c r="CH55" i="18"/>
  <c r="CI55" i="18"/>
  <c r="CJ55" i="18"/>
  <c r="CK55" i="18"/>
  <c r="CL55" i="18"/>
  <c r="CM55" i="18"/>
  <c r="CN55" i="18"/>
  <c r="CO55" i="18"/>
  <c r="CP55" i="18"/>
  <c r="CQ55" i="18"/>
  <c r="CR55" i="18"/>
  <c r="CS55" i="18"/>
  <c r="CT55" i="18"/>
  <c r="CU55" i="18"/>
  <c r="CV55" i="18"/>
  <c r="CW55" i="18"/>
  <c r="CX55" i="18"/>
  <c r="CY55" i="18"/>
  <c r="CZ55" i="18"/>
  <c r="DA55" i="18"/>
  <c r="DB55" i="18"/>
  <c r="DC55" i="18"/>
  <c r="DD55" i="18"/>
  <c r="DE55" i="18"/>
  <c r="DF55" i="18"/>
  <c r="DG55" i="18"/>
  <c r="DH55" i="18"/>
  <c r="DI55" i="18"/>
  <c r="DJ55" i="18"/>
  <c r="DK55" i="18"/>
  <c r="DL55" i="18"/>
  <c r="DM55" i="18"/>
  <c r="DN55" i="18"/>
  <c r="DO55" i="18"/>
  <c r="DP55" i="18"/>
  <c r="DQ55" i="18"/>
  <c r="DR55" i="18"/>
  <c r="DS55" i="18"/>
  <c r="DT55" i="18"/>
  <c r="DU55" i="18"/>
  <c r="DV55" i="18"/>
  <c r="DW55" i="18"/>
  <c r="DX55" i="18"/>
  <c r="DY55" i="18"/>
  <c r="DZ55" i="18"/>
  <c r="EA55" i="18"/>
  <c r="EB55" i="18"/>
  <c r="EC55" i="18"/>
  <c r="ED55" i="18"/>
  <c r="EE55" i="18"/>
  <c r="EF55" i="18"/>
  <c r="EG55" i="18"/>
  <c r="EH55" i="18"/>
  <c r="EI55" i="18"/>
  <c r="EJ55" i="18"/>
  <c r="EK55" i="18"/>
  <c r="EL55" i="18"/>
  <c r="EM55" i="18"/>
  <c r="EN55" i="18"/>
  <c r="EO55" i="18"/>
  <c r="EP55" i="18"/>
  <c r="EQ55" i="18"/>
  <c r="ER55" i="18"/>
  <c r="ES55" i="18"/>
  <c r="ET55" i="18"/>
  <c r="EU55" i="18"/>
  <c r="EV55" i="18"/>
  <c r="EW55" i="18"/>
  <c r="EX55" i="18"/>
  <c r="EY55" i="18"/>
  <c r="EZ55" i="18"/>
  <c r="FA55" i="18"/>
  <c r="FB55" i="18"/>
  <c r="FC55" i="18"/>
  <c r="FD55" i="18"/>
  <c r="FE55" i="18"/>
  <c r="FF55" i="18"/>
  <c r="FG55" i="18"/>
  <c r="FH55" i="18"/>
  <c r="FI55" i="18"/>
  <c r="FJ55" i="18"/>
  <c r="FK55" i="18"/>
  <c r="FL55" i="18"/>
  <c r="FM55" i="18"/>
  <c r="FN55" i="18"/>
  <c r="FO55" i="18"/>
  <c r="FP55" i="18"/>
  <c r="FQ55" i="18"/>
  <c r="FR55" i="18"/>
  <c r="FS55" i="18"/>
  <c r="FT55" i="18"/>
  <c r="FU55" i="18"/>
  <c r="FV55" i="18"/>
  <c r="FW55" i="18"/>
  <c r="FX55" i="18"/>
  <c r="FY55" i="18"/>
  <c r="FZ55" i="18"/>
  <c r="GA55" i="18"/>
  <c r="GB55" i="18"/>
  <c r="GC55" i="18"/>
  <c r="GD55" i="18"/>
  <c r="GE55" i="18"/>
  <c r="GF55" i="18"/>
  <c r="GG55" i="18"/>
  <c r="GH55" i="18"/>
  <c r="GI55" i="18"/>
  <c r="GJ55" i="18"/>
  <c r="GK55" i="18"/>
  <c r="GL55" i="18"/>
  <c r="GM55" i="18"/>
  <c r="GN55" i="18"/>
  <c r="GO55" i="18"/>
  <c r="GP55" i="18"/>
  <c r="GQ55" i="18"/>
  <c r="GR55" i="18"/>
  <c r="GS55" i="18"/>
  <c r="GT55" i="18"/>
  <c r="GU55" i="18"/>
  <c r="GV55" i="18"/>
  <c r="GW55" i="18"/>
  <c r="GX55" i="18"/>
  <c r="GY55" i="18"/>
  <c r="GZ55" i="18"/>
  <c r="HA55" i="18"/>
  <c r="HB55" i="18"/>
  <c r="HC55" i="18"/>
  <c r="I56" i="18"/>
  <c r="J56" i="18"/>
  <c r="K56" i="18"/>
  <c r="L56" i="18"/>
  <c r="M56" i="18"/>
  <c r="N56" i="18"/>
  <c r="O56" i="18"/>
  <c r="P56" i="18"/>
  <c r="Q56" i="18"/>
  <c r="R56" i="18"/>
  <c r="S56" i="18"/>
  <c r="T56" i="18"/>
  <c r="U56" i="18"/>
  <c r="V56" i="18"/>
  <c r="W56" i="18"/>
  <c r="X56" i="18"/>
  <c r="Y56" i="18"/>
  <c r="Z56" i="18"/>
  <c r="AA56" i="18"/>
  <c r="AB56" i="18"/>
  <c r="AC56" i="18"/>
  <c r="AD56" i="18"/>
  <c r="AE56" i="18"/>
  <c r="AF56" i="18"/>
  <c r="AG56" i="18"/>
  <c r="AH56" i="18"/>
  <c r="AI56" i="18"/>
  <c r="AJ56" i="18"/>
  <c r="AK56" i="18"/>
  <c r="AL56" i="18"/>
  <c r="AM56" i="18"/>
  <c r="AN56" i="18"/>
  <c r="AO56" i="18"/>
  <c r="AP56" i="18"/>
  <c r="AQ56" i="18"/>
  <c r="AR56" i="18"/>
  <c r="AS56" i="18"/>
  <c r="AT56" i="18"/>
  <c r="AU56" i="18"/>
  <c r="AV56" i="18"/>
  <c r="AW56" i="18"/>
  <c r="AX56" i="18"/>
  <c r="AY56" i="18"/>
  <c r="AZ56" i="18"/>
  <c r="BA56" i="18"/>
  <c r="BB56" i="18"/>
  <c r="BC56" i="18"/>
  <c r="BD56" i="18"/>
  <c r="BE56" i="18"/>
  <c r="BF56" i="18"/>
  <c r="BG56" i="18"/>
  <c r="BH56" i="18"/>
  <c r="BI56" i="18"/>
  <c r="BJ56" i="18"/>
  <c r="BK56" i="18"/>
  <c r="BL56" i="18"/>
  <c r="BM56" i="18"/>
  <c r="BN56" i="18"/>
  <c r="BO56" i="18"/>
  <c r="BP56" i="18"/>
  <c r="BQ56" i="18"/>
  <c r="BR56" i="18"/>
  <c r="BS56" i="18"/>
  <c r="BT56" i="18"/>
  <c r="BU56" i="18"/>
  <c r="BV56" i="18"/>
  <c r="BW56" i="18"/>
  <c r="BX56" i="18"/>
  <c r="BY56" i="18"/>
  <c r="BZ56" i="18"/>
  <c r="CA56" i="18"/>
  <c r="CB56" i="18"/>
  <c r="CC56" i="18"/>
  <c r="CD56" i="18"/>
  <c r="CE56" i="18"/>
  <c r="CF56" i="18"/>
  <c r="CG56" i="18"/>
  <c r="CH56" i="18"/>
  <c r="CI56" i="18"/>
  <c r="CJ56" i="18"/>
  <c r="CK56" i="18"/>
  <c r="CL56" i="18"/>
  <c r="CM56" i="18"/>
  <c r="CN56" i="18"/>
  <c r="CO56" i="18"/>
  <c r="CP56" i="18"/>
  <c r="CQ56" i="18"/>
  <c r="CR56" i="18"/>
  <c r="CS56" i="18"/>
  <c r="CT56" i="18"/>
  <c r="CU56" i="18"/>
  <c r="CV56" i="18"/>
  <c r="CW56" i="18"/>
  <c r="CX56" i="18"/>
  <c r="CY56" i="18"/>
  <c r="CZ56" i="18"/>
  <c r="DA56" i="18"/>
  <c r="DB56" i="18"/>
  <c r="DC56" i="18"/>
  <c r="DD56" i="18"/>
  <c r="DE56" i="18"/>
  <c r="DF56" i="18"/>
  <c r="DG56" i="18"/>
  <c r="DH56" i="18"/>
  <c r="DI56" i="18"/>
  <c r="DJ56" i="18"/>
  <c r="DK56" i="18"/>
  <c r="DL56" i="18"/>
  <c r="DM56" i="18"/>
  <c r="DN56" i="18"/>
  <c r="DO56" i="18"/>
  <c r="DP56" i="18"/>
  <c r="DQ56" i="18"/>
  <c r="DR56" i="18"/>
  <c r="DS56" i="18"/>
  <c r="DT56" i="18"/>
  <c r="DU56" i="18"/>
  <c r="DV56" i="18"/>
  <c r="DW56" i="18"/>
  <c r="DX56" i="18"/>
  <c r="DY56" i="18"/>
  <c r="DZ56" i="18"/>
  <c r="EA56" i="18"/>
  <c r="EB56" i="18"/>
  <c r="EC56" i="18"/>
  <c r="ED56" i="18"/>
  <c r="EE56" i="18"/>
  <c r="EF56" i="18"/>
  <c r="EG56" i="18"/>
  <c r="EH56" i="18"/>
  <c r="EI56" i="18"/>
  <c r="EJ56" i="18"/>
  <c r="EK56" i="18"/>
  <c r="EL56" i="18"/>
  <c r="EM56" i="18"/>
  <c r="EN56" i="18"/>
  <c r="EO56" i="18"/>
  <c r="EP56" i="18"/>
  <c r="EQ56" i="18"/>
  <c r="ER56" i="18"/>
  <c r="ES56" i="18"/>
  <c r="ET56" i="18"/>
  <c r="EU56" i="18"/>
  <c r="EV56" i="18"/>
  <c r="EW56" i="18"/>
  <c r="EX56" i="18"/>
  <c r="EY56" i="18"/>
  <c r="EZ56" i="18"/>
  <c r="FA56" i="18"/>
  <c r="FB56" i="18"/>
  <c r="FC56" i="18"/>
  <c r="FD56" i="18"/>
  <c r="FE56" i="18"/>
  <c r="FF56" i="18"/>
  <c r="FG56" i="18"/>
  <c r="FH56" i="18"/>
  <c r="FI56" i="18"/>
  <c r="FJ56" i="18"/>
  <c r="FK56" i="18"/>
  <c r="FL56" i="18"/>
  <c r="FM56" i="18"/>
  <c r="FN56" i="18"/>
  <c r="FO56" i="18"/>
  <c r="FP56" i="18"/>
  <c r="FQ56" i="18"/>
  <c r="FR56" i="18"/>
  <c r="FS56" i="18"/>
  <c r="FT56" i="18"/>
  <c r="FU56" i="18"/>
  <c r="FV56" i="18"/>
  <c r="FW56" i="18"/>
  <c r="FX56" i="18"/>
  <c r="FY56" i="18"/>
  <c r="FZ56" i="18"/>
  <c r="GA56" i="18"/>
  <c r="GB56" i="18"/>
  <c r="GC56" i="18"/>
  <c r="GD56" i="18"/>
  <c r="GE56" i="18"/>
  <c r="GF56" i="18"/>
  <c r="GG56" i="18"/>
  <c r="GH56" i="18"/>
  <c r="GI56" i="18"/>
  <c r="GJ56" i="18"/>
  <c r="GK56" i="18"/>
  <c r="GL56" i="18"/>
  <c r="GM56" i="18"/>
  <c r="GN56" i="18"/>
  <c r="GO56" i="18"/>
  <c r="GP56" i="18"/>
  <c r="GQ56" i="18"/>
  <c r="GR56" i="18"/>
  <c r="GS56" i="18"/>
  <c r="GT56" i="18"/>
  <c r="GU56" i="18"/>
  <c r="GV56" i="18"/>
  <c r="GW56" i="18"/>
  <c r="GX56" i="18"/>
  <c r="GY56" i="18"/>
  <c r="GZ56" i="18"/>
  <c r="HA56" i="18"/>
  <c r="HB56" i="18"/>
  <c r="HC56" i="18"/>
  <c r="I57" i="18"/>
  <c r="J57" i="18"/>
  <c r="K57" i="18"/>
  <c r="L57" i="18"/>
  <c r="M57" i="18"/>
  <c r="N57" i="18"/>
  <c r="O57" i="18"/>
  <c r="P57" i="18"/>
  <c r="Q57" i="18"/>
  <c r="R57" i="18"/>
  <c r="S57" i="18"/>
  <c r="T57" i="18"/>
  <c r="U57" i="18"/>
  <c r="V57" i="18"/>
  <c r="W57" i="18"/>
  <c r="X57" i="18"/>
  <c r="Y57" i="18"/>
  <c r="Z57" i="18"/>
  <c r="AA57" i="18"/>
  <c r="AB57" i="18"/>
  <c r="AC57" i="18"/>
  <c r="AD57" i="18"/>
  <c r="AE57" i="18"/>
  <c r="AF57" i="18"/>
  <c r="AG57" i="18"/>
  <c r="AH57" i="18"/>
  <c r="AI57" i="18"/>
  <c r="AJ57" i="18"/>
  <c r="AK57" i="18"/>
  <c r="AL57" i="18"/>
  <c r="AM57" i="18"/>
  <c r="AN57" i="18"/>
  <c r="AO57" i="18"/>
  <c r="AP57" i="18"/>
  <c r="AQ57" i="18"/>
  <c r="AR57" i="18"/>
  <c r="AS57" i="18"/>
  <c r="AT57" i="18"/>
  <c r="AU57" i="18"/>
  <c r="AV57" i="18"/>
  <c r="AW57" i="18"/>
  <c r="AX57" i="18"/>
  <c r="AY57" i="18"/>
  <c r="AZ57" i="18"/>
  <c r="BA57" i="18"/>
  <c r="BB57" i="18"/>
  <c r="BC57" i="18"/>
  <c r="BD57" i="18"/>
  <c r="BE57" i="18"/>
  <c r="BF57" i="18"/>
  <c r="BG57" i="18"/>
  <c r="BH57" i="18"/>
  <c r="BI57" i="18"/>
  <c r="BJ57" i="18"/>
  <c r="BK57" i="18"/>
  <c r="BL57" i="18"/>
  <c r="BM57" i="18"/>
  <c r="BN57" i="18"/>
  <c r="BO57" i="18"/>
  <c r="BP57" i="18"/>
  <c r="BQ57" i="18"/>
  <c r="BR57" i="18"/>
  <c r="BS57" i="18"/>
  <c r="BT57" i="18"/>
  <c r="BU57" i="18"/>
  <c r="BV57" i="18"/>
  <c r="BW57" i="18"/>
  <c r="BX57" i="18"/>
  <c r="BY57" i="18"/>
  <c r="BZ57" i="18"/>
  <c r="CA57" i="18"/>
  <c r="CB57" i="18"/>
  <c r="CC57" i="18"/>
  <c r="CD57" i="18"/>
  <c r="CE57" i="18"/>
  <c r="CF57" i="18"/>
  <c r="CG57" i="18"/>
  <c r="CH57" i="18"/>
  <c r="CI57" i="18"/>
  <c r="CJ57" i="18"/>
  <c r="CK57" i="18"/>
  <c r="CL57" i="18"/>
  <c r="CM57" i="18"/>
  <c r="CN57" i="18"/>
  <c r="CO57" i="18"/>
  <c r="CP57" i="18"/>
  <c r="CQ57" i="18"/>
  <c r="CR57" i="18"/>
  <c r="CS57" i="18"/>
  <c r="CT57" i="18"/>
  <c r="CU57" i="18"/>
  <c r="CV57" i="18"/>
  <c r="CW57" i="18"/>
  <c r="CX57" i="18"/>
  <c r="CY57" i="18"/>
  <c r="CZ57" i="18"/>
  <c r="DA57" i="18"/>
  <c r="DB57" i="18"/>
  <c r="DC57" i="18"/>
  <c r="DD57" i="18"/>
  <c r="DE57" i="18"/>
  <c r="DF57" i="18"/>
  <c r="DG57" i="18"/>
  <c r="DH57" i="18"/>
  <c r="DI57" i="18"/>
  <c r="DJ57" i="18"/>
  <c r="DK57" i="18"/>
  <c r="DL57" i="18"/>
  <c r="DM57" i="18"/>
  <c r="DN57" i="18"/>
  <c r="DO57" i="18"/>
  <c r="DP57" i="18"/>
  <c r="DQ57" i="18"/>
  <c r="DR57" i="18"/>
  <c r="DS57" i="18"/>
  <c r="DT57" i="18"/>
  <c r="DU57" i="18"/>
  <c r="DV57" i="18"/>
  <c r="DW57" i="18"/>
  <c r="DX57" i="18"/>
  <c r="DY57" i="18"/>
  <c r="DZ57" i="18"/>
  <c r="EA57" i="18"/>
  <c r="EB57" i="18"/>
  <c r="EC57" i="18"/>
  <c r="ED57" i="18"/>
  <c r="EE57" i="18"/>
  <c r="EF57" i="18"/>
  <c r="EG57" i="18"/>
  <c r="EH57" i="18"/>
  <c r="EI57" i="18"/>
  <c r="EJ57" i="18"/>
  <c r="EK57" i="18"/>
  <c r="EL57" i="18"/>
  <c r="EM57" i="18"/>
  <c r="EN57" i="18"/>
  <c r="EO57" i="18"/>
  <c r="EP57" i="18"/>
  <c r="EQ57" i="18"/>
  <c r="ER57" i="18"/>
  <c r="ES57" i="18"/>
  <c r="ET57" i="18"/>
  <c r="EU57" i="18"/>
  <c r="EV57" i="18"/>
  <c r="EW57" i="18"/>
  <c r="EX57" i="18"/>
  <c r="EY57" i="18"/>
  <c r="EZ57" i="18"/>
  <c r="FA57" i="18"/>
  <c r="FB57" i="18"/>
  <c r="FC57" i="18"/>
  <c r="FD57" i="18"/>
  <c r="FE57" i="18"/>
  <c r="FF57" i="18"/>
  <c r="FG57" i="18"/>
  <c r="FH57" i="18"/>
  <c r="FI57" i="18"/>
  <c r="FJ57" i="18"/>
  <c r="FK57" i="18"/>
  <c r="FL57" i="18"/>
  <c r="FM57" i="18"/>
  <c r="FN57" i="18"/>
  <c r="FO57" i="18"/>
  <c r="FP57" i="18"/>
  <c r="FQ57" i="18"/>
  <c r="FR57" i="18"/>
  <c r="FS57" i="18"/>
  <c r="FT57" i="18"/>
  <c r="FU57" i="18"/>
  <c r="FV57" i="18"/>
  <c r="FW57" i="18"/>
  <c r="FX57" i="18"/>
  <c r="FY57" i="18"/>
  <c r="FZ57" i="18"/>
  <c r="GA57" i="18"/>
  <c r="GB57" i="18"/>
  <c r="GC57" i="18"/>
  <c r="GD57" i="18"/>
  <c r="GE57" i="18"/>
  <c r="GF57" i="18"/>
  <c r="GG57" i="18"/>
  <c r="GH57" i="18"/>
  <c r="GI57" i="18"/>
  <c r="GJ57" i="18"/>
  <c r="GK57" i="18"/>
  <c r="GL57" i="18"/>
  <c r="GM57" i="18"/>
  <c r="GN57" i="18"/>
  <c r="GO57" i="18"/>
  <c r="GP57" i="18"/>
  <c r="GQ57" i="18"/>
  <c r="GR57" i="18"/>
  <c r="GS57" i="18"/>
  <c r="GT57" i="18"/>
  <c r="GU57" i="18"/>
  <c r="GV57" i="18"/>
  <c r="GW57" i="18"/>
  <c r="GX57" i="18"/>
  <c r="GY57" i="18"/>
  <c r="GZ57" i="18"/>
  <c r="HA57" i="18"/>
  <c r="HB57" i="18"/>
  <c r="HC57" i="18"/>
  <c r="H57" i="18"/>
  <c r="H56" i="18"/>
  <c r="H55" i="18"/>
  <c r="H54" i="18"/>
  <c r="H53" i="18"/>
  <c r="H52" i="18"/>
  <c r="H51" i="18"/>
  <c r="I49" i="18"/>
  <c r="J49" i="18"/>
  <c r="K49" i="18"/>
  <c r="L49" i="18"/>
  <c r="M49" i="18"/>
  <c r="N49" i="18"/>
  <c r="O49" i="18"/>
  <c r="P49" i="18"/>
  <c r="Q49" i="18"/>
  <c r="R49" i="18"/>
  <c r="S49" i="18"/>
  <c r="T49" i="18"/>
  <c r="U49" i="18"/>
  <c r="V49" i="18"/>
  <c r="W49" i="18"/>
  <c r="X49" i="18"/>
  <c r="Y49" i="18"/>
  <c r="Z49" i="18"/>
  <c r="AA49" i="18"/>
  <c r="AB49" i="18"/>
  <c r="AC49" i="18"/>
  <c r="AD49" i="18"/>
  <c r="AE49" i="18"/>
  <c r="AF49" i="18"/>
  <c r="AG49" i="18"/>
  <c r="AH49" i="18"/>
  <c r="AI49" i="18"/>
  <c r="AJ49" i="18"/>
  <c r="AK49" i="18"/>
  <c r="AL49" i="18"/>
  <c r="AM49" i="18"/>
  <c r="AN49" i="18"/>
  <c r="AO49" i="18"/>
  <c r="AP49" i="18"/>
  <c r="AQ49" i="18"/>
  <c r="AR49" i="18"/>
  <c r="AS49" i="18"/>
  <c r="AT49" i="18"/>
  <c r="AU49" i="18"/>
  <c r="AV49" i="18"/>
  <c r="AW49" i="18"/>
  <c r="AX49" i="18"/>
  <c r="AY49" i="18"/>
  <c r="AZ49" i="18"/>
  <c r="BA49" i="18"/>
  <c r="BB49" i="18"/>
  <c r="BC49" i="18"/>
  <c r="BD49" i="18"/>
  <c r="BE49" i="18"/>
  <c r="BF49" i="18"/>
  <c r="BG49" i="18"/>
  <c r="BH49" i="18"/>
  <c r="BI49" i="18"/>
  <c r="BJ49" i="18"/>
  <c r="BK49" i="18"/>
  <c r="BL49" i="18"/>
  <c r="BM49" i="18"/>
  <c r="BN49" i="18"/>
  <c r="BO49" i="18"/>
  <c r="BP49" i="18"/>
  <c r="BQ49" i="18"/>
  <c r="BR49" i="18"/>
  <c r="BS49" i="18"/>
  <c r="BT49" i="18"/>
  <c r="BU49" i="18"/>
  <c r="BV49" i="18"/>
  <c r="BW49" i="18"/>
  <c r="BX49" i="18"/>
  <c r="BY49" i="18"/>
  <c r="BZ49" i="18"/>
  <c r="CA49" i="18"/>
  <c r="CB49" i="18"/>
  <c r="CC49" i="18"/>
  <c r="CD49" i="18"/>
  <c r="CE49" i="18"/>
  <c r="CF49" i="18"/>
  <c r="CG49" i="18"/>
  <c r="CH49" i="18"/>
  <c r="CI49" i="18"/>
  <c r="CJ49" i="18"/>
  <c r="CK49" i="18"/>
  <c r="CL49" i="18"/>
  <c r="CM49" i="18"/>
  <c r="CN49" i="18"/>
  <c r="CO49" i="18"/>
  <c r="CP49" i="18"/>
  <c r="CQ49" i="18"/>
  <c r="CR49" i="18"/>
  <c r="CT49" i="18"/>
  <c r="CU49" i="18"/>
  <c r="CV49" i="18"/>
  <c r="CW49" i="18"/>
  <c r="CX49" i="18"/>
  <c r="CY49" i="18"/>
  <c r="CZ49" i="18"/>
  <c r="DA49" i="18"/>
  <c r="DB49" i="18"/>
  <c r="DC49" i="18"/>
  <c r="DD49" i="18"/>
  <c r="DE49" i="18"/>
  <c r="DF49" i="18"/>
  <c r="DG49" i="18"/>
  <c r="DH49" i="18"/>
  <c r="DI49" i="18"/>
  <c r="DJ49" i="18"/>
  <c r="DK49" i="18"/>
  <c r="DL49" i="18"/>
  <c r="DM49" i="18"/>
  <c r="DN49" i="18"/>
  <c r="DO49" i="18"/>
  <c r="DP49" i="18"/>
  <c r="DQ49" i="18"/>
  <c r="DR49" i="18"/>
  <c r="DS49" i="18"/>
  <c r="DT49" i="18"/>
  <c r="DU49" i="18"/>
  <c r="DV49" i="18"/>
  <c r="DW49" i="18"/>
  <c r="DX49" i="18"/>
  <c r="DY49" i="18"/>
  <c r="DZ49" i="18"/>
  <c r="EA49" i="18"/>
  <c r="EB49" i="18"/>
  <c r="EC49" i="18"/>
  <c r="ED49" i="18"/>
  <c r="EE49" i="18"/>
  <c r="EF49" i="18"/>
  <c r="EG49" i="18"/>
  <c r="EH49" i="18"/>
  <c r="EI49" i="18"/>
  <c r="EJ49" i="18"/>
  <c r="EK49" i="18"/>
  <c r="EL49" i="18"/>
  <c r="EM49" i="18"/>
  <c r="EN49" i="18"/>
  <c r="EO49" i="18"/>
  <c r="EP49" i="18"/>
  <c r="EQ49" i="18"/>
  <c r="ER49" i="18"/>
  <c r="ES49" i="18"/>
  <c r="ET49" i="18"/>
  <c r="EU49" i="18"/>
  <c r="EV49" i="18"/>
  <c r="EW49" i="18"/>
  <c r="EX49" i="18"/>
  <c r="EY49" i="18"/>
  <c r="EZ49" i="18"/>
  <c r="FA49" i="18"/>
  <c r="FB49" i="18"/>
  <c r="FC49" i="18"/>
  <c r="FD49" i="18"/>
  <c r="FE49" i="18"/>
  <c r="FF49" i="18"/>
  <c r="FG49" i="18"/>
  <c r="FH49" i="18"/>
  <c r="FI49" i="18"/>
  <c r="FJ49" i="18"/>
  <c r="FK49" i="18"/>
  <c r="FL49" i="18"/>
  <c r="FM49" i="18"/>
  <c r="FN49" i="18"/>
  <c r="FO49" i="18"/>
  <c r="FP49" i="18"/>
  <c r="FQ49" i="18"/>
  <c r="FR49" i="18"/>
  <c r="FS49" i="18"/>
  <c r="FT49" i="18"/>
  <c r="FU49" i="18"/>
  <c r="FV49" i="18"/>
  <c r="FW49" i="18"/>
  <c r="FX49" i="18"/>
  <c r="FY49" i="18"/>
  <c r="FZ49" i="18"/>
  <c r="GA49" i="18"/>
  <c r="GB49" i="18"/>
  <c r="GC49" i="18"/>
  <c r="GD49" i="18"/>
  <c r="GE49" i="18"/>
  <c r="GF49" i="18"/>
  <c r="GG49" i="18"/>
  <c r="GH49" i="18"/>
  <c r="GI49" i="18"/>
  <c r="GJ49" i="18"/>
  <c r="GK49" i="18"/>
  <c r="GL49" i="18"/>
  <c r="GM49" i="18"/>
  <c r="GN49" i="18"/>
  <c r="GO49" i="18"/>
  <c r="GP49" i="18"/>
  <c r="GQ49" i="18"/>
  <c r="GR49" i="18"/>
  <c r="GS49" i="18"/>
  <c r="GT49" i="18"/>
  <c r="GU49" i="18"/>
  <c r="GV49" i="18"/>
  <c r="GW49" i="18"/>
  <c r="GX49" i="18"/>
  <c r="GY49" i="18"/>
  <c r="GZ49" i="18"/>
  <c r="HA49" i="18"/>
  <c r="HB49" i="18"/>
  <c r="HC49" i="18"/>
  <c r="I50" i="18"/>
  <c r="J50" i="18"/>
  <c r="K50" i="18"/>
  <c r="L50" i="18"/>
  <c r="M50" i="18"/>
  <c r="N50" i="18"/>
  <c r="O50" i="18"/>
  <c r="P50" i="18"/>
  <c r="Q50" i="18"/>
  <c r="R50" i="18"/>
  <c r="S50" i="18"/>
  <c r="T50" i="18"/>
  <c r="U50" i="18"/>
  <c r="V50" i="18"/>
  <c r="W50" i="18"/>
  <c r="X50" i="18"/>
  <c r="Y50" i="18"/>
  <c r="Z50" i="18"/>
  <c r="AA50" i="18"/>
  <c r="AB50" i="18"/>
  <c r="AC50" i="18"/>
  <c r="AD50" i="18"/>
  <c r="AE50" i="18"/>
  <c r="AF50" i="18"/>
  <c r="AG50" i="18"/>
  <c r="AH50" i="18"/>
  <c r="AI50" i="18"/>
  <c r="AJ50" i="18"/>
  <c r="AK50" i="18"/>
  <c r="AL50" i="18"/>
  <c r="AM50" i="18"/>
  <c r="AN50" i="18"/>
  <c r="AO50" i="18"/>
  <c r="AP50" i="18"/>
  <c r="AQ50" i="18"/>
  <c r="AR50" i="18"/>
  <c r="AS50" i="18"/>
  <c r="AT50" i="18"/>
  <c r="AU50" i="18"/>
  <c r="AV50" i="18"/>
  <c r="AW50" i="18"/>
  <c r="AX50" i="18"/>
  <c r="AY50" i="18"/>
  <c r="AZ50" i="18"/>
  <c r="BA50" i="18"/>
  <c r="BB50" i="18"/>
  <c r="BC50" i="18"/>
  <c r="BD50" i="18"/>
  <c r="BE50" i="18"/>
  <c r="BF50" i="18"/>
  <c r="BG50" i="18"/>
  <c r="BH50" i="18"/>
  <c r="BI50" i="18"/>
  <c r="BJ50" i="18"/>
  <c r="BK50" i="18"/>
  <c r="BL50" i="18"/>
  <c r="BM50" i="18"/>
  <c r="BN50" i="18"/>
  <c r="BO50" i="18"/>
  <c r="BP50" i="18"/>
  <c r="BQ50" i="18"/>
  <c r="BR50" i="18"/>
  <c r="BS50" i="18"/>
  <c r="BT50" i="18"/>
  <c r="BU50" i="18"/>
  <c r="BV50" i="18"/>
  <c r="BW50" i="18"/>
  <c r="BX50" i="18"/>
  <c r="BY50" i="18"/>
  <c r="BZ50" i="18"/>
  <c r="CA50" i="18"/>
  <c r="CB50" i="18"/>
  <c r="CC50" i="18"/>
  <c r="CD50" i="18"/>
  <c r="CE50" i="18"/>
  <c r="CF50" i="18"/>
  <c r="CG50" i="18"/>
  <c r="CH50" i="18"/>
  <c r="CI50" i="18"/>
  <c r="CJ50" i="18"/>
  <c r="CK50" i="18"/>
  <c r="CL50" i="18"/>
  <c r="CM50" i="18"/>
  <c r="CN50" i="18"/>
  <c r="CO50" i="18"/>
  <c r="CP50" i="18"/>
  <c r="CQ50" i="18"/>
  <c r="CR50" i="18"/>
  <c r="CS50" i="18"/>
  <c r="CT50" i="18"/>
  <c r="CU50" i="18"/>
  <c r="CV50" i="18"/>
  <c r="CW50" i="18"/>
  <c r="CX50" i="18"/>
  <c r="CY50" i="18"/>
  <c r="CZ50" i="18"/>
  <c r="DA50" i="18"/>
  <c r="DB50" i="18"/>
  <c r="DC50" i="18"/>
  <c r="DD50" i="18"/>
  <c r="DE50" i="18"/>
  <c r="DF50" i="18"/>
  <c r="DG50" i="18"/>
  <c r="DH50" i="18"/>
  <c r="DI50" i="18"/>
  <c r="DJ50" i="18"/>
  <c r="DK50" i="18"/>
  <c r="DL50" i="18"/>
  <c r="DM50" i="18"/>
  <c r="DN50" i="18"/>
  <c r="DO50" i="18"/>
  <c r="DP50" i="18"/>
  <c r="DQ50" i="18"/>
  <c r="DR50" i="18"/>
  <c r="DS50" i="18"/>
  <c r="DT50" i="18"/>
  <c r="DU50" i="18"/>
  <c r="DV50" i="18"/>
  <c r="DW50" i="18"/>
  <c r="DX50" i="18"/>
  <c r="DY50" i="18"/>
  <c r="DZ50" i="18"/>
  <c r="EA50" i="18"/>
  <c r="EB50" i="18"/>
  <c r="EC50" i="18"/>
  <c r="ED50" i="18"/>
  <c r="EE50" i="18"/>
  <c r="EF50" i="18"/>
  <c r="EG50" i="18"/>
  <c r="EH50" i="18"/>
  <c r="EI50" i="18"/>
  <c r="EJ50" i="18"/>
  <c r="EK50" i="18"/>
  <c r="EL50" i="18"/>
  <c r="EM50" i="18"/>
  <c r="EN50" i="18"/>
  <c r="EO50" i="18"/>
  <c r="EP50" i="18"/>
  <c r="EQ50" i="18"/>
  <c r="ER50" i="18"/>
  <c r="ES50" i="18"/>
  <c r="ET50" i="18"/>
  <c r="EU50" i="18"/>
  <c r="EV50" i="18"/>
  <c r="EW50" i="18"/>
  <c r="EX50" i="18"/>
  <c r="EY50" i="18"/>
  <c r="EZ50" i="18"/>
  <c r="FA50" i="18"/>
  <c r="FB50" i="18"/>
  <c r="FC50" i="18"/>
  <c r="FD50" i="18"/>
  <c r="FE50" i="18"/>
  <c r="FF50" i="18"/>
  <c r="FG50" i="18"/>
  <c r="FH50" i="18"/>
  <c r="FI50" i="18"/>
  <c r="FJ50" i="18"/>
  <c r="FK50" i="18"/>
  <c r="FL50" i="18"/>
  <c r="FM50" i="18"/>
  <c r="FN50" i="18"/>
  <c r="FO50" i="18"/>
  <c r="FP50" i="18"/>
  <c r="FQ50" i="18"/>
  <c r="FR50" i="18"/>
  <c r="FS50" i="18"/>
  <c r="FT50" i="18"/>
  <c r="FU50" i="18"/>
  <c r="FV50" i="18"/>
  <c r="FW50" i="18"/>
  <c r="FX50" i="18"/>
  <c r="FY50" i="18"/>
  <c r="FZ50" i="18"/>
  <c r="GA50" i="18"/>
  <c r="GB50" i="18"/>
  <c r="GC50" i="18"/>
  <c r="GD50" i="18"/>
  <c r="GE50" i="18"/>
  <c r="GF50" i="18"/>
  <c r="GG50" i="18"/>
  <c r="GH50" i="18"/>
  <c r="GI50" i="18"/>
  <c r="GJ50" i="18"/>
  <c r="GK50" i="18"/>
  <c r="GL50" i="18"/>
  <c r="GM50" i="18"/>
  <c r="GN50" i="18"/>
  <c r="GO50" i="18"/>
  <c r="GP50" i="18"/>
  <c r="GQ50" i="18"/>
  <c r="GR50" i="18"/>
  <c r="GS50" i="18"/>
  <c r="GT50" i="18"/>
  <c r="GU50" i="18"/>
  <c r="GV50" i="18"/>
  <c r="GW50" i="18"/>
  <c r="GX50" i="18"/>
  <c r="GY50" i="18"/>
  <c r="GZ50" i="18"/>
  <c r="HA50" i="18"/>
  <c r="HB50" i="18"/>
  <c r="HC50" i="18"/>
  <c r="H50" i="18"/>
  <c r="H49" i="18"/>
  <c r="I47" i="18"/>
  <c r="J47" i="18"/>
  <c r="K47" i="18"/>
  <c r="L47" i="18"/>
  <c r="M47" i="18"/>
  <c r="N47" i="18"/>
  <c r="O47" i="18"/>
  <c r="P47" i="18"/>
  <c r="Q47" i="18"/>
  <c r="R47" i="18"/>
  <c r="S47" i="18"/>
  <c r="T47" i="18"/>
  <c r="U47" i="18"/>
  <c r="V47" i="18"/>
  <c r="W47" i="18"/>
  <c r="X47" i="18"/>
  <c r="Y47" i="18"/>
  <c r="Z47" i="18"/>
  <c r="AA47" i="18"/>
  <c r="AB47" i="18"/>
  <c r="AC47" i="18"/>
  <c r="AD47" i="18"/>
  <c r="AE47" i="18"/>
  <c r="AF47" i="18"/>
  <c r="AG47" i="18"/>
  <c r="AH47" i="18"/>
  <c r="AI47" i="18"/>
  <c r="AJ47" i="18"/>
  <c r="AK47" i="18"/>
  <c r="AL47" i="18"/>
  <c r="AM47" i="18"/>
  <c r="AN47" i="18"/>
  <c r="AO47" i="18"/>
  <c r="AP47" i="18"/>
  <c r="AQ47" i="18"/>
  <c r="AR47" i="18"/>
  <c r="AS47" i="18"/>
  <c r="AT47" i="18"/>
  <c r="AU47" i="18"/>
  <c r="AV47" i="18"/>
  <c r="AW47" i="18"/>
  <c r="AX47" i="18"/>
  <c r="AY47" i="18"/>
  <c r="AZ47" i="18"/>
  <c r="BA47" i="18"/>
  <c r="BB47" i="18"/>
  <c r="BC47" i="18"/>
  <c r="BD47" i="18"/>
  <c r="BE47" i="18"/>
  <c r="BF47" i="18"/>
  <c r="BG47" i="18"/>
  <c r="BH47" i="18"/>
  <c r="BI47" i="18"/>
  <c r="BJ47" i="18"/>
  <c r="BK47" i="18"/>
  <c r="BL47" i="18"/>
  <c r="BM47" i="18"/>
  <c r="BN47" i="18"/>
  <c r="BO47" i="18"/>
  <c r="BP47" i="18"/>
  <c r="BQ47" i="18"/>
  <c r="BR47" i="18"/>
  <c r="BS47" i="18"/>
  <c r="BT47" i="18"/>
  <c r="BU47" i="18"/>
  <c r="BV47" i="18"/>
  <c r="BW47" i="18"/>
  <c r="BX47" i="18"/>
  <c r="BY47" i="18"/>
  <c r="BZ47" i="18"/>
  <c r="CA47" i="18"/>
  <c r="CB47" i="18"/>
  <c r="CC47" i="18"/>
  <c r="CD47" i="18"/>
  <c r="CE47" i="18"/>
  <c r="CF47" i="18"/>
  <c r="CG47" i="18"/>
  <c r="CH47" i="18"/>
  <c r="CI47" i="18"/>
  <c r="CJ47" i="18"/>
  <c r="CK47" i="18"/>
  <c r="CL47" i="18"/>
  <c r="CM47" i="18"/>
  <c r="CN47" i="18"/>
  <c r="CO47" i="18"/>
  <c r="CP47" i="18"/>
  <c r="CQ47" i="18"/>
  <c r="CR47" i="18"/>
  <c r="CS47" i="18"/>
  <c r="CT47" i="18"/>
  <c r="CU47" i="18"/>
  <c r="CV47" i="18"/>
  <c r="CW47" i="18"/>
  <c r="CX47" i="18"/>
  <c r="CY47" i="18"/>
  <c r="CZ47" i="18"/>
  <c r="DA47" i="18"/>
  <c r="DB47" i="18"/>
  <c r="DC47" i="18"/>
  <c r="DD47" i="18"/>
  <c r="DE47" i="18"/>
  <c r="DF47" i="18"/>
  <c r="DG47" i="18"/>
  <c r="DH47" i="18"/>
  <c r="DI47" i="18"/>
  <c r="DJ47" i="18"/>
  <c r="DK47" i="18"/>
  <c r="DL47" i="18"/>
  <c r="DM47" i="18"/>
  <c r="DN47" i="18"/>
  <c r="DO47" i="18"/>
  <c r="DP47" i="18"/>
  <c r="DQ47" i="18"/>
  <c r="DR47" i="18"/>
  <c r="DS47" i="18"/>
  <c r="DT47" i="18"/>
  <c r="DU47" i="18"/>
  <c r="DV47" i="18"/>
  <c r="DW47" i="18"/>
  <c r="DX47" i="18"/>
  <c r="DY47" i="18"/>
  <c r="DZ47" i="18"/>
  <c r="EA47" i="18"/>
  <c r="EB47" i="18"/>
  <c r="EC47" i="18"/>
  <c r="ED47" i="18"/>
  <c r="EE47" i="18"/>
  <c r="EF47" i="18"/>
  <c r="EG47" i="18"/>
  <c r="EH47" i="18"/>
  <c r="EI47" i="18"/>
  <c r="EJ47" i="18"/>
  <c r="EK47" i="18"/>
  <c r="EL47" i="18"/>
  <c r="EM47" i="18"/>
  <c r="EN47" i="18"/>
  <c r="EO47" i="18"/>
  <c r="EP47" i="18"/>
  <c r="EQ47" i="18"/>
  <c r="ER47" i="18"/>
  <c r="ES47" i="18"/>
  <c r="ET47" i="18"/>
  <c r="EU47" i="18"/>
  <c r="EV47" i="18"/>
  <c r="EW47" i="18"/>
  <c r="EX47" i="18"/>
  <c r="EY47" i="18"/>
  <c r="EZ47" i="18"/>
  <c r="FA47" i="18"/>
  <c r="FB47" i="18"/>
  <c r="FC47" i="18"/>
  <c r="FD47" i="18"/>
  <c r="FE47" i="18"/>
  <c r="FF47" i="18"/>
  <c r="FG47" i="18"/>
  <c r="FH47" i="18"/>
  <c r="FI47" i="18"/>
  <c r="FJ47" i="18"/>
  <c r="FK47" i="18"/>
  <c r="FL47" i="18"/>
  <c r="FM47" i="18"/>
  <c r="FN47" i="18"/>
  <c r="FO47" i="18"/>
  <c r="FP47" i="18"/>
  <c r="FQ47" i="18"/>
  <c r="FR47" i="18"/>
  <c r="FS47" i="18"/>
  <c r="FT47" i="18"/>
  <c r="FU47" i="18"/>
  <c r="FV47" i="18"/>
  <c r="FW47" i="18"/>
  <c r="FX47" i="18"/>
  <c r="FY47" i="18"/>
  <c r="FZ47" i="18"/>
  <c r="GA47" i="18"/>
  <c r="GB47" i="18"/>
  <c r="GC47" i="18"/>
  <c r="GD47" i="18"/>
  <c r="GE47" i="18"/>
  <c r="GF47" i="18"/>
  <c r="GG47" i="18"/>
  <c r="GH47" i="18"/>
  <c r="GI47" i="18"/>
  <c r="GJ47" i="18"/>
  <c r="GK47" i="18"/>
  <c r="GL47" i="18"/>
  <c r="GM47" i="18"/>
  <c r="GN47" i="18"/>
  <c r="GO47" i="18"/>
  <c r="GP47" i="18"/>
  <c r="GQ47" i="18"/>
  <c r="GR47" i="18"/>
  <c r="GS47" i="18"/>
  <c r="GT47" i="18"/>
  <c r="GU47" i="18"/>
  <c r="GV47" i="18"/>
  <c r="GW47" i="18"/>
  <c r="GX47" i="18"/>
  <c r="GY47" i="18"/>
  <c r="GZ47" i="18"/>
  <c r="HA47" i="18"/>
  <c r="HB47" i="18"/>
  <c r="HC47" i="18"/>
  <c r="I48" i="18"/>
  <c r="J48" i="18"/>
  <c r="K48" i="18"/>
  <c r="L48" i="18"/>
  <c r="M48" i="18"/>
  <c r="N48" i="18"/>
  <c r="O48" i="18"/>
  <c r="P48" i="18"/>
  <c r="Q48" i="18"/>
  <c r="R48" i="18"/>
  <c r="S48" i="18"/>
  <c r="T48" i="18"/>
  <c r="U48" i="18"/>
  <c r="V48" i="18"/>
  <c r="W48" i="18"/>
  <c r="X48" i="18"/>
  <c r="Y48" i="18"/>
  <c r="Z48" i="18"/>
  <c r="AA48" i="18"/>
  <c r="AB48" i="18"/>
  <c r="AC48" i="18"/>
  <c r="AD48" i="18"/>
  <c r="AE48" i="18"/>
  <c r="AF48" i="18"/>
  <c r="AG48" i="18"/>
  <c r="AH48" i="18"/>
  <c r="AI48" i="18"/>
  <c r="AJ48" i="18"/>
  <c r="AK48" i="18"/>
  <c r="AL48" i="18"/>
  <c r="AM48" i="18"/>
  <c r="AN48" i="18"/>
  <c r="AO48" i="18"/>
  <c r="AP48" i="18"/>
  <c r="AQ48" i="18"/>
  <c r="AR48" i="18"/>
  <c r="AS48" i="18"/>
  <c r="AT48" i="18"/>
  <c r="AU48" i="18"/>
  <c r="AV48" i="18"/>
  <c r="AW48" i="18"/>
  <c r="AX48" i="18"/>
  <c r="AY48" i="18"/>
  <c r="AZ48" i="18"/>
  <c r="BA48" i="18"/>
  <c r="BB48" i="18"/>
  <c r="BC48" i="18"/>
  <c r="BD48" i="18"/>
  <c r="BE48" i="18"/>
  <c r="BF48" i="18"/>
  <c r="BG48" i="18"/>
  <c r="BH48" i="18"/>
  <c r="BI48" i="18"/>
  <c r="BJ48" i="18"/>
  <c r="BK48" i="18"/>
  <c r="BL48" i="18"/>
  <c r="BM48" i="18"/>
  <c r="BN48" i="18"/>
  <c r="BO48" i="18"/>
  <c r="BP48" i="18"/>
  <c r="BQ48" i="18"/>
  <c r="BR48" i="18"/>
  <c r="BS48" i="18"/>
  <c r="BT48" i="18"/>
  <c r="BU48" i="18"/>
  <c r="BV48" i="18"/>
  <c r="BW48" i="18"/>
  <c r="BX48" i="18"/>
  <c r="BY48" i="18"/>
  <c r="BZ48" i="18"/>
  <c r="CA48" i="18"/>
  <c r="CB48" i="18"/>
  <c r="CC48" i="18"/>
  <c r="CD48" i="18"/>
  <c r="CE48" i="18"/>
  <c r="CF48" i="18"/>
  <c r="CG48" i="18"/>
  <c r="CH48" i="18"/>
  <c r="CI48" i="18"/>
  <c r="CJ48" i="18"/>
  <c r="CK48" i="18"/>
  <c r="CL48" i="18"/>
  <c r="CM48" i="18"/>
  <c r="CN48" i="18"/>
  <c r="CO48" i="18"/>
  <c r="CP48" i="18"/>
  <c r="CQ48" i="18"/>
  <c r="CR48" i="18"/>
  <c r="CS48" i="18"/>
  <c r="CT48" i="18"/>
  <c r="CU48" i="18"/>
  <c r="CV48" i="18"/>
  <c r="CW48" i="18"/>
  <c r="CX48" i="18"/>
  <c r="CY48" i="18"/>
  <c r="CZ48" i="18"/>
  <c r="DA48" i="18"/>
  <c r="DB48" i="18"/>
  <c r="DC48" i="18"/>
  <c r="DD48" i="18"/>
  <c r="DE48" i="18"/>
  <c r="DF48" i="18"/>
  <c r="DG48" i="18"/>
  <c r="DH48" i="18"/>
  <c r="DI48" i="18"/>
  <c r="DJ48" i="18"/>
  <c r="DK48" i="18"/>
  <c r="DL48" i="18"/>
  <c r="DM48" i="18"/>
  <c r="DN48" i="18"/>
  <c r="DO48" i="18"/>
  <c r="DP48" i="18"/>
  <c r="DQ48" i="18"/>
  <c r="DR48" i="18"/>
  <c r="DS48" i="18"/>
  <c r="DT48" i="18"/>
  <c r="DU48" i="18"/>
  <c r="DV48" i="18"/>
  <c r="DW48" i="18"/>
  <c r="DX48" i="18"/>
  <c r="DY48" i="18"/>
  <c r="DZ48" i="18"/>
  <c r="EA48" i="18"/>
  <c r="EB48" i="18"/>
  <c r="EC48" i="18"/>
  <c r="ED48" i="18"/>
  <c r="EE48" i="18"/>
  <c r="EF48" i="18"/>
  <c r="EG48" i="18"/>
  <c r="EH48" i="18"/>
  <c r="EI48" i="18"/>
  <c r="EJ48" i="18"/>
  <c r="EK48" i="18"/>
  <c r="EL48" i="18"/>
  <c r="EM48" i="18"/>
  <c r="EN48" i="18"/>
  <c r="EO48" i="18"/>
  <c r="EP48" i="18"/>
  <c r="EQ48" i="18"/>
  <c r="ER48" i="18"/>
  <c r="ES48" i="18"/>
  <c r="ET48" i="18"/>
  <c r="EU48" i="18"/>
  <c r="EV48" i="18"/>
  <c r="EW48" i="18"/>
  <c r="EX48" i="18"/>
  <c r="EY48" i="18"/>
  <c r="EZ48" i="18"/>
  <c r="FA48" i="18"/>
  <c r="FB48" i="18"/>
  <c r="FC48" i="18"/>
  <c r="FD48" i="18"/>
  <c r="FE48" i="18"/>
  <c r="FF48" i="18"/>
  <c r="FG48" i="18"/>
  <c r="FH48" i="18"/>
  <c r="FI48" i="18"/>
  <c r="FJ48" i="18"/>
  <c r="FK48" i="18"/>
  <c r="FL48" i="18"/>
  <c r="FM48" i="18"/>
  <c r="FN48" i="18"/>
  <c r="FO48" i="18"/>
  <c r="FP48" i="18"/>
  <c r="FQ48" i="18"/>
  <c r="FR48" i="18"/>
  <c r="FS48" i="18"/>
  <c r="FT48" i="18"/>
  <c r="FU48" i="18"/>
  <c r="FV48" i="18"/>
  <c r="FW48" i="18"/>
  <c r="FX48" i="18"/>
  <c r="FY48" i="18"/>
  <c r="FZ48" i="18"/>
  <c r="GA48" i="18"/>
  <c r="GB48" i="18"/>
  <c r="GC48" i="18"/>
  <c r="GD48" i="18"/>
  <c r="GE48" i="18"/>
  <c r="GF48" i="18"/>
  <c r="GG48" i="18"/>
  <c r="GH48" i="18"/>
  <c r="GI48" i="18"/>
  <c r="GJ48" i="18"/>
  <c r="GK48" i="18"/>
  <c r="GL48" i="18"/>
  <c r="GM48" i="18"/>
  <c r="GN48" i="18"/>
  <c r="GO48" i="18"/>
  <c r="GP48" i="18"/>
  <c r="GQ48" i="18"/>
  <c r="GR48" i="18"/>
  <c r="GS48" i="18"/>
  <c r="GT48" i="18"/>
  <c r="GU48" i="18"/>
  <c r="GV48" i="18"/>
  <c r="GW48" i="18"/>
  <c r="GX48" i="18"/>
  <c r="GY48" i="18"/>
  <c r="GZ48" i="18"/>
  <c r="HA48" i="18"/>
  <c r="HB48" i="18"/>
  <c r="HC48" i="18"/>
  <c r="H48" i="18"/>
  <c r="H47" i="18"/>
  <c r="I43" i="18"/>
  <c r="J43" i="18"/>
  <c r="K43" i="18"/>
  <c r="L43" i="18"/>
  <c r="M43" i="18"/>
  <c r="N43" i="18"/>
  <c r="O43" i="18"/>
  <c r="P43" i="18"/>
  <c r="Q43" i="18"/>
  <c r="R43" i="18"/>
  <c r="S43" i="18"/>
  <c r="T43" i="18"/>
  <c r="U43" i="18"/>
  <c r="V43" i="18"/>
  <c r="W43" i="18"/>
  <c r="X43" i="18"/>
  <c r="Y43" i="18"/>
  <c r="Z43" i="18"/>
  <c r="AA43" i="18"/>
  <c r="AB43" i="18"/>
  <c r="AC43" i="18"/>
  <c r="AD43" i="18"/>
  <c r="AE43" i="18"/>
  <c r="AF43" i="18"/>
  <c r="AG43" i="18"/>
  <c r="AH43" i="18"/>
  <c r="AI43" i="18"/>
  <c r="AJ43" i="18"/>
  <c r="AK43" i="18"/>
  <c r="AL43" i="18"/>
  <c r="AM43" i="18"/>
  <c r="AN43" i="18"/>
  <c r="AO43" i="18"/>
  <c r="AP43" i="18"/>
  <c r="AQ43" i="18"/>
  <c r="AR43" i="18"/>
  <c r="AS43" i="18"/>
  <c r="AT43" i="18"/>
  <c r="AU43" i="18"/>
  <c r="AV43" i="18"/>
  <c r="AW43" i="18"/>
  <c r="AX43" i="18"/>
  <c r="AY43" i="18"/>
  <c r="AZ43" i="18"/>
  <c r="BA43" i="18"/>
  <c r="BB43" i="18"/>
  <c r="BC43" i="18"/>
  <c r="BD43" i="18"/>
  <c r="BE43" i="18"/>
  <c r="BF43" i="18"/>
  <c r="BG43" i="18"/>
  <c r="BH43" i="18"/>
  <c r="BI43" i="18"/>
  <c r="BJ43" i="18"/>
  <c r="BK43" i="18"/>
  <c r="BL43" i="18"/>
  <c r="BM43" i="18"/>
  <c r="BN43" i="18"/>
  <c r="BO43" i="18"/>
  <c r="BP43" i="18"/>
  <c r="BQ43" i="18"/>
  <c r="BR43" i="18"/>
  <c r="BS43" i="18"/>
  <c r="BT43" i="18"/>
  <c r="BU43" i="18"/>
  <c r="BV43" i="18"/>
  <c r="BW43" i="18"/>
  <c r="BX43" i="18"/>
  <c r="BY43" i="18"/>
  <c r="BZ43" i="18"/>
  <c r="CA43" i="18"/>
  <c r="CB43" i="18"/>
  <c r="CC43" i="18"/>
  <c r="CD43" i="18"/>
  <c r="CE43" i="18"/>
  <c r="CF43" i="18"/>
  <c r="CG43" i="18"/>
  <c r="CH43" i="18"/>
  <c r="CI43" i="18"/>
  <c r="CJ43" i="18"/>
  <c r="CK43" i="18"/>
  <c r="CL43" i="18"/>
  <c r="CM43" i="18"/>
  <c r="CN43" i="18"/>
  <c r="CO43" i="18"/>
  <c r="CP43" i="18"/>
  <c r="CQ43" i="18"/>
  <c r="CR43" i="18"/>
  <c r="CS43" i="18"/>
  <c r="CT43" i="18"/>
  <c r="CU43" i="18"/>
  <c r="CV43" i="18"/>
  <c r="CW43" i="18"/>
  <c r="CX43" i="18"/>
  <c r="CY43" i="18"/>
  <c r="CZ43" i="18"/>
  <c r="DA43" i="18"/>
  <c r="DB43" i="18"/>
  <c r="DC43" i="18"/>
  <c r="DD43" i="18"/>
  <c r="DE43" i="18"/>
  <c r="DF43" i="18"/>
  <c r="DG43" i="18"/>
  <c r="DH43" i="18"/>
  <c r="DI43" i="18"/>
  <c r="DJ43" i="18"/>
  <c r="DK43" i="18"/>
  <c r="DL43" i="18"/>
  <c r="DM43" i="18"/>
  <c r="DN43" i="18"/>
  <c r="DO43" i="18"/>
  <c r="DP43" i="18"/>
  <c r="DQ43" i="18"/>
  <c r="DR43" i="18"/>
  <c r="DS43" i="18"/>
  <c r="DT43" i="18"/>
  <c r="DU43" i="18"/>
  <c r="DV43" i="18"/>
  <c r="DW43" i="18"/>
  <c r="DX43" i="18"/>
  <c r="DY43" i="18"/>
  <c r="DZ43" i="18"/>
  <c r="EA43" i="18"/>
  <c r="EB43" i="18"/>
  <c r="EC43" i="18"/>
  <c r="ED43" i="18"/>
  <c r="EE43" i="18"/>
  <c r="EF43" i="18"/>
  <c r="EG43" i="18"/>
  <c r="EH43" i="18"/>
  <c r="EI43" i="18"/>
  <c r="EJ43" i="18"/>
  <c r="EK43" i="18"/>
  <c r="EL43" i="18"/>
  <c r="EM43" i="18"/>
  <c r="EN43" i="18"/>
  <c r="EO43" i="18"/>
  <c r="EP43" i="18"/>
  <c r="EQ43" i="18"/>
  <c r="ER43" i="18"/>
  <c r="ES43" i="18"/>
  <c r="ET43" i="18"/>
  <c r="EU43" i="18"/>
  <c r="EV43" i="18"/>
  <c r="EW43" i="18"/>
  <c r="EX43" i="18"/>
  <c r="EY43" i="18"/>
  <c r="EZ43" i="18"/>
  <c r="FA43" i="18"/>
  <c r="FB43" i="18"/>
  <c r="FC43" i="18"/>
  <c r="FD43" i="18"/>
  <c r="FE43" i="18"/>
  <c r="FF43" i="18"/>
  <c r="FG43" i="18"/>
  <c r="FH43" i="18"/>
  <c r="FI43" i="18"/>
  <c r="FJ43" i="18"/>
  <c r="FK43" i="18"/>
  <c r="FL43" i="18"/>
  <c r="FM43" i="18"/>
  <c r="FN43" i="18"/>
  <c r="FO43" i="18"/>
  <c r="FP43" i="18"/>
  <c r="FQ43" i="18"/>
  <c r="FR43" i="18"/>
  <c r="FS43" i="18"/>
  <c r="FT43" i="18"/>
  <c r="FU43" i="18"/>
  <c r="FV43" i="18"/>
  <c r="FW43" i="18"/>
  <c r="FX43" i="18"/>
  <c r="FY43" i="18"/>
  <c r="FZ43" i="18"/>
  <c r="GA43" i="18"/>
  <c r="GB43" i="18"/>
  <c r="GC43" i="18"/>
  <c r="GD43" i="18"/>
  <c r="GE43" i="18"/>
  <c r="GF43" i="18"/>
  <c r="GG43" i="18"/>
  <c r="GH43" i="18"/>
  <c r="GI43" i="18"/>
  <c r="GJ43" i="18"/>
  <c r="GK43" i="18"/>
  <c r="GL43" i="18"/>
  <c r="GM43" i="18"/>
  <c r="GN43" i="18"/>
  <c r="GO43" i="18"/>
  <c r="GP43" i="18"/>
  <c r="GQ43" i="18"/>
  <c r="GR43" i="18"/>
  <c r="GS43" i="18"/>
  <c r="GT43" i="18"/>
  <c r="GU43" i="18"/>
  <c r="GV43" i="18"/>
  <c r="GW43" i="18"/>
  <c r="GX43" i="18"/>
  <c r="GY43" i="18"/>
  <c r="GZ43" i="18"/>
  <c r="HA43" i="18"/>
  <c r="HB43" i="18"/>
  <c r="HC43" i="18"/>
  <c r="I44" i="18"/>
  <c r="J44" i="18"/>
  <c r="K44" i="18"/>
  <c r="L44" i="18"/>
  <c r="M44" i="18"/>
  <c r="N44" i="18"/>
  <c r="O44" i="18"/>
  <c r="P44" i="18"/>
  <c r="Q44" i="18"/>
  <c r="R44" i="18"/>
  <c r="S44" i="18"/>
  <c r="T44" i="18"/>
  <c r="U44" i="18"/>
  <c r="V44" i="18"/>
  <c r="W44" i="18"/>
  <c r="X44" i="18"/>
  <c r="Y44" i="18"/>
  <c r="Z44" i="18"/>
  <c r="AA44" i="18"/>
  <c r="AB44" i="18"/>
  <c r="AC44" i="18"/>
  <c r="AD44" i="18"/>
  <c r="AE44" i="18"/>
  <c r="AF44" i="18"/>
  <c r="AG44" i="18"/>
  <c r="AH44" i="18"/>
  <c r="AI44" i="18"/>
  <c r="AJ44" i="18"/>
  <c r="AK44" i="18"/>
  <c r="AL44" i="18"/>
  <c r="AM44" i="18"/>
  <c r="AN44" i="18"/>
  <c r="AO44" i="18"/>
  <c r="AP44" i="18"/>
  <c r="AQ44" i="18"/>
  <c r="AR44" i="18"/>
  <c r="AS44" i="18"/>
  <c r="AT44" i="18"/>
  <c r="AU44" i="18"/>
  <c r="AV44" i="18"/>
  <c r="AW44" i="18"/>
  <c r="AX44" i="18"/>
  <c r="AY44" i="18"/>
  <c r="AZ44" i="18"/>
  <c r="BA44" i="18"/>
  <c r="BB44" i="18"/>
  <c r="BC44" i="18"/>
  <c r="BD44" i="18"/>
  <c r="BE44" i="18"/>
  <c r="BF44" i="18"/>
  <c r="BG44" i="18"/>
  <c r="BH44" i="18"/>
  <c r="BI44" i="18"/>
  <c r="BJ44" i="18"/>
  <c r="BK44" i="18"/>
  <c r="BL44" i="18"/>
  <c r="BM44" i="18"/>
  <c r="BN44" i="18"/>
  <c r="BO44" i="18"/>
  <c r="BP44" i="18"/>
  <c r="BQ44" i="18"/>
  <c r="BR44" i="18"/>
  <c r="BS44" i="18"/>
  <c r="BT44" i="18"/>
  <c r="BU44" i="18"/>
  <c r="BV44" i="18"/>
  <c r="BW44" i="18"/>
  <c r="BX44" i="18"/>
  <c r="BY44" i="18"/>
  <c r="BZ44" i="18"/>
  <c r="CA44" i="18"/>
  <c r="CB44" i="18"/>
  <c r="CC44" i="18"/>
  <c r="CD44" i="18"/>
  <c r="CE44" i="18"/>
  <c r="CF44" i="18"/>
  <c r="CG44" i="18"/>
  <c r="CH44" i="18"/>
  <c r="CI44" i="18"/>
  <c r="CJ44" i="18"/>
  <c r="CK44" i="18"/>
  <c r="CL44" i="18"/>
  <c r="CM44" i="18"/>
  <c r="CN44" i="18"/>
  <c r="CO44" i="18"/>
  <c r="CP44" i="18"/>
  <c r="CQ44" i="18"/>
  <c r="CR44" i="18"/>
  <c r="CS44" i="18"/>
  <c r="CT44" i="18"/>
  <c r="CU44" i="18"/>
  <c r="CV44" i="18"/>
  <c r="CW44" i="18"/>
  <c r="CX44" i="18"/>
  <c r="CY44" i="18"/>
  <c r="CZ44" i="18"/>
  <c r="DA44" i="18"/>
  <c r="DB44" i="18"/>
  <c r="DC44" i="18"/>
  <c r="DD44" i="18"/>
  <c r="DE44" i="18"/>
  <c r="DF44" i="18"/>
  <c r="DG44" i="18"/>
  <c r="DH44" i="18"/>
  <c r="DI44" i="18"/>
  <c r="DJ44" i="18"/>
  <c r="DK44" i="18"/>
  <c r="DL44" i="18"/>
  <c r="DM44" i="18"/>
  <c r="DN44" i="18"/>
  <c r="DO44" i="18"/>
  <c r="DP44" i="18"/>
  <c r="DQ44" i="18"/>
  <c r="DR44" i="18"/>
  <c r="DS44" i="18"/>
  <c r="DT44" i="18"/>
  <c r="DU44" i="18"/>
  <c r="DV44" i="18"/>
  <c r="DW44" i="18"/>
  <c r="DX44" i="18"/>
  <c r="DY44" i="18"/>
  <c r="DZ44" i="18"/>
  <c r="EA44" i="18"/>
  <c r="EB44" i="18"/>
  <c r="EC44" i="18"/>
  <c r="ED44" i="18"/>
  <c r="EE44" i="18"/>
  <c r="EF44" i="18"/>
  <c r="EG44" i="18"/>
  <c r="EH44" i="18"/>
  <c r="EI44" i="18"/>
  <c r="EJ44" i="18"/>
  <c r="EK44" i="18"/>
  <c r="EL44" i="18"/>
  <c r="EM44" i="18"/>
  <c r="EN44" i="18"/>
  <c r="EO44" i="18"/>
  <c r="EP44" i="18"/>
  <c r="EQ44" i="18"/>
  <c r="ER44" i="18"/>
  <c r="ES44" i="18"/>
  <c r="ET44" i="18"/>
  <c r="EU44" i="18"/>
  <c r="EV44" i="18"/>
  <c r="EW44" i="18"/>
  <c r="EX44" i="18"/>
  <c r="EY44" i="18"/>
  <c r="EZ44" i="18"/>
  <c r="FA44" i="18"/>
  <c r="FB44" i="18"/>
  <c r="FC44" i="18"/>
  <c r="FD44" i="18"/>
  <c r="FE44" i="18"/>
  <c r="FF44" i="18"/>
  <c r="FG44" i="18"/>
  <c r="FH44" i="18"/>
  <c r="FI44" i="18"/>
  <c r="FJ44" i="18"/>
  <c r="FK44" i="18"/>
  <c r="FL44" i="18"/>
  <c r="FM44" i="18"/>
  <c r="FN44" i="18"/>
  <c r="FO44" i="18"/>
  <c r="FP44" i="18"/>
  <c r="FQ44" i="18"/>
  <c r="FR44" i="18"/>
  <c r="FS44" i="18"/>
  <c r="FT44" i="18"/>
  <c r="FU44" i="18"/>
  <c r="FV44" i="18"/>
  <c r="FW44" i="18"/>
  <c r="FX44" i="18"/>
  <c r="FY44" i="18"/>
  <c r="FZ44" i="18"/>
  <c r="GA44" i="18"/>
  <c r="GB44" i="18"/>
  <c r="GC44" i="18"/>
  <c r="GD44" i="18"/>
  <c r="GE44" i="18"/>
  <c r="GF44" i="18"/>
  <c r="GG44" i="18"/>
  <c r="GH44" i="18"/>
  <c r="GI44" i="18"/>
  <c r="GJ44" i="18"/>
  <c r="GK44" i="18"/>
  <c r="GL44" i="18"/>
  <c r="GM44" i="18"/>
  <c r="GN44" i="18"/>
  <c r="GO44" i="18"/>
  <c r="GP44" i="18"/>
  <c r="GQ44" i="18"/>
  <c r="GR44" i="18"/>
  <c r="GS44" i="18"/>
  <c r="GT44" i="18"/>
  <c r="GU44" i="18"/>
  <c r="GV44" i="18"/>
  <c r="GW44" i="18"/>
  <c r="GX44" i="18"/>
  <c r="GY44" i="18"/>
  <c r="GZ44" i="18"/>
  <c r="HA44" i="18"/>
  <c r="HB44" i="18"/>
  <c r="HC44" i="18"/>
  <c r="I45" i="18"/>
  <c r="J45" i="18"/>
  <c r="K45" i="18"/>
  <c r="L45" i="18"/>
  <c r="M45" i="18"/>
  <c r="N45" i="18"/>
  <c r="O45" i="18"/>
  <c r="P45" i="18"/>
  <c r="Q45" i="18"/>
  <c r="R45" i="18"/>
  <c r="S45" i="18"/>
  <c r="T45" i="18"/>
  <c r="U45" i="18"/>
  <c r="V45" i="18"/>
  <c r="W45" i="18"/>
  <c r="X45" i="18"/>
  <c r="Y45" i="18"/>
  <c r="Z45" i="18"/>
  <c r="AA45" i="18"/>
  <c r="AB45" i="18"/>
  <c r="AC45" i="18"/>
  <c r="AD45" i="18"/>
  <c r="AE45" i="18"/>
  <c r="AF45" i="18"/>
  <c r="AG45" i="18"/>
  <c r="AH45" i="18"/>
  <c r="AI45" i="18"/>
  <c r="AJ45" i="18"/>
  <c r="AK45" i="18"/>
  <c r="AL45" i="18"/>
  <c r="AM45" i="18"/>
  <c r="AN45" i="18"/>
  <c r="AO45" i="18"/>
  <c r="AP45" i="18"/>
  <c r="AQ45" i="18"/>
  <c r="AR45" i="18"/>
  <c r="AS45" i="18"/>
  <c r="AT45" i="18"/>
  <c r="AU45" i="18"/>
  <c r="AV45" i="18"/>
  <c r="AW45" i="18"/>
  <c r="AX45" i="18"/>
  <c r="AY45" i="18"/>
  <c r="AZ45" i="18"/>
  <c r="BA45" i="18"/>
  <c r="BB45" i="18"/>
  <c r="BC45" i="18"/>
  <c r="BD45" i="18"/>
  <c r="BE45" i="18"/>
  <c r="BF45" i="18"/>
  <c r="BG45" i="18"/>
  <c r="BH45" i="18"/>
  <c r="BI45" i="18"/>
  <c r="BJ45" i="18"/>
  <c r="BK45" i="18"/>
  <c r="BL45" i="18"/>
  <c r="BM45" i="18"/>
  <c r="BN45" i="18"/>
  <c r="BO45" i="18"/>
  <c r="BP45" i="18"/>
  <c r="BQ45" i="18"/>
  <c r="BR45" i="18"/>
  <c r="BS45" i="18"/>
  <c r="BT45" i="18"/>
  <c r="BU45" i="18"/>
  <c r="BV45" i="18"/>
  <c r="BW45" i="18"/>
  <c r="BX45" i="18"/>
  <c r="BY45" i="18"/>
  <c r="BZ45" i="18"/>
  <c r="CA45" i="18"/>
  <c r="CB45" i="18"/>
  <c r="CC45" i="18"/>
  <c r="CD45" i="18"/>
  <c r="CE45" i="18"/>
  <c r="CF45" i="18"/>
  <c r="CG45" i="18"/>
  <c r="CH45" i="18"/>
  <c r="CI45" i="18"/>
  <c r="CJ45" i="18"/>
  <c r="CK45" i="18"/>
  <c r="CL45" i="18"/>
  <c r="CM45" i="18"/>
  <c r="CN45" i="18"/>
  <c r="CO45" i="18"/>
  <c r="CP45" i="18"/>
  <c r="CQ45" i="18"/>
  <c r="CR45" i="18"/>
  <c r="CS45" i="18"/>
  <c r="CT45" i="18"/>
  <c r="CU45" i="18"/>
  <c r="CV45" i="18"/>
  <c r="CW45" i="18"/>
  <c r="CX45" i="18"/>
  <c r="CY45" i="18"/>
  <c r="CZ45" i="18"/>
  <c r="DA45" i="18"/>
  <c r="DB45" i="18"/>
  <c r="DC45" i="18"/>
  <c r="DD45" i="18"/>
  <c r="DE45" i="18"/>
  <c r="DF45" i="18"/>
  <c r="DG45" i="18"/>
  <c r="DH45" i="18"/>
  <c r="DI45" i="18"/>
  <c r="DJ45" i="18"/>
  <c r="DK45" i="18"/>
  <c r="DL45" i="18"/>
  <c r="DM45" i="18"/>
  <c r="DN45" i="18"/>
  <c r="DO45" i="18"/>
  <c r="DP45" i="18"/>
  <c r="DQ45" i="18"/>
  <c r="DR45" i="18"/>
  <c r="DS45" i="18"/>
  <c r="DT45" i="18"/>
  <c r="DU45" i="18"/>
  <c r="DV45" i="18"/>
  <c r="DW45" i="18"/>
  <c r="DX45" i="18"/>
  <c r="DY45" i="18"/>
  <c r="DZ45" i="18"/>
  <c r="EA45" i="18"/>
  <c r="EB45" i="18"/>
  <c r="EC45" i="18"/>
  <c r="ED45" i="18"/>
  <c r="EE45" i="18"/>
  <c r="EF45" i="18"/>
  <c r="EG45" i="18"/>
  <c r="EH45" i="18"/>
  <c r="EI45" i="18"/>
  <c r="EJ45" i="18"/>
  <c r="EK45" i="18"/>
  <c r="EL45" i="18"/>
  <c r="EM45" i="18"/>
  <c r="EN45" i="18"/>
  <c r="EO45" i="18"/>
  <c r="EP45" i="18"/>
  <c r="EQ45" i="18"/>
  <c r="ER45" i="18"/>
  <c r="ES45" i="18"/>
  <c r="ET45" i="18"/>
  <c r="EU45" i="18"/>
  <c r="EV45" i="18"/>
  <c r="EW45" i="18"/>
  <c r="EX45" i="18"/>
  <c r="EY45" i="18"/>
  <c r="EZ45" i="18"/>
  <c r="FA45" i="18"/>
  <c r="FB45" i="18"/>
  <c r="FC45" i="18"/>
  <c r="FD45" i="18"/>
  <c r="FE45" i="18"/>
  <c r="FF45" i="18"/>
  <c r="FG45" i="18"/>
  <c r="FH45" i="18"/>
  <c r="FI45" i="18"/>
  <c r="FJ45" i="18"/>
  <c r="FK45" i="18"/>
  <c r="FL45" i="18"/>
  <c r="FM45" i="18"/>
  <c r="FN45" i="18"/>
  <c r="FO45" i="18"/>
  <c r="FP45" i="18"/>
  <c r="FQ45" i="18"/>
  <c r="FR45" i="18"/>
  <c r="FS45" i="18"/>
  <c r="FT45" i="18"/>
  <c r="FU45" i="18"/>
  <c r="FV45" i="18"/>
  <c r="FW45" i="18"/>
  <c r="FX45" i="18"/>
  <c r="FY45" i="18"/>
  <c r="FZ45" i="18"/>
  <c r="GA45" i="18"/>
  <c r="GB45" i="18"/>
  <c r="GC45" i="18"/>
  <c r="GD45" i="18"/>
  <c r="GE45" i="18"/>
  <c r="GF45" i="18"/>
  <c r="GG45" i="18"/>
  <c r="GH45" i="18"/>
  <c r="GI45" i="18"/>
  <c r="GJ45" i="18"/>
  <c r="GK45" i="18"/>
  <c r="GL45" i="18"/>
  <c r="GM45" i="18"/>
  <c r="GN45" i="18"/>
  <c r="GO45" i="18"/>
  <c r="GP45" i="18"/>
  <c r="GQ45" i="18"/>
  <c r="GR45" i="18"/>
  <c r="GS45" i="18"/>
  <c r="GT45" i="18"/>
  <c r="GU45" i="18"/>
  <c r="GV45" i="18"/>
  <c r="GW45" i="18"/>
  <c r="GX45" i="18"/>
  <c r="GY45" i="18"/>
  <c r="GZ45" i="18"/>
  <c r="HA45" i="18"/>
  <c r="HB45" i="18"/>
  <c r="HC45" i="18"/>
  <c r="I46" i="18"/>
  <c r="J46" i="18"/>
  <c r="K46" i="18"/>
  <c r="L46" i="18"/>
  <c r="M46" i="18"/>
  <c r="N46" i="18"/>
  <c r="O46" i="18"/>
  <c r="P46" i="18"/>
  <c r="Q46" i="18"/>
  <c r="R46" i="18"/>
  <c r="S46" i="18"/>
  <c r="T46" i="18"/>
  <c r="U46" i="18"/>
  <c r="V46" i="18"/>
  <c r="W46" i="18"/>
  <c r="X46" i="18"/>
  <c r="Y46" i="18"/>
  <c r="Z46" i="18"/>
  <c r="AA46" i="18"/>
  <c r="AB46" i="18"/>
  <c r="AC46" i="18"/>
  <c r="AD46" i="18"/>
  <c r="AE46" i="18"/>
  <c r="AF46" i="18"/>
  <c r="AG46" i="18"/>
  <c r="AH46" i="18"/>
  <c r="AI46" i="18"/>
  <c r="AJ46" i="18"/>
  <c r="AK46" i="18"/>
  <c r="AL46" i="18"/>
  <c r="AM46" i="18"/>
  <c r="AN46" i="18"/>
  <c r="AO46" i="18"/>
  <c r="AP46" i="18"/>
  <c r="AQ46" i="18"/>
  <c r="AR46" i="18"/>
  <c r="AS46" i="18"/>
  <c r="AT46" i="18"/>
  <c r="AU46" i="18"/>
  <c r="AV46" i="18"/>
  <c r="AW46" i="18"/>
  <c r="AX46" i="18"/>
  <c r="AY46" i="18"/>
  <c r="AZ46" i="18"/>
  <c r="BA46" i="18"/>
  <c r="BB46" i="18"/>
  <c r="BC46" i="18"/>
  <c r="BD46" i="18"/>
  <c r="BE46" i="18"/>
  <c r="BF46" i="18"/>
  <c r="BG46" i="18"/>
  <c r="BH46" i="18"/>
  <c r="BI46" i="18"/>
  <c r="BJ46" i="18"/>
  <c r="BK46" i="18"/>
  <c r="BL46" i="18"/>
  <c r="BM46" i="18"/>
  <c r="BN46" i="18"/>
  <c r="BO46" i="18"/>
  <c r="BP46" i="18"/>
  <c r="BQ46" i="18"/>
  <c r="BR46" i="18"/>
  <c r="BS46" i="18"/>
  <c r="BT46" i="18"/>
  <c r="BU46" i="18"/>
  <c r="BV46" i="18"/>
  <c r="BW46" i="18"/>
  <c r="BX46" i="18"/>
  <c r="BY46" i="18"/>
  <c r="BZ46" i="18"/>
  <c r="CA46" i="18"/>
  <c r="CB46" i="18"/>
  <c r="CC46" i="18"/>
  <c r="CD46" i="18"/>
  <c r="CE46" i="18"/>
  <c r="CF46" i="18"/>
  <c r="CG46" i="18"/>
  <c r="CH46" i="18"/>
  <c r="CI46" i="18"/>
  <c r="CJ46" i="18"/>
  <c r="CK46" i="18"/>
  <c r="CL46" i="18"/>
  <c r="CM46" i="18"/>
  <c r="CN46" i="18"/>
  <c r="CO46" i="18"/>
  <c r="CP46" i="18"/>
  <c r="CQ46" i="18"/>
  <c r="CR46" i="18"/>
  <c r="CS46" i="18"/>
  <c r="CT46" i="18"/>
  <c r="CU46" i="18"/>
  <c r="CV46" i="18"/>
  <c r="CW46" i="18"/>
  <c r="CX46" i="18"/>
  <c r="CY46" i="18"/>
  <c r="CZ46" i="18"/>
  <c r="DA46" i="18"/>
  <c r="DB46" i="18"/>
  <c r="DC46" i="18"/>
  <c r="DD46" i="18"/>
  <c r="DE46" i="18"/>
  <c r="DF46" i="18"/>
  <c r="DG46" i="18"/>
  <c r="DH46" i="18"/>
  <c r="DI46" i="18"/>
  <c r="DJ46" i="18"/>
  <c r="DK46" i="18"/>
  <c r="DL46" i="18"/>
  <c r="DM46" i="18"/>
  <c r="DN46" i="18"/>
  <c r="DO46" i="18"/>
  <c r="DP46" i="18"/>
  <c r="DQ46" i="18"/>
  <c r="DR46" i="18"/>
  <c r="DS46" i="18"/>
  <c r="DT46" i="18"/>
  <c r="DU46" i="18"/>
  <c r="DV46" i="18"/>
  <c r="DW46" i="18"/>
  <c r="DX46" i="18"/>
  <c r="DY46" i="18"/>
  <c r="DZ46" i="18"/>
  <c r="EA46" i="18"/>
  <c r="EB46" i="18"/>
  <c r="EC46" i="18"/>
  <c r="ED46" i="18"/>
  <c r="EE46" i="18"/>
  <c r="EF46" i="18"/>
  <c r="EG46" i="18"/>
  <c r="EH46" i="18"/>
  <c r="EI46" i="18"/>
  <c r="EJ46" i="18"/>
  <c r="EK46" i="18"/>
  <c r="EL46" i="18"/>
  <c r="EM46" i="18"/>
  <c r="EN46" i="18"/>
  <c r="EO46" i="18"/>
  <c r="EP46" i="18"/>
  <c r="EQ46" i="18"/>
  <c r="ER46" i="18"/>
  <c r="ES46" i="18"/>
  <c r="ET46" i="18"/>
  <c r="EU46" i="18"/>
  <c r="EV46" i="18"/>
  <c r="EW46" i="18"/>
  <c r="EX46" i="18"/>
  <c r="EY46" i="18"/>
  <c r="EZ46" i="18"/>
  <c r="FA46" i="18"/>
  <c r="FB46" i="18"/>
  <c r="FC46" i="18"/>
  <c r="FD46" i="18"/>
  <c r="FE46" i="18"/>
  <c r="FF46" i="18"/>
  <c r="FG46" i="18"/>
  <c r="FH46" i="18"/>
  <c r="FI46" i="18"/>
  <c r="FJ46" i="18"/>
  <c r="FK46" i="18"/>
  <c r="FL46" i="18"/>
  <c r="FM46" i="18"/>
  <c r="FN46" i="18"/>
  <c r="FO46" i="18"/>
  <c r="FP46" i="18"/>
  <c r="FQ46" i="18"/>
  <c r="FR46" i="18"/>
  <c r="FS46" i="18"/>
  <c r="FT46" i="18"/>
  <c r="FU46" i="18"/>
  <c r="FV46" i="18"/>
  <c r="FW46" i="18"/>
  <c r="FX46" i="18"/>
  <c r="FY46" i="18"/>
  <c r="FZ46" i="18"/>
  <c r="GA46" i="18"/>
  <c r="GB46" i="18"/>
  <c r="GC46" i="18"/>
  <c r="GD46" i="18"/>
  <c r="GE46" i="18"/>
  <c r="GF46" i="18"/>
  <c r="GG46" i="18"/>
  <c r="GH46" i="18"/>
  <c r="GI46" i="18"/>
  <c r="GJ46" i="18"/>
  <c r="GK46" i="18"/>
  <c r="GL46" i="18"/>
  <c r="GM46" i="18"/>
  <c r="GN46" i="18"/>
  <c r="GO46" i="18"/>
  <c r="GP46" i="18"/>
  <c r="GQ46" i="18"/>
  <c r="GR46" i="18"/>
  <c r="GS46" i="18"/>
  <c r="GT46" i="18"/>
  <c r="GU46" i="18"/>
  <c r="GV46" i="18"/>
  <c r="GW46" i="18"/>
  <c r="GX46" i="18"/>
  <c r="GY46" i="18"/>
  <c r="GZ46" i="18"/>
  <c r="HA46" i="18"/>
  <c r="HB46" i="18"/>
  <c r="HC46" i="18"/>
  <c r="H46" i="18"/>
  <c r="H45" i="18"/>
  <c r="H44" i="18"/>
  <c r="H43" i="18"/>
  <c r="I40" i="18"/>
  <c r="J40" i="18"/>
  <c r="K40" i="18"/>
  <c r="L40" i="18"/>
  <c r="M40" i="18"/>
  <c r="N40" i="18"/>
  <c r="O40" i="18"/>
  <c r="P40" i="18"/>
  <c r="Q40" i="18"/>
  <c r="R40" i="18"/>
  <c r="S40" i="18"/>
  <c r="T40" i="18"/>
  <c r="U40" i="18"/>
  <c r="V40" i="18"/>
  <c r="W40" i="18"/>
  <c r="X40" i="18"/>
  <c r="Y40" i="18"/>
  <c r="Z40" i="18"/>
  <c r="AA40" i="18"/>
  <c r="AB40" i="18"/>
  <c r="AC40" i="18"/>
  <c r="AD40" i="18"/>
  <c r="AE40" i="18"/>
  <c r="AF40" i="18"/>
  <c r="AG40" i="18"/>
  <c r="AH40" i="18"/>
  <c r="AI40" i="18"/>
  <c r="AJ40" i="18"/>
  <c r="AK40" i="18"/>
  <c r="AL40" i="18"/>
  <c r="AM40" i="18"/>
  <c r="AN40" i="18"/>
  <c r="AO40" i="18"/>
  <c r="AP40" i="18"/>
  <c r="AQ40" i="18"/>
  <c r="AR40" i="18"/>
  <c r="AS40" i="18"/>
  <c r="AT40" i="18"/>
  <c r="AU40" i="18"/>
  <c r="AV40" i="18"/>
  <c r="AW40" i="18"/>
  <c r="AX40" i="18"/>
  <c r="AY40" i="18"/>
  <c r="AZ40" i="18"/>
  <c r="BA40" i="18"/>
  <c r="BB40" i="18"/>
  <c r="BC40" i="18"/>
  <c r="BD40" i="18"/>
  <c r="BE40" i="18"/>
  <c r="BF40" i="18"/>
  <c r="BG40" i="18"/>
  <c r="BH40" i="18"/>
  <c r="BI40" i="18"/>
  <c r="BJ40" i="18"/>
  <c r="BK40" i="18"/>
  <c r="BL40" i="18"/>
  <c r="BM40" i="18"/>
  <c r="BN40" i="18"/>
  <c r="BO40" i="18"/>
  <c r="BP40" i="18"/>
  <c r="BQ40" i="18"/>
  <c r="BR40" i="18"/>
  <c r="BS40" i="18"/>
  <c r="BT40" i="18"/>
  <c r="BU40" i="18"/>
  <c r="BV40" i="18"/>
  <c r="BW40" i="18"/>
  <c r="BX40" i="18"/>
  <c r="BY40" i="18"/>
  <c r="BZ40" i="18"/>
  <c r="CA40" i="18"/>
  <c r="CB40" i="18"/>
  <c r="CC40" i="18"/>
  <c r="CD40" i="18"/>
  <c r="CE40" i="18"/>
  <c r="CF40" i="18"/>
  <c r="CG40" i="18"/>
  <c r="CH40" i="18"/>
  <c r="CI40" i="18"/>
  <c r="CJ40" i="18"/>
  <c r="CK40" i="18"/>
  <c r="CL40" i="18"/>
  <c r="CM40" i="18"/>
  <c r="CN40" i="18"/>
  <c r="CO40" i="18"/>
  <c r="CP40" i="18"/>
  <c r="CQ40" i="18"/>
  <c r="CR40" i="18"/>
  <c r="CS40" i="18"/>
  <c r="CT40" i="18"/>
  <c r="CU40" i="18"/>
  <c r="CV40" i="18"/>
  <c r="CW40" i="18"/>
  <c r="CX40" i="18"/>
  <c r="CY40" i="18"/>
  <c r="CZ40" i="18"/>
  <c r="DA40" i="18"/>
  <c r="DB40" i="18"/>
  <c r="DC40" i="18"/>
  <c r="DD40" i="18"/>
  <c r="DE40" i="18"/>
  <c r="DF40" i="18"/>
  <c r="DG40" i="18"/>
  <c r="DH40" i="18"/>
  <c r="DI40" i="18"/>
  <c r="DJ40" i="18"/>
  <c r="DK40" i="18"/>
  <c r="DL40" i="18"/>
  <c r="DM40" i="18"/>
  <c r="DN40" i="18"/>
  <c r="DO40" i="18"/>
  <c r="DP40" i="18"/>
  <c r="DQ40" i="18"/>
  <c r="DR40" i="18"/>
  <c r="DS40" i="18"/>
  <c r="DT40" i="18"/>
  <c r="DU40" i="18"/>
  <c r="DV40" i="18"/>
  <c r="DW40" i="18"/>
  <c r="DX40" i="18"/>
  <c r="DY40" i="18"/>
  <c r="DZ40" i="18"/>
  <c r="EA40" i="18"/>
  <c r="EB40" i="18"/>
  <c r="EC40" i="18"/>
  <c r="ED40" i="18"/>
  <c r="EE40" i="18"/>
  <c r="EF40" i="18"/>
  <c r="EG40" i="18"/>
  <c r="EH40" i="18"/>
  <c r="EI40" i="18"/>
  <c r="EJ40" i="18"/>
  <c r="EK40" i="18"/>
  <c r="EL40" i="18"/>
  <c r="EM40" i="18"/>
  <c r="EN40" i="18"/>
  <c r="EO40" i="18"/>
  <c r="EP40" i="18"/>
  <c r="EQ40" i="18"/>
  <c r="ER40" i="18"/>
  <c r="ES40" i="18"/>
  <c r="ET40" i="18"/>
  <c r="EU40" i="18"/>
  <c r="EV40" i="18"/>
  <c r="EW40" i="18"/>
  <c r="EX40" i="18"/>
  <c r="EY40" i="18"/>
  <c r="EZ40" i="18"/>
  <c r="FA40" i="18"/>
  <c r="FB40" i="18"/>
  <c r="FC40" i="18"/>
  <c r="FD40" i="18"/>
  <c r="FE40" i="18"/>
  <c r="FF40" i="18"/>
  <c r="FG40" i="18"/>
  <c r="FH40" i="18"/>
  <c r="FI40" i="18"/>
  <c r="FJ40" i="18"/>
  <c r="FK40" i="18"/>
  <c r="FL40" i="18"/>
  <c r="FM40" i="18"/>
  <c r="FN40" i="18"/>
  <c r="FO40" i="18"/>
  <c r="FP40" i="18"/>
  <c r="FQ40" i="18"/>
  <c r="FR40" i="18"/>
  <c r="FS40" i="18"/>
  <c r="FT40" i="18"/>
  <c r="FU40" i="18"/>
  <c r="FV40" i="18"/>
  <c r="FW40" i="18"/>
  <c r="FX40" i="18"/>
  <c r="FY40" i="18"/>
  <c r="FZ40" i="18"/>
  <c r="GA40" i="18"/>
  <c r="GB40" i="18"/>
  <c r="GC40" i="18"/>
  <c r="GD40" i="18"/>
  <c r="GE40" i="18"/>
  <c r="GF40" i="18"/>
  <c r="GG40" i="18"/>
  <c r="GH40" i="18"/>
  <c r="GI40" i="18"/>
  <c r="GJ40" i="18"/>
  <c r="GK40" i="18"/>
  <c r="GL40" i="18"/>
  <c r="GM40" i="18"/>
  <c r="GN40" i="18"/>
  <c r="GO40" i="18"/>
  <c r="GP40" i="18"/>
  <c r="GQ40" i="18"/>
  <c r="GR40" i="18"/>
  <c r="GS40" i="18"/>
  <c r="GT40" i="18"/>
  <c r="GU40" i="18"/>
  <c r="GV40" i="18"/>
  <c r="GW40" i="18"/>
  <c r="GX40" i="18"/>
  <c r="GY40" i="18"/>
  <c r="GZ40" i="18"/>
  <c r="HA40" i="18"/>
  <c r="HB40" i="18"/>
  <c r="HC40" i="18"/>
  <c r="I41" i="18"/>
  <c r="J41" i="18"/>
  <c r="K41" i="18"/>
  <c r="L41" i="18"/>
  <c r="M41" i="18"/>
  <c r="N41" i="18"/>
  <c r="O41" i="18"/>
  <c r="P41" i="18"/>
  <c r="Q41" i="18"/>
  <c r="R41" i="18"/>
  <c r="S41" i="18"/>
  <c r="T41" i="18"/>
  <c r="U41" i="18"/>
  <c r="V41" i="18"/>
  <c r="W41" i="18"/>
  <c r="X41" i="18"/>
  <c r="Y41" i="18"/>
  <c r="Z41" i="18"/>
  <c r="AA41" i="18"/>
  <c r="AB41" i="18"/>
  <c r="AC41" i="18"/>
  <c r="AD41" i="18"/>
  <c r="AE41" i="18"/>
  <c r="AF41" i="18"/>
  <c r="AG41" i="18"/>
  <c r="AH41" i="18"/>
  <c r="AI41" i="18"/>
  <c r="AJ41" i="18"/>
  <c r="AK41" i="18"/>
  <c r="AL41" i="18"/>
  <c r="AM41" i="18"/>
  <c r="AN41" i="18"/>
  <c r="AO41" i="18"/>
  <c r="AP41" i="18"/>
  <c r="AQ41" i="18"/>
  <c r="AR41" i="18"/>
  <c r="AS41" i="18"/>
  <c r="AT41" i="18"/>
  <c r="AU41" i="18"/>
  <c r="AV41" i="18"/>
  <c r="AW41" i="18"/>
  <c r="AX41" i="18"/>
  <c r="AY41" i="18"/>
  <c r="AZ41" i="18"/>
  <c r="BA41" i="18"/>
  <c r="BB41" i="18"/>
  <c r="BC41" i="18"/>
  <c r="BD41" i="18"/>
  <c r="BE41" i="18"/>
  <c r="BF41" i="18"/>
  <c r="BG41" i="18"/>
  <c r="BH41" i="18"/>
  <c r="BI41" i="18"/>
  <c r="BJ41" i="18"/>
  <c r="BK41" i="18"/>
  <c r="BL41" i="18"/>
  <c r="BM41" i="18"/>
  <c r="BN41" i="18"/>
  <c r="BO41" i="18"/>
  <c r="BP41" i="18"/>
  <c r="BQ41" i="18"/>
  <c r="BR41" i="18"/>
  <c r="BS41" i="18"/>
  <c r="BT41" i="18"/>
  <c r="BU41" i="18"/>
  <c r="BV41" i="18"/>
  <c r="BW41" i="18"/>
  <c r="BX41" i="18"/>
  <c r="BY41" i="18"/>
  <c r="BZ41" i="18"/>
  <c r="CA41" i="18"/>
  <c r="CB41" i="18"/>
  <c r="CC41" i="18"/>
  <c r="CD41" i="18"/>
  <c r="CE41" i="18"/>
  <c r="CF41" i="18"/>
  <c r="CG41" i="18"/>
  <c r="CH41" i="18"/>
  <c r="CI41" i="18"/>
  <c r="CJ41" i="18"/>
  <c r="CK41" i="18"/>
  <c r="CL41" i="18"/>
  <c r="CM41" i="18"/>
  <c r="CN41" i="18"/>
  <c r="CO41" i="18"/>
  <c r="CP41" i="18"/>
  <c r="CQ41" i="18"/>
  <c r="CR41" i="18"/>
  <c r="CS41" i="18"/>
  <c r="CT41" i="18"/>
  <c r="CU41" i="18"/>
  <c r="CV41" i="18"/>
  <c r="CW41" i="18"/>
  <c r="CX41" i="18"/>
  <c r="CY41" i="18"/>
  <c r="CZ41" i="18"/>
  <c r="DA41" i="18"/>
  <c r="DB41" i="18"/>
  <c r="DC41" i="18"/>
  <c r="DD41" i="18"/>
  <c r="DE41" i="18"/>
  <c r="DF41" i="18"/>
  <c r="DG41" i="18"/>
  <c r="DH41" i="18"/>
  <c r="DI41" i="18"/>
  <c r="DJ41" i="18"/>
  <c r="DK41" i="18"/>
  <c r="DL41" i="18"/>
  <c r="DM41" i="18"/>
  <c r="DN41" i="18"/>
  <c r="DO41" i="18"/>
  <c r="DP41" i="18"/>
  <c r="DQ41" i="18"/>
  <c r="DR41" i="18"/>
  <c r="DS41" i="18"/>
  <c r="DT41" i="18"/>
  <c r="DU41" i="18"/>
  <c r="DV41" i="18"/>
  <c r="DW41" i="18"/>
  <c r="DX41" i="18"/>
  <c r="DY41" i="18"/>
  <c r="DZ41" i="18"/>
  <c r="EA41" i="18"/>
  <c r="EB41" i="18"/>
  <c r="EC41" i="18"/>
  <c r="ED41" i="18"/>
  <c r="EE41" i="18"/>
  <c r="EF41" i="18"/>
  <c r="EG41" i="18"/>
  <c r="EH41" i="18"/>
  <c r="EI41" i="18"/>
  <c r="EJ41" i="18"/>
  <c r="EK41" i="18"/>
  <c r="EL41" i="18"/>
  <c r="EM41" i="18"/>
  <c r="EN41" i="18"/>
  <c r="EO41" i="18"/>
  <c r="EP41" i="18"/>
  <c r="EQ41" i="18"/>
  <c r="ER41" i="18"/>
  <c r="ES41" i="18"/>
  <c r="ET41" i="18"/>
  <c r="EU41" i="18"/>
  <c r="EV41" i="18"/>
  <c r="EW41" i="18"/>
  <c r="EX41" i="18"/>
  <c r="EY41" i="18"/>
  <c r="EZ41" i="18"/>
  <c r="FA41" i="18"/>
  <c r="FB41" i="18"/>
  <c r="FC41" i="18"/>
  <c r="FD41" i="18"/>
  <c r="FE41" i="18"/>
  <c r="FF41" i="18"/>
  <c r="FG41" i="18"/>
  <c r="FH41" i="18"/>
  <c r="FI41" i="18"/>
  <c r="FJ41" i="18"/>
  <c r="FK41" i="18"/>
  <c r="FL41" i="18"/>
  <c r="FM41" i="18"/>
  <c r="FN41" i="18"/>
  <c r="FO41" i="18"/>
  <c r="FP41" i="18"/>
  <c r="FQ41" i="18"/>
  <c r="FR41" i="18"/>
  <c r="FS41" i="18"/>
  <c r="FT41" i="18"/>
  <c r="FU41" i="18"/>
  <c r="FV41" i="18"/>
  <c r="FW41" i="18"/>
  <c r="FX41" i="18"/>
  <c r="FY41" i="18"/>
  <c r="FZ41" i="18"/>
  <c r="GA41" i="18"/>
  <c r="GB41" i="18"/>
  <c r="GC41" i="18"/>
  <c r="GD41" i="18"/>
  <c r="GE41" i="18"/>
  <c r="GF41" i="18"/>
  <c r="GG41" i="18"/>
  <c r="GH41" i="18"/>
  <c r="GI41" i="18"/>
  <c r="GJ41" i="18"/>
  <c r="GK41" i="18"/>
  <c r="GL41" i="18"/>
  <c r="GM41" i="18"/>
  <c r="GN41" i="18"/>
  <c r="GO41" i="18"/>
  <c r="GP41" i="18"/>
  <c r="GQ41" i="18"/>
  <c r="GR41" i="18"/>
  <c r="GS41" i="18"/>
  <c r="GT41" i="18"/>
  <c r="GU41" i="18"/>
  <c r="GV41" i="18"/>
  <c r="GW41" i="18"/>
  <c r="GX41" i="18"/>
  <c r="GY41" i="18"/>
  <c r="GZ41" i="18"/>
  <c r="HA41" i="18"/>
  <c r="HB41" i="18"/>
  <c r="HC41" i="18"/>
  <c r="I42" i="18"/>
  <c r="J42" i="18"/>
  <c r="K42" i="18"/>
  <c r="L42" i="18"/>
  <c r="M42" i="18"/>
  <c r="N42" i="18"/>
  <c r="O42" i="18"/>
  <c r="P42" i="18"/>
  <c r="Q42" i="18"/>
  <c r="R42" i="18"/>
  <c r="S42" i="18"/>
  <c r="T42" i="18"/>
  <c r="U42" i="18"/>
  <c r="V42" i="18"/>
  <c r="W42" i="18"/>
  <c r="X42" i="18"/>
  <c r="Y42" i="18"/>
  <c r="Z42" i="18"/>
  <c r="AA42" i="18"/>
  <c r="AB42" i="18"/>
  <c r="AC42" i="18"/>
  <c r="AD42" i="18"/>
  <c r="AE42" i="18"/>
  <c r="AF42" i="18"/>
  <c r="AG42" i="18"/>
  <c r="AH42" i="18"/>
  <c r="AI42" i="18"/>
  <c r="AJ42" i="18"/>
  <c r="AK42" i="18"/>
  <c r="AL42" i="18"/>
  <c r="AM42" i="18"/>
  <c r="AN42" i="18"/>
  <c r="AO42" i="18"/>
  <c r="AP42" i="18"/>
  <c r="AQ42" i="18"/>
  <c r="AR42" i="18"/>
  <c r="AS42" i="18"/>
  <c r="AT42" i="18"/>
  <c r="AU42" i="18"/>
  <c r="AV42" i="18"/>
  <c r="AW42" i="18"/>
  <c r="AX42" i="18"/>
  <c r="AY42" i="18"/>
  <c r="AZ42" i="18"/>
  <c r="BA42" i="18"/>
  <c r="BB42" i="18"/>
  <c r="BC42" i="18"/>
  <c r="BD42" i="18"/>
  <c r="BE42" i="18"/>
  <c r="BF42" i="18"/>
  <c r="BG42" i="18"/>
  <c r="BH42" i="18"/>
  <c r="BI42" i="18"/>
  <c r="BJ42" i="18"/>
  <c r="BK42" i="18"/>
  <c r="BL42" i="18"/>
  <c r="BM42" i="18"/>
  <c r="BN42" i="18"/>
  <c r="BO42" i="18"/>
  <c r="BP42" i="18"/>
  <c r="BQ42" i="18"/>
  <c r="BR42" i="18"/>
  <c r="BS42" i="18"/>
  <c r="BT42" i="18"/>
  <c r="BU42" i="18"/>
  <c r="BV42" i="18"/>
  <c r="BW42" i="18"/>
  <c r="BX42" i="18"/>
  <c r="BY42" i="18"/>
  <c r="BZ42" i="18"/>
  <c r="CA42" i="18"/>
  <c r="CB42" i="18"/>
  <c r="CC42" i="18"/>
  <c r="CD42" i="18"/>
  <c r="CE42" i="18"/>
  <c r="CF42" i="18"/>
  <c r="CG42" i="18"/>
  <c r="CH42" i="18"/>
  <c r="CI42" i="18"/>
  <c r="CJ42" i="18"/>
  <c r="CK42" i="18"/>
  <c r="CL42" i="18"/>
  <c r="CM42" i="18"/>
  <c r="CN42" i="18"/>
  <c r="CO42" i="18"/>
  <c r="CP42" i="18"/>
  <c r="CQ42" i="18"/>
  <c r="CR42" i="18"/>
  <c r="CS42" i="18"/>
  <c r="CT42" i="18"/>
  <c r="CU42" i="18"/>
  <c r="CV42" i="18"/>
  <c r="CW42" i="18"/>
  <c r="CX42" i="18"/>
  <c r="CY42" i="18"/>
  <c r="CZ42" i="18"/>
  <c r="DA42" i="18"/>
  <c r="DB42" i="18"/>
  <c r="DC42" i="18"/>
  <c r="DD42" i="18"/>
  <c r="DE42" i="18"/>
  <c r="DF42" i="18"/>
  <c r="DG42" i="18"/>
  <c r="DH42" i="18"/>
  <c r="DI42" i="18"/>
  <c r="DJ42" i="18"/>
  <c r="DK42" i="18"/>
  <c r="DL42" i="18"/>
  <c r="DM42" i="18"/>
  <c r="DN42" i="18"/>
  <c r="DO42" i="18"/>
  <c r="DP42" i="18"/>
  <c r="DQ42" i="18"/>
  <c r="DR42" i="18"/>
  <c r="DS42" i="18"/>
  <c r="DT42" i="18"/>
  <c r="DU42" i="18"/>
  <c r="DV42" i="18"/>
  <c r="DW42" i="18"/>
  <c r="DX42" i="18"/>
  <c r="DY42" i="18"/>
  <c r="DZ42" i="18"/>
  <c r="EA42" i="18"/>
  <c r="EB42" i="18"/>
  <c r="EC42" i="18"/>
  <c r="ED42" i="18"/>
  <c r="EE42" i="18"/>
  <c r="EF42" i="18"/>
  <c r="EG42" i="18"/>
  <c r="EH42" i="18"/>
  <c r="EI42" i="18"/>
  <c r="EJ42" i="18"/>
  <c r="EK42" i="18"/>
  <c r="EL42" i="18"/>
  <c r="EM42" i="18"/>
  <c r="EN42" i="18"/>
  <c r="EO42" i="18"/>
  <c r="EP42" i="18"/>
  <c r="EQ42" i="18"/>
  <c r="ER42" i="18"/>
  <c r="ES42" i="18"/>
  <c r="ET42" i="18"/>
  <c r="EU42" i="18"/>
  <c r="EV42" i="18"/>
  <c r="EW42" i="18"/>
  <c r="EX42" i="18"/>
  <c r="EY42" i="18"/>
  <c r="EZ42" i="18"/>
  <c r="FA42" i="18"/>
  <c r="FB42" i="18"/>
  <c r="FC42" i="18"/>
  <c r="FD42" i="18"/>
  <c r="FE42" i="18"/>
  <c r="FF42" i="18"/>
  <c r="FG42" i="18"/>
  <c r="FH42" i="18"/>
  <c r="FI42" i="18"/>
  <c r="FJ42" i="18"/>
  <c r="FK42" i="18"/>
  <c r="FL42" i="18"/>
  <c r="FM42" i="18"/>
  <c r="FN42" i="18"/>
  <c r="FO42" i="18"/>
  <c r="FP42" i="18"/>
  <c r="FQ42" i="18"/>
  <c r="FR42" i="18"/>
  <c r="FS42" i="18"/>
  <c r="FT42" i="18"/>
  <c r="FU42" i="18"/>
  <c r="FV42" i="18"/>
  <c r="FW42" i="18"/>
  <c r="FX42" i="18"/>
  <c r="FY42" i="18"/>
  <c r="FZ42" i="18"/>
  <c r="GA42" i="18"/>
  <c r="GB42" i="18"/>
  <c r="GC42" i="18"/>
  <c r="GD42" i="18"/>
  <c r="GE42" i="18"/>
  <c r="GF42" i="18"/>
  <c r="GG42" i="18"/>
  <c r="GH42" i="18"/>
  <c r="GI42" i="18"/>
  <c r="GJ42" i="18"/>
  <c r="GK42" i="18"/>
  <c r="GL42" i="18"/>
  <c r="GM42" i="18"/>
  <c r="GN42" i="18"/>
  <c r="GO42" i="18"/>
  <c r="GP42" i="18"/>
  <c r="GQ42" i="18"/>
  <c r="GR42" i="18"/>
  <c r="GS42" i="18"/>
  <c r="GT42" i="18"/>
  <c r="GU42" i="18"/>
  <c r="GV42" i="18"/>
  <c r="GW42" i="18"/>
  <c r="GX42" i="18"/>
  <c r="GY42" i="18"/>
  <c r="GZ42" i="18"/>
  <c r="HA42" i="18"/>
  <c r="HB42" i="18"/>
  <c r="HC42" i="18"/>
  <c r="H42" i="18"/>
  <c r="H41" i="18"/>
  <c r="H40" i="18"/>
  <c r="J37" i="18"/>
  <c r="K37" i="18"/>
  <c r="L37" i="18"/>
  <c r="M37" i="18"/>
  <c r="N37" i="18"/>
  <c r="O37" i="18"/>
  <c r="P37" i="18"/>
  <c r="Q37" i="18"/>
  <c r="R37" i="18"/>
  <c r="S37" i="18"/>
  <c r="T37" i="18"/>
  <c r="U37" i="18"/>
  <c r="V37" i="18"/>
  <c r="W37" i="18"/>
  <c r="X37" i="18"/>
  <c r="Y37" i="18"/>
  <c r="Z37" i="18"/>
  <c r="AA37" i="18"/>
  <c r="AB37" i="18"/>
  <c r="AC37" i="18"/>
  <c r="AD37" i="18"/>
  <c r="AE37" i="18"/>
  <c r="AF37" i="18"/>
  <c r="AG37" i="18"/>
  <c r="AH37" i="18"/>
  <c r="AI37" i="18"/>
  <c r="AJ37" i="18"/>
  <c r="AK37" i="18"/>
  <c r="AL37" i="18"/>
  <c r="AM37" i="18"/>
  <c r="AN37" i="18"/>
  <c r="AO37" i="18"/>
  <c r="AP37" i="18"/>
  <c r="AQ37" i="18"/>
  <c r="AR37" i="18"/>
  <c r="AS37" i="18"/>
  <c r="AT37" i="18"/>
  <c r="AU37" i="18"/>
  <c r="AV37" i="18"/>
  <c r="AW37" i="18"/>
  <c r="AX37" i="18"/>
  <c r="AY37" i="18"/>
  <c r="AZ37" i="18"/>
  <c r="BA37" i="18"/>
  <c r="BB37" i="18"/>
  <c r="BC37" i="18"/>
  <c r="BD37" i="18"/>
  <c r="BE37" i="18"/>
  <c r="BF37" i="18"/>
  <c r="BG37" i="18"/>
  <c r="BH37" i="18"/>
  <c r="BI37" i="18"/>
  <c r="BJ37" i="18"/>
  <c r="BK37" i="18"/>
  <c r="BL37" i="18"/>
  <c r="BM37" i="18"/>
  <c r="BN37" i="18"/>
  <c r="BO37" i="18"/>
  <c r="BP37" i="18"/>
  <c r="BQ37" i="18"/>
  <c r="BR37" i="18"/>
  <c r="BS37" i="18"/>
  <c r="BT37" i="18"/>
  <c r="BU37" i="18"/>
  <c r="BV37" i="18"/>
  <c r="BW37" i="18"/>
  <c r="BX37" i="18"/>
  <c r="BY37" i="18"/>
  <c r="BZ37" i="18"/>
  <c r="CA37" i="18"/>
  <c r="CB37" i="18"/>
  <c r="CC37" i="18"/>
  <c r="CD37" i="18"/>
  <c r="CE37" i="18"/>
  <c r="CF37" i="18"/>
  <c r="CG37" i="18"/>
  <c r="CH37" i="18"/>
  <c r="CI37" i="18"/>
  <c r="CJ37" i="18"/>
  <c r="CK37" i="18"/>
  <c r="CL37" i="18"/>
  <c r="CM37" i="18"/>
  <c r="CN37" i="18"/>
  <c r="CO37" i="18"/>
  <c r="CP37" i="18"/>
  <c r="CQ37" i="18"/>
  <c r="CR37" i="18"/>
  <c r="CS37" i="18"/>
  <c r="CT37" i="18"/>
  <c r="CU37" i="18"/>
  <c r="CV37" i="18"/>
  <c r="CW37" i="18"/>
  <c r="CX37" i="18"/>
  <c r="CY37" i="18"/>
  <c r="CZ37" i="18"/>
  <c r="DA37" i="18"/>
  <c r="DB37" i="18"/>
  <c r="DC37" i="18"/>
  <c r="DD37" i="18"/>
  <c r="DE37" i="18"/>
  <c r="DF37" i="18"/>
  <c r="DG37" i="18"/>
  <c r="DH37" i="18"/>
  <c r="DI37" i="18"/>
  <c r="DJ37" i="18"/>
  <c r="DK37" i="18"/>
  <c r="DL37" i="18"/>
  <c r="DM37" i="18"/>
  <c r="DN37" i="18"/>
  <c r="DO37" i="18"/>
  <c r="DP37" i="18"/>
  <c r="DQ37" i="18"/>
  <c r="DR37" i="18"/>
  <c r="DS37" i="18"/>
  <c r="DT37" i="18"/>
  <c r="DU37" i="18"/>
  <c r="DV37" i="18"/>
  <c r="DW37" i="18"/>
  <c r="DX37" i="18"/>
  <c r="DY37" i="18"/>
  <c r="DZ37" i="18"/>
  <c r="EA37" i="18"/>
  <c r="EB37" i="18"/>
  <c r="EC37" i="18"/>
  <c r="ED37" i="18"/>
  <c r="EE37" i="18"/>
  <c r="EF37" i="18"/>
  <c r="EG37" i="18"/>
  <c r="EH37" i="18"/>
  <c r="EI37" i="18"/>
  <c r="EJ37" i="18"/>
  <c r="EK37" i="18"/>
  <c r="EL37" i="18"/>
  <c r="EM37" i="18"/>
  <c r="EN37" i="18"/>
  <c r="EO37" i="18"/>
  <c r="EP37" i="18"/>
  <c r="EQ37" i="18"/>
  <c r="ER37" i="18"/>
  <c r="ES37" i="18"/>
  <c r="ET37" i="18"/>
  <c r="EU37" i="18"/>
  <c r="EV37" i="18"/>
  <c r="EW37" i="18"/>
  <c r="EX37" i="18"/>
  <c r="EY37" i="18"/>
  <c r="EZ37" i="18"/>
  <c r="FA37" i="18"/>
  <c r="FB37" i="18"/>
  <c r="FC37" i="18"/>
  <c r="FD37" i="18"/>
  <c r="FE37" i="18"/>
  <c r="FF37" i="18"/>
  <c r="FG37" i="18"/>
  <c r="FH37" i="18"/>
  <c r="FI37" i="18"/>
  <c r="FJ37" i="18"/>
  <c r="FK37" i="18"/>
  <c r="FL37" i="18"/>
  <c r="FM37" i="18"/>
  <c r="FN37" i="18"/>
  <c r="FO37" i="18"/>
  <c r="FP37" i="18"/>
  <c r="FQ37" i="18"/>
  <c r="FR37" i="18"/>
  <c r="FS37" i="18"/>
  <c r="FT37" i="18"/>
  <c r="FU37" i="18"/>
  <c r="FV37" i="18"/>
  <c r="FW37" i="18"/>
  <c r="FX37" i="18"/>
  <c r="FY37" i="18"/>
  <c r="FZ37" i="18"/>
  <c r="GA37" i="18"/>
  <c r="GB37" i="18"/>
  <c r="GC37" i="18"/>
  <c r="GD37" i="18"/>
  <c r="GE37" i="18"/>
  <c r="GF37" i="18"/>
  <c r="GG37" i="18"/>
  <c r="GH37" i="18"/>
  <c r="GI37" i="18"/>
  <c r="GJ37" i="18"/>
  <c r="GK37" i="18"/>
  <c r="GL37" i="18"/>
  <c r="GM37" i="18"/>
  <c r="GN37" i="18"/>
  <c r="GO37" i="18"/>
  <c r="GP37" i="18"/>
  <c r="GQ37" i="18"/>
  <c r="GR37" i="18"/>
  <c r="GS37" i="18"/>
  <c r="GT37" i="18"/>
  <c r="GU37" i="18"/>
  <c r="GV37" i="18"/>
  <c r="GW37" i="18"/>
  <c r="GX37" i="18"/>
  <c r="GY37" i="18"/>
  <c r="GZ37" i="18"/>
  <c r="HA37" i="18"/>
  <c r="HB37" i="18"/>
  <c r="HC37" i="18"/>
  <c r="J38" i="18"/>
  <c r="K38" i="18"/>
  <c r="L38" i="18"/>
  <c r="M38" i="18"/>
  <c r="N38" i="18"/>
  <c r="O38" i="18"/>
  <c r="P38" i="18"/>
  <c r="Q38" i="18"/>
  <c r="R38" i="18"/>
  <c r="S38" i="18"/>
  <c r="T38" i="18"/>
  <c r="U38" i="18"/>
  <c r="V38" i="18"/>
  <c r="W38" i="18"/>
  <c r="X38" i="18"/>
  <c r="Y38" i="18"/>
  <c r="Z38" i="18"/>
  <c r="AA38" i="18"/>
  <c r="AB38" i="18"/>
  <c r="AC38" i="18"/>
  <c r="AD38" i="18"/>
  <c r="AE38" i="18"/>
  <c r="AF38" i="18"/>
  <c r="AG38" i="18"/>
  <c r="AH38" i="18"/>
  <c r="AI38" i="18"/>
  <c r="AJ38" i="18"/>
  <c r="AK38" i="18"/>
  <c r="AL38" i="18"/>
  <c r="AM38" i="18"/>
  <c r="AN38" i="18"/>
  <c r="AO38" i="18"/>
  <c r="AP38" i="18"/>
  <c r="AQ38" i="18"/>
  <c r="AR38" i="18"/>
  <c r="AS38" i="18"/>
  <c r="AT38" i="18"/>
  <c r="AU38" i="18"/>
  <c r="AV38" i="18"/>
  <c r="AW38" i="18"/>
  <c r="AX38" i="18"/>
  <c r="AY38" i="18"/>
  <c r="AZ38" i="18"/>
  <c r="BA38" i="18"/>
  <c r="BB38" i="18"/>
  <c r="BC38" i="18"/>
  <c r="BD38" i="18"/>
  <c r="BE38" i="18"/>
  <c r="BF38" i="18"/>
  <c r="BG38" i="18"/>
  <c r="BH38" i="18"/>
  <c r="BI38" i="18"/>
  <c r="BJ38" i="18"/>
  <c r="BK38" i="18"/>
  <c r="BL38" i="18"/>
  <c r="BM38" i="18"/>
  <c r="BN38" i="18"/>
  <c r="BO38" i="18"/>
  <c r="BP38" i="18"/>
  <c r="BQ38" i="18"/>
  <c r="BR38" i="18"/>
  <c r="BS38" i="18"/>
  <c r="BT38" i="18"/>
  <c r="BU38" i="18"/>
  <c r="BV38" i="18"/>
  <c r="BW38" i="18"/>
  <c r="BX38" i="18"/>
  <c r="BY38" i="18"/>
  <c r="BZ38" i="18"/>
  <c r="CA38" i="18"/>
  <c r="CB38" i="18"/>
  <c r="CC38" i="18"/>
  <c r="CD38" i="18"/>
  <c r="CE38" i="18"/>
  <c r="CF38" i="18"/>
  <c r="CG38" i="18"/>
  <c r="CH38" i="18"/>
  <c r="CI38" i="18"/>
  <c r="CJ38" i="18"/>
  <c r="CK38" i="18"/>
  <c r="CL38" i="18"/>
  <c r="CM38" i="18"/>
  <c r="CN38" i="18"/>
  <c r="CO38" i="18"/>
  <c r="CP38" i="18"/>
  <c r="CQ38" i="18"/>
  <c r="CR38" i="18"/>
  <c r="CS38" i="18"/>
  <c r="CT38" i="18"/>
  <c r="CU38" i="18"/>
  <c r="CV38" i="18"/>
  <c r="CW38" i="18"/>
  <c r="CX38" i="18"/>
  <c r="CY38" i="18"/>
  <c r="CZ38" i="18"/>
  <c r="DA38" i="18"/>
  <c r="DB38" i="18"/>
  <c r="DC38" i="18"/>
  <c r="DD38" i="18"/>
  <c r="DE38" i="18"/>
  <c r="DF38" i="18"/>
  <c r="DG38" i="18"/>
  <c r="DH38" i="18"/>
  <c r="DI38" i="18"/>
  <c r="DJ38" i="18"/>
  <c r="DK38" i="18"/>
  <c r="DL38" i="18"/>
  <c r="DM38" i="18"/>
  <c r="DN38" i="18"/>
  <c r="DO38" i="18"/>
  <c r="DP38" i="18"/>
  <c r="DQ38" i="18"/>
  <c r="DR38" i="18"/>
  <c r="DS38" i="18"/>
  <c r="DT38" i="18"/>
  <c r="DU38" i="18"/>
  <c r="DV38" i="18"/>
  <c r="DW38" i="18"/>
  <c r="DX38" i="18"/>
  <c r="DY38" i="18"/>
  <c r="DZ38" i="18"/>
  <c r="EA38" i="18"/>
  <c r="EB38" i="18"/>
  <c r="EC38" i="18"/>
  <c r="ED38" i="18"/>
  <c r="EE38" i="18"/>
  <c r="EF38" i="18"/>
  <c r="EG38" i="18"/>
  <c r="EH38" i="18"/>
  <c r="EI38" i="18"/>
  <c r="EJ38" i="18"/>
  <c r="EK38" i="18"/>
  <c r="EL38" i="18"/>
  <c r="EM38" i="18"/>
  <c r="EN38" i="18"/>
  <c r="EO38" i="18"/>
  <c r="EP38" i="18"/>
  <c r="EQ38" i="18"/>
  <c r="ER38" i="18"/>
  <c r="ES38" i="18"/>
  <c r="ET38" i="18"/>
  <c r="EU38" i="18"/>
  <c r="EV38" i="18"/>
  <c r="EW38" i="18"/>
  <c r="EX38" i="18"/>
  <c r="EY38" i="18"/>
  <c r="EZ38" i="18"/>
  <c r="FA38" i="18"/>
  <c r="FB38" i="18"/>
  <c r="FC38" i="18"/>
  <c r="FD38" i="18"/>
  <c r="FE38" i="18"/>
  <c r="FF38" i="18"/>
  <c r="FG38" i="18"/>
  <c r="FH38" i="18"/>
  <c r="FI38" i="18"/>
  <c r="FJ38" i="18"/>
  <c r="FK38" i="18"/>
  <c r="FL38" i="18"/>
  <c r="FM38" i="18"/>
  <c r="FN38" i="18"/>
  <c r="FO38" i="18"/>
  <c r="FP38" i="18"/>
  <c r="FQ38" i="18"/>
  <c r="FR38" i="18"/>
  <c r="FS38" i="18"/>
  <c r="FT38" i="18"/>
  <c r="FU38" i="18"/>
  <c r="FV38" i="18"/>
  <c r="FW38" i="18"/>
  <c r="FX38" i="18"/>
  <c r="FY38" i="18"/>
  <c r="FZ38" i="18"/>
  <c r="GA38" i="18"/>
  <c r="GB38" i="18"/>
  <c r="GC38" i="18"/>
  <c r="GD38" i="18"/>
  <c r="GE38" i="18"/>
  <c r="GF38" i="18"/>
  <c r="GG38" i="18"/>
  <c r="GH38" i="18"/>
  <c r="GI38" i="18"/>
  <c r="GJ38" i="18"/>
  <c r="GK38" i="18"/>
  <c r="GL38" i="18"/>
  <c r="GM38" i="18"/>
  <c r="GN38" i="18"/>
  <c r="GO38" i="18"/>
  <c r="GP38" i="18"/>
  <c r="GQ38" i="18"/>
  <c r="GR38" i="18"/>
  <c r="GS38" i="18"/>
  <c r="GT38" i="18"/>
  <c r="GU38" i="18"/>
  <c r="GV38" i="18"/>
  <c r="GW38" i="18"/>
  <c r="GX38" i="18"/>
  <c r="GY38" i="18"/>
  <c r="GZ38" i="18"/>
  <c r="HA38" i="18"/>
  <c r="HB38" i="18"/>
  <c r="HC38" i="18"/>
  <c r="J39" i="18"/>
  <c r="K39" i="18"/>
  <c r="L39" i="18"/>
  <c r="M39" i="18"/>
  <c r="N39" i="18"/>
  <c r="O39" i="18"/>
  <c r="P39" i="18"/>
  <c r="Q39" i="18"/>
  <c r="R39" i="18"/>
  <c r="S39" i="18"/>
  <c r="T39" i="18"/>
  <c r="U39" i="18"/>
  <c r="V39" i="18"/>
  <c r="W39" i="18"/>
  <c r="X39" i="18"/>
  <c r="Y39" i="18"/>
  <c r="Z39" i="18"/>
  <c r="AA39" i="18"/>
  <c r="AB39" i="18"/>
  <c r="AC39" i="18"/>
  <c r="AD39" i="18"/>
  <c r="AE39" i="18"/>
  <c r="AF39" i="18"/>
  <c r="AG39" i="18"/>
  <c r="AH39" i="18"/>
  <c r="AI39" i="18"/>
  <c r="AJ39" i="18"/>
  <c r="AK39" i="18"/>
  <c r="AL39" i="18"/>
  <c r="AM39" i="18"/>
  <c r="AN39" i="18"/>
  <c r="AO39" i="18"/>
  <c r="AP39" i="18"/>
  <c r="AQ39" i="18"/>
  <c r="AR39" i="18"/>
  <c r="AS39" i="18"/>
  <c r="AT39" i="18"/>
  <c r="AU39" i="18"/>
  <c r="AV39" i="18"/>
  <c r="AW39" i="18"/>
  <c r="AX39" i="18"/>
  <c r="AY39" i="18"/>
  <c r="AZ39" i="18"/>
  <c r="BA39" i="18"/>
  <c r="BB39" i="18"/>
  <c r="BC39" i="18"/>
  <c r="BD39" i="18"/>
  <c r="BE39" i="18"/>
  <c r="BF39" i="18"/>
  <c r="BG39" i="18"/>
  <c r="BH39" i="18"/>
  <c r="BI39" i="18"/>
  <c r="BJ39" i="18"/>
  <c r="BK39" i="18"/>
  <c r="BL39" i="18"/>
  <c r="BM39" i="18"/>
  <c r="BN39" i="18"/>
  <c r="BO39" i="18"/>
  <c r="BP39" i="18"/>
  <c r="BQ39" i="18"/>
  <c r="BR39" i="18"/>
  <c r="BS39" i="18"/>
  <c r="BT39" i="18"/>
  <c r="BU39" i="18"/>
  <c r="BV39" i="18"/>
  <c r="BW39" i="18"/>
  <c r="BX39" i="18"/>
  <c r="BY39" i="18"/>
  <c r="BZ39" i="18"/>
  <c r="CA39" i="18"/>
  <c r="CB39" i="18"/>
  <c r="CC39" i="18"/>
  <c r="CD39" i="18"/>
  <c r="CE39" i="18"/>
  <c r="CF39" i="18"/>
  <c r="CG39" i="18"/>
  <c r="CH39" i="18"/>
  <c r="CI39" i="18"/>
  <c r="CJ39" i="18"/>
  <c r="CK39" i="18"/>
  <c r="CL39" i="18"/>
  <c r="CM39" i="18"/>
  <c r="CN39" i="18"/>
  <c r="CO39" i="18"/>
  <c r="CP39" i="18"/>
  <c r="CQ39" i="18"/>
  <c r="CR39" i="18"/>
  <c r="CS39" i="18"/>
  <c r="CT39" i="18"/>
  <c r="CU39" i="18"/>
  <c r="CV39" i="18"/>
  <c r="CW39" i="18"/>
  <c r="CX39" i="18"/>
  <c r="CY39" i="18"/>
  <c r="CZ39" i="18"/>
  <c r="DA39" i="18"/>
  <c r="DB39" i="18"/>
  <c r="DC39" i="18"/>
  <c r="DD39" i="18"/>
  <c r="DE39" i="18"/>
  <c r="DF39" i="18"/>
  <c r="DG39" i="18"/>
  <c r="DH39" i="18"/>
  <c r="DI39" i="18"/>
  <c r="DJ39" i="18"/>
  <c r="DK39" i="18"/>
  <c r="DL39" i="18"/>
  <c r="DM39" i="18"/>
  <c r="DN39" i="18"/>
  <c r="DO39" i="18"/>
  <c r="DP39" i="18"/>
  <c r="DQ39" i="18"/>
  <c r="DR39" i="18"/>
  <c r="DS39" i="18"/>
  <c r="DT39" i="18"/>
  <c r="DU39" i="18"/>
  <c r="DV39" i="18"/>
  <c r="DW39" i="18"/>
  <c r="DX39" i="18"/>
  <c r="DY39" i="18"/>
  <c r="DZ39" i="18"/>
  <c r="EA39" i="18"/>
  <c r="EB39" i="18"/>
  <c r="EC39" i="18"/>
  <c r="ED39" i="18"/>
  <c r="EE39" i="18"/>
  <c r="EF39" i="18"/>
  <c r="EG39" i="18"/>
  <c r="EH39" i="18"/>
  <c r="EI39" i="18"/>
  <c r="EJ39" i="18"/>
  <c r="EK39" i="18"/>
  <c r="EL39" i="18"/>
  <c r="EM39" i="18"/>
  <c r="EN39" i="18"/>
  <c r="EO39" i="18"/>
  <c r="EP39" i="18"/>
  <c r="EQ39" i="18"/>
  <c r="ER39" i="18"/>
  <c r="ES39" i="18"/>
  <c r="ET39" i="18"/>
  <c r="EU39" i="18"/>
  <c r="EV39" i="18"/>
  <c r="EW39" i="18"/>
  <c r="EX39" i="18"/>
  <c r="EY39" i="18"/>
  <c r="EZ39" i="18"/>
  <c r="FA39" i="18"/>
  <c r="FB39" i="18"/>
  <c r="FC39" i="18"/>
  <c r="FD39" i="18"/>
  <c r="FE39" i="18"/>
  <c r="FF39" i="18"/>
  <c r="FG39" i="18"/>
  <c r="FH39" i="18"/>
  <c r="FI39" i="18"/>
  <c r="FJ39" i="18"/>
  <c r="FK39" i="18"/>
  <c r="FL39" i="18"/>
  <c r="FM39" i="18"/>
  <c r="FN39" i="18"/>
  <c r="FO39" i="18"/>
  <c r="FP39" i="18"/>
  <c r="FQ39" i="18"/>
  <c r="FR39" i="18"/>
  <c r="FS39" i="18"/>
  <c r="FT39" i="18"/>
  <c r="FU39" i="18"/>
  <c r="FV39" i="18"/>
  <c r="FW39" i="18"/>
  <c r="FX39" i="18"/>
  <c r="FY39" i="18"/>
  <c r="FZ39" i="18"/>
  <c r="GA39" i="18"/>
  <c r="GB39" i="18"/>
  <c r="GC39" i="18"/>
  <c r="GD39" i="18"/>
  <c r="GE39" i="18"/>
  <c r="GF39" i="18"/>
  <c r="GG39" i="18"/>
  <c r="GH39" i="18"/>
  <c r="GI39" i="18"/>
  <c r="GJ39" i="18"/>
  <c r="GK39" i="18"/>
  <c r="GL39" i="18"/>
  <c r="GM39" i="18"/>
  <c r="GN39" i="18"/>
  <c r="GO39" i="18"/>
  <c r="GP39" i="18"/>
  <c r="GQ39" i="18"/>
  <c r="GR39" i="18"/>
  <c r="GS39" i="18"/>
  <c r="GT39" i="18"/>
  <c r="GU39" i="18"/>
  <c r="GV39" i="18"/>
  <c r="GW39" i="18"/>
  <c r="GX39" i="18"/>
  <c r="GY39" i="18"/>
  <c r="GZ39" i="18"/>
  <c r="HA39" i="18"/>
  <c r="HB39" i="18"/>
  <c r="HC39" i="18"/>
  <c r="I39" i="18"/>
  <c r="I38" i="18"/>
  <c r="I37" i="18"/>
  <c r="I34" i="18"/>
  <c r="J34" i="18"/>
  <c r="K34" i="18"/>
  <c r="L34" i="18"/>
  <c r="M34" i="18"/>
  <c r="N34" i="18"/>
  <c r="O34" i="18"/>
  <c r="P34" i="18"/>
  <c r="Q34" i="18"/>
  <c r="R34" i="18"/>
  <c r="S34" i="18"/>
  <c r="T34" i="18"/>
  <c r="U34" i="18"/>
  <c r="V34" i="18"/>
  <c r="W34" i="18"/>
  <c r="X34" i="18"/>
  <c r="Y34" i="18"/>
  <c r="Z34" i="18"/>
  <c r="AA34" i="18"/>
  <c r="AB34" i="18"/>
  <c r="AC34" i="18"/>
  <c r="AD34" i="18"/>
  <c r="AE34" i="18"/>
  <c r="AF34" i="18"/>
  <c r="AG34" i="18"/>
  <c r="AH34" i="18"/>
  <c r="AI34" i="18"/>
  <c r="AJ34" i="18"/>
  <c r="AK34" i="18"/>
  <c r="AL34" i="18"/>
  <c r="AM34" i="18"/>
  <c r="AN34" i="18"/>
  <c r="AO34" i="18"/>
  <c r="AP34" i="18"/>
  <c r="AQ34" i="18"/>
  <c r="AR34" i="18"/>
  <c r="AS34" i="18"/>
  <c r="AT34" i="18"/>
  <c r="AU34" i="18"/>
  <c r="AV34" i="18"/>
  <c r="AW34" i="18"/>
  <c r="AX34" i="18"/>
  <c r="AY34" i="18"/>
  <c r="AZ34" i="18"/>
  <c r="BA34" i="18"/>
  <c r="BB34" i="18"/>
  <c r="BC34" i="18"/>
  <c r="BD34" i="18"/>
  <c r="BE34" i="18"/>
  <c r="BF34" i="18"/>
  <c r="BG34" i="18"/>
  <c r="BH34" i="18"/>
  <c r="BI34" i="18"/>
  <c r="BJ34" i="18"/>
  <c r="BK34" i="18"/>
  <c r="BL34" i="18"/>
  <c r="BM34" i="18"/>
  <c r="BN34" i="18"/>
  <c r="BO34" i="18"/>
  <c r="BP34" i="18"/>
  <c r="BQ34" i="18"/>
  <c r="BR34" i="18"/>
  <c r="BS34" i="18"/>
  <c r="BT34" i="18"/>
  <c r="BU34" i="18"/>
  <c r="BV34" i="18"/>
  <c r="BW34" i="18"/>
  <c r="BX34" i="18"/>
  <c r="BY34" i="18"/>
  <c r="BZ34" i="18"/>
  <c r="CA34" i="18"/>
  <c r="CB34" i="18"/>
  <c r="CC34" i="18"/>
  <c r="CD34" i="18"/>
  <c r="CE34" i="18"/>
  <c r="CF34" i="18"/>
  <c r="CG34" i="18"/>
  <c r="CH34" i="18"/>
  <c r="CI34" i="18"/>
  <c r="CJ34" i="18"/>
  <c r="CK34" i="18"/>
  <c r="CL34" i="18"/>
  <c r="CM34" i="18"/>
  <c r="CN34" i="18"/>
  <c r="CO34" i="18"/>
  <c r="CP34" i="18"/>
  <c r="CQ34" i="18"/>
  <c r="CR34" i="18"/>
  <c r="CS34" i="18"/>
  <c r="CT34" i="18"/>
  <c r="CU34" i="18"/>
  <c r="CV34" i="18"/>
  <c r="CW34" i="18"/>
  <c r="CX34" i="18"/>
  <c r="CY34" i="18"/>
  <c r="CZ34" i="18"/>
  <c r="DA34" i="18"/>
  <c r="DB34" i="18"/>
  <c r="DC34" i="18"/>
  <c r="DD34" i="18"/>
  <c r="DE34" i="18"/>
  <c r="DF34" i="18"/>
  <c r="DG34" i="18"/>
  <c r="DH34" i="18"/>
  <c r="DI34" i="18"/>
  <c r="DJ34" i="18"/>
  <c r="DK34" i="18"/>
  <c r="DL34" i="18"/>
  <c r="DM34" i="18"/>
  <c r="DN34" i="18"/>
  <c r="DO34" i="18"/>
  <c r="DP34" i="18"/>
  <c r="DQ34" i="18"/>
  <c r="DR34" i="18"/>
  <c r="DS34" i="18"/>
  <c r="DT34" i="18"/>
  <c r="DU34" i="18"/>
  <c r="DV34" i="18"/>
  <c r="DW34" i="18"/>
  <c r="DX34" i="18"/>
  <c r="DY34" i="18"/>
  <c r="DZ34" i="18"/>
  <c r="EA34" i="18"/>
  <c r="EB34" i="18"/>
  <c r="EC34" i="18"/>
  <c r="ED34" i="18"/>
  <c r="EE34" i="18"/>
  <c r="EF34" i="18"/>
  <c r="EG34" i="18"/>
  <c r="EH34" i="18"/>
  <c r="EI34" i="18"/>
  <c r="EJ34" i="18"/>
  <c r="EK34" i="18"/>
  <c r="EL34" i="18"/>
  <c r="EM34" i="18"/>
  <c r="EN34" i="18"/>
  <c r="EO34" i="18"/>
  <c r="EP34" i="18"/>
  <c r="EQ34" i="18"/>
  <c r="ER34" i="18"/>
  <c r="ES34" i="18"/>
  <c r="ET34" i="18"/>
  <c r="EU34" i="18"/>
  <c r="EV34" i="18"/>
  <c r="EW34" i="18"/>
  <c r="EX34" i="18"/>
  <c r="EY34" i="18"/>
  <c r="EZ34" i="18"/>
  <c r="FA34" i="18"/>
  <c r="FB34" i="18"/>
  <c r="FC34" i="18"/>
  <c r="FD34" i="18"/>
  <c r="FE34" i="18"/>
  <c r="FF34" i="18"/>
  <c r="FG34" i="18"/>
  <c r="FH34" i="18"/>
  <c r="FI34" i="18"/>
  <c r="FJ34" i="18"/>
  <c r="FK34" i="18"/>
  <c r="FL34" i="18"/>
  <c r="FM34" i="18"/>
  <c r="FN34" i="18"/>
  <c r="FO34" i="18"/>
  <c r="FP34" i="18"/>
  <c r="FQ34" i="18"/>
  <c r="FR34" i="18"/>
  <c r="FS34" i="18"/>
  <c r="FT34" i="18"/>
  <c r="FU34" i="18"/>
  <c r="FV34" i="18"/>
  <c r="FW34" i="18"/>
  <c r="FX34" i="18"/>
  <c r="FY34" i="18"/>
  <c r="FZ34" i="18"/>
  <c r="GA34" i="18"/>
  <c r="GB34" i="18"/>
  <c r="GC34" i="18"/>
  <c r="GD34" i="18"/>
  <c r="GE34" i="18"/>
  <c r="GF34" i="18"/>
  <c r="GG34" i="18"/>
  <c r="GH34" i="18"/>
  <c r="GI34" i="18"/>
  <c r="GJ34" i="18"/>
  <c r="GK34" i="18"/>
  <c r="GL34" i="18"/>
  <c r="GM34" i="18"/>
  <c r="GN34" i="18"/>
  <c r="GO34" i="18"/>
  <c r="GP34" i="18"/>
  <c r="GQ34" i="18"/>
  <c r="GR34" i="18"/>
  <c r="GS34" i="18"/>
  <c r="GT34" i="18"/>
  <c r="GU34" i="18"/>
  <c r="GV34" i="18"/>
  <c r="GW34" i="18"/>
  <c r="GX34" i="18"/>
  <c r="GY34" i="18"/>
  <c r="GZ34" i="18"/>
  <c r="HA34" i="18"/>
  <c r="HB34" i="18"/>
  <c r="HC34" i="18"/>
  <c r="I35" i="18"/>
  <c r="J35" i="18"/>
  <c r="K35" i="18"/>
  <c r="L35" i="18"/>
  <c r="M35" i="18"/>
  <c r="N35" i="18"/>
  <c r="O35" i="18"/>
  <c r="P35" i="18"/>
  <c r="Q35" i="18"/>
  <c r="R35" i="18"/>
  <c r="S35" i="18"/>
  <c r="T35" i="18"/>
  <c r="U35" i="18"/>
  <c r="V35" i="18"/>
  <c r="W35" i="18"/>
  <c r="X35" i="18"/>
  <c r="Y35" i="18"/>
  <c r="Z35" i="18"/>
  <c r="AA35" i="18"/>
  <c r="AB35" i="18"/>
  <c r="AC35" i="18"/>
  <c r="AD35" i="18"/>
  <c r="AE35" i="18"/>
  <c r="AF35" i="18"/>
  <c r="AG35" i="18"/>
  <c r="AH35" i="18"/>
  <c r="AI35" i="18"/>
  <c r="AJ35" i="18"/>
  <c r="AK35" i="18"/>
  <c r="AL35" i="18"/>
  <c r="AM35" i="18"/>
  <c r="AN35" i="18"/>
  <c r="AO35" i="18"/>
  <c r="AP35" i="18"/>
  <c r="AQ35" i="18"/>
  <c r="AR35" i="18"/>
  <c r="AS35" i="18"/>
  <c r="AT35" i="18"/>
  <c r="AU35" i="18"/>
  <c r="AV35" i="18"/>
  <c r="AW35" i="18"/>
  <c r="AX35" i="18"/>
  <c r="AY35" i="18"/>
  <c r="AZ35" i="18"/>
  <c r="BA35" i="18"/>
  <c r="BB35" i="18"/>
  <c r="BC35" i="18"/>
  <c r="BD35" i="18"/>
  <c r="BE35" i="18"/>
  <c r="BF35" i="18"/>
  <c r="BG35" i="18"/>
  <c r="BH35" i="18"/>
  <c r="BI35" i="18"/>
  <c r="BJ35" i="18"/>
  <c r="BK35" i="18"/>
  <c r="BL35" i="18"/>
  <c r="BM35" i="18"/>
  <c r="BN35" i="18"/>
  <c r="BO35" i="18"/>
  <c r="BP35" i="18"/>
  <c r="BQ35" i="18"/>
  <c r="BR35" i="18"/>
  <c r="BS35" i="18"/>
  <c r="BT35" i="18"/>
  <c r="BU35" i="18"/>
  <c r="BV35" i="18"/>
  <c r="BW35" i="18"/>
  <c r="BX35" i="18"/>
  <c r="BY35" i="18"/>
  <c r="BZ35" i="18"/>
  <c r="CA35" i="18"/>
  <c r="CB35" i="18"/>
  <c r="CC35" i="18"/>
  <c r="CD35" i="18"/>
  <c r="CE35" i="18"/>
  <c r="CF35" i="18"/>
  <c r="CG35" i="18"/>
  <c r="CH35" i="18"/>
  <c r="CI35" i="18"/>
  <c r="CJ35" i="18"/>
  <c r="CK35" i="18"/>
  <c r="CL35" i="18"/>
  <c r="CM35" i="18"/>
  <c r="CN35" i="18"/>
  <c r="CO35" i="18"/>
  <c r="CP35" i="18"/>
  <c r="CQ35" i="18"/>
  <c r="CR35" i="18"/>
  <c r="CS35" i="18"/>
  <c r="CT35" i="18"/>
  <c r="CU35" i="18"/>
  <c r="CV35" i="18"/>
  <c r="CW35" i="18"/>
  <c r="CX35" i="18"/>
  <c r="CY35" i="18"/>
  <c r="CZ35" i="18"/>
  <c r="DA35" i="18"/>
  <c r="DB35" i="18"/>
  <c r="DC35" i="18"/>
  <c r="DD35" i="18"/>
  <c r="DE35" i="18"/>
  <c r="DF35" i="18"/>
  <c r="DG35" i="18"/>
  <c r="DH35" i="18"/>
  <c r="DI35" i="18"/>
  <c r="DJ35" i="18"/>
  <c r="DK35" i="18"/>
  <c r="DL35" i="18"/>
  <c r="DM35" i="18"/>
  <c r="DN35" i="18"/>
  <c r="DO35" i="18"/>
  <c r="DP35" i="18"/>
  <c r="DQ35" i="18"/>
  <c r="DR35" i="18"/>
  <c r="DS35" i="18"/>
  <c r="DT35" i="18"/>
  <c r="DU35" i="18"/>
  <c r="DV35" i="18"/>
  <c r="DW35" i="18"/>
  <c r="DX35" i="18"/>
  <c r="DY35" i="18"/>
  <c r="DZ35" i="18"/>
  <c r="EA35" i="18"/>
  <c r="EB35" i="18"/>
  <c r="EC35" i="18"/>
  <c r="ED35" i="18"/>
  <c r="EE35" i="18"/>
  <c r="EF35" i="18"/>
  <c r="EG35" i="18"/>
  <c r="EH35" i="18"/>
  <c r="EI35" i="18"/>
  <c r="EJ35" i="18"/>
  <c r="EK35" i="18"/>
  <c r="EL35" i="18"/>
  <c r="EM35" i="18"/>
  <c r="EN35" i="18"/>
  <c r="EO35" i="18"/>
  <c r="EP35" i="18"/>
  <c r="EQ35" i="18"/>
  <c r="ER35" i="18"/>
  <c r="ES35" i="18"/>
  <c r="ET35" i="18"/>
  <c r="EU35" i="18"/>
  <c r="EV35" i="18"/>
  <c r="EW35" i="18"/>
  <c r="EX35" i="18"/>
  <c r="EY35" i="18"/>
  <c r="EZ35" i="18"/>
  <c r="FA35" i="18"/>
  <c r="FB35" i="18"/>
  <c r="FC35" i="18"/>
  <c r="FD35" i="18"/>
  <c r="FE35" i="18"/>
  <c r="FF35" i="18"/>
  <c r="FG35" i="18"/>
  <c r="FH35" i="18"/>
  <c r="FI35" i="18"/>
  <c r="FJ35" i="18"/>
  <c r="FK35" i="18"/>
  <c r="FL35" i="18"/>
  <c r="FM35" i="18"/>
  <c r="FN35" i="18"/>
  <c r="FO35" i="18"/>
  <c r="FP35" i="18"/>
  <c r="FQ35" i="18"/>
  <c r="FR35" i="18"/>
  <c r="FS35" i="18"/>
  <c r="FT35" i="18"/>
  <c r="FU35" i="18"/>
  <c r="FV35" i="18"/>
  <c r="FW35" i="18"/>
  <c r="FX35" i="18"/>
  <c r="FY35" i="18"/>
  <c r="FZ35" i="18"/>
  <c r="GA35" i="18"/>
  <c r="GB35" i="18"/>
  <c r="GC35" i="18"/>
  <c r="GD35" i="18"/>
  <c r="GE35" i="18"/>
  <c r="GF35" i="18"/>
  <c r="GG35" i="18"/>
  <c r="GH35" i="18"/>
  <c r="GI35" i="18"/>
  <c r="GJ35" i="18"/>
  <c r="GK35" i="18"/>
  <c r="GL35" i="18"/>
  <c r="GM35" i="18"/>
  <c r="GN35" i="18"/>
  <c r="GO35" i="18"/>
  <c r="GP35" i="18"/>
  <c r="GQ35" i="18"/>
  <c r="GR35" i="18"/>
  <c r="GS35" i="18"/>
  <c r="GT35" i="18"/>
  <c r="GU35" i="18"/>
  <c r="GV35" i="18"/>
  <c r="GW35" i="18"/>
  <c r="GX35" i="18"/>
  <c r="GY35" i="18"/>
  <c r="GZ35" i="18"/>
  <c r="HA35" i="18"/>
  <c r="HB35" i="18"/>
  <c r="HC35" i="18"/>
  <c r="I36" i="18"/>
  <c r="J36" i="18"/>
  <c r="K36" i="18"/>
  <c r="L36" i="18"/>
  <c r="M36" i="18"/>
  <c r="N36" i="18"/>
  <c r="O36" i="18"/>
  <c r="P36" i="18"/>
  <c r="Q36" i="18"/>
  <c r="R36" i="18"/>
  <c r="S36" i="18"/>
  <c r="T36" i="18"/>
  <c r="U36" i="18"/>
  <c r="V36" i="18"/>
  <c r="W36" i="18"/>
  <c r="X36" i="18"/>
  <c r="Y36" i="18"/>
  <c r="Z36" i="18"/>
  <c r="AA36" i="18"/>
  <c r="AB36" i="18"/>
  <c r="AC36" i="18"/>
  <c r="AD36" i="18"/>
  <c r="AE36" i="18"/>
  <c r="AF36" i="18"/>
  <c r="AG36" i="18"/>
  <c r="AH36" i="18"/>
  <c r="AI36" i="18"/>
  <c r="AJ36" i="18"/>
  <c r="AK36" i="18"/>
  <c r="AL36" i="18"/>
  <c r="AM36" i="18"/>
  <c r="AN36" i="18"/>
  <c r="AO36" i="18"/>
  <c r="AP36" i="18"/>
  <c r="AQ36" i="18"/>
  <c r="AR36" i="18"/>
  <c r="AS36" i="18"/>
  <c r="AT36" i="18"/>
  <c r="AU36" i="18"/>
  <c r="AV36" i="18"/>
  <c r="AW36" i="18"/>
  <c r="AX36" i="18"/>
  <c r="AY36" i="18"/>
  <c r="AZ36" i="18"/>
  <c r="BA36" i="18"/>
  <c r="BB36" i="18"/>
  <c r="BC36" i="18"/>
  <c r="BD36" i="18"/>
  <c r="BE36" i="18"/>
  <c r="BF36" i="18"/>
  <c r="BG36" i="18"/>
  <c r="BH36" i="18"/>
  <c r="BI36" i="18"/>
  <c r="BJ36" i="18"/>
  <c r="BK36" i="18"/>
  <c r="BL36" i="18"/>
  <c r="BM36" i="18"/>
  <c r="BN36" i="18"/>
  <c r="BO36" i="18"/>
  <c r="BP36" i="18"/>
  <c r="BQ36" i="18"/>
  <c r="BR36" i="18"/>
  <c r="BS36" i="18"/>
  <c r="BT36" i="18"/>
  <c r="BU36" i="18"/>
  <c r="BV36" i="18"/>
  <c r="BW36" i="18"/>
  <c r="BX36" i="18"/>
  <c r="BY36" i="18"/>
  <c r="BZ36" i="18"/>
  <c r="CA36" i="18"/>
  <c r="CB36" i="18"/>
  <c r="CC36" i="18"/>
  <c r="CD36" i="18"/>
  <c r="CE36" i="18"/>
  <c r="CF36" i="18"/>
  <c r="CG36" i="18"/>
  <c r="CH36" i="18"/>
  <c r="CI36" i="18"/>
  <c r="CJ36" i="18"/>
  <c r="CK36" i="18"/>
  <c r="CL36" i="18"/>
  <c r="CM36" i="18"/>
  <c r="CN36" i="18"/>
  <c r="CO36" i="18"/>
  <c r="CP36" i="18"/>
  <c r="CQ36" i="18"/>
  <c r="CR36" i="18"/>
  <c r="CS36" i="18"/>
  <c r="CT36" i="18"/>
  <c r="CU36" i="18"/>
  <c r="CV36" i="18"/>
  <c r="CW36" i="18"/>
  <c r="CX36" i="18"/>
  <c r="CY36" i="18"/>
  <c r="CZ36" i="18"/>
  <c r="DA36" i="18"/>
  <c r="DB36" i="18"/>
  <c r="DC36" i="18"/>
  <c r="DD36" i="18"/>
  <c r="DE36" i="18"/>
  <c r="DF36" i="18"/>
  <c r="DG36" i="18"/>
  <c r="DH36" i="18"/>
  <c r="DI36" i="18"/>
  <c r="DJ36" i="18"/>
  <c r="DK36" i="18"/>
  <c r="DL36" i="18"/>
  <c r="DM36" i="18"/>
  <c r="DN36" i="18"/>
  <c r="DO36" i="18"/>
  <c r="DP36" i="18"/>
  <c r="DQ36" i="18"/>
  <c r="DR36" i="18"/>
  <c r="DS36" i="18"/>
  <c r="DT36" i="18"/>
  <c r="DU36" i="18"/>
  <c r="DV36" i="18"/>
  <c r="DW36" i="18"/>
  <c r="DX36" i="18"/>
  <c r="DY36" i="18"/>
  <c r="DZ36" i="18"/>
  <c r="EA36" i="18"/>
  <c r="EB36" i="18"/>
  <c r="EC36" i="18"/>
  <c r="ED36" i="18"/>
  <c r="EE36" i="18"/>
  <c r="EF36" i="18"/>
  <c r="EG36" i="18"/>
  <c r="EH36" i="18"/>
  <c r="EI36" i="18"/>
  <c r="EJ36" i="18"/>
  <c r="EK36" i="18"/>
  <c r="EL36" i="18"/>
  <c r="EM36" i="18"/>
  <c r="EN36" i="18"/>
  <c r="EO36" i="18"/>
  <c r="EP36" i="18"/>
  <c r="EQ36" i="18"/>
  <c r="ER36" i="18"/>
  <c r="ES36" i="18"/>
  <c r="ET36" i="18"/>
  <c r="EU36" i="18"/>
  <c r="EV36" i="18"/>
  <c r="EW36" i="18"/>
  <c r="EX36" i="18"/>
  <c r="EY36" i="18"/>
  <c r="EZ36" i="18"/>
  <c r="FA36" i="18"/>
  <c r="FB36" i="18"/>
  <c r="FC36" i="18"/>
  <c r="FD36" i="18"/>
  <c r="FE36" i="18"/>
  <c r="FF36" i="18"/>
  <c r="FG36" i="18"/>
  <c r="FH36" i="18"/>
  <c r="FI36" i="18"/>
  <c r="FJ36" i="18"/>
  <c r="FK36" i="18"/>
  <c r="FL36" i="18"/>
  <c r="FM36" i="18"/>
  <c r="FN36" i="18"/>
  <c r="FO36" i="18"/>
  <c r="FP36" i="18"/>
  <c r="FQ36" i="18"/>
  <c r="FR36" i="18"/>
  <c r="FS36" i="18"/>
  <c r="FT36" i="18"/>
  <c r="FU36" i="18"/>
  <c r="FV36" i="18"/>
  <c r="FW36" i="18"/>
  <c r="FX36" i="18"/>
  <c r="FY36" i="18"/>
  <c r="FZ36" i="18"/>
  <c r="GA36" i="18"/>
  <c r="GB36" i="18"/>
  <c r="GC36" i="18"/>
  <c r="GD36" i="18"/>
  <c r="GE36" i="18"/>
  <c r="GF36" i="18"/>
  <c r="GG36" i="18"/>
  <c r="GH36" i="18"/>
  <c r="GI36" i="18"/>
  <c r="GJ36" i="18"/>
  <c r="GK36" i="18"/>
  <c r="GL36" i="18"/>
  <c r="GM36" i="18"/>
  <c r="GN36" i="18"/>
  <c r="GO36" i="18"/>
  <c r="GP36" i="18"/>
  <c r="GQ36" i="18"/>
  <c r="GR36" i="18"/>
  <c r="GS36" i="18"/>
  <c r="GT36" i="18"/>
  <c r="GU36" i="18"/>
  <c r="GV36" i="18"/>
  <c r="GW36" i="18"/>
  <c r="GX36" i="18"/>
  <c r="GY36" i="18"/>
  <c r="GZ36" i="18"/>
  <c r="HA36" i="18"/>
  <c r="HB36" i="18"/>
  <c r="HC36" i="18"/>
  <c r="H36" i="18"/>
  <c r="H35" i="18"/>
  <c r="H34" i="18"/>
  <c r="I31" i="18"/>
  <c r="J31" i="18"/>
  <c r="K31" i="18"/>
  <c r="L31" i="18"/>
  <c r="M31" i="18"/>
  <c r="N31" i="18"/>
  <c r="O31" i="18"/>
  <c r="P31" i="18"/>
  <c r="Q31" i="18"/>
  <c r="R31" i="18"/>
  <c r="S31" i="18"/>
  <c r="T31" i="18"/>
  <c r="U31" i="18"/>
  <c r="V31" i="18"/>
  <c r="W31" i="18"/>
  <c r="X31" i="18"/>
  <c r="Y31" i="18"/>
  <c r="Z31" i="18"/>
  <c r="AA31" i="18"/>
  <c r="AB31" i="18"/>
  <c r="AC31" i="18"/>
  <c r="AD31" i="18"/>
  <c r="AE31" i="18"/>
  <c r="AF31" i="18"/>
  <c r="AG31" i="18"/>
  <c r="AH31" i="18"/>
  <c r="AI31" i="18"/>
  <c r="AJ31" i="18"/>
  <c r="AK31" i="18"/>
  <c r="AL31" i="18"/>
  <c r="AM31" i="18"/>
  <c r="AN31" i="18"/>
  <c r="AO31" i="18"/>
  <c r="AP31" i="18"/>
  <c r="AQ31" i="18"/>
  <c r="AR31" i="18"/>
  <c r="AS31" i="18"/>
  <c r="AT31" i="18"/>
  <c r="AU31" i="18"/>
  <c r="AV31" i="18"/>
  <c r="AW31" i="18"/>
  <c r="AX31" i="18"/>
  <c r="AY31" i="18"/>
  <c r="AZ31" i="18"/>
  <c r="BA31" i="18"/>
  <c r="BB31" i="18"/>
  <c r="BC31" i="18"/>
  <c r="BD31" i="18"/>
  <c r="BE31" i="18"/>
  <c r="BF31" i="18"/>
  <c r="BG31" i="18"/>
  <c r="BH31" i="18"/>
  <c r="BI31" i="18"/>
  <c r="BJ31" i="18"/>
  <c r="BK31" i="18"/>
  <c r="BL31" i="18"/>
  <c r="BM31" i="18"/>
  <c r="BN31" i="18"/>
  <c r="BO31" i="18"/>
  <c r="BP31" i="18"/>
  <c r="BQ31" i="18"/>
  <c r="BR31" i="18"/>
  <c r="BS31" i="18"/>
  <c r="BT31" i="18"/>
  <c r="BU31" i="18"/>
  <c r="BV31" i="18"/>
  <c r="BW31" i="18"/>
  <c r="BX31" i="18"/>
  <c r="BY31" i="18"/>
  <c r="BZ31" i="18"/>
  <c r="CA31" i="18"/>
  <c r="CB31" i="18"/>
  <c r="CC31" i="18"/>
  <c r="CD31" i="18"/>
  <c r="CE31" i="18"/>
  <c r="CF31" i="18"/>
  <c r="CG31" i="18"/>
  <c r="CH31" i="18"/>
  <c r="CI31" i="18"/>
  <c r="CJ31" i="18"/>
  <c r="CK31" i="18"/>
  <c r="CL31" i="18"/>
  <c r="CM31" i="18"/>
  <c r="CN31" i="18"/>
  <c r="CO31" i="18"/>
  <c r="CP31" i="18"/>
  <c r="CQ31" i="18"/>
  <c r="CR31" i="18"/>
  <c r="CS31" i="18"/>
  <c r="CT31" i="18"/>
  <c r="CU31" i="18"/>
  <c r="CV31" i="18"/>
  <c r="CW31" i="18"/>
  <c r="CX31" i="18"/>
  <c r="CY31" i="18"/>
  <c r="CZ31" i="18"/>
  <c r="DA31" i="18"/>
  <c r="DB31" i="18"/>
  <c r="DC31" i="18"/>
  <c r="DD31" i="18"/>
  <c r="DE31" i="18"/>
  <c r="DF31" i="18"/>
  <c r="DG31" i="18"/>
  <c r="DH31" i="18"/>
  <c r="DI31" i="18"/>
  <c r="DJ31" i="18"/>
  <c r="DK31" i="18"/>
  <c r="DL31" i="18"/>
  <c r="DM31" i="18"/>
  <c r="DN31" i="18"/>
  <c r="DO31" i="18"/>
  <c r="DP31" i="18"/>
  <c r="DQ31" i="18"/>
  <c r="DR31" i="18"/>
  <c r="DS31" i="18"/>
  <c r="DT31" i="18"/>
  <c r="DU31" i="18"/>
  <c r="DV31" i="18"/>
  <c r="DW31" i="18"/>
  <c r="DX31" i="18"/>
  <c r="DY31" i="18"/>
  <c r="DZ31" i="18"/>
  <c r="EA31" i="18"/>
  <c r="EB31" i="18"/>
  <c r="EC31" i="18"/>
  <c r="ED31" i="18"/>
  <c r="EE31" i="18"/>
  <c r="EF31" i="18"/>
  <c r="EG31" i="18"/>
  <c r="EH31" i="18"/>
  <c r="EI31" i="18"/>
  <c r="EJ31" i="18"/>
  <c r="EK31" i="18"/>
  <c r="EL31" i="18"/>
  <c r="EM31" i="18"/>
  <c r="EN31" i="18"/>
  <c r="EO31" i="18"/>
  <c r="EP31" i="18"/>
  <c r="EQ31" i="18"/>
  <c r="ER31" i="18"/>
  <c r="ES31" i="18"/>
  <c r="ET31" i="18"/>
  <c r="EU31" i="18"/>
  <c r="EV31" i="18"/>
  <c r="EW31" i="18"/>
  <c r="EX31" i="18"/>
  <c r="EY31" i="18"/>
  <c r="EZ31" i="18"/>
  <c r="FA31" i="18"/>
  <c r="FB31" i="18"/>
  <c r="FC31" i="18"/>
  <c r="FD31" i="18"/>
  <c r="FE31" i="18"/>
  <c r="FF31" i="18"/>
  <c r="FG31" i="18"/>
  <c r="FH31" i="18"/>
  <c r="FI31" i="18"/>
  <c r="FJ31" i="18"/>
  <c r="FK31" i="18"/>
  <c r="FL31" i="18"/>
  <c r="FM31" i="18"/>
  <c r="FN31" i="18"/>
  <c r="FO31" i="18"/>
  <c r="FP31" i="18"/>
  <c r="FQ31" i="18"/>
  <c r="FR31" i="18"/>
  <c r="FS31" i="18"/>
  <c r="FT31" i="18"/>
  <c r="FU31" i="18"/>
  <c r="FV31" i="18"/>
  <c r="FW31" i="18"/>
  <c r="FX31" i="18"/>
  <c r="FY31" i="18"/>
  <c r="FZ31" i="18"/>
  <c r="GA31" i="18"/>
  <c r="GB31" i="18"/>
  <c r="GC31" i="18"/>
  <c r="GD31" i="18"/>
  <c r="GE31" i="18"/>
  <c r="GF31" i="18"/>
  <c r="GG31" i="18"/>
  <c r="GH31" i="18"/>
  <c r="GI31" i="18"/>
  <c r="GJ31" i="18"/>
  <c r="GK31" i="18"/>
  <c r="GL31" i="18"/>
  <c r="GM31" i="18"/>
  <c r="GN31" i="18"/>
  <c r="GO31" i="18"/>
  <c r="GP31" i="18"/>
  <c r="GQ31" i="18"/>
  <c r="GR31" i="18"/>
  <c r="GS31" i="18"/>
  <c r="GT31" i="18"/>
  <c r="GU31" i="18"/>
  <c r="GV31" i="18"/>
  <c r="GW31" i="18"/>
  <c r="GX31" i="18"/>
  <c r="GY31" i="18"/>
  <c r="GZ31" i="18"/>
  <c r="HA31" i="18"/>
  <c r="HB31" i="18"/>
  <c r="HC31" i="18"/>
  <c r="I32" i="18"/>
  <c r="J32" i="18"/>
  <c r="K32" i="18"/>
  <c r="L32" i="18"/>
  <c r="M32" i="18"/>
  <c r="N32" i="18"/>
  <c r="O32" i="18"/>
  <c r="P32" i="18"/>
  <c r="Q32" i="18"/>
  <c r="R32" i="18"/>
  <c r="S32" i="18"/>
  <c r="T32" i="18"/>
  <c r="U32" i="18"/>
  <c r="V32" i="18"/>
  <c r="W32" i="18"/>
  <c r="X32" i="18"/>
  <c r="Y32" i="18"/>
  <c r="Z32" i="18"/>
  <c r="AA32" i="18"/>
  <c r="AB32" i="18"/>
  <c r="AC32" i="18"/>
  <c r="AD32" i="18"/>
  <c r="AE32" i="18"/>
  <c r="AF32" i="18"/>
  <c r="AG32" i="18"/>
  <c r="AH32" i="18"/>
  <c r="AI32" i="18"/>
  <c r="AJ32" i="18"/>
  <c r="AK32" i="18"/>
  <c r="AL32" i="18"/>
  <c r="AM32" i="18"/>
  <c r="AN32" i="18"/>
  <c r="AO32" i="18"/>
  <c r="AP32" i="18"/>
  <c r="AQ32" i="18"/>
  <c r="AR32" i="18"/>
  <c r="AS32" i="18"/>
  <c r="AT32" i="18"/>
  <c r="AU32" i="18"/>
  <c r="AV32" i="18"/>
  <c r="AW32" i="18"/>
  <c r="AX32" i="18"/>
  <c r="AY32" i="18"/>
  <c r="AZ32" i="18"/>
  <c r="BA32" i="18"/>
  <c r="BB32" i="18"/>
  <c r="BC32" i="18"/>
  <c r="BD32" i="18"/>
  <c r="BE32" i="18"/>
  <c r="BF32" i="18"/>
  <c r="BG32" i="18"/>
  <c r="BH32" i="18"/>
  <c r="BI32" i="18"/>
  <c r="BJ32" i="18"/>
  <c r="BK32" i="18"/>
  <c r="BL32" i="18"/>
  <c r="BM32" i="18"/>
  <c r="BN32" i="18"/>
  <c r="BO32" i="18"/>
  <c r="BP32" i="18"/>
  <c r="BQ32" i="18"/>
  <c r="BR32" i="18"/>
  <c r="BS32" i="18"/>
  <c r="BT32" i="18"/>
  <c r="BU32" i="18"/>
  <c r="BV32" i="18"/>
  <c r="BW32" i="18"/>
  <c r="BX32" i="18"/>
  <c r="BY32" i="18"/>
  <c r="BZ32" i="18"/>
  <c r="CA32" i="18"/>
  <c r="CB32" i="18"/>
  <c r="CC32" i="18"/>
  <c r="CD32" i="18"/>
  <c r="CE32" i="18"/>
  <c r="CF32" i="18"/>
  <c r="CG32" i="18"/>
  <c r="CH32" i="18"/>
  <c r="CI32" i="18"/>
  <c r="CJ32" i="18"/>
  <c r="CK32" i="18"/>
  <c r="CL32" i="18"/>
  <c r="CM32" i="18"/>
  <c r="CN32" i="18"/>
  <c r="CO32" i="18"/>
  <c r="CP32" i="18"/>
  <c r="CQ32" i="18"/>
  <c r="CR32" i="18"/>
  <c r="CS32" i="18"/>
  <c r="CT32" i="18"/>
  <c r="CU32" i="18"/>
  <c r="CV32" i="18"/>
  <c r="CW32" i="18"/>
  <c r="CX32" i="18"/>
  <c r="CY32" i="18"/>
  <c r="CZ32" i="18"/>
  <c r="DA32" i="18"/>
  <c r="DB32" i="18"/>
  <c r="DC32" i="18"/>
  <c r="DD32" i="18"/>
  <c r="DE32" i="18"/>
  <c r="DF32" i="18"/>
  <c r="DG32" i="18"/>
  <c r="DH32" i="18"/>
  <c r="DI32" i="18"/>
  <c r="DJ32" i="18"/>
  <c r="DK32" i="18"/>
  <c r="DL32" i="18"/>
  <c r="DM32" i="18"/>
  <c r="DN32" i="18"/>
  <c r="DO32" i="18"/>
  <c r="DP32" i="18"/>
  <c r="DQ32" i="18"/>
  <c r="DR32" i="18"/>
  <c r="DS32" i="18"/>
  <c r="DT32" i="18"/>
  <c r="DU32" i="18"/>
  <c r="DV32" i="18"/>
  <c r="DW32" i="18"/>
  <c r="DX32" i="18"/>
  <c r="DY32" i="18"/>
  <c r="DZ32" i="18"/>
  <c r="EA32" i="18"/>
  <c r="EB32" i="18"/>
  <c r="EC32" i="18"/>
  <c r="ED32" i="18"/>
  <c r="EE32" i="18"/>
  <c r="EF32" i="18"/>
  <c r="EG32" i="18"/>
  <c r="EH32" i="18"/>
  <c r="EI32" i="18"/>
  <c r="EJ32" i="18"/>
  <c r="EK32" i="18"/>
  <c r="EL32" i="18"/>
  <c r="EM32" i="18"/>
  <c r="EN32" i="18"/>
  <c r="EO32" i="18"/>
  <c r="EP32" i="18"/>
  <c r="EQ32" i="18"/>
  <c r="ER32" i="18"/>
  <c r="ES32" i="18"/>
  <c r="ET32" i="18"/>
  <c r="EU32" i="18"/>
  <c r="EV32" i="18"/>
  <c r="EW32" i="18"/>
  <c r="EX32" i="18"/>
  <c r="EY32" i="18"/>
  <c r="EZ32" i="18"/>
  <c r="FA32" i="18"/>
  <c r="FB32" i="18"/>
  <c r="FC32" i="18"/>
  <c r="FD32" i="18"/>
  <c r="FE32" i="18"/>
  <c r="FF32" i="18"/>
  <c r="FG32" i="18"/>
  <c r="FH32" i="18"/>
  <c r="FI32" i="18"/>
  <c r="FJ32" i="18"/>
  <c r="FK32" i="18"/>
  <c r="FL32" i="18"/>
  <c r="FM32" i="18"/>
  <c r="FN32" i="18"/>
  <c r="FO32" i="18"/>
  <c r="FP32" i="18"/>
  <c r="FQ32" i="18"/>
  <c r="FR32" i="18"/>
  <c r="FS32" i="18"/>
  <c r="FT32" i="18"/>
  <c r="FU32" i="18"/>
  <c r="FV32" i="18"/>
  <c r="FW32" i="18"/>
  <c r="FX32" i="18"/>
  <c r="FY32" i="18"/>
  <c r="FZ32" i="18"/>
  <c r="GA32" i="18"/>
  <c r="GB32" i="18"/>
  <c r="GC32" i="18"/>
  <c r="GD32" i="18"/>
  <c r="GE32" i="18"/>
  <c r="GF32" i="18"/>
  <c r="GG32" i="18"/>
  <c r="GH32" i="18"/>
  <c r="GI32" i="18"/>
  <c r="GJ32" i="18"/>
  <c r="GK32" i="18"/>
  <c r="GL32" i="18"/>
  <c r="GM32" i="18"/>
  <c r="GN32" i="18"/>
  <c r="GO32" i="18"/>
  <c r="GP32" i="18"/>
  <c r="GQ32" i="18"/>
  <c r="GR32" i="18"/>
  <c r="GS32" i="18"/>
  <c r="GT32" i="18"/>
  <c r="GU32" i="18"/>
  <c r="GV32" i="18"/>
  <c r="GW32" i="18"/>
  <c r="GX32" i="18"/>
  <c r="GY32" i="18"/>
  <c r="GZ32" i="18"/>
  <c r="HA32" i="18"/>
  <c r="HB32" i="18"/>
  <c r="HC32" i="18"/>
  <c r="I33" i="18"/>
  <c r="J33" i="18"/>
  <c r="K33" i="18"/>
  <c r="L33" i="18"/>
  <c r="M33" i="18"/>
  <c r="N33" i="18"/>
  <c r="O33" i="18"/>
  <c r="P33" i="18"/>
  <c r="Q33" i="18"/>
  <c r="R33" i="18"/>
  <c r="S33" i="18"/>
  <c r="T33" i="18"/>
  <c r="U33" i="18"/>
  <c r="V33" i="18"/>
  <c r="W33" i="18"/>
  <c r="X33" i="18"/>
  <c r="Y33" i="18"/>
  <c r="Z33" i="18"/>
  <c r="AA33" i="18"/>
  <c r="AB33" i="18"/>
  <c r="AC33" i="18"/>
  <c r="AD33" i="18"/>
  <c r="AE33" i="18"/>
  <c r="AF33" i="18"/>
  <c r="AG33" i="18"/>
  <c r="AH33" i="18"/>
  <c r="AI33" i="18"/>
  <c r="AJ33" i="18"/>
  <c r="AK33" i="18"/>
  <c r="AL33" i="18"/>
  <c r="AM33" i="18"/>
  <c r="AN33" i="18"/>
  <c r="AO33" i="18"/>
  <c r="AP33" i="18"/>
  <c r="AQ33" i="18"/>
  <c r="AR33" i="18"/>
  <c r="AS33" i="18"/>
  <c r="AT33" i="18"/>
  <c r="AU33" i="18"/>
  <c r="AV33" i="18"/>
  <c r="AW33" i="18"/>
  <c r="AX33" i="18"/>
  <c r="AY33" i="18"/>
  <c r="AZ33" i="18"/>
  <c r="BA33" i="18"/>
  <c r="BB33" i="18"/>
  <c r="BC33" i="18"/>
  <c r="BD33" i="18"/>
  <c r="BE33" i="18"/>
  <c r="BF33" i="18"/>
  <c r="BG33" i="18"/>
  <c r="BH33" i="18"/>
  <c r="BI33" i="18"/>
  <c r="BJ33" i="18"/>
  <c r="BK33" i="18"/>
  <c r="BL33" i="18"/>
  <c r="BM33" i="18"/>
  <c r="BN33" i="18"/>
  <c r="BO33" i="18"/>
  <c r="BP33" i="18"/>
  <c r="BQ33" i="18"/>
  <c r="BR33" i="18"/>
  <c r="BS33" i="18"/>
  <c r="BT33" i="18"/>
  <c r="BU33" i="18"/>
  <c r="BV33" i="18"/>
  <c r="BW33" i="18"/>
  <c r="BX33" i="18"/>
  <c r="BY33" i="18"/>
  <c r="BZ33" i="18"/>
  <c r="CA33" i="18"/>
  <c r="CB33" i="18"/>
  <c r="CC33" i="18"/>
  <c r="CD33" i="18"/>
  <c r="CE33" i="18"/>
  <c r="CF33" i="18"/>
  <c r="CG33" i="18"/>
  <c r="CH33" i="18"/>
  <c r="CI33" i="18"/>
  <c r="CJ33" i="18"/>
  <c r="CK33" i="18"/>
  <c r="CL33" i="18"/>
  <c r="CM33" i="18"/>
  <c r="CN33" i="18"/>
  <c r="CO33" i="18"/>
  <c r="CP33" i="18"/>
  <c r="CQ33" i="18"/>
  <c r="CR33" i="18"/>
  <c r="CS33" i="18"/>
  <c r="CT33" i="18"/>
  <c r="CU33" i="18"/>
  <c r="CV33" i="18"/>
  <c r="CW33" i="18"/>
  <c r="CX33" i="18"/>
  <c r="CY33" i="18"/>
  <c r="CZ33" i="18"/>
  <c r="DA33" i="18"/>
  <c r="DB33" i="18"/>
  <c r="DC33" i="18"/>
  <c r="DD33" i="18"/>
  <c r="DE33" i="18"/>
  <c r="DF33" i="18"/>
  <c r="DG33" i="18"/>
  <c r="DH33" i="18"/>
  <c r="DI33" i="18"/>
  <c r="DJ33" i="18"/>
  <c r="DK33" i="18"/>
  <c r="DL33" i="18"/>
  <c r="DM33" i="18"/>
  <c r="DN33" i="18"/>
  <c r="DO33" i="18"/>
  <c r="DP33" i="18"/>
  <c r="DQ33" i="18"/>
  <c r="DR33" i="18"/>
  <c r="DS33" i="18"/>
  <c r="DT33" i="18"/>
  <c r="DU33" i="18"/>
  <c r="DV33" i="18"/>
  <c r="DW33" i="18"/>
  <c r="DX33" i="18"/>
  <c r="DY33" i="18"/>
  <c r="DZ33" i="18"/>
  <c r="EA33" i="18"/>
  <c r="EB33" i="18"/>
  <c r="EC33" i="18"/>
  <c r="ED33" i="18"/>
  <c r="EE33" i="18"/>
  <c r="EF33" i="18"/>
  <c r="EG33" i="18"/>
  <c r="EH33" i="18"/>
  <c r="EI33" i="18"/>
  <c r="EJ33" i="18"/>
  <c r="EK33" i="18"/>
  <c r="EL33" i="18"/>
  <c r="EM33" i="18"/>
  <c r="EN33" i="18"/>
  <c r="EO33" i="18"/>
  <c r="EP33" i="18"/>
  <c r="EQ33" i="18"/>
  <c r="ER33" i="18"/>
  <c r="ES33" i="18"/>
  <c r="ET33" i="18"/>
  <c r="EU33" i="18"/>
  <c r="EV33" i="18"/>
  <c r="EW33" i="18"/>
  <c r="EX33" i="18"/>
  <c r="EY33" i="18"/>
  <c r="EZ33" i="18"/>
  <c r="FA33" i="18"/>
  <c r="FB33" i="18"/>
  <c r="FC33" i="18"/>
  <c r="FD33" i="18"/>
  <c r="FE33" i="18"/>
  <c r="FF33" i="18"/>
  <c r="FG33" i="18"/>
  <c r="FH33" i="18"/>
  <c r="FI33" i="18"/>
  <c r="FJ33" i="18"/>
  <c r="FK33" i="18"/>
  <c r="FL33" i="18"/>
  <c r="FM33" i="18"/>
  <c r="FN33" i="18"/>
  <c r="FO33" i="18"/>
  <c r="FP33" i="18"/>
  <c r="FQ33" i="18"/>
  <c r="FR33" i="18"/>
  <c r="FS33" i="18"/>
  <c r="FT33" i="18"/>
  <c r="FU33" i="18"/>
  <c r="FV33" i="18"/>
  <c r="FW33" i="18"/>
  <c r="FX33" i="18"/>
  <c r="FY33" i="18"/>
  <c r="FZ33" i="18"/>
  <c r="GA33" i="18"/>
  <c r="GB33" i="18"/>
  <c r="GC33" i="18"/>
  <c r="GD33" i="18"/>
  <c r="GE33" i="18"/>
  <c r="GF33" i="18"/>
  <c r="GG33" i="18"/>
  <c r="GH33" i="18"/>
  <c r="GI33" i="18"/>
  <c r="GJ33" i="18"/>
  <c r="GK33" i="18"/>
  <c r="GL33" i="18"/>
  <c r="GM33" i="18"/>
  <c r="GN33" i="18"/>
  <c r="GO33" i="18"/>
  <c r="GP33" i="18"/>
  <c r="GQ33" i="18"/>
  <c r="GR33" i="18"/>
  <c r="GS33" i="18"/>
  <c r="GT33" i="18"/>
  <c r="GU33" i="18"/>
  <c r="GV33" i="18"/>
  <c r="GW33" i="18"/>
  <c r="GX33" i="18"/>
  <c r="GY33" i="18"/>
  <c r="GZ33" i="18"/>
  <c r="HA33" i="18"/>
  <c r="HB33" i="18"/>
  <c r="HC33" i="18"/>
  <c r="H33" i="18"/>
  <c r="H32" i="18"/>
  <c r="H31" i="18"/>
  <c r="I28" i="18"/>
  <c r="J28" i="18"/>
  <c r="K28" i="18"/>
  <c r="L28" i="18"/>
  <c r="M28" i="18"/>
  <c r="N28" i="18"/>
  <c r="O28" i="18"/>
  <c r="P28" i="18"/>
  <c r="Q28" i="18"/>
  <c r="R28" i="18"/>
  <c r="S28" i="18"/>
  <c r="T28" i="18"/>
  <c r="U28" i="18"/>
  <c r="V28" i="18"/>
  <c r="W28" i="18"/>
  <c r="X28" i="18"/>
  <c r="Y28" i="18"/>
  <c r="Z28" i="18"/>
  <c r="AA28" i="18"/>
  <c r="AB28" i="18"/>
  <c r="AC28" i="18"/>
  <c r="AD28" i="18"/>
  <c r="AE28" i="18"/>
  <c r="AF28" i="18"/>
  <c r="AG28" i="18"/>
  <c r="AH28" i="18"/>
  <c r="AI28" i="18"/>
  <c r="AJ28" i="18"/>
  <c r="AK28" i="18"/>
  <c r="AL28" i="18"/>
  <c r="AM28" i="18"/>
  <c r="AN28" i="18"/>
  <c r="AO28" i="18"/>
  <c r="AP28" i="18"/>
  <c r="AQ28" i="18"/>
  <c r="AR28" i="18"/>
  <c r="AS28" i="18"/>
  <c r="AT28" i="18"/>
  <c r="AU28" i="18"/>
  <c r="AV28" i="18"/>
  <c r="AW28" i="18"/>
  <c r="AX28" i="18"/>
  <c r="AY28" i="18"/>
  <c r="AZ28" i="18"/>
  <c r="BA28" i="18"/>
  <c r="BB28" i="18"/>
  <c r="BC28" i="18"/>
  <c r="BD28" i="18"/>
  <c r="BE28" i="18"/>
  <c r="BF28" i="18"/>
  <c r="BG28" i="18"/>
  <c r="BH28" i="18"/>
  <c r="BI28" i="18"/>
  <c r="BJ28" i="18"/>
  <c r="BK28" i="18"/>
  <c r="BL28" i="18"/>
  <c r="BM28" i="18"/>
  <c r="BN28" i="18"/>
  <c r="BO28" i="18"/>
  <c r="BP28" i="18"/>
  <c r="BQ28" i="18"/>
  <c r="BR28" i="18"/>
  <c r="BS28" i="18"/>
  <c r="BT28" i="18"/>
  <c r="BU28" i="18"/>
  <c r="BV28" i="18"/>
  <c r="BW28" i="18"/>
  <c r="BX28" i="18"/>
  <c r="BY28" i="18"/>
  <c r="BZ28" i="18"/>
  <c r="CA28" i="18"/>
  <c r="CB28" i="18"/>
  <c r="CC28" i="18"/>
  <c r="CD28" i="18"/>
  <c r="CE28" i="18"/>
  <c r="CF28" i="18"/>
  <c r="CG28" i="18"/>
  <c r="CH28" i="18"/>
  <c r="CI28" i="18"/>
  <c r="CJ28" i="18"/>
  <c r="CK28" i="18"/>
  <c r="CL28" i="18"/>
  <c r="CM28" i="18"/>
  <c r="CN28" i="18"/>
  <c r="CO28" i="18"/>
  <c r="CP28" i="18"/>
  <c r="CQ28" i="18"/>
  <c r="CR28" i="18"/>
  <c r="CS28" i="18"/>
  <c r="CT28" i="18"/>
  <c r="CU28" i="18"/>
  <c r="CV28" i="18"/>
  <c r="CW28" i="18"/>
  <c r="CX28" i="18"/>
  <c r="CY28" i="18"/>
  <c r="CZ28" i="18"/>
  <c r="DA28" i="18"/>
  <c r="DB28" i="18"/>
  <c r="DC28" i="18"/>
  <c r="DD28" i="18"/>
  <c r="DE28" i="18"/>
  <c r="DF28" i="18"/>
  <c r="DG28" i="18"/>
  <c r="DH28" i="18"/>
  <c r="DI28" i="18"/>
  <c r="DJ28" i="18"/>
  <c r="DK28" i="18"/>
  <c r="DL28" i="18"/>
  <c r="DM28" i="18"/>
  <c r="DN28" i="18"/>
  <c r="DO28" i="18"/>
  <c r="DP28" i="18"/>
  <c r="DQ28" i="18"/>
  <c r="DR28" i="18"/>
  <c r="DS28" i="18"/>
  <c r="DT28" i="18"/>
  <c r="DU28" i="18"/>
  <c r="DV28" i="18"/>
  <c r="DW28" i="18"/>
  <c r="DX28" i="18"/>
  <c r="DY28" i="18"/>
  <c r="DZ28" i="18"/>
  <c r="EA28" i="18"/>
  <c r="EB28" i="18"/>
  <c r="EC28" i="18"/>
  <c r="ED28" i="18"/>
  <c r="EE28" i="18"/>
  <c r="EF28" i="18"/>
  <c r="EG28" i="18"/>
  <c r="EH28" i="18"/>
  <c r="EI28" i="18"/>
  <c r="EJ28" i="18"/>
  <c r="EK28" i="18"/>
  <c r="EL28" i="18"/>
  <c r="EM28" i="18"/>
  <c r="EN28" i="18"/>
  <c r="EO28" i="18"/>
  <c r="EP28" i="18"/>
  <c r="EQ28" i="18"/>
  <c r="ER28" i="18"/>
  <c r="ES28" i="18"/>
  <c r="ET28" i="18"/>
  <c r="EU28" i="18"/>
  <c r="EV28" i="18"/>
  <c r="EW28" i="18"/>
  <c r="EX28" i="18"/>
  <c r="EY28" i="18"/>
  <c r="EZ28" i="18"/>
  <c r="FA28" i="18"/>
  <c r="FB28" i="18"/>
  <c r="FC28" i="18"/>
  <c r="FD28" i="18"/>
  <c r="FE28" i="18"/>
  <c r="FF28" i="18"/>
  <c r="FG28" i="18"/>
  <c r="FH28" i="18"/>
  <c r="FI28" i="18"/>
  <c r="FJ28" i="18"/>
  <c r="FK28" i="18"/>
  <c r="FL28" i="18"/>
  <c r="FM28" i="18"/>
  <c r="FN28" i="18"/>
  <c r="FO28" i="18"/>
  <c r="FP28" i="18"/>
  <c r="FQ28" i="18"/>
  <c r="FR28" i="18"/>
  <c r="FS28" i="18"/>
  <c r="FT28" i="18"/>
  <c r="FU28" i="18"/>
  <c r="FV28" i="18"/>
  <c r="FW28" i="18"/>
  <c r="FX28" i="18"/>
  <c r="FY28" i="18"/>
  <c r="FZ28" i="18"/>
  <c r="GA28" i="18"/>
  <c r="GB28" i="18"/>
  <c r="GC28" i="18"/>
  <c r="GD28" i="18"/>
  <c r="GE28" i="18"/>
  <c r="GF28" i="18"/>
  <c r="GG28" i="18"/>
  <c r="GH28" i="18"/>
  <c r="GI28" i="18"/>
  <c r="GJ28" i="18"/>
  <c r="GK28" i="18"/>
  <c r="GL28" i="18"/>
  <c r="GM28" i="18"/>
  <c r="GN28" i="18"/>
  <c r="GO28" i="18"/>
  <c r="GP28" i="18"/>
  <c r="GQ28" i="18"/>
  <c r="GR28" i="18"/>
  <c r="GS28" i="18"/>
  <c r="GT28" i="18"/>
  <c r="GU28" i="18"/>
  <c r="GV28" i="18"/>
  <c r="GW28" i="18"/>
  <c r="GX28" i="18"/>
  <c r="GY28" i="18"/>
  <c r="GZ28" i="18"/>
  <c r="HA28" i="18"/>
  <c r="HB28" i="18"/>
  <c r="HC28" i="18"/>
  <c r="I29" i="18"/>
  <c r="J29" i="18"/>
  <c r="K29" i="18"/>
  <c r="L29" i="18"/>
  <c r="M29" i="18"/>
  <c r="N29" i="18"/>
  <c r="O29" i="18"/>
  <c r="P29" i="18"/>
  <c r="Q29" i="18"/>
  <c r="R29" i="18"/>
  <c r="S29" i="18"/>
  <c r="T29" i="18"/>
  <c r="U29" i="18"/>
  <c r="V29" i="18"/>
  <c r="W29" i="18"/>
  <c r="X29" i="18"/>
  <c r="Y29" i="18"/>
  <c r="Z29" i="18"/>
  <c r="AA29" i="18"/>
  <c r="AB29" i="18"/>
  <c r="AC29" i="18"/>
  <c r="AD29" i="18"/>
  <c r="AE29" i="18"/>
  <c r="AF29" i="18"/>
  <c r="AG29" i="18"/>
  <c r="AH29" i="18"/>
  <c r="AI29" i="18"/>
  <c r="AJ29" i="18"/>
  <c r="AK29" i="18"/>
  <c r="AL29" i="18"/>
  <c r="AM29" i="18"/>
  <c r="AN29" i="18"/>
  <c r="AO29" i="18"/>
  <c r="AP29" i="18"/>
  <c r="AQ29" i="18"/>
  <c r="AR29" i="18"/>
  <c r="AS29" i="18"/>
  <c r="AT29" i="18"/>
  <c r="AU29" i="18"/>
  <c r="AV29" i="18"/>
  <c r="AW29" i="18"/>
  <c r="AX29" i="18"/>
  <c r="AY29" i="18"/>
  <c r="AZ29" i="18"/>
  <c r="BA29" i="18"/>
  <c r="BB29" i="18"/>
  <c r="BC29" i="18"/>
  <c r="BD29" i="18"/>
  <c r="BE29" i="18"/>
  <c r="BF29" i="18"/>
  <c r="BG29" i="18"/>
  <c r="BH29" i="18"/>
  <c r="BI29" i="18"/>
  <c r="BJ29" i="18"/>
  <c r="BK29" i="18"/>
  <c r="BL29" i="18"/>
  <c r="BM29" i="18"/>
  <c r="BN29" i="18"/>
  <c r="BO29" i="18"/>
  <c r="BP29" i="18"/>
  <c r="BQ29" i="18"/>
  <c r="BR29" i="18"/>
  <c r="BS29" i="18"/>
  <c r="BT29" i="18"/>
  <c r="BU29" i="18"/>
  <c r="BV29" i="18"/>
  <c r="BW29" i="18"/>
  <c r="BX29" i="18"/>
  <c r="BY29" i="18"/>
  <c r="BZ29" i="18"/>
  <c r="CA29" i="18"/>
  <c r="CB29" i="18"/>
  <c r="CC29" i="18"/>
  <c r="CD29" i="18"/>
  <c r="CE29" i="18"/>
  <c r="CF29" i="18"/>
  <c r="CG29" i="18"/>
  <c r="CH29" i="18"/>
  <c r="CI29" i="18"/>
  <c r="CJ29" i="18"/>
  <c r="CK29" i="18"/>
  <c r="CL29" i="18"/>
  <c r="CM29" i="18"/>
  <c r="CN29" i="18"/>
  <c r="CO29" i="18"/>
  <c r="CP29" i="18"/>
  <c r="CQ29" i="18"/>
  <c r="CR29" i="18"/>
  <c r="CS29" i="18"/>
  <c r="CT29" i="18"/>
  <c r="CU29" i="18"/>
  <c r="CV29" i="18"/>
  <c r="CW29" i="18"/>
  <c r="CX29" i="18"/>
  <c r="CY29" i="18"/>
  <c r="CZ29" i="18"/>
  <c r="DA29" i="18"/>
  <c r="DB29" i="18"/>
  <c r="DC29" i="18"/>
  <c r="DD29" i="18"/>
  <c r="DE29" i="18"/>
  <c r="DF29" i="18"/>
  <c r="DG29" i="18"/>
  <c r="DH29" i="18"/>
  <c r="DI29" i="18"/>
  <c r="DJ29" i="18"/>
  <c r="DK29" i="18"/>
  <c r="DL29" i="18"/>
  <c r="DM29" i="18"/>
  <c r="DN29" i="18"/>
  <c r="DO29" i="18"/>
  <c r="DP29" i="18"/>
  <c r="DQ29" i="18"/>
  <c r="DR29" i="18"/>
  <c r="DS29" i="18"/>
  <c r="DT29" i="18"/>
  <c r="DU29" i="18"/>
  <c r="DV29" i="18"/>
  <c r="DW29" i="18"/>
  <c r="DX29" i="18"/>
  <c r="DY29" i="18"/>
  <c r="DZ29" i="18"/>
  <c r="EA29" i="18"/>
  <c r="EB29" i="18"/>
  <c r="EC29" i="18"/>
  <c r="ED29" i="18"/>
  <c r="EE29" i="18"/>
  <c r="EF29" i="18"/>
  <c r="EG29" i="18"/>
  <c r="EH29" i="18"/>
  <c r="EI29" i="18"/>
  <c r="EJ29" i="18"/>
  <c r="EK29" i="18"/>
  <c r="EL29" i="18"/>
  <c r="EM29" i="18"/>
  <c r="EN29" i="18"/>
  <c r="EO29" i="18"/>
  <c r="EP29" i="18"/>
  <c r="EQ29" i="18"/>
  <c r="ER29" i="18"/>
  <c r="ES29" i="18"/>
  <c r="ET29" i="18"/>
  <c r="EU29" i="18"/>
  <c r="EV29" i="18"/>
  <c r="EW29" i="18"/>
  <c r="EX29" i="18"/>
  <c r="EY29" i="18"/>
  <c r="EZ29" i="18"/>
  <c r="FA29" i="18"/>
  <c r="FB29" i="18"/>
  <c r="FC29" i="18"/>
  <c r="FD29" i="18"/>
  <c r="FE29" i="18"/>
  <c r="FF29" i="18"/>
  <c r="FG29" i="18"/>
  <c r="FH29" i="18"/>
  <c r="FI29" i="18"/>
  <c r="FJ29" i="18"/>
  <c r="FK29" i="18"/>
  <c r="FL29" i="18"/>
  <c r="FM29" i="18"/>
  <c r="FN29" i="18"/>
  <c r="FO29" i="18"/>
  <c r="FP29" i="18"/>
  <c r="FQ29" i="18"/>
  <c r="FR29" i="18"/>
  <c r="FS29" i="18"/>
  <c r="FT29" i="18"/>
  <c r="FU29" i="18"/>
  <c r="FV29" i="18"/>
  <c r="FW29" i="18"/>
  <c r="FX29" i="18"/>
  <c r="FY29" i="18"/>
  <c r="FZ29" i="18"/>
  <c r="GA29" i="18"/>
  <c r="GB29" i="18"/>
  <c r="GC29" i="18"/>
  <c r="GD29" i="18"/>
  <c r="GE29" i="18"/>
  <c r="GF29" i="18"/>
  <c r="GG29" i="18"/>
  <c r="GH29" i="18"/>
  <c r="GI29" i="18"/>
  <c r="GJ29" i="18"/>
  <c r="GK29" i="18"/>
  <c r="GL29" i="18"/>
  <c r="GM29" i="18"/>
  <c r="GN29" i="18"/>
  <c r="GO29" i="18"/>
  <c r="GP29" i="18"/>
  <c r="GQ29" i="18"/>
  <c r="GR29" i="18"/>
  <c r="GS29" i="18"/>
  <c r="GT29" i="18"/>
  <c r="GU29" i="18"/>
  <c r="GV29" i="18"/>
  <c r="GW29" i="18"/>
  <c r="GX29" i="18"/>
  <c r="GY29" i="18"/>
  <c r="GZ29" i="18"/>
  <c r="HA29" i="18"/>
  <c r="HB29" i="18"/>
  <c r="HC29" i="18"/>
  <c r="I30" i="18"/>
  <c r="J30" i="18"/>
  <c r="K30" i="18"/>
  <c r="L30" i="18"/>
  <c r="M30" i="18"/>
  <c r="N30" i="18"/>
  <c r="O30" i="18"/>
  <c r="P30" i="18"/>
  <c r="Q30" i="18"/>
  <c r="R30" i="18"/>
  <c r="S30" i="18"/>
  <c r="T30" i="18"/>
  <c r="U30" i="18"/>
  <c r="V30" i="18"/>
  <c r="W30" i="18"/>
  <c r="X30" i="18"/>
  <c r="Y30" i="18"/>
  <c r="Z30" i="18"/>
  <c r="AA30" i="18"/>
  <c r="AB30" i="18"/>
  <c r="AC30" i="18"/>
  <c r="AD30" i="18"/>
  <c r="AE30" i="18"/>
  <c r="AF30" i="18"/>
  <c r="AG30" i="18"/>
  <c r="AH30" i="18"/>
  <c r="AI30" i="18"/>
  <c r="AJ30" i="18"/>
  <c r="AK30" i="18"/>
  <c r="AL30" i="18"/>
  <c r="AM30" i="18"/>
  <c r="AN30" i="18"/>
  <c r="AO30" i="18"/>
  <c r="AP30" i="18"/>
  <c r="AQ30" i="18"/>
  <c r="AR30" i="18"/>
  <c r="AS30" i="18"/>
  <c r="AT30" i="18"/>
  <c r="AU30" i="18"/>
  <c r="AV30" i="18"/>
  <c r="AW30" i="18"/>
  <c r="AX30" i="18"/>
  <c r="AY30" i="18"/>
  <c r="AZ30" i="18"/>
  <c r="BA30" i="18"/>
  <c r="BB30" i="18"/>
  <c r="BC30" i="18"/>
  <c r="BD30" i="18"/>
  <c r="BE30" i="18"/>
  <c r="BF30" i="18"/>
  <c r="BG30" i="18"/>
  <c r="BH30" i="18"/>
  <c r="BI30" i="18"/>
  <c r="BJ30" i="18"/>
  <c r="BK30" i="18"/>
  <c r="BL30" i="18"/>
  <c r="BM30" i="18"/>
  <c r="BN30" i="18"/>
  <c r="BO30" i="18"/>
  <c r="BP30" i="18"/>
  <c r="BQ30" i="18"/>
  <c r="BR30" i="18"/>
  <c r="BS30" i="18"/>
  <c r="BT30" i="18"/>
  <c r="BU30" i="18"/>
  <c r="BV30" i="18"/>
  <c r="BW30" i="18"/>
  <c r="BX30" i="18"/>
  <c r="BY30" i="18"/>
  <c r="BZ30" i="18"/>
  <c r="CA30" i="18"/>
  <c r="CB30" i="18"/>
  <c r="CC30" i="18"/>
  <c r="CD30" i="18"/>
  <c r="CE30" i="18"/>
  <c r="CF30" i="18"/>
  <c r="CG30" i="18"/>
  <c r="CH30" i="18"/>
  <c r="CI30" i="18"/>
  <c r="CJ30" i="18"/>
  <c r="CK30" i="18"/>
  <c r="CL30" i="18"/>
  <c r="CM30" i="18"/>
  <c r="CN30" i="18"/>
  <c r="CO30" i="18"/>
  <c r="CP30" i="18"/>
  <c r="CQ30" i="18"/>
  <c r="CR30" i="18"/>
  <c r="CS30" i="18"/>
  <c r="CT30" i="18"/>
  <c r="CU30" i="18"/>
  <c r="CV30" i="18"/>
  <c r="CW30" i="18"/>
  <c r="CX30" i="18"/>
  <c r="CY30" i="18"/>
  <c r="CZ30" i="18"/>
  <c r="DA30" i="18"/>
  <c r="DB30" i="18"/>
  <c r="DC30" i="18"/>
  <c r="DD30" i="18"/>
  <c r="DE30" i="18"/>
  <c r="DF30" i="18"/>
  <c r="DG30" i="18"/>
  <c r="DH30" i="18"/>
  <c r="DI30" i="18"/>
  <c r="DJ30" i="18"/>
  <c r="DK30" i="18"/>
  <c r="DL30" i="18"/>
  <c r="DM30" i="18"/>
  <c r="DN30" i="18"/>
  <c r="DO30" i="18"/>
  <c r="DP30" i="18"/>
  <c r="DQ30" i="18"/>
  <c r="DR30" i="18"/>
  <c r="DS30" i="18"/>
  <c r="DT30" i="18"/>
  <c r="DU30" i="18"/>
  <c r="DV30" i="18"/>
  <c r="DW30" i="18"/>
  <c r="DX30" i="18"/>
  <c r="DY30" i="18"/>
  <c r="DZ30" i="18"/>
  <c r="EA30" i="18"/>
  <c r="EB30" i="18"/>
  <c r="EC30" i="18"/>
  <c r="ED30" i="18"/>
  <c r="EE30" i="18"/>
  <c r="EF30" i="18"/>
  <c r="EG30" i="18"/>
  <c r="EH30" i="18"/>
  <c r="EI30" i="18"/>
  <c r="EJ30" i="18"/>
  <c r="EK30" i="18"/>
  <c r="EL30" i="18"/>
  <c r="EM30" i="18"/>
  <c r="EN30" i="18"/>
  <c r="EO30" i="18"/>
  <c r="EP30" i="18"/>
  <c r="EQ30" i="18"/>
  <c r="ER30" i="18"/>
  <c r="ES30" i="18"/>
  <c r="ET30" i="18"/>
  <c r="EU30" i="18"/>
  <c r="EV30" i="18"/>
  <c r="EW30" i="18"/>
  <c r="EX30" i="18"/>
  <c r="EY30" i="18"/>
  <c r="EZ30" i="18"/>
  <c r="FA30" i="18"/>
  <c r="FB30" i="18"/>
  <c r="FC30" i="18"/>
  <c r="FD30" i="18"/>
  <c r="FE30" i="18"/>
  <c r="FF30" i="18"/>
  <c r="FG30" i="18"/>
  <c r="FH30" i="18"/>
  <c r="FI30" i="18"/>
  <c r="FJ30" i="18"/>
  <c r="FK30" i="18"/>
  <c r="FL30" i="18"/>
  <c r="FM30" i="18"/>
  <c r="FN30" i="18"/>
  <c r="FO30" i="18"/>
  <c r="FP30" i="18"/>
  <c r="FQ30" i="18"/>
  <c r="FR30" i="18"/>
  <c r="FS30" i="18"/>
  <c r="FT30" i="18"/>
  <c r="FU30" i="18"/>
  <c r="FV30" i="18"/>
  <c r="FW30" i="18"/>
  <c r="FX30" i="18"/>
  <c r="FY30" i="18"/>
  <c r="FZ30" i="18"/>
  <c r="GA30" i="18"/>
  <c r="GB30" i="18"/>
  <c r="GC30" i="18"/>
  <c r="GD30" i="18"/>
  <c r="GE30" i="18"/>
  <c r="GF30" i="18"/>
  <c r="GG30" i="18"/>
  <c r="GH30" i="18"/>
  <c r="GI30" i="18"/>
  <c r="GJ30" i="18"/>
  <c r="GK30" i="18"/>
  <c r="GL30" i="18"/>
  <c r="GM30" i="18"/>
  <c r="GN30" i="18"/>
  <c r="GO30" i="18"/>
  <c r="GP30" i="18"/>
  <c r="GQ30" i="18"/>
  <c r="GR30" i="18"/>
  <c r="GS30" i="18"/>
  <c r="GT30" i="18"/>
  <c r="GU30" i="18"/>
  <c r="GV30" i="18"/>
  <c r="GW30" i="18"/>
  <c r="GX30" i="18"/>
  <c r="GY30" i="18"/>
  <c r="GZ30" i="18"/>
  <c r="HA30" i="18"/>
  <c r="HB30" i="18"/>
  <c r="HC30" i="18"/>
  <c r="H30" i="18"/>
  <c r="H29" i="18"/>
  <c r="H28" i="18"/>
  <c r="I27" i="18"/>
  <c r="J27" i="18"/>
  <c r="K27" i="18"/>
  <c r="L27" i="18"/>
  <c r="M27" i="18"/>
  <c r="N27" i="18"/>
  <c r="O27" i="18"/>
  <c r="P27" i="18"/>
  <c r="Q27" i="18"/>
  <c r="R27" i="18"/>
  <c r="S27" i="18"/>
  <c r="T27" i="18"/>
  <c r="U27" i="18"/>
  <c r="V27" i="18"/>
  <c r="W27" i="18"/>
  <c r="X27" i="18"/>
  <c r="Y27" i="18"/>
  <c r="Z27" i="18"/>
  <c r="AA27" i="18"/>
  <c r="AB27" i="18"/>
  <c r="AC27" i="18"/>
  <c r="AD27" i="18"/>
  <c r="AE27" i="18"/>
  <c r="AF27" i="18"/>
  <c r="AG27" i="18"/>
  <c r="AH27" i="18"/>
  <c r="AI27" i="18"/>
  <c r="AJ27" i="18"/>
  <c r="AK27" i="18"/>
  <c r="AL27" i="18"/>
  <c r="AM27" i="18"/>
  <c r="AN27" i="18"/>
  <c r="AO27" i="18"/>
  <c r="AP27" i="18"/>
  <c r="AQ27" i="18"/>
  <c r="AR27" i="18"/>
  <c r="AS27" i="18"/>
  <c r="AT27" i="18"/>
  <c r="AU27" i="18"/>
  <c r="AV27" i="18"/>
  <c r="AW27" i="18"/>
  <c r="AX27" i="18"/>
  <c r="AY27" i="18"/>
  <c r="AZ27" i="18"/>
  <c r="BA27" i="18"/>
  <c r="BB27" i="18"/>
  <c r="BC27" i="18"/>
  <c r="BD27" i="18"/>
  <c r="BE27" i="18"/>
  <c r="BF27" i="18"/>
  <c r="BG27" i="18"/>
  <c r="BH27" i="18"/>
  <c r="BI27" i="18"/>
  <c r="BJ27" i="18"/>
  <c r="BK27" i="18"/>
  <c r="BL27" i="18"/>
  <c r="BM27" i="18"/>
  <c r="BN27" i="18"/>
  <c r="BO27" i="18"/>
  <c r="BP27" i="18"/>
  <c r="BQ27" i="18"/>
  <c r="BR27" i="18"/>
  <c r="BS27" i="18"/>
  <c r="BT27" i="18"/>
  <c r="BU27" i="18"/>
  <c r="BV27" i="18"/>
  <c r="BW27" i="18"/>
  <c r="BX27" i="18"/>
  <c r="BY27" i="18"/>
  <c r="BZ27" i="18"/>
  <c r="CA27" i="18"/>
  <c r="CB27" i="18"/>
  <c r="CC27" i="18"/>
  <c r="CD27" i="18"/>
  <c r="CE27" i="18"/>
  <c r="CF27" i="18"/>
  <c r="CG27" i="18"/>
  <c r="CH27" i="18"/>
  <c r="CI27" i="18"/>
  <c r="CJ27" i="18"/>
  <c r="CK27" i="18"/>
  <c r="CL27" i="18"/>
  <c r="CM27" i="18"/>
  <c r="CN27" i="18"/>
  <c r="CO27" i="18"/>
  <c r="CP27" i="18"/>
  <c r="CQ27" i="18"/>
  <c r="CR27" i="18"/>
  <c r="CS27" i="18"/>
  <c r="CT27" i="18"/>
  <c r="CU27" i="18"/>
  <c r="CV27" i="18"/>
  <c r="CW27" i="18"/>
  <c r="CX27" i="18"/>
  <c r="CY27" i="18"/>
  <c r="CZ27" i="18"/>
  <c r="DA27" i="18"/>
  <c r="DB27" i="18"/>
  <c r="DC27" i="18"/>
  <c r="DD27" i="18"/>
  <c r="DE27" i="18"/>
  <c r="DF27" i="18"/>
  <c r="DG27" i="18"/>
  <c r="DH27" i="18"/>
  <c r="DI27" i="18"/>
  <c r="DJ27" i="18"/>
  <c r="DK27" i="18"/>
  <c r="DL27" i="18"/>
  <c r="DM27" i="18"/>
  <c r="DN27" i="18"/>
  <c r="DO27" i="18"/>
  <c r="DP27" i="18"/>
  <c r="DQ27" i="18"/>
  <c r="DR27" i="18"/>
  <c r="DS27" i="18"/>
  <c r="DT27" i="18"/>
  <c r="DU27" i="18"/>
  <c r="DV27" i="18"/>
  <c r="DW27" i="18"/>
  <c r="DX27" i="18"/>
  <c r="DY27" i="18"/>
  <c r="DZ27" i="18"/>
  <c r="EA27" i="18"/>
  <c r="EB27" i="18"/>
  <c r="EC27" i="18"/>
  <c r="ED27" i="18"/>
  <c r="EE27" i="18"/>
  <c r="EF27" i="18"/>
  <c r="EG27" i="18"/>
  <c r="EH27" i="18"/>
  <c r="EI27" i="18"/>
  <c r="EJ27" i="18"/>
  <c r="EK27" i="18"/>
  <c r="EL27" i="18"/>
  <c r="EM27" i="18"/>
  <c r="EN27" i="18"/>
  <c r="EO27" i="18"/>
  <c r="EP27" i="18"/>
  <c r="EQ27" i="18"/>
  <c r="ER27" i="18"/>
  <c r="ES27" i="18"/>
  <c r="ET27" i="18"/>
  <c r="EU27" i="18"/>
  <c r="EV27" i="18"/>
  <c r="EW27" i="18"/>
  <c r="EX27" i="18"/>
  <c r="EY27" i="18"/>
  <c r="EZ27" i="18"/>
  <c r="FA27" i="18"/>
  <c r="FB27" i="18"/>
  <c r="FC27" i="18"/>
  <c r="FD27" i="18"/>
  <c r="FE27" i="18"/>
  <c r="FF27" i="18"/>
  <c r="FG27" i="18"/>
  <c r="FH27" i="18"/>
  <c r="FI27" i="18"/>
  <c r="FJ27" i="18"/>
  <c r="FK27" i="18"/>
  <c r="FL27" i="18"/>
  <c r="FM27" i="18"/>
  <c r="FN27" i="18"/>
  <c r="FO27" i="18"/>
  <c r="FP27" i="18"/>
  <c r="FQ27" i="18"/>
  <c r="FR27" i="18"/>
  <c r="FS27" i="18"/>
  <c r="FT27" i="18"/>
  <c r="FU27" i="18"/>
  <c r="FV27" i="18"/>
  <c r="FW27" i="18"/>
  <c r="FX27" i="18"/>
  <c r="FY27" i="18"/>
  <c r="FZ27" i="18"/>
  <c r="GA27" i="18"/>
  <c r="GB27" i="18"/>
  <c r="GC27" i="18"/>
  <c r="GD27" i="18"/>
  <c r="GE27" i="18"/>
  <c r="GF27" i="18"/>
  <c r="GG27" i="18"/>
  <c r="GH27" i="18"/>
  <c r="GI27" i="18"/>
  <c r="GJ27" i="18"/>
  <c r="GK27" i="18"/>
  <c r="GL27" i="18"/>
  <c r="GM27" i="18"/>
  <c r="GN27" i="18"/>
  <c r="GO27" i="18"/>
  <c r="GP27" i="18"/>
  <c r="GQ27" i="18"/>
  <c r="GR27" i="18"/>
  <c r="GS27" i="18"/>
  <c r="GT27" i="18"/>
  <c r="GU27" i="18"/>
  <c r="GV27" i="18"/>
  <c r="GW27" i="18"/>
  <c r="GX27" i="18"/>
  <c r="GY27" i="18"/>
  <c r="GZ27" i="18"/>
  <c r="HA27" i="18"/>
  <c r="HB27" i="18"/>
  <c r="HC27" i="18"/>
  <c r="H27" i="18"/>
  <c r="I26" i="18"/>
  <c r="J26" i="18"/>
  <c r="K26" i="18"/>
  <c r="L26" i="18"/>
  <c r="M26" i="18"/>
  <c r="N26" i="18"/>
  <c r="O26" i="18"/>
  <c r="P26" i="18"/>
  <c r="Q26" i="18"/>
  <c r="R26" i="18"/>
  <c r="S26" i="18"/>
  <c r="T26" i="18"/>
  <c r="U26" i="18"/>
  <c r="V26" i="18"/>
  <c r="W26" i="18"/>
  <c r="X26" i="18"/>
  <c r="Y26" i="18"/>
  <c r="Z26" i="18"/>
  <c r="AA26" i="18"/>
  <c r="AB26" i="18"/>
  <c r="AC26" i="18"/>
  <c r="AD26" i="18"/>
  <c r="AE26" i="18"/>
  <c r="AF26" i="18"/>
  <c r="AG26" i="18"/>
  <c r="AH26" i="18"/>
  <c r="AI26" i="18"/>
  <c r="AJ26" i="18"/>
  <c r="AK26" i="18"/>
  <c r="AL26" i="18"/>
  <c r="AM26" i="18"/>
  <c r="AN26" i="18"/>
  <c r="AO26" i="18"/>
  <c r="AP26" i="18"/>
  <c r="AQ26" i="18"/>
  <c r="AR26" i="18"/>
  <c r="AS26" i="18"/>
  <c r="AT26" i="18"/>
  <c r="AU26" i="18"/>
  <c r="AV26" i="18"/>
  <c r="AW26" i="18"/>
  <c r="AX26" i="18"/>
  <c r="AY26" i="18"/>
  <c r="AZ26" i="18"/>
  <c r="BA26" i="18"/>
  <c r="BB26" i="18"/>
  <c r="BC26" i="18"/>
  <c r="BD26" i="18"/>
  <c r="BE26" i="18"/>
  <c r="BF26" i="18"/>
  <c r="BG26" i="18"/>
  <c r="BH26" i="18"/>
  <c r="BI26" i="18"/>
  <c r="BJ26" i="18"/>
  <c r="BK26" i="18"/>
  <c r="BL26" i="18"/>
  <c r="BM26" i="18"/>
  <c r="BN26" i="18"/>
  <c r="BO26" i="18"/>
  <c r="BP26" i="18"/>
  <c r="BQ26" i="18"/>
  <c r="BR26" i="18"/>
  <c r="BS26" i="18"/>
  <c r="BT26" i="18"/>
  <c r="BU26" i="18"/>
  <c r="BV26" i="18"/>
  <c r="BW26" i="18"/>
  <c r="BX26" i="18"/>
  <c r="BY26" i="18"/>
  <c r="BZ26" i="18"/>
  <c r="CA26" i="18"/>
  <c r="CB26" i="18"/>
  <c r="CC26" i="18"/>
  <c r="CD26" i="18"/>
  <c r="CE26" i="18"/>
  <c r="CF26" i="18"/>
  <c r="CG26" i="18"/>
  <c r="CH26" i="18"/>
  <c r="CI26" i="18"/>
  <c r="CJ26" i="18"/>
  <c r="CK26" i="18"/>
  <c r="CL26" i="18"/>
  <c r="CM26" i="18"/>
  <c r="CN26" i="18"/>
  <c r="CO26" i="18"/>
  <c r="CP26" i="18"/>
  <c r="CQ26" i="18"/>
  <c r="CR26" i="18"/>
  <c r="CS26" i="18"/>
  <c r="CT26" i="18"/>
  <c r="CU26" i="18"/>
  <c r="CV26" i="18"/>
  <c r="CW26" i="18"/>
  <c r="CX26" i="18"/>
  <c r="CY26" i="18"/>
  <c r="CZ26" i="18"/>
  <c r="DA26" i="18"/>
  <c r="DB26" i="18"/>
  <c r="DC26" i="18"/>
  <c r="DD26" i="18"/>
  <c r="DE26" i="18"/>
  <c r="DF26" i="18"/>
  <c r="DG26" i="18"/>
  <c r="DH26" i="18"/>
  <c r="DI26" i="18"/>
  <c r="DJ26" i="18"/>
  <c r="DK26" i="18"/>
  <c r="DL26" i="18"/>
  <c r="DM26" i="18"/>
  <c r="DN26" i="18"/>
  <c r="DO26" i="18"/>
  <c r="DP26" i="18"/>
  <c r="DQ26" i="18"/>
  <c r="DR26" i="18"/>
  <c r="DS26" i="18"/>
  <c r="DT26" i="18"/>
  <c r="DU26" i="18"/>
  <c r="DV26" i="18"/>
  <c r="DW26" i="18"/>
  <c r="DX26" i="18"/>
  <c r="DY26" i="18"/>
  <c r="DZ26" i="18"/>
  <c r="EA26" i="18"/>
  <c r="EB26" i="18"/>
  <c r="EC26" i="18"/>
  <c r="ED26" i="18"/>
  <c r="EE26" i="18"/>
  <c r="EF26" i="18"/>
  <c r="EG26" i="18"/>
  <c r="EH26" i="18"/>
  <c r="EI26" i="18"/>
  <c r="EJ26" i="18"/>
  <c r="EK26" i="18"/>
  <c r="EL26" i="18"/>
  <c r="EM26" i="18"/>
  <c r="EN26" i="18"/>
  <c r="EO26" i="18"/>
  <c r="EP26" i="18"/>
  <c r="EQ26" i="18"/>
  <c r="ER26" i="18"/>
  <c r="ES26" i="18"/>
  <c r="ET26" i="18"/>
  <c r="EU26" i="18"/>
  <c r="EV26" i="18"/>
  <c r="EW26" i="18"/>
  <c r="EX26" i="18"/>
  <c r="EY26" i="18"/>
  <c r="EZ26" i="18"/>
  <c r="FA26" i="18"/>
  <c r="FB26" i="18"/>
  <c r="FC26" i="18"/>
  <c r="FD26" i="18"/>
  <c r="FE26" i="18"/>
  <c r="FF26" i="18"/>
  <c r="FG26" i="18"/>
  <c r="FH26" i="18"/>
  <c r="FI26" i="18"/>
  <c r="FJ26" i="18"/>
  <c r="FK26" i="18"/>
  <c r="FL26" i="18"/>
  <c r="FM26" i="18"/>
  <c r="FN26" i="18"/>
  <c r="FO26" i="18"/>
  <c r="FP26" i="18"/>
  <c r="FQ26" i="18"/>
  <c r="FR26" i="18"/>
  <c r="FS26" i="18"/>
  <c r="FT26" i="18"/>
  <c r="FU26" i="18"/>
  <c r="FV26" i="18"/>
  <c r="FW26" i="18"/>
  <c r="FX26" i="18"/>
  <c r="FY26" i="18"/>
  <c r="FZ26" i="18"/>
  <c r="GA26" i="18"/>
  <c r="GB26" i="18"/>
  <c r="GC26" i="18"/>
  <c r="GD26" i="18"/>
  <c r="GE26" i="18"/>
  <c r="GF26" i="18"/>
  <c r="GG26" i="18"/>
  <c r="GH26" i="18"/>
  <c r="GI26" i="18"/>
  <c r="GJ26" i="18"/>
  <c r="GK26" i="18"/>
  <c r="GL26" i="18"/>
  <c r="GM26" i="18"/>
  <c r="GN26" i="18"/>
  <c r="GO26" i="18"/>
  <c r="GP26" i="18"/>
  <c r="GQ26" i="18"/>
  <c r="GR26" i="18"/>
  <c r="GS26" i="18"/>
  <c r="GT26" i="18"/>
  <c r="GU26" i="18"/>
  <c r="GV26" i="18"/>
  <c r="GW26" i="18"/>
  <c r="GX26" i="18"/>
  <c r="GY26" i="18"/>
  <c r="GZ26" i="18"/>
  <c r="HA26" i="18"/>
  <c r="HB26" i="18"/>
  <c r="HC26" i="18"/>
  <c r="H26" i="18"/>
  <c r="I21" i="18"/>
  <c r="J21" i="18"/>
  <c r="K21" i="18"/>
  <c r="L21" i="18"/>
  <c r="M21" i="18"/>
  <c r="N21" i="18"/>
  <c r="O21" i="18"/>
  <c r="P21" i="18"/>
  <c r="Q21" i="18"/>
  <c r="R21" i="18"/>
  <c r="S21" i="18"/>
  <c r="T21" i="18"/>
  <c r="U21" i="18"/>
  <c r="V21" i="18"/>
  <c r="W21" i="18"/>
  <c r="X21" i="18"/>
  <c r="Y21" i="18"/>
  <c r="Z21" i="18"/>
  <c r="AA21" i="18"/>
  <c r="AB21" i="18"/>
  <c r="AC21" i="18"/>
  <c r="AD21" i="18"/>
  <c r="AE21" i="18"/>
  <c r="AF21" i="18"/>
  <c r="AG21" i="18"/>
  <c r="AH21" i="18"/>
  <c r="AI21" i="18"/>
  <c r="AJ21" i="18"/>
  <c r="AK21" i="18"/>
  <c r="AL21" i="18"/>
  <c r="AM21" i="18"/>
  <c r="AN21" i="18"/>
  <c r="AO21" i="18"/>
  <c r="AP21" i="18"/>
  <c r="AQ21" i="18"/>
  <c r="AR21" i="18"/>
  <c r="AS21" i="18"/>
  <c r="AT21" i="18"/>
  <c r="AU21" i="18"/>
  <c r="AV21" i="18"/>
  <c r="AW21" i="18"/>
  <c r="AX21" i="18"/>
  <c r="AY21" i="18"/>
  <c r="AZ21" i="18"/>
  <c r="BA21" i="18"/>
  <c r="BB21" i="18"/>
  <c r="BC21" i="18"/>
  <c r="BD21" i="18"/>
  <c r="BE21" i="18"/>
  <c r="BF21" i="18"/>
  <c r="BG21" i="18"/>
  <c r="BH21" i="18"/>
  <c r="BI21" i="18"/>
  <c r="BJ21" i="18"/>
  <c r="BK21" i="18"/>
  <c r="BL21" i="18"/>
  <c r="BM21" i="18"/>
  <c r="BN21" i="18"/>
  <c r="BO21" i="18"/>
  <c r="BP21" i="18"/>
  <c r="BQ21" i="18"/>
  <c r="BR21" i="18"/>
  <c r="BS21" i="18"/>
  <c r="BT21" i="18"/>
  <c r="BU21" i="18"/>
  <c r="BV21" i="18"/>
  <c r="BW21" i="18"/>
  <c r="BX21" i="18"/>
  <c r="BY21" i="18"/>
  <c r="BZ21" i="18"/>
  <c r="CA21" i="18"/>
  <c r="CB21" i="18"/>
  <c r="CC21" i="18"/>
  <c r="CD21" i="18"/>
  <c r="CE21" i="18"/>
  <c r="CF21" i="18"/>
  <c r="CG21" i="18"/>
  <c r="CH21" i="18"/>
  <c r="CI21" i="18"/>
  <c r="CJ21" i="18"/>
  <c r="CK21" i="18"/>
  <c r="CL21" i="18"/>
  <c r="CM21" i="18"/>
  <c r="CN21" i="18"/>
  <c r="CO21" i="18"/>
  <c r="CP21" i="18"/>
  <c r="CQ21" i="18"/>
  <c r="CR21" i="18"/>
  <c r="CS21" i="18"/>
  <c r="CT21" i="18"/>
  <c r="CU21" i="18"/>
  <c r="CV21" i="18"/>
  <c r="CW21" i="18"/>
  <c r="CX21" i="18"/>
  <c r="CY21" i="18"/>
  <c r="CZ21" i="18"/>
  <c r="DA21" i="18"/>
  <c r="DB21" i="18"/>
  <c r="DC21" i="18"/>
  <c r="DD21" i="18"/>
  <c r="DE21" i="18"/>
  <c r="DF21" i="18"/>
  <c r="DG21" i="18"/>
  <c r="DH21" i="18"/>
  <c r="DI21" i="18"/>
  <c r="DJ21" i="18"/>
  <c r="DK21" i="18"/>
  <c r="DL21" i="18"/>
  <c r="DM21" i="18"/>
  <c r="DN21" i="18"/>
  <c r="DO21" i="18"/>
  <c r="DP21" i="18"/>
  <c r="DQ21" i="18"/>
  <c r="DR21" i="18"/>
  <c r="DS21" i="18"/>
  <c r="DT21" i="18"/>
  <c r="DU21" i="18"/>
  <c r="DV21" i="18"/>
  <c r="DW21" i="18"/>
  <c r="DX21" i="18"/>
  <c r="DY21" i="18"/>
  <c r="DZ21" i="18"/>
  <c r="EA21" i="18"/>
  <c r="EB21" i="18"/>
  <c r="EC21" i="18"/>
  <c r="ED21" i="18"/>
  <c r="EE21" i="18"/>
  <c r="EF21" i="18"/>
  <c r="EG21" i="18"/>
  <c r="EH21" i="18"/>
  <c r="EI21" i="18"/>
  <c r="EJ21" i="18"/>
  <c r="EK21" i="18"/>
  <c r="EL21" i="18"/>
  <c r="EM21" i="18"/>
  <c r="EN21" i="18"/>
  <c r="EO21" i="18"/>
  <c r="EP21" i="18"/>
  <c r="EQ21" i="18"/>
  <c r="ER21" i="18"/>
  <c r="ES21" i="18"/>
  <c r="ET21" i="18"/>
  <c r="EU21" i="18"/>
  <c r="EV21" i="18"/>
  <c r="EW21" i="18"/>
  <c r="EX21" i="18"/>
  <c r="EY21" i="18"/>
  <c r="EZ21" i="18"/>
  <c r="FA21" i="18"/>
  <c r="FB21" i="18"/>
  <c r="FC21" i="18"/>
  <c r="FD21" i="18"/>
  <c r="FE21" i="18"/>
  <c r="FF21" i="18"/>
  <c r="FG21" i="18"/>
  <c r="FH21" i="18"/>
  <c r="FI21" i="18"/>
  <c r="FJ21" i="18"/>
  <c r="FK21" i="18"/>
  <c r="FL21" i="18"/>
  <c r="FM21" i="18"/>
  <c r="FN21" i="18"/>
  <c r="FO21" i="18"/>
  <c r="FP21" i="18"/>
  <c r="FQ21" i="18"/>
  <c r="FR21" i="18"/>
  <c r="FS21" i="18"/>
  <c r="FT21" i="18"/>
  <c r="FU21" i="18"/>
  <c r="FV21" i="18"/>
  <c r="FW21" i="18"/>
  <c r="FX21" i="18"/>
  <c r="FY21" i="18"/>
  <c r="FZ21" i="18"/>
  <c r="GA21" i="18"/>
  <c r="GB21" i="18"/>
  <c r="GC21" i="18"/>
  <c r="GD21" i="18"/>
  <c r="GE21" i="18"/>
  <c r="GF21" i="18"/>
  <c r="GG21" i="18"/>
  <c r="GH21" i="18"/>
  <c r="GI21" i="18"/>
  <c r="GJ21" i="18"/>
  <c r="GK21" i="18"/>
  <c r="GL21" i="18"/>
  <c r="GM21" i="18"/>
  <c r="GN21" i="18"/>
  <c r="GO21" i="18"/>
  <c r="GP21" i="18"/>
  <c r="GQ21" i="18"/>
  <c r="GR21" i="18"/>
  <c r="GS21" i="18"/>
  <c r="GT21" i="18"/>
  <c r="GU21" i="18"/>
  <c r="GV21" i="18"/>
  <c r="GW21" i="18"/>
  <c r="GX21" i="18"/>
  <c r="GY21" i="18"/>
  <c r="GZ21" i="18"/>
  <c r="HA21" i="18"/>
  <c r="HB21" i="18"/>
  <c r="HC21" i="18"/>
  <c r="I22" i="18"/>
  <c r="J22" i="18"/>
  <c r="K22" i="18"/>
  <c r="L22" i="18"/>
  <c r="M22" i="18"/>
  <c r="N22" i="18"/>
  <c r="O22" i="18"/>
  <c r="P22" i="18"/>
  <c r="Q22" i="18"/>
  <c r="R22" i="18"/>
  <c r="S22" i="18"/>
  <c r="T22" i="18"/>
  <c r="U22" i="18"/>
  <c r="V22" i="18"/>
  <c r="W22" i="18"/>
  <c r="X22" i="18"/>
  <c r="Y22" i="18"/>
  <c r="Z22" i="18"/>
  <c r="AA22" i="18"/>
  <c r="AB22" i="18"/>
  <c r="AC22" i="18"/>
  <c r="AD22" i="18"/>
  <c r="AE22" i="18"/>
  <c r="AF22" i="18"/>
  <c r="AG22" i="18"/>
  <c r="AH22" i="18"/>
  <c r="AI22" i="18"/>
  <c r="AJ22" i="18"/>
  <c r="AK22" i="18"/>
  <c r="AL22" i="18"/>
  <c r="AM22" i="18"/>
  <c r="AN22" i="18"/>
  <c r="AO22" i="18"/>
  <c r="AP22" i="18"/>
  <c r="AQ22" i="18"/>
  <c r="AR22" i="18"/>
  <c r="AS22" i="18"/>
  <c r="AT22" i="18"/>
  <c r="AU22" i="18"/>
  <c r="AV22" i="18"/>
  <c r="AW22" i="18"/>
  <c r="AX22" i="18"/>
  <c r="AY22" i="18"/>
  <c r="AZ22" i="18"/>
  <c r="BA22" i="18"/>
  <c r="BB22" i="18"/>
  <c r="BC22" i="18"/>
  <c r="BD22" i="18"/>
  <c r="BE22" i="18"/>
  <c r="BF22" i="18"/>
  <c r="BG22" i="18"/>
  <c r="BH22" i="18"/>
  <c r="BI22" i="18"/>
  <c r="BJ22" i="18"/>
  <c r="BK22" i="18"/>
  <c r="BL22" i="18"/>
  <c r="BM22" i="18"/>
  <c r="BN22" i="18"/>
  <c r="BO22" i="18"/>
  <c r="BP22" i="18"/>
  <c r="BQ22" i="18"/>
  <c r="BR22" i="18"/>
  <c r="BS22" i="18"/>
  <c r="BT22" i="18"/>
  <c r="BU22" i="18"/>
  <c r="BV22" i="18"/>
  <c r="BW22" i="18"/>
  <c r="BX22" i="18"/>
  <c r="BY22" i="18"/>
  <c r="BZ22" i="18"/>
  <c r="CA22" i="18"/>
  <c r="CB22" i="18"/>
  <c r="CC22" i="18"/>
  <c r="CD22" i="18"/>
  <c r="CE22" i="18"/>
  <c r="CF22" i="18"/>
  <c r="CG22" i="18"/>
  <c r="CH22" i="18"/>
  <c r="CI22" i="18"/>
  <c r="CJ22" i="18"/>
  <c r="CK22" i="18"/>
  <c r="CL22" i="18"/>
  <c r="CM22" i="18"/>
  <c r="CN22" i="18"/>
  <c r="CO22" i="18"/>
  <c r="CP22" i="18"/>
  <c r="CQ22" i="18"/>
  <c r="CR22" i="18"/>
  <c r="CS22" i="18"/>
  <c r="CT22" i="18"/>
  <c r="CU22" i="18"/>
  <c r="CV22" i="18"/>
  <c r="CW22" i="18"/>
  <c r="CX22" i="18"/>
  <c r="CY22" i="18"/>
  <c r="CZ22" i="18"/>
  <c r="DA22" i="18"/>
  <c r="DB22" i="18"/>
  <c r="DC22" i="18"/>
  <c r="DD22" i="18"/>
  <c r="DE22" i="18"/>
  <c r="DF22" i="18"/>
  <c r="DG22" i="18"/>
  <c r="DH22" i="18"/>
  <c r="DI22" i="18"/>
  <c r="DJ22" i="18"/>
  <c r="DK22" i="18"/>
  <c r="DL22" i="18"/>
  <c r="DM22" i="18"/>
  <c r="DN22" i="18"/>
  <c r="DO22" i="18"/>
  <c r="DP22" i="18"/>
  <c r="DQ22" i="18"/>
  <c r="DR22" i="18"/>
  <c r="DS22" i="18"/>
  <c r="DT22" i="18"/>
  <c r="DU22" i="18"/>
  <c r="DV22" i="18"/>
  <c r="DW22" i="18"/>
  <c r="DX22" i="18"/>
  <c r="DY22" i="18"/>
  <c r="DZ22" i="18"/>
  <c r="EA22" i="18"/>
  <c r="EB22" i="18"/>
  <c r="EC22" i="18"/>
  <c r="ED22" i="18"/>
  <c r="EE22" i="18"/>
  <c r="EF22" i="18"/>
  <c r="EG22" i="18"/>
  <c r="EH22" i="18"/>
  <c r="EI22" i="18"/>
  <c r="EJ22" i="18"/>
  <c r="EK22" i="18"/>
  <c r="EL22" i="18"/>
  <c r="EM22" i="18"/>
  <c r="EN22" i="18"/>
  <c r="EO22" i="18"/>
  <c r="EP22" i="18"/>
  <c r="EQ22" i="18"/>
  <c r="ER22" i="18"/>
  <c r="ES22" i="18"/>
  <c r="ET22" i="18"/>
  <c r="EU22" i="18"/>
  <c r="EV22" i="18"/>
  <c r="EW22" i="18"/>
  <c r="EX22" i="18"/>
  <c r="EY22" i="18"/>
  <c r="EZ22" i="18"/>
  <c r="FA22" i="18"/>
  <c r="FB22" i="18"/>
  <c r="FC22" i="18"/>
  <c r="FD22" i="18"/>
  <c r="FE22" i="18"/>
  <c r="FF22" i="18"/>
  <c r="FG22" i="18"/>
  <c r="FH22" i="18"/>
  <c r="FI22" i="18"/>
  <c r="FJ22" i="18"/>
  <c r="FK22" i="18"/>
  <c r="FL22" i="18"/>
  <c r="FM22" i="18"/>
  <c r="FN22" i="18"/>
  <c r="FO22" i="18"/>
  <c r="FP22" i="18"/>
  <c r="FQ22" i="18"/>
  <c r="FR22" i="18"/>
  <c r="FS22" i="18"/>
  <c r="FT22" i="18"/>
  <c r="FU22" i="18"/>
  <c r="FV22" i="18"/>
  <c r="FW22" i="18"/>
  <c r="FX22" i="18"/>
  <c r="FY22" i="18"/>
  <c r="FZ22" i="18"/>
  <c r="GA22" i="18"/>
  <c r="GB22" i="18"/>
  <c r="GC22" i="18"/>
  <c r="GD22" i="18"/>
  <c r="GE22" i="18"/>
  <c r="GF22" i="18"/>
  <c r="GG22" i="18"/>
  <c r="GH22" i="18"/>
  <c r="GI22" i="18"/>
  <c r="GJ22" i="18"/>
  <c r="GK22" i="18"/>
  <c r="GL22" i="18"/>
  <c r="GM22" i="18"/>
  <c r="GN22" i="18"/>
  <c r="GO22" i="18"/>
  <c r="GP22" i="18"/>
  <c r="GQ22" i="18"/>
  <c r="GR22" i="18"/>
  <c r="GS22" i="18"/>
  <c r="GT22" i="18"/>
  <c r="GU22" i="18"/>
  <c r="GV22" i="18"/>
  <c r="GW22" i="18"/>
  <c r="GX22" i="18"/>
  <c r="GY22" i="18"/>
  <c r="GZ22" i="18"/>
  <c r="HA22" i="18"/>
  <c r="HB22" i="18"/>
  <c r="HC22" i="18"/>
  <c r="I23" i="18"/>
  <c r="J23" i="18"/>
  <c r="K23" i="18"/>
  <c r="L23" i="18"/>
  <c r="M23" i="18"/>
  <c r="N23" i="18"/>
  <c r="O23" i="18"/>
  <c r="P23" i="18"/>
  <c r="Q23" i="18"/>
  <c r="R23" i="18"/>
  <c r="S23" i="18"/>
  <c r="T23" i="18"/>
  <c r="U23" i="18"/>
  <c r="V23" i="18"/>
  <c r="W23" i="18"/>
  <c r="X23" i="18"/>
  <c r="Y23" i="18"/>
  <c r="Z23" i="18"/>
  <c r="AA23" i="18"/>
  <c r="AB23" i="18"/>
  <c r="AC23" i="18"/>
  <c r="AD23" i="18"/>
  <c r="AE23" i="18"/>
  <c r="AF23" i="18"/>
  <c r="AG23" i="18"/>
  <c r="AH23" i="18"/>
  <c r="AI23" i="18"/>
  <c r="AJ23" i="18"/>
  <c r="AK23" i="18"/>
  <c r="AL23" i="18"/>
  <c r="AM23" i="18"/>
  <c r="AN23" i="18"/>
  <c r="AO23" i="18"/>
  <c r="AP23" i="18"/>
  <c r="AQ23" i="18"/>
  <c r="AR23" i="18"/>
  <c r="AS23" i="18"/>
  <c r="AT23" i="18"/>
  <c r="AU23" i="18"/>
  <c r="AV23" i="18"/>
  <c r="AW23" i="18"/>
  <c r="AX23" i="18"/>
  <c r="AY23" i="18"/>
  <c r="AZ23" i="18"/>
  <c r="BA23" i="18"/>
  <c r="BB23" i="18"/>
  <c r="BC23" i="18"/>
  <c r="BD23" i="18"/>
  <c r="BE23" i="18"/>
  <c r="BF23" i="18"/>
  <c r="BG23" i="18"/>
  <c r="BH23" i="18"/>
  <c r="BI23" i="18"/>
  <c r="BJ23" i="18"/>
  <c r="BK23" i="18"/>
  <c r="BL23" i="18"/>
  <c r="BM23" i="18"/>
  <c r="BN23" i="18"/>
  <c r="BO23" i="18"/>
  <c r="BP23" i="18"/>
  <c r="BQ23" i="18"/>
  <c r="BR23" i="18"/>
  <c r="BS23" i="18"/>
  <c r="BT23" i="18"/>
  <c r="BU23" i="18"/>
  <c r="BV23" i="18"/>
  <c r="BW23" i="18"/>
  <c r="BX23" i="18"/>
  <c r="BY23" i="18"/>
  <c r="BZ23" i="18"/>
  <c r="CA23" i="18"/>
  <c r="CB23" i="18"/>
  <c r="CC23" i="18"/>
  <c r="CD23" i="18"/>
  <c r="CE23" i="18"/>
  <c r="CF23" i="18"/>
  <c r="CG23" i="18"/>
  <c r="CH23" i="18"/>
  <c r="CI23" i="18"/>
  <c r="CJ23" i="18"/>
  <c r="CK23" i="18"/>
  <c r="CL23" i="18"/>
  <c r="CM23" i="18"/>
  <c r="CN23" i="18"/>
  <c r="CO23" i="18"/>
  <c r="CP23" i="18"/>
  <c r="CQ23" i="18"/>
  <c r="CR23" i="18"/>
  <c r="CS23" i="18"/>
  <c r="CT23" i="18"/>
  <c r="CU23" i="18"/>
  <c r="CV23" i="18"/>
  <c r="CW23" i="18"/>
  <c r="CX23" i="18"/>
  <c r="CY23" i="18"/>
  <c r="CZ23" i="18"/>
  <c r="DA23" i="18"/>
  <c r="DB23" i="18"/>
  <c r="DC23" i="18"/>
  <c r="DD23" i="18"/>
  <c r="DE23" i="18"/>
  <c r="DF23" i="18"/>
  <c r="DG23" i="18"/>
  <c r="DH23" i="18"/>
  <c r="DI23" i="18"/>
  <c r="DJ23" i="18"/>
  <c r="DK23" i="18"/>
  <c r="DL23" i="18"/>
  <c r="DM23" i="18"/>
  <c r="DN23" i="18"/>
  <c r="DO23" i="18"/>
  <c r="DP23" i="18"/>
  <c r="DQ23" i="18"/>
  <c r="DR23" i="18"/>
  <c r="DS23" i="18"/>
  <c r="DT23" i="18"/>
  <c r="DU23" i="18"/>
  <c r="DV23" i="18"/>
  <c r="DW23" i="18"/>
  <c r="DX23" i="18"/>
  <c r="DY23" i="18"/>
  <c r="DZ23" i="18"/>
  <c r="EA23" i="18"/>
  <c r="EB23" i="18"/>
  <c r="EC23" i="18"/>
  <c r="ED23" i="18"/>
  <c r="EE23" i="18"/>
  <c r="EF23" i="18"/>
  <c r="EG23" i="18"/>
  <c r="EH23" i="18"/>
  <c r="EI23" i="18"/>
  <c r="EJ23" i="18"/>
  <c r="EK23" i="18"/>
  <c r="EL23" i="18"/>
  <c r="EM23" i="18"/>
  <c r="EN23" i="18"/>
  <c r="EO23" i="18"/>
  <c r="EP23" i="18"/>
  <c r="EQ23" i="18"/>
  <c r="ER23" i="18"/>
  <c r="ES23" i="18"/>
  <c r="ET23" i="18"/>
  <c r="EU23" i="18"/>
  <c r="EV23" i="18"/>
  <c r="EW23" i="18"/>
  <c r="EX23" i="18"/>
  <c r="EY23" i="18"/>
  <c r="EZ23" i="18"/>
  <c r="FA23" i="18"/>
  <c r="FB23" i="18"/>
  <c r="FC23" i="18"/>
  <c r="FD23" i="18"/>
  <c r="FE23" i="18"/>
  <c r="FF23" i="18"/>
  <c r="FG23" i="18"/>
  <c r="FH23" i="18"/>
  <c r="FI23" i="18"/>
  <c r="FJ23" i="18"/>
  <c r="FK23" i="18"/>
  <c r="FL23" i="18"/>
  <c r="FM23" i="18"/>
  <c r="FN23" i="18"/>
  <c r="FO23" i="18"/>
  <c r="FP23" i="18"/>
  <c r="FQ23" i="18"/>
  <c r="FR23" i="18"/>
  <c r="FS23" i="18"/>
  <c r="FT23" i="18"/>
  <c r="FU23" i="18"/>
  <c r="FV23" i="18"/>
  <c r="FW23" i="18"/>
  <c r="FX23" i="18"/>
  <c r="FY23" i="18"/>
  <c r="FZ23" i="18"/>
  <c r="GA23" i="18"/>
  <c r="GB23" i="18"/>
  <c r="GC23" i="18"/>
  <c r="GD23" i="18"/>
  <c r="GE23" i="18"/>
  <c r="GF23" i="18"/>
  <c r="GG23" i="18"/>
  <c r="GH23" i="18"/>
  <c r="GI23" i="18"/>
  <c r="GJ23" i="18"/>
  <c r="GK23" i="18"/>
  <c r="GL23" i="18"/>
  <c r="GM23" i="18"/>
  <c r="GN23" i="18"/>
  <c r="GO23" i="18"/>
  <c r="GP23" i="18"/>
  <c r="GQ23" i="18"/>
  <c r="GR23" i="18"/>
  <c r="GS23" i="18"/>
  <c r="GT23" i="18"/>
  <c r="GU23" i="18"/>
  <c r="GV23" i="18"/>
  <c r="GW23" i="18"/>
  <c r="GX23" i="18"/>
  <c r="GY23" i="18"/>
  <c r="GZ23" i="18"/>
  <c r="HA23" i="18"/>
  <c r="HB23" i="18"/>
  <c r="HC23" i="18"/>
  <c r="I24" i="18"/>
  <c r="J24" i="18"/>
  <c r="K24" i="18"/>
  <c r="L24" i="18"/>
  <c r="M24" i="18"/>
  <c r="N24" i="18"/>
  <c r="O24" i="18"/>
  <c r="P24" i="18"/>
  <c r="Q24" i="18"/>
  <c r="R24" i="18"/>
  <c r="S24" i="18"/>
  <c r="T24" i="18"/>
  <c r="U24" i="18"/>
  <c r="V24" i="18"/>
  <c r="W24" i="18"/>
  <c r="X24" i="18"/>
  <c r="Y24" i="18"/>
  <c r="Z24" i="18"/>
  <c r="AA24" i="18"/>
  <c r="AB24" i="18"/>
  <c r="AC24" i="18"/>
  <c r="AD24" i="18"/>
  <c r="AE24" i="18"/>
  <c r="AF24" i="18"/>
  <c r="AG24" i="18"/>
  <c r="AH24" i="18"/>
  <c r="AI24" i="18"/>
  <c r="AJ24" i="18"/>
  <c r="AK24" i="18"/>
  <c r="AL24" i="18"/>
  <c r="AM24" i="18"/>
  <c r="AN24" i="18"/>
  <c r="AO24" i="18"/>
  <c r="AP24" i="18"/>
  <c r="AQ24" i="18"/>
  <c r="AR24" i="18"/>
  <c r="AS24" i="18"/>
  <c r="AT24" i="18"/>
  <c r="AU24" i="18"/>
  <c r="AV24" i="18"/>
  <c r="AW24" i="18"/>
  <c r="AX24" i="18"/>
  <c r="AY24" i="18"/>
  <c r="AZ24" i="18"/>
  <c r="BA24" i="18"/>
  <c r="BB24" i="18"/>
  <c r="BC24" i="18"/>
  <c r="BD24" i="18"/>
  <c r="BE24" i="18"/>
  <c r="BF24" i="18"/>
  <c r="BG24" i="18"/>
  <c r="BH24" i="18"/>
  <c r="BI24" i="18"/>
  <c r="BJ24" i="18"/>
  <c r="BK24" i="18"/>
  <c r="BL24" i="18"/>
  <c r="BM24" i="18"/>
  <c r="BN24" i="18"/>
  <c r="BO24" i="18"/>
  <c r="BP24" i="18"/>
  <c r="BQ24" i="18"/>
  <c r="BR24" i="18"/>
  <c r="BS24" i="18"/>
  <c r="BT24" i="18"/>
  <c r="BU24" i="18"/>
  <c r="BV24" i="18"/>
  <c r="BW24" i="18"/>
  <c r="BX24" i="18"/>
  <c r="BY24" i="18"/>
  <c r="BZ24" i="18"/>
  <c r="CA24" i="18"/>
  <c r="CB24" i="18"/>
  <c r="CC24" i="18"/>
  <c r="CD24" i="18"/>
  <c r="CE24" i="18"/>
  <c r="CF24" i="18"/>
  <c r="CG24" i="18"/>
  <c r="CH24" i="18"/>
  <c r="CI24" i="18"/>
  <c r="CJ24" i="18"/>
  <c r="CK24" i="18"/>
  <c r="CL24" i="18"/>
  <c r="CM24" i="18"/>
  <c r="CN24" i="18"/>
  <c r="CO24" i="18"/>
  <c r="CP24" i="18"/>
  <c r="CQ24" i="18"/>
  <c r="CR24" i="18"/>
  <c r="CS24" i="18"/>
  <c r="CT24" i="18"/>
  <c r="CU24" i="18"/>
  <c r="CV24" i="18"/>
  <c r="CW24" i="18"/>
  <c r="CX24" i="18"/>
  <c r="CY24" i="18"/>
  <c r="CZ24" i="18"/>
  <c r="DA24" i="18"/>
  <c r="DB24" i="18"/>
  <c r="DC24" i="18"/>
  <c r="DD24" i="18"/>
  <c r="DE24" i="18"/>
  <c r="DF24" i="18"/>
  <c r="DG24" i="18"/>
  <c r="DH24" i="18"/>
  <c r="DI24" i="18"/>
  <c r="DJ24" i="18"/>
  <c r="DK24" i="18"/>
  <c r="DL24" i="18"/>
  <c r="DM24" i="18"/>
  <c r="DN24" i="18"/>
  <c r="DO24" i="18"/>
  <c r="DP24" i="18"/>
  <c r="DQ24" i="18"/>
  <c r="DR24" i="18"/>
  <c r="DS24" i="18"/>
  <c r="DT24" i="18"/>
  <c r="DU24" i="18"/>
  <c r="DV24" i="18"/>
  <c r="DW24" i="18"/>
  <c r="DX24" i="18"/>
  <c r="DY24" i="18"/>
  <c r="DZ24" i="18"/>
  <c r="EA24" i="18"/>
  <c r="EB24" i="18"/>
  <c r="EC24" i="18"/>
  <c r="ED24" i="18"/>
  <c r="EE24" i="18"/>
  <c r="EF24" i="18"/>
  <c r="EG24" i="18"/>
  <c r="EH24" i="18"/>
  <c r="EI24" i="18"/>
  <c r="EJ24" i="18"/>
  <c r="EK24" i="18"/>
  <c r="EL24" i="18"/>
  <c r="EM24" i="18"/>
  <c r="EN24" i="18"/>
  <c r="EO24" i="18"/>
  <c r="EP24" i="18"/>
  <c r="EQ24" i="18"/>
  <c r="ER24" i="18"/>
  <c r="ES24" i="18"/>
  <c r="ET24" i="18"/>
  <c r="EU24" i="18"/>
  <c r="EV24" i="18"/>
  <c r="EW24" i="18"/>
  <c r="EX24" i="18"/>
  <c r="EY24" i="18"/>
  <c r="EZ24" i="18"/>
  <c r="FA24" i="18"/>
  <c r="FB24" i="18"/>
  <c r="FC24" i="18"/>
  <c r="FD24" i="18"/>
  <c r="FE24" i="18"/>
  <c r="FF24" i="18"/>
  <c r="FG24" i="18"/>
  <c r="FH24" i="18"/>
  <c r="FI24" i="18"/>
  <c r="FJ24" i="18"/>
  <c r="FK24" i="18"/>
  <c r="FL24" i="18"/>
  <c r="FM24" i="18"/>
  <c r="FN24" i="18"/>
  <c r="FO24" i="18"/>
  <c r="FP24" i="18"/>
  <c r="FQ24" i="18"/>
  <c r="FR24" i="18"/>
  <c r="FS24" i="18"/>
  <c r="FT24" i="18"/>
  <c r="FU24" i="18"/>
  <c r="FV24" i="18"/>
  <c r="FW24" i="18"/>
  <c r="FX24" i="18"/>
  <c r="FY24" i="18"/>
  <c r="FZ24" i="18"/>
  <c r="GA24" i="18"/>
  <c r="GB24" i="18"/>
  <c r="GC24" i="18"/>
  <c r="GD24" i="18"/>
  <c r="GE24" i="18"/>
  <c r="GF24" i="18"/>
  <c r="GG24" i="18"/>
  <c r="GH24" i="18"/>
  <c r="GI24" i="18"/>
  <c r="GJ24" i="18"/>
  <c r="GK24" i="18"/>
  <c r="GL24" i="18"/>
  <c r="GM24" i="18"/>
  <c r="GN24" i="18"/>
  <c r="GO24" i="18"/>
  <c r="GP24" i="18"/>
  <c r="GQ24" i="18"/>
  <c r="GR24" i="18"/>
  <c r="GS24" i="18"/>
  <c r="GT24" i="18"/>
  <c r="GU24" i="18"/>
  <c r="GV24" i="18"/>
  <c r="GW24" i="18"/>
  <c r="GX24" i="18"/>
  <c r="GY24" i="18"/>
  <c r="GZ24" i="18"/>
  <c r="HA24" i="18"/>
  <c r="HB24" i="18"/>
  <c r="HC24" i="18"/>
  <c r="I25" i="18"/>
  <c r="J25" i="18"/>
  <c r="K25" i="18"/>
  <c r="L25" i="18"/>
  <c r="M25" i="18"/>
  <c r="N25" i="18"/>
  <c r="O25" i="18"/>
  <c r="P25" i="18"/>
  <c r="Q25" i="18"/>
  <c r="R25" i="18"/>
  <c r="S25" i="18"/>
  <c r="T25" i="18"/>
  <c r="U25" i="18"/>
  <c r="V25" i="18"/>
  <c r="W25" i="18"/>
  <c r="X25" i="18"/>
  <c r="Y25" i="18"/>
  <c r="Z25" i="18"/>
  <c r="AA25" i="18"/>
  <c r="AB25" i="18"/>
  <c r="AC25" i="18"/>
  <c r="AD25" i="18"/>
  <c r="AE25" i="18"/>
  <c r="AF25" i="18"/>
  <c r="AG25" i="18"/>
  <c r="AH25" i="18"/>
  <c r="AI25" i="18"/>
  <c r="AJ25" i="18"/>
  <c r="AK25" i="18"/>
  <c r="AL25" i="18"/>
  <c r="AM25" i="18"/>
  <c r="AN25" i="18"/>
  <c r="AO25" i="18"/>
  <c r="AP25" i="18"/>
  <c r="AQ25" i="18"/>
  <c r="AR25" i="18"/>
  <c r="AS25" i="18"/>
  <c r="AT25" i="18"/>
  <c r="AU25" i="18"/>
  <c r="AV25" i="18"/>
  <c r="AW25" i="18"/>
  <c r="AX25" i="18"/>
  <c r="AY25" i="18"/>
  <c r="AZ25" i="18"/>
  <c r="BA25" i="18"/>
  <c r="BB25" i="18"/>
  <c r="BC25" i="18"/>
  <c r="BD25" i="18"/>
  <c r="BE25" i="18"/>
  <c r="BF25" i="18"/>
  <c r="BG25" i="18"/>
  <c r="BH25" i="18"/>
  <c r="BI25" i="18"/>
  <c r="BJ25" i="18"/>
  <c r="BK25" i="18"/>
  <c r="BL25" i="18"/>
  <c r="BM25" i="18"/>
  <c r="BN25" i="18"/>
  <c r="BO25" i="18"/>
  <c r="BP25" i="18"/>
  <c r="BQ25" i="18"/>
  <c r="BR25" i="18"/>
  <c r="BS25" i="18"/>
  <c r="BT25" i="18"/>
  <c r="BU25" i="18"/>
  <c r="BV25" i="18"/>
  <c r="BW25" i="18"/>
  <c r="BX25" i="18"/>
  <c r="BY25" i="18"/>
  <c r="BZ25" i="18"/>
  <c r="CA25" i="18"/>
  <c r="CB25" i="18"/>
  <c r="CC25" i="18"/>
  <c r="CD25" i="18"/>
  <c r="CE25" i="18"/>
  <c r="CF25" i="18"/>
  <c r="CG25" i="18"/>
  <c r="CH25" i="18"/>
  <c r="CI25" i="18"/>
  <c r="CJ25" i="18"/>
  <c r="CK25" i="18"/>
  <c r="CL25" i="18"/>
  <c r="CM25" i="18"/>
  <c r="CN25" i="18"/>
  <c r="CO25" i="18"/>
  <c r="CP25" i="18"/>
  <c r="CQ25" i="18"/>
  <c r="CR25" i="18"/>
  <c r="CS25" i="18"/>
  <c r="CT25" i="18"/>
  <c r="CU25" i="18"/>
  <c r="CV25" i="18"/>
  <c r="CW25" i="18"/>
  <c r="CX25" i="18"/>
  <c r="CY25" i="18"/>
  <c r="CZ25" i="18"/>
  <c r="DA25" i="18"/>
  <c r="DB25" i="18"/>
  <c r="DC25" i="18"/>
  <c r="DD25" i="18"/>
  <c r="DE25" i="18"/>
  <c r="DF25" i="18"/>
  <c r="DG25" i="18"/>
  <c r="DH25" i="18"/>
  <c r="DI25" i="18"/>
  <c r="DJ25" i="18"/>
  <c r="DK25" i="18"/>
  <c r="DL25" i="18"/>
  <c r="DM25" i="18"/>
  <c r="DN25" i="18"/>
  <c r="DO25" i="18"/>
  <c r="DP25" i="18"/>
  <c r="DQ25" i="18"/>
  <c r="DR25" i="18"/>
  <c r="DS25" i="18"/>
  <c r="DT25" i="18"/>
  <c r="DU25" i="18"/>
  <c r="DV25" i="18"/>
  <c r="DW25" i="18"/>
  <c r="DX25" i="18"/>
  <c r="DY25" i="18"/>
  <c r="DZ25" i="18"/>
  <c r="EA25" i="18"/>
  <c r="EB25" i="18"/>
  <c r="EC25" i="18"/>
  <c r="ED25" i="18"/>
  <c r="EE25" i="18"/>
  <c r="EF25" i="18"/>
  <c r="EG25" i="18"/>
  <c r="EH25" i="18"/>
  <c r="EI25" i="18"/>
  <c r="EJ25" i="18"/>
  <c r="EK25" i="18"/>
  <c r="EL25" i="18"/>
  <c r="EM25" i="18"/>
  <c r="EN25" i="18"/>
  <c r="EO25" i="18"/>
  <c r="EP25" i="18"/>
  <c r="EQ25" i="18"/>
  <c r="ER25" i="18"/>
  <c r="ES25" i="18"/>
  <c r="ET25" i="18"/>
  <c r="EU25" i="18"/>
  <c r="EV25" i="18"/>
  <c r="EW25" i="18"/>
  <c r="EX25" i="18"/>
  <c r="EY25" i="18"/>
  <c r="EZ25" i="18"/>
  <c r="FA25" i="18"/>
  <c r="FB25" i="18"/>
  <c r="FC25" i="18"/>
  <c r="FD25" i="18"/>
  <c r="FE25" i="18"/>
  <c r="FF25" i="18"/>
  <c r="FG25" i="18"/>
  <c r="FH25" i="18"/>
  <c r="FI25" i="18"/>
  <c r="FJ25" i="18"/>
  <c r="FK25" i="18"/>
  <c r="FL25" i="18"/>
  <c r="FM25" i="18"/>
  <c r="FN25" i="18"/>
  <c r="FO25" i="18"/>
  <c r="FP25" i="18"/>
  <c r="FQ25" i="18"/>
  <c r="FR25" i="18"/>
  <c r="FS25" i="18"/>
  <c r="FT25" i="18"/>
  <c r="FU25" i="18"/>
  <c r="FV25" i="18"/>
  <c r="FW25" i="18"/>
  <c r="FX25" i="18"/>
  <c r="FY25" i="18"/>
  <c r="FZ25" i="18"/>
  <c r="GA25" i="18"/>
  <c r="GB25" i="18"/>
  <c r="GC25" i="18"/>
  <c r="GD25" i="18"/>
  <c r="GE25" i="18"/>
  <c r="GF25" i="18"/>
  <c r="GG25" i="18"/>
  <c r="GH25" i="18"/>
  <c r="GI25" i="18"/>
  <c r="GJ25" i="18"/>
  <c r="GK25" i="18"/>
  <c r="GL25" i="18"/>
  <c r="GM25" i="18"/>
  <c r="GN25" i="18"/>
  <c r="GO25" i="18"/>
  <c r="GP25" i="18"/>
  <c r="GQ25" i="18"/>
  <c r="GR25" i="18"/>
  <c r="GS25" i="18"/>
  <c r="GT25" i="18"/>
  <c r="GU25" i="18"/>
  <c r="GV25" i="18"/>
  <c r="GW25" i="18"/>
  <c r="GX25" i="18"/>
  <c r="GY25" i="18"/>
  <c r="GZ25" i="18"/>
  <c r="HA25" i="18"/>
  <c r="HB25" i="18"/>
  <c r="HC25" i="18"/>
  <c r="H25" i="18"/>
  <c r="H24" i="18"/>
  <c r="H23" i="18"/>
  <c r="H22" i="18"/>
  <c r="H21" i="18"/>
  <c r="I17" i="18"/>
  <c r="J17" i="18"/>
  <c r="K17" i="18"/>
  <c r="L17" i="18"/>
  <c r="M17" i="18"/>
  <c r="N17" i="18"/>
  <c r="O17" i="18"/>
  <c r="P17" i="18"/>
  <c r="Q17" i="18"/>
  <c r="R17" i="18"/>
  <c r="S17" i="18"/>
  <c r="T17" i="18"/>
  <c r="U17" i="18"/>
  <c r="V17" i="18"/>
  <c r="W17" i="18"/>
  <c r="X17" i="18"/>
  <c r="Y17" i="18"/>
  <c r="Z17" i="18"/>
  <c r="AA17" i="18"/>
  <c r="AB17" i="18"/>
  <c r="AC17" i="18"/>
  <c r="AD17" i="18"/>
  <c r="AE17" i="18"/>
  <c r="AF17" i="18"/>
  <c r="AG17" i="18"/>
  <c r="AH17" i="18"/>
  <c r="AI17" i="18"/>
  <c r="AJ17" i="18"/>
  <c r="AK17" i="18"/>
  <c r="AL17" i="18"/>
  <c r="AM17" i="18"/>
  <c r="AN17" i="18"/>
  <c r="AO17" i="18"/>
  <c r="AP17" i="18"/>
  <c r="AQ17" i="18"/>
  <c r="AR17" i="18"/>
  <c r="AS17" i="18"/>
  <c r="AT17" i="18"/>
  <c r="AU17" i="18"/>
  <c r="AV17" i="18"/>
  <c r="AW17" i="18"/>
  <c r="AX17" i="18"/>
  <c r="AY17" i="18"/>
  <c r="AZ17" i="18"/>
  <c r="BA17" i="18"/>
  <c r="BB17" i="18"/>
  <c r="BC17" i="18"/>
  <c r="BD17" i="18"/>
  <c r="BE17" i="18"/>
  <c r="BF17" i="18"/>
  <c r="BG17" i="18"/>
  <c r="BH17" i="18"/>
  <c r="BI17" i="18"/>
  <c r="BJ17" i="18"/>
  <c r="BK17" i="18"/>
  <c r="BL17" i="18"/>
  <c r="BM17" i="18"/>
  <c r="BN17" i="18"/>
  <c r="BO17" i="18"/>
  <c r="BP17" i="18"/>
  <c r="BQ17" i="18"/>
  <c r="BR17" i="18"/>
  <c r="BS17" i="18"/>
  <c r="BT17" i="18"/>
  <c r="BU17" i="18"/>
  <c r="BV17" i="18"/>
  <c r="BW17" i="18"/>
  <c r="BX17" i="18"/>
  <c r="BY17" i="18"/>
  <c r="BZ17" i="18"/>
  <c r="CA17" i="18"/>
  <c r="CB17" i="18"/>
  <c r="CC17" i="18"/>
  <c r="CD17" i="18"/>
  <c r="CE17" i="18"/>
  <c r="CF17" i="18"/>
  <c r="CG17" i="18"/>
  <c r="CH17" i="18"/>
  <c r="CI17" i="18"/>
  <c r="CJ17" i="18"/>
  <c r="CK17" i="18"/>
  <c r="CL17" i="18"/>
  <c r="CM17" i="18"/>
  <c r="CN17" i="18"/>
  <c r="CO17" i="18"/>
  <c r="CP17" i="18"/>
  <c r="CQ17" i="18"/>
  <c r="CR17" i="18"/>
  <c r="CS17" i="18"/>
  <c r="CT17" i="18"/>
  <c r="CU17" i="18"/>
  <c r="CV17" i="18"/>
  <c r="CW17" i="18"/>
  <c r="CX17" i="18"/>
  <c r="CY17" i="18"/>
  <c r="CZ17" i="18"/>
  <c r="DA17" i="18"/>
  <c r="DB17" i="18"/>
  <c r="DC17" i="18"/>
  <c r="DD17" i="18"/>
  <c r="DE17" i="18"/>
  <c r="DF17" i="18"/>
  <c r="DG17" i="18"/>
  <c r="DH17" i="18"/>
  <c r="DI17" i="18"/>
  <c r="DJ17" i="18"/>
  <c r="DK17" i="18"/>
  <c r="DL17" i="18"/>
  <c r="DM17" i="18"/>
  <c r="DN17" i="18"/>
  <c r="DO17" i="18"/>
  <c r="DP17" i="18"/>
  <c r="DQ17" i="18"/>
  <c r="DR17" i="18"/>
  <c r="DS17" i="18"/>
  <c r="DT17" i="18"/>
  <c r="DU17" i="18"/>
  <c r="DV17" i="18"/>
  <c r="DW17" i="18"/>
  <c r="DX17" i="18"/>
  <c r="DY17" i="18"/>
  <c r="DZ17" i="18"/>
  <c r="EA17" i="18"/>
  <c r="EB17" i="18"/>
  <c r="EC17" i="18"/>
  <c r="ED17" i="18"/>
  <c r="EE17" i="18"/>
  <c r="EF17" i="18"/>
  <c r="EG17" i="18"/>
  <c r="EH17" i="18"/>
  <c r="EI17" i="18"/>
  <c r="EJ17" i="18"/>
  <c r="EK17" i="18"/>
  <c r="EL17" i="18"/>
  <c r="EM17" i="18"/>
  <c r="EN17" i="18"/>
  <c r="EO17" i="18"/>
  <c r="EP17" i="18"/>
  <c r="EQ17" i="18"/>
  <c r="ER17" i="18"/>
  <c r="ES17" i="18"/>
  <c r="ET17" i="18"/>
  <c r="EU17" i="18"/>
  <c r="EV17" i="18"/>
  <c r="EW17" i="18"/>
  <c r="EX17" i="18"/>
  <c r="EY17" i="18"/>
  <c r="EZ17" i="18"/>
  <c r="FA17" i="18"/>
  <c r="FB17" i="18"/>
  <c r="FC17" i="18"/>
  <c r="FD17" i="18"/>
  <c r="FE17" i="18"/>
  <c r="FF17" i="18"/>
  <c r="FG17" i="18"/>
  <c r="FH17" i="18"/>
  <c r="FI17" i="18"/>
  <c r="FJ17" i="18"/>
  <c r="FK17" i="18"/>
  <c r="FL17" i="18"/>
  <c r="FM17" i="18"/>
  <c r="FN17" i="18"/>
  <c r="FO17" i="18"/>
  <c r="FP17" i="18"/>
  <c r="FQ17" i="18"/>
  <c r="FR17" i="18"/>
  <c r="FS17" i="18"/>
  <c r="FT17" i="18"/>
  <c r="FU17" i="18"/>
  <c r="FV17" i="18"/>
  <c r="FW17" i="18"/>
  <c r="FX17" i="18"/>
  <c r="FY17" i="18"/>
  <c r="FZ17" i="18"/>
  <c r="GA17" i="18"/>
  <c r="GB17" i="18"/>
  <c r="GC17" i="18"/>
  <c r="GD17" i="18"/>
  <c r="GE17" i="18"/>
  <c r="GF17" i="18"/>
  <c r="GG17" i="18"/>
  <c r="GH17" i="18"/>
  <c r="GI17" i="18"/>
  <c r="GJ17" i="18"/>
  <c r="GK17" i="18"/>
  <c r="GL17" i="18"/>
  <c r="GM17" i="18"/>
  <c r="GN17" i="18"/>
  <c r="GO17" i="18"/>
  <c r="GP17" i="18"/>
  <c r="GQ17" i="18"/>
  <c r="GR17" i="18"/>
  <c r="GS17" i="18"/>
  <c r="GT17" i="18"/>
  <c r="GU17" i="18"/>
  <c r="GV17" i="18"/>
  <c r="GW17" i="18"/>
  <c r="GX17" i="18"/>
  <c r="GY17" i="18"/>
  <c r="GZ17" i="18"/>
  <c r="HA17" i="18"/>
  <c r="HB17" i="18"/>
  <c r="HC17" i="18"/>
  <c r="I18" i="18"/>
  <c r="J18" i="18"/>
  <c r="K18" i="18"/>
  <c r="L18" i="18"/>
  <c r="M18" i="18"/>
  <c r="N18" i="18"/>
  <c r="O18" i="18"/>
  <c r="P18" i="18"/>
  <c r="Q18" i="18"/>
  <c r="R18" i="18"/>
  <c r="S18" i="18"/>
  <c r="T18" i="18"/>
  <c r="U18" i="18"/>
  <c r="V18" i="18"/>
  <c r="W18" i="18"/>
  <c r="X18" i="18"/>
  <c r="Y18" i="18"/>
  <c r="Z18" i="18"/>
  <c r="AA18" i="18"/>
  <c r="AB18" i="18"/>
  <c r="AC18" i="18"/>
  <c r="AD18" i="18"/>
  <c r="AE18" i="18"/>
  <c r="AF18" i="18"/>
  <c r="AG18" i="18"/>
  <c r="AH18" i="18"/>
  <c r="AI18" i="18"/>
  <c r="AJ18" i="18"/>
  <c r="AK18" i="18"/>
  <c r="AL18" i="18"/>
  <c r="AM18" i="18"/>
  <c r="AN18" i="18"/>
  <c r="AO18" i="18"/>
  <c r="AP18" i="18"/>
  <c r="AQ18" i="18"/>
  <c r="AR18" i="18"/>
  <c r="AS18" i="18"/>
  <c r="AT18" i="18"/>
  <c r="AU18" i="18"/>
  <c r="AV18" i="18"/>
  <c r="AW18" i="18"/>
  <c r="AX18" i="18"/>
  <c r="AY18" i="18"/>
  <c r="AZ18" i="18"/>
  <c r="BA18" i="18"/>
  <c r="BB18" i="18"/>
  <c r="BC18" i="18"/>
  <c r="BD18" i="18"/>
  <c r="BE18" i="18"/>
  <c r="BF18" i="18"/>
  <c r="BG18" i="18"/>
  <c r="BH18" i="18"/>
  <c r="BI18" i="18"/>
  <c r="BJ18" i="18"/>
  <c r="BK18" i="18"/>
  <c r="BL18" i="18"/>
  <c r="BM18" i="18"/>
  <c r="BN18" i="18"/>
  <c r="BO18" i="18"/>
  <c r="BP18" i="18"/>
  <c r="BQ18" i="18"/>
  <c r="BR18" i="18"/>
  <c r="BS18" i="18"/>
  <c r="BT18" i="18"/>
  <c r="BU18" i="18"/>
  <c r="BV18" i="18"/>
  <c r="BW18" i="18"/>
  <c r="BX18" i="18"/>
  <c r="BY18" i="18"/>
  <c r="BZ18" i="18"/>
  <c r="CA18" i="18"/>
  <c r="CB18" i="18"/>
  <c r="CC18" i="18"/>
  <c r="CD18" i="18"/>
  <c r="CE18" i="18"/>
  <c r="CF18" i="18"/>
  <c r="CG18" i="18"/>
  <c r="CH18" i="18"/>
  <c r="CI18" i="18"/>
  <c r="CJ18" i="18"/>
  <c r="CK18" i="18"/>
  <c r="CL18" i="18"/>
  <c r="CM18" i="18"/>
  <c r="CN18" i="18"/>
  <c r="CO18" i="18"/>
  <c r="CP18" i="18"/>
  <c r="CQ18" i="18"/>
  <c r="CR18" i="18"/>
  <c r="CS18" i="18"/>
  <c r="CT18" i="18"/>
  <c r="CU18" i="18"/>
  <c r="CV18" i="18"/>
  <c r="CW18" i="18"/>
  <c r="CX18" i="18"/>
  <c r="CY18" i="18"/>
  <c r="CZ18" i="18"/>
  <c r="DA18" i="18"/>
  <c r="DB18" i="18"/>
  <c r="DC18" i="18"/>
  <c r="DD18" i="18"/>
  <c r="DE18" i="18"/>
  <c r="DF18" i="18"/>
  <c r="DG18" i="18"/>
  <c r="DH18" i="18"/>
  <c r="DI18" i="18"/>
  <c r="DJ18" i="18"/>
  <c r="DK18" i="18"/>
  <c r="DL18" i="18"/>
  <c r="DM18" i="18"/>
  <c r="DN18" i="18"/>
  <c r="DO18" i="18"/>
  <c r="DP18" i="18"/>
  <c r="DQ18" i="18"/>
  <c r="DR18" i="18"/>
  <c r="DS18" i="18"/>
  <c r="DT18" i="18"/>
  <c r="DU18" i="18"/>
  <c r="DV18" i="18"/>
  <c r="DW18" i="18"/>
  <c r="DX18" i="18"/>
  <c r="DY18" i="18"/>
  <c r="DZ18" i="18"/>
  <c r="EA18" i="18"/>
  <c r="EB18" i="18"/>
  <c r="EC18" i="18"/>
  <c r="ED18" i="18"/>
  <c r="EE18" i="18"/>
  <c r="EF18" i="18"/>
  <c r="EG18" i="18"/>
  <c r="EH18" i="18"/>
  <c r="EI18" i="18"/>
  <c r="EJ18" i="18"/>
  <c r="EK18" i="18"/>
  <c r="EL18" i="18"/>
  <c r="EM18" i="18"/>
  <c r="EN18" i="18"/>
  <c r="EO18" i="18"/>
  <c r="EP18" i="18"/>
  <c r="EQ18" i="18"/>
  <c r="ER18" i="18"/>
  <c r="ES18" i="18"/>
  <c r="ET18" i="18"/>
  <c r="EU18" i="18"/>
  <c r="EV18" i="18"/>
  <c r="EW18" i="18"/>
  <c r="EX18" i="18"/>
  <c r="EY18" i="18"/>
  <c r="EZ18" i="18"/>
  <c r="FA18" i="18"/>
  <c r="FB18" i="18"/>
  <c r="FC18" i="18"/>
  <c r="FD18" i="18"/>
  <c r="FE18" i="18"/>
  <c r="FF18" i="18"/>
  <c r="FG18" i="18"/>
  <c r="FH18" i="18"/>
  <c r="FI18" i="18"/>
  <c r="FJ18" i="18"/>
  <c r="FK18" i="18"/>
  <c r="FL18" i="18"/>
  <c r="FM18" i="18"/>
  <c r="FN18" i="18"/>
  <c r="FO18" i="18"/>
  <c r="FP18" i="18"/>
  <c r="FQ18" i="18"/>
  <c r="FR18" i="18"/>
  <c r="FS18" i="18"/>
  <c r="FT18" i="18"/>
  <c r="FU18" i="18"/>
  <c r="FV18" i="18"/>
  <c r="FW18" i="18"/>
  <c r="FX18" i="18"/>
  <c r="FY18" i="18"/>
  <c r="FZ18" i="18"/>
  <c r="GA18" i="18"/>
  <c r="GB18" i="18"/>
  <c r="GC18" i="18"/>
  <c r="GD18" i="18"/>
  <c r="GE18" i="18"/>
  <c r="GF18" i="18"/>
  <c r="GG18" i="18"/>
  <c r="GH18" i="18"/>
  <c r="GI18" i="18"/>
  <c r="GJ18" i="18"/>
  <c r="GK18" i="18"/>
  <c r="GL18" i="18"/>
  <c r="GM18" i="18"/>
  <c r="GN18" i="18"/>
  <c r="GO18" i="18"/>
  <c r="GP18" i="18"/>
  <c r="GQ18" i="18"/>
  <c r="GR18" i="18"/>
  <c r="GS18" i="18"/>
  <c r="GT18" i="18"/>
  <c r="GU18" i="18"/>
  <c r="GV18" i="18"/>
  <c r="GW18" i="18"/>
  <c r="GX18" i="18"/>
  <c r="GY18" i="18"/>
  <c r="GZ18" i="18"/>
  <c r="HA18" i="18"/>
  <c r="HB18" i="18"/>
  <c r="HC18" i="18"/>
  <c r="I19" i="18"/>
  <c r="J19" i="18"/>
  <c r="K19" i="18"/>
  <c r="L19" i="18"/>
  <c r="M19" i="18"/>
  <c r="N19" i="18"/>
  <c r="O19" i="18"/>
  <c r="P19" i="18"/>
  <c r="Q19" i="18"/>
  <c r="R19" i="18"/>
  <c r="S19" i="18"/>
  <c r="T19" i="18"/>
  <c r="U19" i="18"/>
  <c r="V19" i="18"/>
  <c r="W19" i="18"/>
  <c r="X19" i="18"/>
  <c r="Y19" i="18"/>
  <c r="Z19" i="18"/>
  <c r="AA19" i="18"/>
  <c r="AB19" i="18"/>
  <c r="AC19" i="18"/>
  <c r="AD19" i="18"/>
  <c r="AE19" i="18"/>
  <c r="AF19" i="18"/>
  <c r="AG19" i="18"/>
  <c r="AH19" i="18"/>
  <c r="AI19" i="18"/>
  <c r="AJ19" i="18"/>
  <c r="AK19" i="18"/>
  <c r="AL19" i="18"/>
  <c r="AM19" i="18"/>
  <c r="AN19" i="18"/>
  <c r="AO19" i="18"/>
  <c r="AP19" i="18"/>
  <c r="AQ19" i="18"/>
  <c r="AR19" i="18"/>
  <c r="AS19" i="18"/>
  <c r="AT19" i="18"/>
  <c r="AU19" i="18"/>
  <c r="AV19" i="18"/>
  <c r="AW19" i="18"/>
  <c r="AX19" i="18"/>
  <c r="AY19" i="18"/>
  <c r="AZ19" i="18"/>
  <c r="BA19" i="18"/>
  <c r="BB19" i="18"/>
  <c r="BC19" i="18"/>
  <c r="BD19" i="18"/>
  <c r="BE19" i="18"/>
  <c r="BF19" i="18"/>
  <c r="BG19" i="18"/>
  <c r="BH19" i="18"/>
  <c r="BI19" i="18"/>
  <c r="BJ19" i="18"/>
  <c r="BK19" i="18"/>
  <c r="BL19" i="18"/>
  <c r="BM19" i="18"/>
  <c r="BN19" i="18"/>
  <c r="BO19" i="18"/>
  <c r="BP19" i="18"/>
  <c r="BQ19" i="18"/>
  <c r="BR19" i="18"/>
  <c r="BS19" i="18"/>
  <c r="BT19" i="18"/>
  <c r="BU19" i="18"/>
  <c r="BV19" i="18"/>
  <c r="BW19" i="18"/>
  <c r="BX19" i="18"/>
  <c r="BY19" i="18"/>
  <c r="BZ19" i="18"/>
  <c r="CA19" i="18"/>
  <c r="CB19" i="18"/>
  <c r="CC19" i="18"/>
  <c r="CD19" i="18"/>
  <c r="CE19" i="18"/>
  <c r="CF19" i="18"/>
  <c r="CG19" i="18"/>
  <c r="CH19" i="18"/>
  <c r="CI19" i="18"/>
  <c r="CJ19" i="18"/>
  <c r="CK19" i="18"/>
  <c r="CL19" i="18"/>
  <c r="CM19" i="18"/>
  <c r="CN19" i="18"/>
  <c r="CO19" i="18"/>
  <c r="CP19" i="18"/>
  <c r="CQ19" i="18"/>
  <c r="CR19" i="18"/>
  <c r="CS19" i="18"/>
  <c r="CT19" i="18"/>
  <c r="CU19" i="18"/>
  <c r="CV19" i="18"/>
  <c r="CW19" i="18"/>
  <c r="CX19" i="18"/>
  <c r="CY19" i="18"/>
  <c r="CZ19" i="18"/>
  <c r="DA19" i="18"/>
  <c r="DB19" i="18"/>
  <c r="DC19" i="18"/>
  <c r="DD19" i="18"/>
  <c r="DE19" i="18"/>
  <c r="DF19" i="18"/>
  <c r="DG19" i="18"/>
  <c r="DH19" i="18"/>
  <c r="DI19" i="18"/>
  <c r="DJ19" i="18"/>
  <c r="DK19" i="18"/>
  <c r="DL19" i="18"/>
  <c r="DM19" i="18"/>
  <c r="DN19" i="18"/>
  <c r="DO19" i="18"/>
  <c r="DP19" i="18"/>
  <c r="DQ19" i="18"/>
  <c r="DR19" i="18"/>
  <c r="DS19" i="18"/>
  <c r="DT19" i="18"/>
  <c r="DU19" i="18"/>
  <c r="DV19" i="18"/>
  <c r="DW19" i="18"/>
  <c r="DX19" i="18"/>
  <c r="DY19" i="18"/>
  <c r="DZ19" i="18"/>
  <c r="EA19" i="18"/>
  <c r="EB19" i="18"/>
  <c r="EC19" i="18"/>
  <c r="ED19" i="18"/>
  <c r="EE19" i="18"/>
  <c r="EF19" i="18"/>
  <c r="EG19" i="18"/>
  <c r="EH19" i="18"/>
  <c r="EI19" i="18"/>
  <c r="EJ19" i="18"/>
  <c r="EK19" i="18"/>
  <c r="EL19" i="18"/>
  <c r="EM19" i="18"/>
  <c r="EN19" i="18"/>
  <c r="EO19" i="18"/>
  <c r="EP19" i="18"/>
  <c r="EQ19" i="18"/>
  <c r="ER19" i="18"/>
  <c r="ES19" i="18"/>
  <c r="ET19" i="18"/>
  <c r="EU19" i="18"/>
  <c r="EV19" i="18"/>
  <c r="EW19" i="18"/>
  <c r="EX19" i="18"/>
  <c r="EY19" i="18"/>
  <c r="EZ19" i="18"/>
  <c r="FA19" i="18"/>
  <c r="FB19" i="18"/>
  <c r="FC19" i="18"/>
  <c r="FD19" i="18"/>
  <c r="FE19" i="18"/>
  <c r="FF19" i="18"/>
  <c r="FG19" i="18"/>
  <c r="FH19" i="18"/>
  <c r="FI19" i="18"/>
  <c r="FJ19" i="18"/>
  <c r="FK19" i="18"/>
  <c r="FL19" i="18"/>
  <c r="FM19" i="18"/>
  <c r="FN19" i="18"/>
  <c r="FO19" i="18"/>
  <c r="FP19" i="18"/>
  <c r="FQ19" i="18"/>
  <c r="FR19" i="18"/>
  <c r="FS19" i="18"/>
  <c r="FT19" i="18"/>
  <c r="FU19" i="18"/>
  <c r="FV19" i="18"/>
  <c r="FW19" i="18"/>
  <c r="FX19" i="18"/>
  <c r="FY19" i="18"/>
  <c r="FZ19" i="18"/>
  <c r="GA19" i="18"/>
  <c r="GB19" i="18"/>
  <c r="GC19" i="18"/>
  <c r="GD19" i="18"/>
  <c r="GE19" i="18"/>
  <c r="GF19" i="18"/>
  <c r="GG19" i="18"/>
  <c r="GH19" i="18"/>
  <c r="GI19" i="18"/>
  <c r="GJ19" i="18"/>
  <c r="GK19" i="18"/>
  <c r="GL19" i="18"/>
  <c r="GM19" i="18"/>
  <c r="GN19" i="18"/>
  <c r="GO19" i="18"/>
  <c r="GP19" i="18"/>
  <c r="GQ19" i="18"/>
  <c r="GR19" i="18"/>
  <c r="GS19" i="18"/>
  <c r="GT19" i="18"/>
  <c r="GU19" i="18"/>
  <c r="GV19" i="18"/>
  <c r="GW19" i="18"/>
  <c r="GX19" i="18"/>
  <c r="GY19" i="18"/>
  <c r="GZ19" i="18"/>
  <c r="HA19" i="18"/>
  <c r="HB19" i="18"/>
  <c r="HC19" i="18"/>
  <c r="I20" i="18"/>
  <c r="J20" i="18"/>
  <c r="K20" i="18"/>
  <c r="L20" i="18"/>
  <c r="M20" i="18"/>
  <c r="N20" i="18"/>
  <c r="O20" i="18"/>
  <c r="P20" i="18"/>
  <c r="Q20" i="18"/>
  <c r="R20" i="18"/>
  <c r="S20" i="18"/>
  <c r="T20" i="18"/>
  <c r="U20" i="18"/>
  <c r="V20" i="18"/>
  <c r="W20" i="18"/>
  <c r="X20" i="18"/>
  <c r="Y20" i="18"/>
  <c r="Z20" i="18"/>
  <c r="AA20" i="18"/>
  <c r="AB20" i="18"/>
  <c r="AC20" i="18"/>
  <c r="AD20" i="18"/>
  <c r="AE20" i="18"/>
  <c r="AF20" i="18"/>
  <c r="AG20" i="18"/>
  <c r="AH20" i="18"/>
  <c r="AI20" i="18"/>
  <c r="AJ20" i="18"/>
  <c r="AK20" i="18"/>
  <c r="AL20" i="18"/>
  <c r="AM20" i="18"/>
  <c r="AN20" i="18"/>
  <c r="AO20" i="18"/>
  <c r="AP20" i="18"/>
  <c r="AQ20" i="18"/>
  <c r="AR20" i="18"/>
  <c r="AS20" i="18"/>
  <c r="AT20" i="18"/>
  <c r="AU20" i="18"/>
  <c r="AV20" i="18"/>
  <c r="AW20" i="18"/>
  <c r="AX20" i="18"/>
  <c r="AY20" i="18"/>
  <c r="AZ20" i="18"/>
  <c r="BA20" i="18"/>
  <c r="BB20" i="18"/>
  <c r="BC20" i="18"/>
  <c r="BD20" i="18"/>
  <c r="BE20" i="18"/>
  <c r="BF20" i="18"/>
  <c r="BG20" i="18"/>
  <c r="BH20" i="18"/>
  <c r="BI20" i="18"/>
  <c r="BJ20" i="18"/>
  <c r="BK20" i="18"/>
  <c r="BL20" i="18"/>
  <c r="BM20" i="18"/>
  <c r="BN20" i="18"/>
  <c r="BO20" i="18"/>
  <c r="BP20" i="18"/>
  <c r="BQ20" i="18"/>
  <c r="BR20" i="18"/>
  <c r="BS20" i="18"/>
  <c r="BT20" i="18"/>
  <c r="BU20" i="18"/>
  <c r="BV20" i="18"/>
  <c r="BW20" i="18"/>
  <c r="BX20" i="18"/>
  <c r="BY20" i="18"/>
  <c r="BZ20" i="18"/>
  <c r="CA20" i="18"/>
  <c r="CB20" i="18"/>
  <c r="CC20" i="18"/>
  <c r="CD20" i="18"/>
  <c r="CE20" i="18"/>
  <c r="CF20" i="18"/>
  <c r="CG20" i="18"/>
  <c r="CH20" i="18"/>
  <c r="CI20" i="18"/>
  <c r="CJ20" i="18"/>
  <c r="CK20" i="18"/>
  <c r="CL20" i="18"/>
  <c r="CM20" i="18"/>
  <c r="CN20" i="18"/>
  <c r="CO20" i="18"/>
  <c r="CP20" i="18"/>
  <c r="CQ20" i="18"/>
  <c r="CR20" i="18"/>
  <c r="CS20" i="18"/>
  <c r="CT20" i="18"/>
  <c r="CU20" i="18"/>
  <c r="CV20" i="18"/>
  <c r="CW20" i="18"/>
  <c r="CX20" i="18"/>
  <c r="CY20" i="18"/>
  <c r="CZ20" i="18"/>
  <c r="DA20" i="18"/>
  <c r="DB20" i="18"/>
  <c r="DC20" i="18"/>
  <c r="DD20" i="18"/>
  <c r="DE20" i="18"/>
  <c r="DF20" i="18"/>
  <c r="DG20" i="18"/>
  <c r="DH20" i="18"/>
  <c r="DI20" i="18"/>
  <c r="DJ20" i="18"/>
  <c r="DK20" i="18"/>
  <c r="DL20" i="18"/>
  <c r="DM20" i="18"/>
  <c r="DN20" i="18"/>
  <c r="DO20" i="18"/>
  <c r="DP20" i="18"/>
  <c r="DQ20" i="18"/>
  <c r="DR20" i="18"/>
  <c r="DS20" i="18"/>
  <c r="DT20" i="18"/>
  <c r="DU20" i="18"/>
  <c r="DV20" i="18"/>
  <c r="DW20" i="18"/>
  <c r="DX20" i="18"/>
  <c r="DY20" i="18"/>
  <c r="DZ20" i="18"/>
  <c r="EA20" i="18"/>
  <c r="EB20" i="18"/>
  <c r="EC20" i="18"/>
  <c r="ED20" i="18"/>
  <c r="EE20" i="18"/>
  <c r="EF20" i="18"/>
  <c r="EG20" i="18"/>
  <c r="EH20" i="18"/>
  <c r="EI20" i="18"/>
  <c r="EJ20" i="18"/>
  <c r="EK20" i="18"/>
  <c r="EL20" i="18"/>
  <c r="EM20" i="18"/>
  <c r="EN20" i="18"/>
  <c r="EO20" i="18"/>
  <c r="EP20" i="18"/>
  <c r="EQ20" i="18"/>
  <c r="ER20" i="18"/>
  <c r="ES20" i="18"/>
  <c r="ET20" i="18"/>
  <c r="EU20" i="18"/>
  <c r="EV20" i="18"/>
  <c r="EW20" i="18"/>
  <c r="EX20" i="18"/>
  <c r="EY20" i="18"/>
  <c r="EZ20" i="18"/>
  <c r="FA20" i="18"/>
  <c r="FB20" i="18"/>
  <c r="FC20" i="18"/>
  <c r="FD20" i="18"/>
  <c r="FE20" i="18"/>
  <c r="FF20" i="18"/>
  <c r="FG20" i="18"/>
  <c r="FH20" i="18"/>
  <c r="FI20" i="18"/>
  <c r="FJ20" i="18"/>
  <c r="FK20" i="18"/>
  <c r="FL20" i="18"/>
  <c r="FM20" i="18"/>
  <c r="FN20" i="18"/>
  <c r="FO20" i="18"/>
  <c r="FP20" i="18"/>
  <c r="FQ20" i="18"/>
  <c r="FR20" i="18"/>
  <c r="FS20" i="18"/>
  <c r="FT20" i="18"/>
  <c r="FU20" i="18"/>
  <c r="FV20" i="18"/>
  <c r="FW20" i="18"/>
  <c r="FX20" i="18"/>
  <c r="FY20" i="18"/>
  <c r="FZ20" i="18"/>
  <c r="GA20" i="18"/>
  <c r="GB20" i="18"/>
  <c r="GC20" i="18"/>
  <c r="GD20" i="18"/>
  <c r="GE20" i="18"/>
  <c r="GF20" i="18"/>
  <c r="GG20" i="18"/>
  <c r="GH20" i="18"/>
  <c r="GI20" i="18"/>
  <c r="GJ20" i="18"/>
  <c r="GK20" i="18"/>
  <c r="GL20" i="18"/>
  <c r="GM20" i="18"/>
  <c r="GN20" i="18"/>
  <c r="GO20" i="18"/>
  <c r="GP20" i="18"/>
  <c r="GQ20" i="18"/>
  <c r="GR20" i="18"/>
  <c r="GS20" i="18"/>
  <c r="GT20" i="18"/>
  <c r="GU20" i="18"/>
  <c r="GV20" i="18"/>
  <c r="GW20" i="18"/>
  <c r="GX20" i="18"/>
  <c r="GY20" i="18"/>
  <c r="GZ20" i="18"/>
  <c r="HA20" i="18"/>
  <c r="HB20" i="18"/>
  <c r="HC20" i="18"/>
  <c r="H20" i="18"/>
  <c r="H19" i="18"/>
  <c r="H18" i="18"/>
  <c r="H17" i="18"/>
  <c r="I13" i="18"/>
  <c r="J13" i="18"/>
  <c r="K13" i="18"/>
  <c r="L13" i="18"/>
  <c r="M13" i="18"/>
  <c r="N13" i="18"/>
  <c r="O13" i="18"/>
  <c r="P13" i="18"/>
  <c r="Q13" i="18"/>
  <c r="R13" i="18"/>
  <c r="S13" i="18"/>
  <c r="T13" i="18"/>
  <c r="U13" i="18"/>
  <c r="V13" i="18"/>
  <c r="W13" i="18"/>
  <c r="X13" i="18"/>
  <c r="Y13" i="18"/>
  <c r="Z13" i="18"/>
  <c r="AA13" i="18"/>
  <c r="AB13" i="18"/>
  <c r="AC13" i="18"/>
  <c r="AD13" i="18"/>
  <c r="AE13" i="18"/>
  <c r="AF13" i="18"/>
  <c r="AG13" i="18"/>
  <c r="AH13" i="18"/>
  <c r="AI13" i="18"/>
  <c r="AJ13" i="18"/>
  <c r="AK13" i="18"/>
  <c r="AL13" i="18"/>
  <c r="AM13" i="18"/>
  <c r="AN13" i="18"/>
  <c r="AO13" i="18"/>
  <c r="AP13" i="18"/>
  <c r="AQ13" i="18"/>
  <c r="AR13" i="18"/>
  <c r="AS13" i="18"/>
  <c r="AT13" i="18"/>
  <c r="AU13" i="18"/>
  <c r="AV13" i="18"/>
  <c r="AW13" i="18"/>
  <c r="AX13" i="18"/>
  <c r="AY13" i="18"/>
  <c r="AZ13" i="18"/>
  <c r="BA13" i="18"/>
  <c r="BB13" i="18"/>
  <c r="BC13" i="18"/>
  <c r="BD13" i="18"/>
  <c r="BE13" i="18"/>
  <c r="BF13" i="18"/>
  <c r="BG13" i="18"/>
  <c r="BH13" i="18"/>
  <c r="BI13" i="18"/>
  <c r="BJ13" i="18"/>
  <c r="BK13" i="18"/>
  <c r="BL13" i="18"/>
  <c r="BM13" i="18"/>
  <c r="BN13" i="18"/>
  <c r="BO13" i="18"/>
  <c r="BP13" i="18"/>
  <c r="BQ13" i="18"/>
  <c r="BR13" i="18"/>
  <c r="BS13" i="18"/>
  <c r="BT13" i="18"/>
  <c r="BU13" i="18"/>
  <c r="BV13" i="18"/>
  <c r="BW13" i="18"/>
  <c r="BX13" i="18"/>
  <c r="BY13" i="18"/>
  <c r="BZ13" i="18"/>
  <c r="CA13" i="18"/>
  <c r="CB13" i="18"/>
  <c r="CC13" i="18"/>
  <c r="CD13" i="18"/>
  <c r="CE13" i="18"/>
  <c r="CF13" i="18"/>
  <c r="CG13" i="18"/>
  <c r="CH13" i="18"/>
  <c r="CI13" i="18"/>
  <c r="CJ13" i="18"/>
  <c r="CK13" i="18"/>
  <c r="CL13" i="18"/>
  <c r="CM13" i="18"/>
  <c r="CN13" i="18"/>
  <c r="CO13" i="18"/>
  <c r="CP13" i="18"/>
  <c r="CQ13" i="18"/>
  <c r="CR13" i="18"/>
  <c r="CS13" i="18"/>
  <c r="CT13" i="18"/>
  <c r="CU13" i="18"/>
  <c r="CV13" i="18"/>
  <c r="CW13" i="18"/>
  <c r="CX13" i="18"/>
  <c r="CY13" i="18"/>
  <c r="CZ13" i="18"/>
  <c r="DA13" i="18"/>
  <c r="DB13" i="18"/>
  <c r="DC13" i="18"/>
  <c r="DD13" i="18"/>
  <c r="DE13" i="18"/>
  <c r="DF13" i="18"/>
  <c r="DG13" i="18"/>
  <c r="DH13" i="18"/>
  <c r="DI13" i="18"/>
  <c r="DJ13" i="18"/>
  <c r="DK13" i="18"/>
  <c r="DL13" i="18"/>
  <c r="DM13" i="18"/>
  <c r="DN13" i="18"/>
  <c r="DO13" i="18"/>
  <c r="DP13" i="18"/>
  <c r="DQ13" i="18"/>
  <c r="DR13" i="18"/>
  <c r="DS13" i="18"/>
  <c r="DT13" i="18"/>
  <c r="DU13" i="18"/>
  <c r="DV13" i="18"/>
  <c r="DW13" i="18"/>
  <c r="DX13" i="18"/>
  <c r="DY13" i="18"/>
  <c r="DZ13" i="18"/>
  <c r="EA13" i="18"/>
  <c r="EB13" i="18"/>
  <c r="EC13" i="18"/>
  <c r="ED13" i="18"/>
  <c r="EE13" i="18"/>
  <c r="EF13" i="18"/>
  <c r="EG13" i="18"/>
  <c r="EH13" i="18"/>
  <c r="EI13" i="18"/>
  <c r="EJ13" i="18"/>
  <c r="EK13" i="18"/>
  <c r="EL13" i="18"/>
  <c r="EM13" i="18"/>
  <c r="EN13" i="18"/>
  <c r="EO13" i="18"/>
  <c r="EP13" i="18"/>
  <c r="EQ13" i="18"/>
  <c r="ER13" i="18"/>
  <c r="ES13" i="18"/>
  <c r="ET13" i="18"/>
  <c r="EU13" i="18"/>
  <c r="EV13" i="18"/>
  <c r="EW13" i="18"/>
  <c r="EX13" i="18"/>
  <c r="EY13" i="18"/>
  <c r="EZ13" i="18"/>
  <c r="FA13" i="18"/>
  <c r="FB13" i="18"/>
  <c r="FC13" i="18"/>
  <c r="FD13" i="18"/>
  <c r="FE13" i="18"/>
  <c r="FF13" i="18"/>
  <c r="FG13" i="18"/>
  <c r="FH13" i="18"/>
  <c r="FI13" i="18"/>
  <c r="FJ13" i="18"/>
  <c r="FK13" i="18"/>
  <c r="FL13" i="18"/>
  <c r="FM13" i="18"/>
  <c r="FN13" i="18"/>
  <c r="FO13" i="18"/>
  <c r="FP13" i="18"/>
  <c r="FQ13" i="18"/>
  <c r="FR13" i="18"/>
  <c r="FS13" i="18"/>
  <c r="FT13" i="18"/>
  <c r="FU13" i="18"/>
  <c r="FV13" i="18"/>
  <c r="FW13" i="18"/>
  <c r="FX13" i="18"/>
  <c r="FY13" i="18"/>
  <c r="FZ13" i="18"/>
  <c r="GA13" i="18"/>
  <c r="GB13" i="18"/>
  <c r="GC13" i="18"/>
  <c r="GD13" i="18"/>
  <c r="GE13" i="18"/>
  <c r="GF13" i="18"/>
  <c r="GG13" i="18"/>
  <c r="GH13" i="18"/>
  <c r="GI13" i="18"/>
  <c r="GJ13" i="18"/>
  <c r="GK13" i="18"/>
  <c r="GL13" i="18"/>
  <c r="GM13" i="18"/>
  <c r="GN13" i="18"/>
  <c r="GO13" i="18"/>
  <c r="GP13" i="18"/>
  <c r="GQ13" i="18"/>
  <c r="GR13" i="18"/>
  <c r="GS13" i="18"/>
  <c r="GT13" i="18"/>
  <c r="GU13" i="18"/>
  <c r="GV13" i="18"/>
  <c r="GW13" i="18"/>
  <c r="GX13" i="18"/>
  <c r="GY13" i="18"/>
  <c r="GZ13" i="18"/>
  <c r="HA13" i="18"/>
  <c r="HB13" i="18"/>
  <c r="HC13" i="18"/>
  <c r="I14" i="18"/>
  <c r="J14" i="18"/>
  <c r="K14" i="18"/>
  <c r="L14" i="18"/>
  <c r="M14" i="18"/>
  <c r="N14" i="18"/>
  <c r="O14" i="18"/>
  <c r="P14" i="18"/>
  <c r="Q14" i="18"/>
  <c r="R14" i="18"/>
  <c r="S14" i="18"/>
  <c r="T14" i="18"/>
  <c r="U14" i="18"/>
  <c r="V14" i="18"/>
  <c r="W14" i="18"/>
  <c r="X14" i="18"/>
  <c r="Y14" i="18"/>
  <c r="Z14" i="18"/>
  <c r="AA14" i="18"/>
  <c r="AB14" i="18"/>
  <c r="AC14" i="18"/>
  <c r="AD14" i="18"/>
  <c r="AE14" i="18"/>
  <c r="AF14" i="18"/>
  <c r="AG14" i="18"/>
  <c r="AH14" i="18"/>
  <c r="AI14" i="18"/>
  <c r="AJ14" i="18"/>
  <c r="AK14" i="18"/>
  <c r="AL14" i="18"/>
  <c r="AM14" i="18"/>
  <c r="AN14" i="18"/>
  <c r="AO14" i="18"/>
  <c r="AP14" i="18"/>
  <c r="AQ14" i="18"/>
  <c r="AR14" i="18"/>
  <c r="AS14" i="18"/>
  <c r="AT14" i="18"/>
  <c r="AU14" i="18"/>
  <c r="AV14" i="18"/>
  <c r="AW14" i="18"/>
  <c r="AX14" i="18"/>
  <c r="AY14" i="18"/>
  <c r="AZ14" i="18"/>
  <c r="BA14" i="18"/>
  <c r="BB14" i="18"/>
  <c r="BC14" i="18"/>
  <c r="BD14" i="18"/>
  <c r="BE14" i="18"/>
  <c r="BF14" i="18"/>
  <c r="BG14" i="18"/>
  <c r="BH14" i="18"/>
  <c r="BI14" i="18"/>
  <c r="BJ14" i="18"/>
  <c r="BK14" i="18"/>
  <c r="BL14" i="18"/>
  <c r="BM14" i="18"/>
  <c r="BN14" i="18"/>
  <c r="BO14" i="18"/>
  <c r="BP14" i="18"/>
  <c r="BQ14" i="18"/>
  <c r="BR14" i="18"/>
  <c r="BS14" i="18"/>
  <c r="BT14" i="18"/>
  <c r="BU14" i="18"/>
  <c r="BV14" i="18"/>
  <c r="BW14" i="18"/>
  <c r="BX14" i="18"/>
  <c r="BY14" i="18"/>
  <c r="BZ14" i="18"/>
  <c r="CA14" i="18"/>
  <c r="CB14" i="18"/>
  <c r="CC14" i="18"/>
  <c r="CD14" i="18"/>
  <c r="CE14" i="18"/>
  <c r="CF14" i="18"/>
  <c r="CG14" i="18"/>
  <c r="CH14" i="18"/>
  <c r="CI14" i="18"/>
  <c r="CJ14" i="18"/>
  <c r="CK14" i="18"/>
  <c r="CL14" i="18"/>
  <c r="CM14" i="18"/>
  <c r="CN14" i="18"/>
  <c r="CO14" i="18"/>
  <c r="CP14" i="18"/>
  <c r="CQ14" i="18"/>
  <c r="CR14" i="18"/>
  <c r="CS14" i="18"/>
  <c r="CT14" i="18"/>
  <c r="CU14" i="18"/>
  <c r="CV14" i="18"/>
  <c r="CW14" i="18"/>
  <c r="CX14" i="18"/>
  <c r="CY14" i="18"/>
  <c r="CZ14" i="18"/>
  <c r="DA14" i="18"/>
  <c r="DB14" i="18"/>
  <c r="DC14" i="18"/>
  <c r="DD14" i="18"/>
  <c r="DE14" i="18"/>
  <c r="DF14" i="18"/>
  <c r="DG14" i="18"/>
  <c r="DH14" i="18"/>
  <c r="DI14" i="18"/>
  <c r="DJ14" i="18"/>
  <c r="DK14" i="18"/>
  <c r="DL14" i="18"/>
  <c r="DM14" i="18"/>
  <c r="DN14" i="18"/>
  <c r="DO14" i="18"/>
  <c r="DP14" i="18"/>
  <c r="DQ14" i="18"/>
  <c r="DR14" i="18"/>
  <c r="DS14" i="18"/>
  <c r="DT14" i="18"/>
  <c r="DU14" i="18"/>
  <c r="DV14" i="18"/>
  <c r="DW14" i="18"/>
  <c r="DX14" i="18"/>
  <c r="DY14" i="18"/>
  <c r="DZ14" i="18"/>
  <c r="EA14" i="18"/>
  <c r="EB14" i="18"/>
  <c r="EC14" i="18"/>
  <c r="ED14" i="18"/>
  <c r="EE14" i="18"/>
  <c r="EF14" i="18"/>
  <c r="EG14" i="18"/>
  <c r="EH14" i="18"/>
  <c r="EI14" i="18"/>
  <c r="EJ14" i="18"/>
  <c r="EK14" i="18"/>
  <c r="EL14" i="18"/>
  <c r="EM14" i="18"/>
  <c r="EN14" i="18"/>
  <c r="EO14" i="18"/>
  <c r="EP14" i="18"/>
  <c r="EQ14" i="18"/>
  <c r="ER14" i="18"/>
  <c r="ES14" i="18"/>
  <c r="ET14" i="18"/>
  <c r="EU14" i="18"/>
  <c r="EV14" i="18"/>
  <c r="EW14" i="18"/>
  <c r="EX14" i="18"/>
  <c r="EY14" i="18"/>
  <c r="EZ14" i="18"/>
  <c r="FA14" i="18"/>
  <c r="FB14" i="18"/>
  <c r="FC14" i="18"/>
  <c r="FD14" i="18"/>
  <c r="FE14" i="18"/>
  <c r="FF14" i="18"/>
  <c r="FG14" i="18"/>
  <c r="FH14" i="18"/>
  <c r="FI14" i="18"/>
  <c r="FJ14" i="18"/>
  <c r="FK14" i="18"/>
  <c r="FL14" i="18"/>
  <c r="FM14" i="18"/>
  <c r="FN14" i="18"/>
  <c r="FO14" i="18"/>
  <c r="FP14" i="18"/>
  <c r="FQ14" i="18"/>
  <c r="FR14" i="18"/>
  <c r="FS14" i="18"/>
  <c r="FT14" i="18"/>
  <c r="FU14" i="18"/>
  <c r="FV14" i="18"/>
  <c r="FW14" i="18"/>
  <c r="FX14" i="18"/>
  <c r="FY14" i="18"/>
  <c r="FZ14" i="18"/>
  <c r="GA14" i="18"/>
  <c r="GB14" i="18"/>
  <c r="GC14" i="18"/>
  <c r="GD14" i="18"/>
  <c r="GE14" i="18"/>
  <c r="GF14" i="18"/>
  <c r="GG14" i="18"/>
  <c r="GH14" i="18"/>
  <c r="GI14" i="18"/>
  <c r="GJ14" i="18"/>
  <c r="GK14" i="18"/>
  <c r="GL14" i="18"/>
  <c r="GM14" i="18"/>
  <c r="GN14" i="18"/>
  <c r="GO14" i="18"/>
  <c r="GP14" i="18"/>
  <c r="GQ14" i="18"/>
  <c r="GR14" i="18"/>
  <c r="GS14" i="18"/>
  <c r="GT14" i="18"/>
  <c r="GU14" i="18"/>
  <c r="GV14" i="18"/>
  <c r="GW14" i="18"/>
  <c r="GX14" i="18"/>
  <c r="GY14" i="18"/>
  <c r="GZ14" i="18"/>
  <c r="HA14" i="18"/>
  <c r="HB14" i="18"/>
  <c r="HC14" i="18"/>
  <c r="I15" i="18"/>
  <c r="J15" i="18"/>
  <c r="K15" i="18"/>
  <c r="L15" i="18"/>
  <c r="M15" i="18"/>
  <c r="N15" i="18"/>
  <c r="O15" i="18"/>
  <c r="P15" i="18"/>
  <c r="Q15" i="18"/>
  <c r="R15" i="18"/>
  <c r="S15" i="18"/>
  <c r="T15" i="18"/>
  <c r="U15" i="18"/>
  <c r="V15" i="18"/>
  <c r="W15" i="18"/>
  <c r="X15" i="18"/>
  <c r="Y15" i="18"/>
  <c r="Z15" i="18"/>
  <c r="AA15" i="18"/>
  <c r="AB15" i="18"/>
  <c r="AC15" i="18"/>
  <c r="AD15" i="18"/>
  <c r="AE15" i="18"/>
  <c r="AF15" i="18"/>
  <c r="AG15" i="18"/>
  <c r="AH15" i="18"/>
  <c r="AI15" i="18"/>
  <c r="AJ15" i="18"/>
  <c r="AK15" i="18"/>
  <c r="AL15" i="18"/>
  <c r="AM15" i="18"/>
  <c r="AN15" i="18"/>
  <c r="AO15" i="18"/>
  <c r="AP15" i="18"/>
  <c r="AQ15" i="18"/>
  <c r="AR15" i="18"/>
  <c r="AS15" i="18"/>
  <c r="AT15" i="18"/>
  <c r="AU15" i="18"/>
  <c r="AV15" i="18"/>
  <c r="AW15" i="18"/>
  <c r="AX15" i="18"/>
  <c r="AY15" i="18"/>
  <c r="AZ15" i="18"/>
  <c r="BA15" i="18"/>
  <c r="BB15" i="18"/>
  <c r="BC15" i="18"/>
  <c r="BD15" i="18"/>
  <c r="BE15" i="18"/>
  <c r="BF15" i="18"/>
  <c r="BG15" i="18"/>
  <c r="BH15" i="18"/>
  <c r="BI15" i="18"/>
  <c r="BJ15" i="18"/>
  <c r="BK15" i="18"/>
  <c r="BL15" i="18"/>
  <c r="BM15" i="18"/>
  <c r="BN15" i="18"/>
  <c r="BO15" i="18"/>
  <c r="BP15" i="18"/>
  <c r="BQ15" i="18"/>
  <c r="BR15" i="18"/>
  <c r="BS15" i="18"/>
  <c r="BT15" i="18"/>
  <c r="BU15" i="18"/>
  <c r="BV15" i="18"/>
  <c r="BW15" i="18"/>
  <c r="BX15" i="18"/>
  <c r="BY15" i="18"/>
  <c r="BZ15" i="18"/>
  <c r="CA15" i="18"/>
  <c r="CB15" i="18"/>
  <c r="CC15" i="18"/>
  <c r="CD15" i="18"/>
  <c r="CE15" i="18"/>
  <c r="CF15" i="18"/>
  <c r="CG15" i="18"/>
  <c r="CH15" i="18"/>
  <c r="CI15" i="18"/>
  <c r="CJ15" i="18"/>
  <c r="CK15" i="18"/>
  <c r="CL15" i="18"/>
  <c r="CM15" i="18"/>
  <c r="CN15" i="18"/>
  <c r="CO15" i="18"/>
  <c r="CP15" i="18"/>
  <c r="CQ15" i="18"/>
  <c r="CR15" i="18"/>
  <c r="CS15" i="18"/>
  <c r="CT15" i="18"/>
  <c r="CU15" i="18"/>
  <c r="CV15" i="18"/>
  <c r="CW15" i="18"/>
  <c r="CX15" i="18"/>
  <c r="CY15" i="18"/>
  <c r="CZ15" i="18"/>
  <c r="DA15" i="18"/>
  <c r="DB15" i="18"/>
  <c r="DC15" i="18"/>
  <c r="DD15" i="18"/>
  <c r="DE15" i="18"/>
  <c r="DF15" i="18"/>
  <c r="DG15" i="18"/>
  <c r="DH15" i="18"/>
  <c r="DI15" i="18"/>
  <c r="DJ15" i="18"/>
  <c r="DK15" i="18"/>
  <c r="DL15" i="18"/>
  <c r="DM15" i="18"/>
  <c r="DN15" i="18"/>
  <c r="DO15" i="18"/>
  <c r="DP15" i="18"/>
  <c r="DQ15" i="18"/>
  <c r="DR15" i="18"/>
  <c r="DS15" i="18"/>
  <c r="DT15" i="18"/>
  <c r="DU15" i="18"/>
  <c r="DV15" i="18"/>
  <c r="DW15" i="18"/>
  <c r="DX15" i="18"/>
  <c r="DY15" i="18"/>
  <c r="DZ15" i="18"/>
  <c r="EA15" i="18"/>
  <c r="EB15" i="18"/>
  <c r="EC15" i="18"/>
  <c r="ED15" i="18"/>
  <c r="EE15" i="18"/>
  <c r="EF15" i="18"/>
  <c r="EG15" i="18"/>
  <c r="EH15" i="18"/>
  <c r="EI15" i="18"/>
  <c r="EJ15" i="18"/>
  <c r="EK15" i="18"/>
  <c r="EL15" i="18"/>
  <c r="EM15" i="18"/>
  <c r="EN15" i="18"/>
  <c r="EO15" i="18"/>
  <c r="EP15" i="18"/>
  <c r="EQ15" i="18"/>
  <c r="ER15" i="18"/>
  <c r="ES15" i="18"/>
  <c r="ET15" i="18"/>
  <c r="EU15" i="18"/>
  <c r="EV15" i="18"/>
  <c r="EW15" i="18"/>
  <c r="EX15" i="18"/>
  <c r="EY15" i="18"/>
  <c r="EZ15" i="18"/>
  <c r="FA15" i="18"/>
  <c r="FB15" i="18"/>
  <c r="FC15" i="18"/>
  <c r="FD15" i="18"/>
  <c r="FE15" i="18"/>
  <c r="FF15" i="18"/>
  <c r="FG15" i="18"/>
  <c r="FH15" i="18"/>
  <c r="FI15" i="18"/>
  <c r="FJ15" i="18"/>
  <c r="FK15" i="18"/>
  <c r="FL15" i="18"/>
  <c r="FM15" i="18"/>
  <c r="FN15" i="18"/>
  <c r="FO15" i="18"/>
  <c r="FP15" i="18"/>
  <c r="FQ15" i="18"/>
  <c r="FR15" i="18"/>
  <c r="FS15" i="18"/>
  <c r="FT15" i="18"/>
  <c r="FU15" i="18"/>
  <c r="FV15" i="18"/>
  <c r="FW15" i="18"/>
  <c r="FX15" i="18"/>
  <c r="FY15" i="18"/>
  <c r="FZ15" i="18"/>
  <c r="GA15" i="18"/>
  <c r="GB15" i="18"/>
  <c r="GC15" i="18"/>
  <c r="GD15" i="18"/>
  <c r="GE15" i="18"/>
  <c r="GF15" i="18"/>
  <c r="GG15" i="18"/>
  <c r="GH15" i="18"/>
  <c r="GI15" i="18"/>
  <c r="GJ15" i="18"/>
  <c r="GK15" i="18"/>
  <c r="GL15" i="18"/>
  <c r="GM15" i="18"/>
  <c r="GN15" i="18"/>
  <c r="GO15" i="18"/>
  <c r="GP15" i="18"/>
  <c r="GQ15" i="18"/>
  <c r="GR15" i="18"/>
  <c r="GS15" i="18"/>
  <c r="GT15" i="18"/>
  <c r="GU15" i="18"/>
  <c r="GV15" i="18"/>
  <c r="GW15" i="18"/>
  <c r="GX15" i="18"/>
  <c r="GY15" i="18"/>
  <c r="GZ15" i="18"/>
  <c r="HA15" i="18"/>
  <c r="HB15" i="18"/>
  <c r="HC15" i="18"/>
  <c r="I16" i="18"/>
  <c r="J16" i="18"/>
  <c r="K16" i="18"/>
  <c r="L16" i="18"/>
  <c r="M16" i="18"/>
  <c r="N16" i="18"/>
  <c r="O16" i="18"/>
  <c r="P16" i="18"/>
  <c r="Q16" i="18"/>
  <c r="R16" i="18"/>
  <c r="S16" i="18"/>
  <c r="T16" i="18"/>
  <c r="U16" i="18"/>
  <c r="V16" i="18"/>
  <c r="W16" i="18"/>
  <c r="X16" i="18"/>
  <c r="Y16" i="18"/>
  <c r="Z16" i="18"/>
  <c r="AA16" i="18"/>
  <c r="AB16" i="18"/>
  <c r="AC16" i="18"/>
  <c r="AD16" i="18"/>
  <c r="AE16" i="18"/>
  <c r="AF16" i="18"/>
  <c r="AG16" i="18"/>
  <c r="AH16" i="18"/>
  <c r="AI16" i="18"/>
  <c r="AJ16" i="18"/>
  <c r="AK16" i="18"/>
  <c r="AL16" i="18"/>
  <c r="AM16" i="18"/>
  <c r="AN16" i="18"/>
  <c r="AO16" i="18"/>
  <c r="AP16" i="18"/>
  <c r="AQ16" i="18"/>
  <c r="AR16" i="18"/>
  <c r="AS16" i="18"/>
  <c r="AT16" i="18"/>
  <c r="AU16" i="18"/>
  <c r="AV16" i="18"/>
  <c r="AW16" i="18"/>
  <c r="AX16" i="18"/>
  <c r="AY16" i="18"/>
  <c r="AZ16" i="18"/>
  <c r="BA16" i="18"/>
  <c r="BB16" i="18"/>
  <c r="BC16" i="18"/>
  <c r="BD16" i="18"/>
  <c r="BE16" i="18"/>
  <c r="BF16" i="18"/>
  <c r="BG16" i="18"/>
  <c r="BH16" i="18"/>
  <c r="BI16" i="18"/>
  <c r="BJ16" i="18"/>
  <c r="BK16" i="18"/>
  <c r="BL16" i="18"/>
  <c r="BM16" i="18"/>
  <c r="BN16" i="18"/>
  <c r="BO16" i="18"/>
  <c r="BP16" i="18"/>
  <c r="BQ16" i="18"/>
  <c r="BR16" i="18"/>
  <c r="BS16" i="18"/>
  <c r="BT16" i="18"/>
  <c r="BU16" i="18"/>
  <c r="BV16" i="18"/>
  <c r="BW16" i="18"/>
  <c r="BX16" i="18"/>
  <c r="BY16" i="18"/>
  <c r="BZ16" i="18"/>
  <c r="CA16" i="18"/>
  <c r="CB16" i="18"/>
  <c r="CC16" i="18"/>
  <c r="CD16" i="18"/>
  <c r="CE16" i="18"/>
  <c r="CF16" i="18"/>
  <c r="CG16" i="18"/>
  <c r="CH16" i="18"/>
  <c r="CI16" i="18"/>
  <c r="CJ16" i="18"/>
  <c r="CK16" i="18"/>
  <c r="CL16" i="18"/>
  <c r="CM16" i="18"/>
  <c r="CN16" i="18"/>
  <c r="CO16" i="18"/>
  <c r="CP16" i="18"/>
  <c r="CQ16" i="18"/>
  <c r="CR16" i="18"/>
  <c r="CS16" i="18"/>
  <c r="CT16" i="18"/>
  <c r="CU16" i="18"/>
  <c r="CV16" i="18"/>
  <c r="CW16" i="18"/>
  <c r="CX16" i="18"/>
  <c r="CY16" i="18"/>
  <c r="CZ16" i="18"/>
  <c r="DA16" i="18"/>
  <c r="DB16" i="18"/>
  <c r="DC16" i="18"/>
  <c r="DD16" i="18"/>
  <c r="DE16" i="18"/>
  <c r="DF16" i="18"/>
  <c r="DG16" i="18"/>
  <c r="DH16" i="18"/>
  <c r="DI16" i="18"/>
  <c r="DJ16" i="18"/>
  <c r="DK16" i="18"/>
  <c r="DL16" i="18"/>
  <c r="DM16" i="18"/>
  <c r="DN16" i="18"/>
  <c r="DO16" i="18"/>
  <c r="DP16" i="18"/>
  <c r="DQ16" i="18"/>
  <c r="DR16" i="18"/>
  <c r="DS16" i="18"/>
  <c r="DT16" i="18"/>
  <c r="DU16" i="18"/>
  <c r="DV16" i="18"/>
  <c r="DW16" i="18"/>
  <c r="DX16" i="18"/>
  <c r="DY16" i="18"/>
  <c r="DZ16" i="18"/>
  <c r="EA16" i="18"/>
  <c r="EB16" i="18"/>
  <c r="EC16" i="18"/>
  <c r="ED16" i="18"/>
  <c r="EE16" i="18"/>
  <c r="EF16" i="18"/>
  <c r="EG16" i="18"/>
  <c r="EH16" i="18"/>
  <c r="EI16" i="18"/>
  <c r="EJ16" i="18"/>
  <c r="EK16" i="18"/>
  <c r="EL16" i="18"/>
  <c r="EM16" i="18"/>
  <c r="EN16" i="18"/>
  <c r="EO16" i="18"/>
  <c r="EP16" i="18"/>
  <c r="EQ16" i="18"/>
  <c r="ER16" i="18"/>
  <c r="ES16" i="18"/>
  <c r="ET16" i="18"/>
  <c r="EU16" i="18"/>
  <c r="EV16" i="18"/>
  <c r="EW16" i="18"/>
  <c r="EX16" i="18"/>
  <c r="EY16" i="18"/>
  <c r="EZ16" i="18"/>
  <c r="FA16" i="18"/>
  <c r="FB16" i="18"/>
  <c r="FC16" i="18"/>
  <c r="FD16" i="18"/>
  <c r="FE16" i="18"/>
  <c r="FF16" i="18"/>
  <c r="FG16" i="18"/>
  <c r="FH16" i="18"/>
  <c r="FI16" i="18"/>
  <c r="FJ16" i="18"/>
  <c r="FK16" i="18"/>
  <c r="FL16" i="18"/>
  <c r="FM16" i="18"/>
  <c r="FN16" i="18"/>
  <c r="FO16" i="18"/>
  <c r="FP16" i="18"/>
  <c r="FQ16" i="18"/>
  <c r="FR16" i="18"/>
  <c r="FS16" i="18"/>
  <c r="FT16" i="18"/>
  <c r="FU16" i="18"/>
  <c r="FV16" i="18"/>
  <c r="FW16" i="18"/>
  <c r="FX16" i="18"/>
  <c r="FY16" i="18"/>
  <c r="FZ16" i="18"/>
  <c r="GA16" i="18"/>
  <c r="GB16" i="18"/>
  <c r="GC16" i="18"/>
  <c r="GD16" i="18"/>
  <c r="GE16" i="18"/>
  <c r="GF16" i="18"/>
  <c r="GG16" i="18"/>
  <c r="GH16" i="18"/>
  <c r="GI16" i="18"/>
  <c r="GJ16" i="18"/>
  <c r="GK16" i="18"/>
  <c r="GL16" i="18"/>
  <c r="GM16" i="18"/>
  <c r="GN16" i="18"/>
  <c r="GO16" i="18"/>
  <c r="GP16" i="18"/>
  <c r="GQ16" i="18"/>
  <c r="GR16" i="18"/>
  <c r="GS16" i="18"/>
  <c r="GT16" i="18"/>
  <c r="GU16" i="18"/>
  <c r="GV16" i="18"/>
  <c r="GW16" i="18"/>
  <c r="GX16" i="18"/>
  <c r="GY16" i="18"/>
  <c r="GZ16" i="18"/>
  <c r="HA16" i="18"/>
  <c r="HB16" i="18"/>
  <c r="HC16" i="18"/>
  <c r="H16" i="18"/>
  <c r="H15" i="18"/>
  <c r="H14" i="18"/>
  <c r="H13" i="18"/>
  <c r="I11" i="18"/>
  <c r="J11" i="18"/>
  <c r="K11" i="18"/>
  <c r="L11" i="18"/>
  <c r="M11" i="18"/>
  <c r="N11" i="18"/>
  <c r="O11" i="18"/>
  <c r="P11" i="18"/>
  <c r="Q11" i="18"/>
  <c r="R11" i="18"/>
  <c r="S11" i="18"/>
  <c r="T11" i="18"/>
  <c r="U11" i="18"/>
  <c r="V11" i="18"/>
  <c r="W11" i="18"/>
  <c r="X11" i="18"/>
  <c r="Y11" i="18"/>
  <c r="Z11" i="18"/>
  <c r="AA11" i="18"/>
  <c r="AB11" i="18"/>
  <c r="AC11" i="18"/>
  <c r="AD11" i="18"/>
  <c r="AE11" i="18"/>
  <c r="AF11" i="18"/>
  <c r="AG11" i="18"/>
  <c r="AH11" i="18"/>
  <c r="AI11" i="18"/>
  <c r="AJ11" i="18"/>
  <c r="AK11" i="18"/>
  <c r="AL11" i="18"/>
  <c r="AM11" i="18"/>
  <c r="AN11" i="18"/>
  <c r="AO11" i="18"/>
  <c r="AP11" i="18"/>
  <c r="AQ11" i="18"/>
  <c r="AR11" i="18"/>
  <c r="AS11" i="18"/>
  <c r="AT11" i="18"/>
  <c r="AU11" i="18"/>
  <c r="AV11" i="18"/>
  <c r="AW11" i="18"/>
  <c r="AX11" i="18"/>
  <c r="AY11" i="18"/>
  <c r="AZ11" i="18"/>
  <c r="BA11" i="18"/>
  <c r="BB11" i="18"/>
  <c r="BC11" i="18"/>
  <c r="BD11" i="18"/>
  <c r="BE11" i="18"/>
  <c r="BF11" i="18"/>
  <c r="BG11" i="18"/>
  <c r="BH11" i="18"/>
  <c r="BI11" i="18"/>
  <c r="BJ11" i="18"/>
  <c r="BK11" i="18"/>
  <c r="BL11" i="18"/>
  <c r="BM11" i="18"/>
  <c r="BN11" i="18"/>
  <c r="BO11" i="18"/>
  <c r="BP11" i="18"/>
  <c r="BQ11" i="18"/>
  <c r="BR11" i="18"/>
  <c r="BS11" i="18"/>
  <c r="BT11" i="18"/>
  <c r="BU11" i="18"/>
  <c r="BV11" i="18"/>
  <c r="BW11" i="18"/>
  <c r="BX11" i="18"/>
  <c r="BY11" i="18"/>
  <c r="BZ11" i="18"/>
  <c r="CA11" i="18"/>
  <c r="CB11" i="18"/>
  <c r="CC11" i="18"/>
  <c r="CD11" i="18"/>
  <c r="CE11" i="18"/>
  <c r="CF11" i="18"/>
  <c r="CG11" i="18"/>
  <c r="CH11" i="18"/>
  <c r="CI11" i="18"/>
  <c r="CJ11" i="18"/>
  <c r="CK11" i="18"/>
  <c r="CL11" i="18"/>
  <c r="CM11" i="18"/>
  <c r="CN11" i="18"/>
  <c r="CO11" i="18"/>
  <c r="CP11" i="18"/>
  <c r="CQ11" i="18"/>
  <c r="CR11" i="18"/>
  <c r="CS11" i="18"/>
  <c r="CT11" i="18"/>
  <c r="CU11" i="18"/>
  <c r="CV11" i="18"/>
  <c r="CW11" i="18"/>
  <c r="CX11" i="18"/>
  <c r="CY11" i="18"/>
  <c r="CZ11" i="18"/>
  <c r="DA11" i="18"/>
  <c r="DB11" i="18"/>
  <c r="DC11" i="18"/>
  <c r="DD11" i="18"/>
  <c r="DE11" i="18"/>
  <c r="DF11" i="18"/>
  <c r="DG11" i="18"/>
  <c r="DH11" i="18"/>
  <c r="DI11" i="18"/>
  <c r="DJ11" i="18"/>
  <c r="DK11" i="18"/>
  <c r="DL11" i="18"/>
  <c r="DM11" i="18"/>
  <c r="DN11" i="18"/>
  <c r="DO11" i="18"/>
  <c r="DP11" i="18"/>
  <c r="DQ11" i="18"/>
  <c r="DR11" i="18"/>
  <c r="DS11" i="18"/>
  <c r="DT11" i="18"/>
  <c r="DU11" i="18"/>
  <c r="DV11" i="18"/>
  <c r="DW11" i="18"/>
  <c r="DX11" i="18"/>
  <c r="DY11" i="18"/>
  <c r="DZ11" i="18"/>
  <c r="EA11" i="18"/>
  <c r="EB11" i="18"/>
  <c r="EC11" i="18"/>
  <c r="ED11" i="18"/>
  <c r="EE11" i="18"/>
  <c r="EF11" i="18"/>
  <c r="EG11" i="18"/>
  <c r="EH11" i="18"/>
  <c r="EI11" i="18"/>
  <c r="EJ11" i="18"/>
  <c r="EK11" i="18"/>
  <c r="EL11" i="18"/>
  <c r="EM11" i="18"/>
  <c r="EN11" i="18"/>
  <c r="EO11" i="18"/>
  <c r="EP11" i="18"/>
  <c r="EQ11" i="18"/>
  <c r="ER11" i="18"/>
  <c r="ES11" i="18"/>
  <c r="ET11" i="18"/>
  <c r="EU11" i="18"/>
  <c r="EV11" i="18"/>
  <c r="EX11" i="18"/>
  <c r="EY11" i="18"/>
  <c r="EZ11" i="18"/>
  <c r="FA11" i="18"/>
  <c r="FB11" i="18"/>
  <c r="FC11" i="18"/>
  <c r="FD11" i="18"/>
  <c r="FE11" i="18"/>
  <c r="FF11" i="18"/>
  <c r="FG11" i="18"/>
  <c r="FH11" i="18"/>
  <c r="FI11" i="18"/>
  <c r="FJ11" i="18"/>
  <c r="FK11" i="18"/>
  <c r="FL11" i="18"/>
  <c r="FM11" i="18"/>
  <c r="FN11" i="18"/>
  <c r="FO11" i="18"/>
  <c r="FP11" i="18"/>
  <c r="FQ11" i="18"/>
  <c r="FR11" i="18"/>
  <c r="FS11" i="18"/>
  <c r="FT11" i="18"/>
  <c r="FU11" i="18"/>
  <c r="FV11" i="18"/>
  <c r="FW11" i="18"/>
  <c r="FX11" i="18"/>
  <c r="FY11" i="18"/>
  <c r="FZ11" i="18"/>
  <c r="GA11" i="18"/>
  <c r="GB11" i="18"/>
  <c r="GC11" i="18"/>
  <c r="GD11" i="18"/>
  <c r="GE11" i="18"/>
  <c r="GF11" i="18"/>
  <c r="GG11" i="18"/>
  <c r="GH11" i="18"/>
  <c r="GI11" i="18"/>
  <c r="GJ11" i="18"/>
  <c r="GK11" i="18"/>
  <c r="GL11" i="18"/>
  <c r="GM11" i="18"/>
  <c r="GN11" i="18"/>
  <c r="GO11" i="18"/>
  <c r="GP11" i="18"/>
  <c r="GQ11" i="18"/>
  <c r="GR11" i="18"/>
  <c r="GS11" i="18"/>
  <c r="GT11" i="18"/>
  <c r="GU11" i="18"/>
  <c r="GV11" i="18"/>
  <c r="GW11" i="18"/>
  <c r="GX11" i="18"/>
  <c r="GY11" i="18"/>
  <c r="GZ11" i="18"/>
  <c r="HA11" i="18"/>
  <c r="HB11" i="18"/>
  <c r="HC11" i="18"/>
  <c r="I12" i="18"/>
  <c r="J12" i="18"/>
  <c r="K12" i="18"/>
  <c r="L12" i="18"/>
  <c r="M12" i="18"/>
  <c r="N12" i="18"/>
  <c r="O12" i="18"/>
  <c r="P12" i="18"/>
  <c r="Q12" i="18"/>
  <c r="R12" i="18"/>
  <c r="S12" i="18"/>
  <c r="T12" i="18"/>
  <c r="U12" i="18"/>
  <c r="V12" i="18"/>
  <c r="W12" i="18"/>
  <c r="X12" i="18"/>
  <c r="Y12" i="18"/>
  <c r="Z12" i="18"/>
  <c r="AA12" i="18"/>
  <c r="AB12" i="18"/>
  <c r="AC12" i="18"/>
  <c r="AD12" i="18"/>
  <c r="AE12" i="18"/>
  <c r="AF12" i="18"/>
  <c r="AG12" i="18"/>
  <c r="AH12" i="18"/>
  <c r="AI12" i="18"/>
  <c r="AJ12" i="18"/>
  <c r="AK12" i="18"/>
  <c r="AL12" i="18"/>
  <c r="AM12" i="18"/>
  <c r="AN12" i="18"/>
  <c r="AO12" i="18"/>
  <c r="AP12" i="18"/>
  <c r="AQ12" i="18"/>
  <c r="AR12" i="18"/>
  <c r="AS12" i="18"/>
  <c r="AT12" i="18"/>
  <c r="AU12" i="18"/>
  <c r="AV12" i="18"/>
  <c r="AW12" i="18"/>
  <c r="AX12" i="18"/>
  <c r="AY12" i="18"/>
  <c r="AZ12" i="18"/>
  <c r="BA12" i="18"/>
  <c r="BB12" i="18"/>
  <c r="BC12" i="18"/>
  <c r="BD12" i="18"/>
  <c r="BE12" i="18"/>
  <c r="BF12" i="18"/>
  <c r="BG12" i="18"/>
  <c r="BH12" i="18"/>
  <c r="BI12" i="18"/>
  <c r="BJ12" i="18"/>
  <c r="BK12" i="18"/>
  <c r="BL12" i="18"/>
  <c r="BM12" i="18"/>
  <c r="BN12" i="18"/>
  <c r="BO12" i="18"/>
  <c r="BP12" i="18"/>
  <c r="BQ12" i="18"/>
  <c r="BR12" i="18"/>
  <c r="BS12" i="18"/>
  <c r="BT12" i="18"/>
  <c r="BU12" i="18"/>
  <c r="BV12" i="18"/>
  <c r="BW12" i="18"/>
  <c r="BX12" i="18"/>
  <c r="BY12" i="18"/>
  <c r="BZ12" i="18"/>
  <c r="CA12" i="18"/>
  <c r="CB12" i="18"/>
  <c r="CC12" i="18"/>
  <c r="CD12" i="18"/>
  <c r="CE12" i="18"/>
  <c r="CF12" i="18"/>
  <c r="CG12" i="18"/>
  <c r="CH12" i="18"/>
  <c r="CI12" i="18"/>
  <c r="CJ12" i="18"/>
  <c r="CK12" i="18"/>
  <c r="CL12" i="18"/>
  <c r="CM12" i="18"/>
  <c r="CN12" i="18"/>
  <c r="CO12" i="18"/>
  <c r="CP12" i="18"/>
  <c r="CQ12" i="18"/>
  <c r="CR12" i="18"/>
  <c r="CS12" i="18"/>
  <c r="CT12" i="18"/>
  <c r="CU12" i="18"/>
  <c r="CV12" i="18"/>
  <c r="CW12" i="18"/>
  <c r="CX12" i="18"/>
  <c r="CY12" i="18"/>
  <c r="CZ12" i="18"/>
  <c r="DA12" i="18"/>
  <c r="DB12" i="18"/>
  <c r="DC12" i="18"/>
  <c r="DD12" i="18"/>
  <c r="DE12" i="18"/>
  <c r="DF12" i="18"/>
  <c r="DG12" i="18"/>
  <c r="DH12" i="18"/>
  <c r="DI12" i="18"/>
  <c r="DJ12" i="18"/>
  <c r="DK12" i="18"/>
  <c r="DL12" i="18"/>
  <c r="DM12" i="18"/>
  <c r="DN12" i="18"/>
  <c r="DO12" i="18"/>
  <c r="DP12" i="18"/>
  <c r="DQ12" i="18"/>
  <c r="DR12" i="18"/>
  <c r="DS12" i="18"/>
  <c r="DT12" i="18"/>
  <c r="DU12" i="18"/>
  <c r="DV12" i="18"/>
  <c r="DW12" i="18"/>
  <c r="DX12" i="18"/>
  <c r="DY12" i="18"/>
  <c r="DZ12" i="18"/>
  <c r="EA12" i="18"/>
  <c r="EB12" i="18"/>
  <c r="EC12" i="18"/>
  <c r="ED12" i="18"/>
  <c r="EE12" i="18"/>
  <c r="EF12" i="18"/>
  <c r="EG12" i="18"/>
  <c r="EH12" i="18"/>
  <c r="EI12" i="18"/>
  <c r="EJ12" i="18"/>
  <c r="EK12" i="18"/>
  <c r="EL12" i="18"/>
  <c r="EM12" i="18"/>
  <c r="EN12" i="18"/>
  <c r="EO12" i="18"/>
  <c r="EP12" i="18"/>
  <c r="EQ12" i="18"/>
  <c r="ER12" i="18"/>
  <c r="ES12" i="18"/>
  <c r="ET12" i="18"/>
  <c r="EU12" i="18"/>
  <c r="EV12" i="18"/>
  <c r="EW12" i="18"/>
  <c r="EX12" i="18"/>
  <c r="EY12" i="18"/>
  <c r="EZ12" i="18"/>
  <c r="FA12" i="18"/>
  <c r="FB12" i="18"/>
  <c r="FC12" i="18"/>
  <c r="FD12" i="18"/>
  <c r="FE12" i="18"/>
  <c r="FF12" i="18"/>
  <c r="FG12" i="18"/>
  <c r="FH12" i="18"/>
  <c r="FI12" i="18"/>
  <c r="FJ12" i="18"/>
  <c r="FK12" i="18"/>
  <c r="FL12" i="18"/>
  <c r="FM12" i="18"/>
  <c r="FN12" i="18"/>
  <c r="FO12" i="18"/>
  <c r="FP12" i="18"/>
  <c r="FQ12" i="18"/>
  <c r="FR12" i="18"/>
  <c r="FS12" i="18"/>
  <c r="FT12" i="18"/>
  <c r="FU12" i="18"/>
  <c r="FV12" i="18"/>
  <c r="FW12" i="18"/>
  <c r="FX12" i="18"/>
  <c r="FY12" i="18"/>
  <c r="FZ12" i="18"/>
  <c r="GA12" i="18"/>
  <c r="GB12" i="18"/>
  <c r="GC12" i="18"/>
  <c r="GD12" i="18"/>
  <c r="GE12" i="18"/>
  <c r="GF12" i="18"/>
  <c r="GG12" i="18"/>
  <c r="GH12" i="18"/>
  <c r="GI12" i="18"/>
  <c r="GJ12" i="18"/>
  <c r="GK12" i="18"/>
  <c r="GL12" i="18"/>
  <c r="GM12" i="18"/>
  <c r="GN12" i="18"/>
  <c r="GO12" i="18"/>
  <c r="GP12" i="18"/>
  <c r="GQ12" i="18"/>
  <c r="GR12" i="18"/>
  <c r="GS12" i="18"/>
  <c r="GT12" i="18"/>
  <c r="GU12" i="18"/>
  <c r="GV12" i="18"/>
  <c r="GW12" i="18"/>
  <c r="GX12" i="18"/>
  <c r="GY12" i="18"/>
  <c r="GZ12" i="18"/>
  <c r="HA12" i="18"/>
  <c r="HB12" i="18"/>
  <c r="HC12" i="18"/>
  <c r="H12" i="18"/>
  <c r="H11" i="18"/>
  <c r="I9" i="18"/>
  <c r="J9" i="18"/>
  <c r="K9" i="18"/>
  <c r="L9" i="18"/>
  <c r="M9" i="18"/>
  <c r="N9" i="18"/>
  <c r="O9" i="18"/>
  <c r="P9" i="18"/>
  <c r="Q9" i="18"/>
  <c r="R9" i="18"/>
  <c r="S9" i="18"/>
  <c r="T9" i="18"/>
  <c r="U9" i="18"/>
  <c r="V9" i="18"/>
  <c r="W9" i="18"/>
  <c r="X9" i="18"/>
  <c r="Y9" i="18"/>
  <c r="Z9" i="18"/>
  <c r="AA9" i="18"/>
  <c r="AB9" i="18"/>
  <c r="AC9" i="18"/>
  <c r="AD9" i="18"/>
  <c r="AE9" i="18"/>
  <c r="AF9" i="18"/>
  <c r="AG9" i="18"/>
  <c r="AH9" i="18"/>
  <c r="AI9" i="18"/>
  <c r="AJ9" i="18"/>
  <c r="AK9" i="18"/>
  <c r="AL9" i="18"/>
  <c r="AM9" i="18"/>
  <c r="AN9" i="18"/>
  <c r="AO9" i="18"/>
  <c r="AP9" i="18"/>
  <c r="AQ9" i="18"/>
  <c r="AR9" i="18"/>
  <c r="AS9" i="18"/>
  <c r="AT9" i="18"/>
  <c r="AU9" i="18"/>
  <c r="AV9" i="18"/>
  <c r="AW9" i="18"/>
  <c r="AX9" i="18"/>
  <c r="AY9" i="18"/>
  <c r="AZ9" i="18"/>
  <c r="BA9" i="18"/>
  <c r="BB9" i="18"/>
  <c r="BC9" i="18"/>
  <c r="BD9" i="18"/>
  <c r="BE9" i="18"/>
  <c r="BF9" i="18"/>
  <c r="BG9" i="18"/>
  <c r="BH9" i="18"/>
  <c r="BI9" i="18"/>
  <c r="BJ9" i="18"/>
  <c r="BK9" i="18"/>
  <c r="BL9" i="18"/>
  <c r="BM9" i="18"/>
  <c r="BN9" i="18"/>
  <c r="BO9" i="18"/>
  <c r="BP9" i="18"/>
  <c r="BQ9" i="18"/>
  <c r="BR9" i="18"/>
  <c r="BS9" i="18"/>
  <c r="BT9" i="18"/>
  <c r="BU9" i="18"/>
  <c r="BV9" i="18"/>
  <c r="BW9" i="18"/>
  <c r="BX9" i="18"/>
  <c r="BY9" i="18"/>
  <c r="BZ9" i="18"/>
  <c r="CA9" i="18"/>
  <c r="CB9" i="18"/>
  <c r="CC9" i="18"/>
  <c r="CD9" i="18"/>
  <c r="CE9" i="18"/>
  <c r="CF9" i="18"/>
  <c r="CG9" i="18"/>
  <c r="CH9" i="18"/>
  <c r="CI9" i="18"/>
  <c r="CJ9" i="18"/>
  <c r="CK9" i="18"/>
  <c r="CL9" i="18"/>
  <c r="CM9" i="18"/>
  <c r="CN9" i="18"/>
  <c r="CO9" i="18"/>
  <c r="CP9" i="18"/>
  <c r="CQ9" i="18"/>
  <c r="CR9" i="18"/>
  <c r="CS9" i="18"/>
  <c r="CT9" i="18"/>
  <c r="CU9" i="18"/>
  <c r="CV9" i="18"/>
  <c r="CW9" i="18"/>
  <c r="CX9" i="18"/>
  <c r="CY9" i="18"/>
  <c r="CZ9" i="18"/>
  <c r="DA9" i="18"/>
  <c r="DB9" i="18"/>
  <c r="DC9" i="18"/>
  <c r="DD9" i="18"/>
  <c r="DE9" i="18"/>
  <c r="DF9" i="18"/>
  <c r="DG9" i="18"/>
  <c r="DH9" i="18"/>
  <c r="DI9" i="18"/>
  <c r="DJ9" i="18"/>
  <c r="DK9" i="18"/>
  <c r="DL9" i="18"/>
  <c r="DM9" i="18"/>
  <c r="DN9" i="18"/>
  <c r="DO9" i="18"/>
  <c r="DP9" i="18"/>
  <c r="DQ9" i="18"/>
  <c r="DR9" i="18"/>
  <c r="DS9" i="18"/>
  <c r="DT9" i="18"/>
  <c r="DU9" i="18"/>
  <c r="DV9" i="18"/>
  <c r="DW9" i="18"/>
  <c r="DX9" i="18"/>
  <c r="DY9" i="18"/>
  <c r="DZ9" i="18"/>
  <c r="EA9" i="18"/>
  <c r="EB9" i="18"/>
  <c r="EC9" i="18"/>
  <c r="ED9" i="18"/>
  <c r="EE9" i="18"/>
  <c r="EF9" i="18"/>
  <c r="EG9" i="18"/>
  <c r="EH9" i="18"/>
  <c r="EI9" i="18"/>
  <c r="EJ9" i="18"/>
  <c r="EK9" i="18"/>
  <c r="EL9" i="18"/>
  <c r="EM9" i="18"/>
  <c r="EN9" i="18"/>
  <c r="EO9" i="18"/>
  <c r="EP9" i="18"/>
  <c r="EQ9" i="18"/>
  <c r="ER9" i="18"/>
  <c r="ES9" i="18"/>
  <c r="ET9" i="18"/>
  <c r="EU9" i="18"/>
  <c r="EV9" i="18"/>
  <c r="EW9" i="18"/>
  <c r="EX9" i="18"/>
  <c r="EY9" i="18"/>
  <c r="EZ9" i="18"/>
  <c r="FA9" i="18"/>
  <c r="FB9" i="18"/>
  <c r="FC9" i="18"/>
  <c r="FD9" i="18"/>
  <c r="FE9" i="18"/>
  <c r="FF9" i="18"/>
  <c r="FG9" i="18"/>
  <c r="FH9" i="18"/>
  <c r="FI9" i="18"/>
  <c r="FJ9" i="18"/>
  <c r="FK9" i="18"/>
  <c r="FL9" i="18"/>
  <c r="FM9" i="18"/>
  <c r="FN9" i="18"/>
  <c r="FO9" i="18"/>
  <c r="FP9" i="18"/>
  <c r="FQ9" i="18"/>
  <c r="FR9" i="18"/>
  <c r="FS9" i="18"/>
  <c r="FT9" i="18"/>
  <c r="FU9" i="18"/>
  <c r="FV9" i="18"/>
  <c r="FW9" i="18"/>
  <c r="FX9" i="18"/>
  <c r="FY9" i="18"/>
  <c r="FZ9" i="18"/>
  <c r="GA9" i="18"/>
  <c r="GB9" i="18"/>
  <c r="GC9" i="18"/>
  <c r="GD9" i="18"/>
  <c r="GE9" i="18"/>
  <c r="GF9" i="18"/>
  <c r="GG9" i="18"/>
  <c r="GH9" i="18"/>
  <c r="GI9" i="18"/>
  <c r="GJ9" i="18"/>
  <c r="GK9" i="18"/>
  <c r="GL9" i="18"/>
  <c r="GM9" i="18"/>
  <c r="GN9" i="18"/>
  <c r="GO9" i="18"/>
  <c r="GP9" i="18"/>
  <c r="GQ9" i="18"/>
  <c r="GR9" i="18"/>
  <c r="GS9" i="18"/>
  <c r="GT9" i="18"/>
  <c r="GU9" i="18"/>
  <c r="GV9" i="18"/>
  <c r="GW9" i="18"/>
  <c r="GX9" i="18"/>
  <c r="GY9" i="18"/>
  <c r="GZ9" i="18"/>
  <c r="HA9" i="18"/>
  <c r="HB9" i="18"/>
  <c r="HC9" i="18"/>
  <c r="H10" i="18"/>
  <c r="H37" i="18"/>
  <c r="H38" i="18"/>
  <c r="H39" i="18"/>
  <c r="H9" i="18"/>
  <c r="HC10" i="18"/>
  <c r="HC97" i="18"/>
  <c r="N10" i="18"/>
  <c r="O10" i="18"/>
  <c r="P10" i="18"/>
  <c r="Q10" i="18"/>
  <c r="R10" i="18"/>
  <c r="S10" i="18"/>
  <c r="T10" i="18"/>
  <c r="U10" i="18"/>
  <c r="V10" i="18"/>
  <c r="W10" i="18"/>
  <c r="X10" i="18"/>
  <c r="Y10" i="18"/>
  <c r="Z10" i="18"/>
  <c r="AA10" i="18"/>
  <c r="AB10" i="18"/>
  <c r="AC10" i="18"/>
  <c r="AD10" i="18"/>
  <c r="AE10" i="18"/>
  <c r="AF10" i="18"/>
  <c r="AG10" i="18"/>
  <c r="AH10" i="18"/>
  <c r="AI10" i="18"/>
  <c r="AJ10" i="18"/>
  <c r="AK10" i="18"/>
  <c r="AL10" i="18"/>
  <c r="AM10" i="18"/>
  <c r="AN10" i="18"/>
  <c r="AO10" i="18"/>
  <c r="AP10" i="18"/>
  <c r="AQ10" i="18"/>
  <c r="AR10" i="18"/>
  <c r="AS10" i="18"/>
  <c r="AT10" i="18"/>
  <c r="AU10" i="18"/>
  <c r="AV10" i="18"/>
  <c r="AW10" i="18"/>
  <c r="AX10" i="18"/>
  <c r="AY10" i="18"/>
  <c r="AZ10" i="18"/>
  <c r="BA10" i="18"/>
  <c r="BB10" i="18"/>
  <c r="BC10" i="18"/>
  <c r="BD10" i="18"/>
  <c r="BE10" i="18"/>
  <c r="BF10" i="18"/>
  <c r="BG10" i="18"/>
  <c r="BH10" i="18"/>
  <c r="BI10" i="18"/>
  <c r="BJ10" i="18"/>
  <c r="BK10" i="18"/>
  <c r="BL10" i="18"/>
  <c r="BM10" i="18"/>
  <c r="BN10" i="18"/>
  <c r="BO10" i="18"/>
  <c r="BP10" i="18"/>
  <c r="BQ10" i="18"/>
  <c r="BR10" i="18"/>
  <c r="BS10" i="18"/>
  <c r="BT10" i="18"/>
  <c r="BU10" i="18"/>
  <c r="BV10" i="18"/>
  <c r="BW10" i="18"/>
  <c r="BX10" i="18"/>
  <c r="BY10" i="18"/>
  <c r="BZ10" i="18"/>
  <c r="CA10" i="18"/>
  <c r="CB10" i="18"/>
  <c r="CC10" i="18"/>
  <c r="CD10" i="18"/>
  <c r="CE10" i="18"/>
  <c r="CF10" i="18"/>
  <c r="CG10" i="18"/>
  <c r="CH10" i="18"/>
  <c r="CI10" i="18"/>
  <c r="CJ10" i="18"/>
  <c r="CK10" i="18"/>
  <c r="CL10" i="18"/>
  <c r="CM10" i="18"/>
  <c r="CN10" i="18"/>
  <c r="CO10" i="18"/>
  <c r="CP10" i="18"/>
  <c r="CQ10" i="18"/>
  <c r="CR10" i="18"/>
  <c r="CS10" i="18"/>
  <c r="CT10" i="18"/>
  <c r="CU10" i="18"/>
  <c r="CV10" i="18"/>
  <c r="CW10" i="18"/>
  <c r="CX10" i="18"/>
  <c r="CY10" i="18"/>
  <c r="CZ10" i="18"/>
  <c r="DA10" i="18"/>
  <c r="DB10" i="18"/>
  <c r="DC10" i="18"/>
  <c r="DD10" i="18"/>
  <c r="DE10" i="18"/>
  <c r="DF10" i="18"/>
  <c r="DG10" i="18"/>
  <c r="DH10" i="18"/>
  <c r="DI10" i="18"/>
  <c r="DJ10" i="18"/>
  <c r="DK10" i="18"/>
  <c r="DL10" i="18"/>
  <c r="DM10" i="18"/>
  <c r="DN10" i="18"/>
  <c r="DO10" i="18"/>
  <c r="DP10" i="18"/>
  <c r="DQ10" i="18"/>
  <c r="DR10" i="18"/>
  <c r="DS10" i="18"/>
  <c r="DT10" i="18"/>
  <c r="DU10" i="18"/>
  <c r="DV10" i="18"/>
  <c r="DW10" i="18"/>
  <c r="DX10" i="18"/>
  <c r="DY10" i="18"/>
  <c r="DZ10" i="18"/>
  <c r="EA10" i="18"/>
  <c r="EB10" i="18"/>
  <c r="EC10" i="18"/>
  <c r="ED10" i="18"/>
  <c r="EE10" i="18"/>
  <c r="EF10" i="18"/>
  <c r="EG10" i="18"/>
  <c r="EH10" i="18"/>
  <c r="EI10" i="18"/>
  <c r="EJ10" i="18"/>
  <c r="EK10" i="18"/>
  <c r="EL10" i="18"/>
  <c r="EM10" i="18"/>
  <c r="EN10" i="18"/>
  <c r="EO10" i="18"/>
  <c r="EP10" i="18"/>
  <c r="EQ10" i="18"/>
  <c r="ER10" i="18"/>
  <c r="ES10" i="18"/>
  <c r="ET10" i="18"/>
  <c r="EU10" i="18"/>
  <c r="EV10" i="18"/>
  <c r="EW10" i="18"/>
  <c r="EX10" i="18"/>
  <c r="EY10" i="18"/>
  <c r="EZ10" i="18"/>
  <c r="FA10" i="18"/>
  <c r="FB10" i="18"/>
  <c r="FC10" i="18"/>
  <c r="FD10" i="18"/>
  <c r="FE10" i="18"/>
  <c r="FF10" i="18"/>
  <c r="FG10" i="18"/>
  <c r="FH10" i="18"/>
  <c r="FI10" i="18"/>
  <c r="FJ10" i="18"/>
  <c r="FK10" i="18"/>
  <c r="FL10" i="18"/>
  <c r="FM10" i="18"/>
  <c r="FN10" i="18"/>
  <c r="FO10" i="18"/>
  <c r="FP10" i="18"/>
  <c r="FQ10" i="18"/>
  <c r="FR10" i="18"/>
  <c r="FS10" i="18"/>
  <c r="FT10" i="18"/>
  <c r="FU10" i="18"/>
  <c r="FV10" i="18"/>
  <c r="FW10" i="18"/>
  <c r="FX10" i="18"/>
  <c r="FY10" i="18"/>
  <c r="FZ10" i="18"/>
  <c r="GA10" i="18"/>
  <c r="GB10" i="18"/>
  <c r="GC10" i="18"/>
  <c r="GD10" i="18"/>
  <c r="GE10" i="18"/>
  <c r="GF10" i="18"/>
  <c r="GG10" i="18"/>
  <c r="GH10" i="18"/>
  <c r="GI10" i="18"/>
  <c r="GJ10" i="18"/>
  <c r="GK10" i="18"/>
  <c r="GL10" i="18"/>
  <c r="GM10" i="18"/>
  <c r="GN10" i="18"/>
  <c r="GO10" i="18"/>
  <c r="GP10" i="18"/>
  <c r="GQ10" i="18"/>
  <c r="GR10" i="18"/>
  <c r="GS10" i="18"/>
  <c r="GT10" i="18"/>
  <c r="GU10" i="18"/>
  <c r="GV10" i="18"/>
  <c r="GW10" i="18"/>
  <c r="GX10" i="18"/>
  <c r="GY10" i="18"/>
  <c r="GZ10" i="18"/>
  <c r="HA10" i="18"/>
  <c r="HB10" i="18"/>
  <c r="O93" i="18"/>
  <c r="P93" i="18"/>
  <c r="Q93" i="18"/>
  <c r="S93" i="18"/>
  <c r="T93" i="18"/>
  <c r="U93" i="18"/>
  <c r="V93" i="18"/>
  <c r="W93" i="18"/>
  <c r="X93" i="18"/>
  <c r="Y93" i="18"/>
  <c r="AA93" i="18"/>
  <c r="AB93" i="18"/>
  <c r="AD93" i="18"/>
  <c r="AF93" i="18"/>
  <c r="AG93" i="18"/>
  <c r="AH93" i="18"/>
  <c r="AI93" i="18"/>
  <c r="AJ93" i="18"/>
  <c r="AK93" i="18"/>
  <c r="AM93" i="18"/>
  <c r="AN93" i="18"/>
  <c r="AR93" i="18"/>
  <c r="AS93" i="18"/>
  <c r="AU93" i="18"/>
  <c r="AV93" i="18"/>
  <c r="AW93" i="18"/>
  <c r="AX93" i="18"/>
  <c r="AY93" i="18"/>
  <c r="AZ93" i="18"/>
  <c r="BB93" i="18"/>
  <c r="BD93" i="18"/>
  <c r="BH93" i="18"/>
  <c r="BK93" i="18"/>
  <c r="BL93" i="18"/>
  <c r="BO93" i="18"/>
  <c r="BY93" i="18"/>
  <c r="CA93" i="18"/>
  <c r="CB93" i="18"/>
  <c r="CE93" i="18"/>
  <c r="CF93" i="18"/>
  <c r="CH93" i="18"/>
  <c r="CL93" i="18"/>
  <c r="CN93" i="18"/>
  <c r="CO93" i="18"/>
  <c r="CS93" i="18"/>
  <c r="CT93" i="18"/>
  <c r="CU93" i="18"/>
  <c r="CV93" i="18"/>
  <c r="CX93" i="18"/>
  <c r="CY93" i="18"/>
  <c r="DA93" i="18"/>
  <c r="DC93" i="18"/>
  <c r="DE93" i="18"/>
  <c r="DF93" i="18"/>
  <c r="DG93" i="18"/>
  <c r="DP93" i="18"/>
  <c r="DS93" i="18"/>
  <c r="DT93" i="18"/>
  <c r="DZ93" i="18"/>
  <c r="EB93" i="18"/>
  <c r="EC93" i="18"/>
  <c r="EJ93" i="18"/>
  <c r="EL93" i="18"/>
  <c r="EM93" i="18"/>
  <c r="EN93" i="18"/>
  <c r="EO93" i="18"/>
  <c r="EP93" i="18"/>
  <c r="EU93" i="18"/>
  <c r="EX93" i="18"/>
  <c r="EY93" i="18"/>
  <c r="FB93" i="18"/>
  <c r="FC93" i="18"/>
  <c r="FF93" i="18"/>
  <c r="FH93" i="18"/>
  <c r="FK93" i="18"/>
  <c r="FM93" i="18"/>
  <c r="FN93" i="18"/>
  <c r="FP93" i="18"/>
  <c r="FR93" i="18"/>
  <c r="FT93" i="18"/>
  <c r="FY93" i="18"/>
  <c r="FZ93" i="18"/>
  <c r="GB93" i="18"/>
  <c r="GF93" i="18"/>
  <c r="GG93" i="18"/>
  <c r="GI93" i="18"/>
  <c r="GO93" i="18"/>
  <c r="GQ93" i="18"/>
  <c r="GR93" i="18"/>
  <c r="GS93" i="18"/>
  <c r="GT93" i="18"/>
  <c r="GV93" i="18"/>
  <c r="GW93" i="18"/>
  <c r="GZ93" i="18"/>
  <c r="HA93" i="18"/>
  <c r="Q94" i="18"/>
  <c r="S94" i="18"/>
  <c r="T94" i="18"/>
  <c r="W94" i="18"/>
  <c r="X94" i="18"/>
  <c r="Y94" i="18"/>
  <c r="Z94" i="18"/>
  <c r="AA94" i="18"/>
  <c r="AD94" i="18"/>
  <c r="AE94" i="18"/>
  <c r="AF94" i="18"/>
  <c r="AG94" i="18"/>
  <c r="AI94" i="18"/>
  <c r="AJ94" i="18"/>
  <c r="AL94" i="18"/>
  <c r="AN94" i="18"/>
  <c r="AP94" i="18"/>
  <c r="AQ94" i="18"/>
  <c r="AR94" i="18"/>
  <c r="AS94" i="18"/>
  <c r="AV94" i="18"/>
  <c r="AW94" i="18"/>
  <c r="AX94" i="18"/>
  <c r="BD94" i="18"/>
  <c r="BE94" i="18"/>
  <c r="BF94" i="18"/>
  <c r="BH94" i="18"/>
  <c r="BK94" i="18"/>
  <c r="BL94" i="18"/>
  <c r="BM94" i="18"/>
  <c r="BY94" i="18"/>
  <c r="BZ94" i="18"/>
  <c r="CB94" i="18"/>
  <c r="CC94" i="18"/>
  <c r="CE94" i="18"/>
  <c r="CG94" i="18"/>
  <c r="CH94" i="18"/>
  <c r="CI94" i="18"/>
  <c r="CL94" i="18"/>
  <c r="CN94" i="18"/>
  <c r="CR94" i="18"/>
  <c r="CV94" i="18"/>
  <c r="CY94" i="18"/>
  <c r="DA94" i="18"/>
  <c r="DB94" i="18"/>
  <c r="DC94" i="18"/>
  <c r="DE94" i="18"/>
  <c r="DG94" i="18"/>
  <c r="DM94" i="18"/>
  <c r="DQ94" i="18"/>
  <c r="DT94" i="18"/>
  <c r="DV94" i="18"/>
  <c r="DX94" i="18"/>
  <c r="DY94" i="18"/>
  <c r="DZ94" i="18"/>
  <c r="EM94" i="18"/>
  <c r="EO94" i="18"/>
  <c r="EP94" i="18"/>
  <c r="ER94" i="18"/>
  <c r="EV94" i="18"/>
  <c r="EX94" i="18"/>
  <c r="EY94" i="18"/>
  <c r="EZ94" i="18"/>
  <c r="FB94" i="18"/>
  <c r="FD94" i="18"/>
  <c r="FG94" i="18"/>
  <c r="FH94" i="18"/>
  <c r="FM94" i="18"/>
  <c r="FN94" i="18"/>
  <c r="FO94" i="18"/>
  <c r="FP94" i="18"/>
  <c r="FS94" i="18"/>
  <c r="FT94" i="18"/>
  <c r="FU94" i="18"/>
  <c r="FV94" i="18"/>
  <c r="FZ94" i="18"/>
  <c r="GC94" i="18"/>
  <c r="GD94" i="18"/>
  <c r="GE94" i="18"/>
  <c r="GG94" i="18"/>
  <c r="GH94" i="18"/>
  <c r="GJ94" i="18"/>
  <c r="GK94" i="18"/>
  <c r="GL94" i="18"/>
  <c r="GM94" i="18"/>
  <c r="GP94" i="18"/>
  <c r="GQ94" i="18"/>
  <c r="GU94" i="18"/>
  <c r="GW94" i="18"/>
  <c r="GZ94" i="18"/>
  <c r="HA94" i="18"/>
  <c r="O95" i="18"/>
  <c r="Q95" i="18"/>
  <c r="S95" i="18"/>
  <c r="T95" i="18"/>
  <c r="W95" i="18"/>
  <c r="X95" i="18"/>
  <c r="Y95" i="18"/>
  <c r="AI95" i="18"/>
  <c r="AJ95" i="18"/>
  <c r="AN95" i="18"/>
  <c r="BH95" i="18"/>
  <c r="EV95" i="18"/>
  <c r="GW95" i="18"/>
  <c r="O96" i="18"/>
  <c r="P96" i="18"/>
  <c r="Q96" i="18"/>
  <c r="S96" i="18"/>
  <c r="T96" i="18"/>
  <c r="U96" i="18"/>
  <c r="W96" i="18"/>
  <c r="X96" i="18"/>
  <c r="Y96" i="18"/>
  <c r="AA96" i="18"/>
  <c r="AD96" i="18"/>
  <c r="AF96" i="18"/>
  <c r="AG96" i="18"/>
  <c r="AI96" i="18"/>
  <c r="AM96" i="18"/>
  <c r="AN96" i="18"/>
  <c r="AP96" i="18"/>
  <c r="AR96" i="18"/>
  <c r="AS96" i="18"/>
  <c r="AV96" i="18"/>
  <c r="AX96" i="18"/>
  <c r="AY96" i="18"/>
  <c r="AZ96" i="18"/>
  <c r="BD96" i="18"/>
  <c r="BF96" i="18"/>
  <c r="BH96" i="18"/>
  <c r="BL96" i="18"/>
  <c r="BM96" i="18"/>
  <c r="BV96" i="18"/>
  <c r="BY96" i="18"/>
  <c r="BZ96" i="18"/>
  <c r="CB96" i="18"/>
  <c r="CE96" i="18"/>
  <c r="CH96" i="18"/>
  <c r="CL96" i="18"/>
  <c r="CN96" i="18"/>
  <c r="CT96" i="18"/>
  <c r="CY96" i="18"/>
  <c r="DC96" i="18"/>
  <c r="DD96" i="18"/>
  <c r="DE96" i="18"/>
  <c r="DG96" i="18"/>
  <c r="DH96" i="18"/>
  <c r="DS96" i="18"/>
  <c r="DT96" i="18"/>
  <c r="EF96" i="18"/>
  <c r="EM96" i="18"/>
  <c r="EO96" i="18"/>
  <c r="EP96" i="18"/>
  <c r="ET96" i="18"/>
  <c r="EX96" i="18"/>
  <c r="EY96" i="18"/>
  <c r="FD96" i="18"/>
  <c r="FF96" i="18"/>
  <c r="FG96" i="18"/>
  <c r="FJ96" i="18"/>
  <c r="FK96" i="18"/>
  <c r="FM96" i="18"/>
  <c r="FN96" i="18"/>
  <c r="FO96" i="18"/>
  <c r="FV96" i="18"/>
  <c r="FY96" i="18"/>
  <c r="FZ96" i="18"/>
  <c r="GG96" i="18"/>
  <c r="GQ96" i="18"/>
  <c r="GR96" i="18"/>
  <c r="GS96" i="18"/>
  <c r="GW96" i="18"/>
  <c r="GZ96" i="18"/>
  <c r="O97" i="18"/>
  <c r="Q97" i="18"/>
  <c r="S97" i="18"/>
  <c r="T97" i="18"/>
  <c r="W97" i="18"/>
  <c r="X97" i="18"/>
  <c r="Y97" i="18"/>
  <c r="Z97" i="18"/>
  <c r="AA97" i="18"/>
  <c r="AD97" i="18"/>
  <c r="AE97" i="18"/>
  <c r="AF97" i="18"/>
  <c r="AG97" i="18"/>
  <c r="AI97" i="18"/>
  <c r="AJ97" i="18"/>
  <c r="AL97" i="18"/>
  <c r="AM97" i="18"/>
  <c r="AN97" i="18"/>
  <c r="AP97" i="18"/>
  <c r="AQ97" i="18"/>
  <c r="AR97" i="18"/>
  <c r="AS97" i="18"/>
  <c r="AV97" i="18"/>
  <c r="AW97" i="18"/>
  <c r="AX97" i="18"/>
  <c r="AY97" i="18"/>
  <c r="BD97" i="18"/>
  <c r="BE97" i="18"/>
  <c r="BF97" i="18"/>
  <c r="BH97" i="18"/>
  <c r="BK97" i="18"/>
  <c r="BL97" i="18"/>
  <c r="BM97" i="18"/>
  <c r="BU97" i="18"/>
  <c r="BY97" i="18"/>
  <c r="BZ97" i="18"/>
  <c r="CB97" i="18"/>
  <c r="CC97" i="18"/>
  <c r="CE97" i="18"/>
  <c r="CG97" i="18"/>
  <c r="CH97" i="18"/>
  <c r="CI97" i="18"/>
  <c r="CL97" i="18"/>
  <c r="CN97" i="18"/>
  <c r="CR97" i="18"/>
  <c r="CV97" i="18"/>
  <c r="CY97" i="18"/>
  <c r="DA97" i="18"/>
  <c r="DB97" i="18"/>
  <c r="DC97" i="18"/>
  <c r="DE97" i="18"/>
  <c r="DG97" i="18"/>
  <c r="DQ97" i="18"/>
  <c r="DT97" i="18"/>
  <c r="DV97" i="18"/>
  <c r="DX97" i="18"/>
  <c r="DY97" i="18"/>
  <c r="DZ97" i="18"/>
  <c r="EG97" i="18"/>
  <c r="EI97" i="18"/>
  <c r="EM97" i="18"/>
  <c r="EO97" i="18"/>
  <c r="EP97" i="18"/>
  <c r="ER97" i="18"/>
  <c r="EV97" i="18"/>
  <c r="EX97" i="18"/>
  <c r="EY97" i="18"/>
  <c r="EZ97" i="18"/>
  <c r="FB97" i="18"/>
  <c r="FD97" i="18"/>
  <c r="FG97" i="18"/>
  <c r="FH97" i="18"/>
  <c r="FM97" i="18"/>
  <c r="FN97" i="18"/>
  <c r="FO97" i="18"/>
  <c r="FP97" i="18"/>
  <c r="FS97" i="18"/>
  <c r="FT97" i="18"/>
  <c r="FU97" i="18"/>
  <c r="FV97" i="18"/>
  <c r="FY97" i="18"/>
  <c r="FZ97" i="18"/>
  <c r="GC97" i="18"/>
  <c r="GD97" i="18"/>
  <c r="GE97" i="18"/>
  <c r="GG97" i="18"/>
  <c r="GH97" i="18"/>
  <c r="GJ97" i="18"/>
  <c r="GK97" i="18"/>
  <c r="GL97" i="18"/>
  <c r="GM97" i="18"/>
  <c r="GP97" i="18"/>
  <c r="GQ97" i="18"/>
  <c r="GU97" i="18"/>
  <c r="GW97" i="18"/>
  <c r="GZ97" i="18"/>
  <c r="HA97" i="18"/>
  <c r="M10" i="18"/>
  <c r="M96" i="18"/>
  <c r="L10" i="18"/>
  <c r="K10" i="18"/>
  <c r="K95" i="18"/>
  <c r="K97" i="18"/>
  <c r="J10" i="18"/>
  <c r="I10" i="18"/>
  <c r="J8" i="18"/>
  <c r="K8" i="18"/>
  <c r="L8" i="18"/>
  <c r="M8" i="18"/>
  <c r="N8" i="18"/>
  <c r="O8" i="18"/>
  <c r="P8" i="18"/>
  <c r="Q8" i="18"/>
  <c r="R8" i="18"/>
  <c r="S8" i="18"/>
  <c r="T8" i="18"/>
  <c r="U8" i="18"/>
  <c r="V8" i="18"/>
  <c r="W8" i="18"/>
  <c r="X8" i="18"/>
  <c r="Y8" i="18"/>
  <c r="Z8" i="18"/>
  <c r="AA8" i="18"/>
  <c r="AB8" i="18"/>
  <c r="AC8" i="18"/>
  <c r="AD8" i="18"/>
  <c r="AE8" i="18"/>
  <c r="AF8" i="18"/>
  <c r="AG8" i="18"/>
  <c r="AH8" i="18"/>
  <c r="AI8" i="18"/>
  <c r="AJ8" i="18"/>
  <c r="AK8" i="18"/>
  <c r="AL8" i="18"/>
  <c r="AM8" i="18"/>
  <c r="AN8" i="18"/>
  <c r="AO8" i="18"/>
  <c r="AP8" i="18"/>
  <c r="AQ8" i="18"/>
  <c r="AR8" i="18"/>
  <c r="AS8" i="18"/>
  <c r="AT8" i="18"/>
  <c r="AU8" i="18"/>
  <c r="AV8" i="18"/>
  <c r="AW8" i="18"/>
  <c r="AX8" i="18"/>
  <c r="AY8" i="18"/>
  <c r="AZ8" i="18"/>
  <c r="BA8" i="18"/>
  <c r="BB8" i="18"/>
  <c r="BC8" i="18"/>
  <c r="BD8" i="18"/>
  <c r="BE8" i="18"/>
  <c r="BF8" i="18"/>
  <c r="BG8" i="18"/>
  <c r="BH8" i="18"/>
  <c r="BI8" i="18"/>
  <c r="BJ8" i="18"/>
  <c r="BK8" i="18"/>
  <c r="BL8" i="18"/>
  <c r="BM8" i="18"/>
  <c r="BN8" i="18"/>
  <c r="BO8" i="18"/>
  <c r="BP8" i="18"/>
  <c r="BQ8" i="18"/>
  <c r="BR8" i="18"/>
  <c r="BS8" i="18"/>
  <c r="BT8" i="18"/>
  <c r="BU8" i="18"/>
  <c r="BV8" i="18"/>
  <c r="BW8" i="18"/>
  <c r="BX8" i="18"/>
  <c r="BY8" i="18"/>
  <c r="BZ8" i="18"/>
  <c r="CA8" i="18"/>
  <c r="CB8" i="18"/>
  <c r="CC8" i="18"/>
  <c r="CD8" i="18"/>
  <c r="CE8" i="18"/>
  <c r="CF8" i="18"/>
  <c r="CG8" i="18"/>
  <c r="CH8" i="18"/>
  <c r="CI8" i="18"/>
  <c r="CJ8" i="18"/>
  <c r="CK8" i="18"/>
  <c r="CL8" i="18"/>
  <c r="CM8" i="18"/>
  <c r="CN8" i="18"/>
  <c r="CO8" i="18"/>
  <c r="CP8" i="18"/>
  <c r="CQ8" i="18"/>
  <c r="CR8" i="18"/>
  <c r="CS8" i="18"/>
  <c r="CT8" i="18"/>
  <c r="CU8" i="18"/>
  <c r="CV8" i="18"/>
  <c r="CW8" i="18"/>
  <c r="CX8" i="18"/>
  <c r="CY8" i="18"/>
  <c r="CZ8" i="18"/>
  <c r="DA8" i="18"/>
  <c r="DB8" i="18"/>
  <c r="DC8" i="18"/>
  <c r="DD8" i="18"/>
  <c r="DE8" i="18"/>
  <c r="DF8" i="18"/>
  <c r="DG8" i="18"/>
  <c r="DH8" i="18"/>
  <c r="DI8" i="18"/>
  <c r="DJ8" i="18"/>
  <c r="DK8" i="18"/>
  <c r="DL8" i="18"/>
  <c r="DM8" i="18"/>
  <c r="DN8" i="18"/>
  <c r="DO8" i="18"/>
  <c r="DP8" i="18"/>
  <c r="DQ8" i="18"/>
  <c r="DR8" i="18"/>
  <c r="DS8" i="18"/>
  <c r="DT8" i="18"/>
  <c r="DU8" i="18"/>
  <c r="DV8" i="18"/>
  <c r="DW8" i="18"/>
  <c r="DX8" i="18"/>
  <c r="DY8" i="18"/>
  <c r="DZ8" i="18"/>
  <c r="EA8" i="18"/>
  <c r="EB8" i="18"/>
  <c r="EC8" i="18"/>
  <c r="ED8" i="18"/>
  <c r="EE8" i="18"/>
  <c r="EF8" i="18"/>
  <c r="EG8" i="18"/>
  <c r="EH8" i="18"/>
  <c r="EI8" i="18"/>
  <c r="EJ8" i="18"/>
  <c r="EK8" i="18"/>
  <c r="EL8" i="18"/>
  <c r="EM8" i="18"/>
  <c r="EN8" i="18"/>
  <c r="EO8" i="18"/>
  <c r="EP8" i="18"/>
  <c r="EQ8" i="18"/>
  <c r="ER8" i="18"/>
  <c r="ES8" i="18"/>
  <c r="ET8" i="18"/>
  <c r="EU8" i="18"/>
  <c r="EV8" i="18"/>
  <c r="EW8" i="18"/>
  <c r="EX8" i="18"/>
  <c r="EY8" i="18"/>
  <c r="EZ8" i="18"/>
  <c r="FA8" i="18"/>
  <c r="FB8" i="18"/>
  <c r="FC8" i="18"/>
  <c r="FD8" i="18"/>
  <c r="FE8" i="18"/>
  <c r="FF8" i="18"/>
  <c r="FG8" i="18"/>
  <c r="FH8" i="18"/>
  <c r="FI8" i="18"/>
  <c r="FJ8" i="18"/>
  <c r="FK8" i="18"/>
  <c r="FL8" i="18"/>
  <c r="FM8" i="18"/>
  <c r="FN8" i="18"/>
  <c r="FO8" i="18"/>
  <c r="FP8" i="18"/>
  <c r="FQ8" i="18"/>
  <c r="FR8" i="18"/>
  <c r="FS8" i="18"/>
  <c r="FT8" i="18"/>
  <c r="FU8" i="18"/>
  <c r="FV8" i="18"/>
  <c r="FW8" i="18"/>
  <c r="FX8" i="18"/>
  <c r="FY8" i="18"/>
  <c r="FZ8" i="18"/>
  <c r="GA8" i="18"/>
  <c r="GB8" i="18"/>
  <c r="GC8" i="18"/>
  <c r="GD8" i="18"/>
  <c r="GE8" i="18"/>
  <c r="GF8" i="18"/>
  <c r="GG8" i="18"/>
  <c r="GH8" i="18"/>
  <c r="GI8" i="18"/>
  <c r="GJ8" i="18"/>
  <c r="GK8" i="18"/>
  <c r="GL8" i="18"/>
  <c r="GM8" i="18"/>
  <c r="GN8" i="18"/>
  <c r="GO8" i="18"/>
  <c r="GP8" i="18"/>
  <c r="GQ8" i="18"/>
  <c r="GR8" i="18"/>
  <c r="GS8" i="18"/>
  <c r="GT8" i="18"/>
  <c r="GU8" i="18"/>
  <c r="GV8" i="18"/>
  <c r="GW8" i="18"/>
  <c r="GX8" i="18"/>
  <c r="GY8" i="18"/>
  <c r="GZ8" i="18"/>
  <c r="HA8" i="18"/>
  <c r="HB8" i="18"/>
  <c r="HC8" i="18"/>
  <c r="I8" i="18"/>
  <c r="H8" i="18"/>
  <c r="HC7" i="18"/>
  <c r="HB7" i="18"/>
  <c r="HA7" i="18"/>
  <c r="GZ7" i="18"/>
  <c r="GY7" i="18"/>
  <c r="GX7" i="18"/>
  <c r="GW7" i="18"/>
  <c r="GV7" i="18"/>
  <c r="GU7" i="18"/>
  <c r="GT7" i="18"/>
  <c r="GS7" i="18"/>
  <c r="GR7" i="18"/>
  <c r="GQ7" i="18"/>
  <c r="GP7" i="18"/>
  <c r="GO7" i="18"/>
  <c r="GN7" i="18"/>
  <c r="GM7" i="18"/>
  <c r="GL7" i="18"/>
  <c r="GK7" i="18"/>
  <c r="GJ7" i="18"/>
  <c r="GI7" i="18"/>
  <c r="GH7" i="18"/>
  <c r="GG7" i="18"/>
  <c r="GF7" i="18"/>
  <c r="GE7" i="18"/>
  <c r="GD7" i="18"/>
  <c r="GC7" i="18"/>
  <c r="GB7" i="18"/>
  <c r="GA7" i="18"/>
  <c r="FZ7" i="18"/>
  <c r="FY7" i="18"/>
  <c r="FX7" i="18"/>
  <c r="FW7" i="18"/>
  <c r="FV7" i="18"/>
  <c r="FU7" i="18"/>
  <c r="FT7" i="18"/>
  <c r="FS7" i="18"/>
  <c r="FR7" i="18"/>
  <c r="FQ7" i="18"/>
  <c r="FP7" i="18"/>
  <c r="FO7" i="18"/>
  <c r="FN7" i="18"/>
  <c r="FM7" i="18"/>
  <c r="FL7" i="18"/>
  <c r="FK7" i="18"/>
  <c r="FJ7" i="18"/>
  <c r="FI7" i="18"/>
  <c r="FH7" i="18"/>
  <c r="FG7" i="18"/>
  <c r="FF7" i="18"/>
  <c r="FE7" i="18"/>
  <c r="FD7" i="18"/>
  <c r="FC7" i="18"/>
  <c r="FB7" i="18"/>
  <c r="FA7" i="18"/>
  <c r="EZ7" i="18"/>
  <c r="EY7" i="18"/>
  <c r="EX7" i="18"/>
  <c r="EW7" i="18"/>
  <c r="EV7" i="18"/>
  <c r="EU7" i="18"/>
  <c r="ET7" i="18"/>
  <c r="ES7" i="18"/>
  <c r="ER7" i="18"/>
  <c r="EQ7" i="18"/>
  <c r="EP7" i="18"/>
  <c r="EO7" i="18"/>
  <c r="EN7" i="18"/>
  <c r="EM7" i="18"/>
  <c r="EL7" i="18"/>
  <c r="EK7" i="18"/>
  <c r="EJ7" i="18"/>
  <c r="EI7" i="18"/>
  <c r="EH7" i="18"/>
  <c r="EG7" i="18"/>
  <c r="EF7" i="18"/>
  <c r="EE7" i="18"/>
  <c r="ED7" i="18"/>
  <c r="EC7" i="18"/>
  <c r="EB7" i="18"/>
  <c r="EA7" i="18"/>
  <c r="DZ7" i="18"/>
  <c r="DY7" i="18"/>
  <c r="DX7" i="18"/>
  <c r="DW7" i="18"/>
  <c r="DV7" i="18"/>
  <c r="DU7" i="18"/>
  <c r="DT7" i="18"/>
  <c r="DS7" i="18"/>
  <c r="DR7" i="18"/>
  <c r="DQ7" i="18"/>
  <c r="DP7" i="18"/>
  <c r="DO7" i="18"/>
  <c r="DN7" i="18"/>
  <c r="DM7" i="18"/>
  <c r="DL7" i="18"/>
  <c r="DK7" i="18"/>
  <c r="DJ7" i="18"/>
  <c r="DI7" i="18"/>
  <c r="DH7" i="18"/>
  <c r="DG7" i="18"/>
  <c r="DF7" i="18"/>
  <c r="DE7" i="18"/>
  <c r="DD7" i="18"/>
  <c r="DC7" i="18"/>
  <c r="DB7" i="18"/>
  <c r="DA7" i="18"/>
  <c r="CZ7" i="18"/>
  <c r="CY7" i="18"/>
  <c r="CX7" i="18"/>
  <c r="CW7" i="18"/>
  <c r="CV7" i="18"/>
  <c r="CU7" i="18"/>
  <c r="CT7" i="18"/>
  <c r="CS7" i="18"/>
  <c r="CR7" i="18"/>
  <c r="CQ7" i="18"/>
  <c r="CP7" i="18"/>
  <c r="CO7" i="18"/>
  <c r="CN7" i="18"/>
  <c r="CM7" i="18"/>
  <c r="CL7" i="18"/>
  <c r="CK7" i="18"/>
  <c r="CJ7" i="18"/>
  <c r="CI7" i="18"/>
  <c r="CH7" i="18"/>
  <c r="CG7" i="18"/>
  <c r="CF7" i="18"/>
  <c r="CE7" i="18"/>
  <c r="CD7" i="18"/>
  <c r="CC7" i="18"/>
  <c r="CB7" i="18"/>
  <c r="CA7" i="18"/>
  <c r="BZ7" i="18"/>
  <c r="BY7" i="18"/>
  <c r="BX7" i="18"/>
  <c r="BW7" i="18"/>
  <c r="BV7" i="18"/>
  <c r="BU7" i="18"/>
  <c r="BT7" i="18"/>
  <c r="BS7" i="18"/>
  <c r="BR7" i="18"/>
  <c r="BQ7" i="18"/>
  <c r="BP7" i="18"/>
  <c r="BO7" i="18"/>
  <c r="BN7" i="18"/>
  <c r="BM7" i="18"/>
  <c r="BL7" i="18"/>
  <c r="BK7" i="18"/>
  <c r="BJ7" i="18"/>
  <c r="BI7" i="18"/>
  <c r="BH7" i="18"/>
  <c r="BG7" i="18"/>
  <c r="BF7" i="18"/>
  <c r="BE7" i="18"/>
  <c r="BD7" i="18"/>
  <c r="BC7" i="18"/>
  <c r="BB7" i="18"/>
  <c r="BA7" i="18"/>
  <c r="AZ7" i="18"/>
  <c r="AY7" i="18"/>
  <c r="AX7" i="18"/>
  <c r="AW7" i="18"/>
  <c r="AV7" i="18"/>
  <c r="AU7" i="18"/>
  <c r="AT7" i="18"/>
  <c r="AS7" i="18"/>
  <c r="AR7" i="18"/>
  <c r="AQ7" i="18"/>
  <c r="AP7" i="18"/>
  <c r="AO7" i="18"/>
  <c r="AN7" i="18"/>
  <c r="AM7" i="18"/>
  <c r="AL7" i="18"/>
  <c r="AK7" i="18"/>
  <c r="AJ7" i="18"/>
  <c r="AI7" i="18"/>
  <c r="AH7" i="18"/>
  <c r="AG7" i="18"/>
  <c r="AF7" i="18"/>
  <c r="AE7" i="18"/>
  <c r="AD7" i="18"/>
  <c r="AC7" i="18"/>
  <c r="AB7" i="18"/>
  <c r="AA7" i="18"/>
  <c r="Z7" i="18"/>
  <c r="Y7" i="18"/>
  <c r="X7" i="18"/>
  <c r="W7" i="18"/>
  <c r="V7" i="18"/>
  <c r="U7" i="18"/>
  <c r="T7" i="18"/>
  <c r="S7" i="18"/>
  <c r="R7" i="18"/>
  <c r="Q7" i="18"/>
  <c r="P7" i="18"/>
  <c r="O7" i="18"/>
  <c r="N7" i="18"/>
  <c r="M7" i="18"/>
  <c r="L7" i="18"/>
  <c r="K7" i="18"/>
  <c r="J7" i="18"/>
  <c r="I7" i="18"/>
  <c r="H7" i="18"/>
  <c r="HC6" i="18"/>
  <c r="HB6" i="18"/>
  <c r="HA6" i="18"/>
  <c r="GZ6" i="18"/>
  <c r="GY6" i="18"/>
  <c r="GX6" i="18"/>
  <c r="GW6" i="18"/>
  <c r="GV6" i="18"/>
  <c r="GU6" i="18"/>
  <c r="GT6" i="18"/>
  <c r="GS6" i="18"/>
  <c r="GR6" i="18"/>
  <c r="GQ6" i="18"/>
  <c r="GP6" i="18"/>
  <c r="GO6" i="18"/>
  <c r="GN6" i="18"/>
  <c r="GM6" i="18"/>
  <c r="GL6" i="18"/>
  <c r="GK6" i="18"/>
  <c r="GJ6" i="18"/>
  <c r="GI6" i="18"/>
  <c r="GH6" i="18"/>
  <c r="GG6" i="18"/>
  <c r="GF6" i="18"/>
  <c r="GE6" i="18"/>
  <c r="GD6" i="18"/>
  <c r="GC6" i="18"/>
  <c r="GB6" i="18"/>
  <c r="GA6" i="18"/>
  <c r="FZ6" i="18"/>
  <c r="FY6" i="18"/>
  <c r="FX6" i="18"/>
  <c r="FW6" i="18"/>
  <c r="FV6" i="18"/>
  <c r="FU6" i="18"/>
  <c r="FT6" i="18"/>
  <c r="FS6" i="18"/>
  <c r="FR6" i="18"/>
  <c r="FQ6" i="18"/>
  <c r="FP6" i="18"/>
  <c r="FO6" i="18"/>
  <c r="FN6" i="18"/>
  <c r="FM6" i="18"/>
  <c r="FL6" i="18"/>
  <c r="FK6" i="18"/>
  <c r="FJ6" i="18"/>
  <c r="FI6" i="18"/>
  <c r="FH6" i="18"/>
  <c r="FG6" i="18"/>
  <c r="FF6" i="18"/>
  <c r="FD6" i="18"/>
  <c r="FC6" i="18"/>
  <c r="FB6" i="18"/>
  <c r="FA6" i="18"/>
  <c r="EZ6" i="18"/>
  <c r="EY6" i="18"/>
  <c r="EX6" i="18"/>
  <c r="EW6" i="18"/>
  <c r="EV6" i="18"/>
  <c r="EU6" i="18"/>
  <c r="ET6" i="18"/>
  <c r="ES6" i="18"/>
  <c r="ER6" i="18"/>
  <c r="EQ6" i="18"/>
  <c r="EP6" i="18"/>
  <c r="EO6" i="18"/>
  <c r="EN6" i="18"/>
  <c r="EM6" i="18"/>
  <c r="EL6" i="18"/>
  <c r="EK6" i="18"/>
  <c r="EJ6" i="18"/>
  <c r="EI6" i="18"/>
  <c r="EH6" i="18"/>
  <c r="EG6" i="18"/>
  <c r="EF6" i="18"/>
  <c r="EE6" i="18"/>
  <c r="ED6" i="18"/>
  <c r="EC6" i="18"/>
  <c r="EB6" i="18"/>
  <c r="EA6" i="18"/>
  <c r="DZ6" i="18"/>
  <c r="DY6" i="18"/>
  <c r="DX6" i="18"/>
  <c r="DW6" i="18"/>
  <c r="DV6" i="18"/>
  <c r="DU6" i="18"/>
  <c r="DT6" i="18"/>
  <c r="DS6" i="18"/>
  <c r="DR6" i="18"/>
  <c r="DQ6" i="18"/>
  <c r="DP6" i="18"/>
  <c r="DO6" i="18"/>
  <c r="DN6" i="18"/>
  <c r="DM6" i="18"/>
  <c r="DL6" i="18"/>
  <c r="DK6" i="18"/>
  <c r="DJ6" i="18"/>
  <c r="DI6" i="18"/>
  <c r="DH6" i="18"/>
  <c r="DG6" i="18"/>
  <c r="DF6" i="18"/>
  <c r="DE6" i="18"/>
  <c r="DD6" i="18"/>
  <c r="DC6" i="18"/>
  <c r="DB6" i="18"/>
  <c r="DA6" i="18"/>
  <c r="CZ6" i="18"/>
  <c r="CY6" i="18"/>
  <c r="CX6" i="18"/>
  <c r="CW6" i="18"/>
  <c r="CV6" i="18"/>
  <c r="CU6" i="18"/>
  <c r="CT6" i="18"/>
  <c r="CS6" i="18"/>
  <c r="CR6" i="18"/>
  <c r="CQ6" i="18"/>
  <c r="CP6" i="18"/>
  <c r="CO6" i="18"/>
  <c r="CN6" i="18"/>
  <c r="CM6" i="18"/>
  <c r="CL6" i="18"/>
  <c r="CK6" i="18"/>
  <c r="CJ6" i="18"/>
  <c r="CI6" i="18"/>
  <c r="CH6" i="18"/>
  <c r="CG6" i="18"/>
  <c r="CF6" i="18"/>
  <c r="CE6" i="18"/>
  <c r="CD6" i="18"/>
  <c r="CC6" i="18"/>
  <c r="CB6" i="18"/>
  <c r="CA6" i="18"/>
  <c r="BZ6" i="18"/>
  <c r="BY6" i="18"/>
  <c r="BX6" i="18"/>
  <c r="BW6" i="18"/>
  <c r="BV6" i="18"/>
  <c r="BU6" i="18"/>
  <c r="BT6" i="18"/>
  <c r="BS6" i="18"/>
  <c r="BR6" i="18"/>
  <c r="BQ6" i="18"/>
  <c r="BP6" i="18"/>
  <c r="BO6" i="18"/>
  <c r="BN6" i="18"/>
  <c r="BM6" i="18"/>
  <c r="BL6" i="18"/>
  <c r="BK6" i="18"/>
  <c r="BJ6" i="18"/>
  <c r="BI6" i="18"/>
  <c r="BH6" i="18"/>
  <c r="BG6" i="18"/>
  <c r="BF6" i="18"/>
  <c r="BE6" i="18"/>
  <c r="BD6" i="18"/>
  <c r="BC6" i="18"/>
  <c r="BB6" i="18"/>
  <c r="BA6" i="18"/>
  <c r="AZ6" i="18"/>
  <c r="AY6" i="18"/>
  <c r="AX6" i="18"/>
  <c r="AW6" i="18"/>
  <c r="AV6" i="18"/>
  <c r="AU6" i="18"/>
  <c r="AT6" i="18"/>
  <c r="AS6" i="18"/>
  <c r="AR6" i="18"/>
  <c r="AQ6" i="18"/>
  <c r="AP6" i="18"/>
  <c r="AO6" i="18"/>
  <c r="AN6" i="18"/>
  <c r="AM6" i="18"/>
  <c r="AL6" i="18"/>
  <c r="AK6" i="18"/>
  <c r="AJ6" i="18"/>
  <c r="AI6" i="18"/>
  <c r="AH6" i="18"/>
  <c r="AG6" i="18"/>
  <c r="AF6" i="18"/>
  <c r="AE6" i="18"/>
  <c r="AD6" i="18"/>
  <c r="AC6" i="18"/>
  <c r="AB6" i="18"/>
  <c r="AA6" i="18"/>
  <c r="Z6" i="18"/>
  <c r="Y6" i="18"/>
  <c r="X6" i="18"/>
  <c r="W6" i="18"/>
  <c r="V6" i="18"/>
  <c r="U6" i="18"/>
  <c r="T6" i="18"/>
  <c r="S6" i="18"/>
  <c r="R6" i="18"/>
  <c r="Q6" i="18"/>
  <c r="P6" i="18"/>
  <c r="O6" i="18"/>
  <c r="N6" i="18"/>
  <c r="M6" i="18"/>
  <c r="L6" i="18"/>
  <c r="K6" i="18"/>
  <c r="J6" i="18"/>
  <c r="I6" i="18"/>
  <c r="H6" i="18"/>
  <c r="HC5" i="18"/>
  <c r="HB5" i="18"/>
  <c r="HA5" i="18"/>
  <c r="GZ5" i="18"/>
  <c r="GY5" i="18"/>
  <c r="GX5" i="18"/>
  <c r="GW5" i="18"/>
  <c r="GV5" i="18"/>
  <c r="GU5" i="18"/>
  <c r="GT5" i="18"/>
  <c r="GS5" i="18"/>
  <c r="GR5" i="18"/>
  <c r="GQ5" i="18"/>
  <c r="GP5" i="18"/>
  <c r="GO5" i="18"/>
  <c r="GN5" i="18"/>
  <c r="GM5" i="18"/>
  <c r="GL5" i="18"/>
  <c r="GK5" i="18"/>
  <c r="GJ5" i="18"/>
  <c r="GI5" i="18"/>
  <c r="GH5" i="18"/>
  <c r="GG5" i="18"/>
  <c r="GF5" i="18"/>
  <c r="GE5" i="18"/>
  <c r="GD5" i="18"/>
  <c r="GC5" i="18"/>
  <c r="GB5" i="18"/>
  <c r="GA5" i="18"/>
  <c r="FZ5" i="18"/>
  <c r="FY5" i="18"/>
  <c r="FX5" i="18"/>
  <c r="FW5" i="18"/>
  <c r="FV5" i="18"/>
  <c r="FU5" i="18"/>
  <c r="FT5" i="18"/>
  <c r="FS5" i="18"/>
  <c r="FR5" i="18"/>
  <c r="FQ5" i="18"/>
  <c r="FP5" i="18"/>
  <c r="FO5" i="18"/>
  <c r="FN5" i="18"/>
  <c r="FM5" i="18"/>
  <c r="FL5" i="18"/>
  <c r="FK5" i="18"/>
  <c r="FJ5" i="18"/>
  <c r="FI5" i="18"/>
  <c r="FH5" i="18"/>
  <c r="FG5" i="18"/>
  <c r="FF5" i="18"/>
  <c r="FE5" i="18"/>
  <c r="FD5" i="18"/>
  <c r="FC5" i="18"/>
  <c r="FB5" i="18"/>
  <c r="FA5" i="18"/>
  <c r="EZ5" i="18"/>
  <c r="EY5" i="18"/>
  <c r="EX5" i="18"/>
  <c r="EW5" i="18"/>
  <c r="EV5" i="18"/>
  <c r="EU5" i="18"/>
  <c r="ET5" i="18"/>
  <c r="ES5" i="18"/>
  <c r="ER5" i="18"/>
  <c r="EQ5" i="18"/>
  <c r="EP5" i="18"/>
  <c r="EO5" i="18"/>
  <c r="EN5" i="18"/>
  <c r="EM5" i="18"/>
  <c r="EL5" i="18"/>
  <c r="EK5" i="18"/>
  <c r="EJ5" i="18"/>
  <c r="EI5" i="18"/>
  <c r="EH5" i="18"/>
  <c r="EG5" i="18"/>
  <c r="EF5" i="18"/>
  <c r="EE5" i="18"/>
  <c r="ED5" i="18"/>
  <c r="EC5" i="18"/>
  <c r="EB5" i="18"/>
  <c r="EA5" i="18"/>
  <c r="DZ5" i="18"/>
  <c r="DY5" i="18"/>
  <c r="DX5" i="18"/>
  <c r="DW5" i="18"/>
  <c r="DV5" i="18"/>
  <c r="DU5" i="18"/>
  <c r="DT5" i="18"/>
  <c r="DS5" i="18"/>
  <c r="DR5" i="18"/>
  <c r="DQ5" i="18"/>
  <c r="DP5" i="18"/>
  <c r="DO5" i="18"/>
  <c r="DN5" i="18"/>
  <c r="DM5" i="18"/>
  <c r="DL5" i="18"/>
  <c r="DK5" i="18"/>
  <c r="DJ5" i="18"/>
  <c r="DI5" i="18"/>
  <c r="DH5" i="18"/>
  <c r="DG5" i="18"/>
  <c r="DF5" i="18"/>
  <c r="DE5" i="18"/>
  <c r="DD5" i="18"/>
  <c r="DC5" i="18"/>
  <c r="DB5" i="18"/>
  <c r="DA5" i="18"/>
  <c r="CZ5" i="18"/>
  <c r="CY5" i="18"/>
  <c r="CX5" i="18"/>
  <c r="CW5" i="18"/>
  <c r="CV5" i="18"/>
  <c r="CU5" i="18"/>
  <c r="CT5" i="18"/>
  <c r="CS5" i="18"/>
  <c r="CR5" i="18"/>
  <c r="CQ5" i="18"/>
  <c r="CP5" i="18"/>
  <c r="CO5" i="18"/>
  <c r="CN5" i="18"/>
  <c r="CM5" i="18"/>
  <c r="CL5" i="18"/>
  <c r="CK5" i="18"/>
  <c r="CJ5" i="18"/>
  <c r="CI5" i="18"/>
  <c r="CH5" i="18"/>
  <c r="CG5" i="18"/>
  <c r="CF5" i="18"/>
  <c r="CE5" i="18"/>
  <c r="CD5" i="18"/>
  <c r="CC5" i="18"/>
  <c r="CB5" i="18"/>
  <c r="CA5" i="18"/>
  <c r="BZ5" i="18"/>
  <c r="BY5" i="18"/>
  <c r="BX5" i="18"/>
  <c r="BW5" i="18"/>
  <c r="BV5" i="18"/>
  <c r="BU5" i="18"/>
  <c r="BT5" i="18"/>
  <c r="BS5" i="18"/>
  <c r="BR5" i="18"/>
  <c r="BQ5" i="18"/>
  <c r="BP5" i="18"/>
  <c r="BO5" i="18"/>
  <c r="BN5" i="18"/>
  <c r="BM5" i="18"/>
  <c r="BL5" i="18"/>
  <c r="BK5" i="18"/>
  <c r="BJ5" i="18"/>
  <c r="BI5" i="18"/>
  <c r="BH5" i="18"/>
  <c r="BG5" i="18"/>
  <c r="BF5" i="18"/>
  <c r="BE5" i="18"/>
  <c r="BD5" i="18"/>
  <c r="BC5" i="18"/>
  <c r="BB5" i="18"/>
  <c r="BA5" i="18"/>
  <c r="AZ5" i="18"/>
  <c r="AY5" i="18"/>
  <c r="AX5" i="18"/>
  <c r="AW5" i="18"/>
  <c r="AV5" i="18"/>
  <c r="AU5" i="18"/>
  <c r="AT5" i="18"/>
  <c r="AS5" i="18"/>
  <c r="AR5" i="18"/>
  <c r="AQ5" i="18"/>
  <c r="AP5" i="18"/>
  <c r="AO5" i="18"/>
  <c r="AN5" i="18"/>
  <c r="AM5" i="18"/>
  <c r="AL5" i="18"/>
  <c r="AK5" i="18"/>
  <c r="AJ5" i="18"/>
  <c r="AI5" i="18"/>
  <c r="AH5" i="18"/>
  <c r="AG5" i="18"/>
  <c r="AF5" i="18"/>
  <c r="AE5" i="18"/>
  <c r="AD5" i="18"/>
  <c r="AC5" i="18"/>
  <c r="AB5" i="18"/>
  <c r="AA5" i="18"/>
  <c r="Z5" i="18"/>
  <c r="Y5" i="18"/>
  <c r="X5" i="18"/>
  <c r="W5" i="18"/>
  <c r="V5" i="18"/>
  <c r="U5" i="18"/>
  <c r="T5" i="18"/>
  <c r="S5" i="18"/>
  <c r="R5" i="18"/>
  <c r="Q5" i="18"/>
  <c r="P5" i="18"/>
  <c r="O5" i="18"/>
  <c r="N5" i="18"/>
  <c r="M5" i="18"/>
  <c r="L5" i="18"/>
  <c r="K5" i="18"/>
  <c r="J5" i="18"/>
  <c r="I5" i="18"/>
  <c r="H5" i="18"/>
  <c r="HC4" i="18"/>
  <c r="HB4" i="18"/>
  <c r="HA4" i="18"/>
  <c r="GZ4" i="18"/>
  <c r="GY4" i="18"/>
  <c r="GX4" i="18"/>
  <c r="GW4" i="18"/>
  <c r="GV4" i="18"/>
  <c r="GU4" i="18"/>
  <c r="GT4" i="18"/>
  <c r="GS4" i="18"/>
  <c r="GR4" i="18"/>
  <c r="GQ4" i="18"/>
  <c r="GP4" i="18"/>
  <c r="GO4" i="18"/>
  <c r="GN4" i="18"/>
  <c r="GM4" i="18"/>
  <c r="GL4" i="18"/>
  <c r="GK4" i="18"/>
  <c r="GJ4" i="18"/>
  <c r="GI4" i="18"/>
  <c r="GH4" i="18"/>
  <c r="GG4" i="18"/>
  <c r="GF4" i="18"/>
  <c r="GE4" i="18"/>
  <c r="GD4" i="18"/>
  <c r="GC4" i="18"/>
  <c r="GB4" i="18"/>
  <c r="GA4" i="18"/>
  <c r="FZ4" i="18"/>
  <c r="FY4" i="18"/>
  <c r="FX4" i="18"/>
  <c r="FW4" i="18"/>
  <c r="FV4" i="18"/>
  <c r="FU4" i="18"/>
  <c r="FT4" i="18"/>
  <c r="FS4" i="18"/>
  <c r="FR4" i="18"/>
  <c r="FQ4" i="18"/>
  <c r="FP4" i="18"/>
  <c r="FO4" i="18"/>
  <c r="FN4" i="18"/>
  <c r="FM4" i="18"/>
  <c r="FL4" i="18"/>
  <c r="FK4" i="18"/>
  <c r="FJ4" i="18"/>
  <c r="FI4" i="18"/>
  <c r="FH4" i="18"/>
  <c r="FG4" i="18"/>
  <c r="FF4" i="18"/>
  <c r="FE4" i="18"/>
  <c r="FD4" i="18"/>
  <c r="FC4" i="18"/>
  <c r="FB4" i="18"/>
  <c r="FA4" i="18"/>
  <c r="EZ4" i="18"/>
  <c r="EY4" i="18"/>
  <c r="EX4" i="18"/>
  <c r="EW4" i="18"/>
  <c r="EV4" i="18"/>
  <c r="EU4" i="18"/>
  <c r="ET4" i="18"/>
  <c r="ES4" i="18"/>
  <c r="ER4" i="18"/>
  <c r="EQ4" i="18"/>
  <c r="EP4" i="18"/>
  <c r="EO4" i="18"/>
  <c r="EN4" i="18"/>
  <c r="EM4" i="18"/>
  <c r="EL4" i="18"/>
  <c r="EK4" i="18"/>
  <c r="EJ4" i="18"/>
  <c r="EI4" i="18"/>
  <c r="EH4" i="18"/>
  <c r="EG4" i="18"/>
  <c r="EF4" i="18"/>
  <c r="EE4" i="18"/>
  <c r="ED4" i="18"/>
  <c r="EC4" i="18"/>
  <c r="EB4" i="18"/>
  <c r="EA4" i="18"/>
  <c r="DZ4" i="18"/>
  <c r="DY4" i="18"/>
  <c r="DX4" i="18"/>
  <c r="DW4" i="18"/>
  <c r="DV4" i="18"/>
  <c r="DU4" i="18"/>
  <c r="DT4" i="18"/>
  <c r="DS4" i="18"/>
  <c r="DR4" i="18"/>
  <c r="DQ4" i="18"/>
  <c r="DP4" i="18"/>
  <c r="DO4" i="18"/>
  <c r="DN4" i="18"/>
  <c r="DM4" i="18"/>
  <c r="DL4" i="18"/>
  <c r="DK4" i="18"/>
  <c r="DJ4" i="18"/>
  <c r="DI4" i="18"/>
  <c r="DH4" i="18"/>
  <c r="DG4" i="18"/>
  <c r="DF4" i="18"/>
  <c r="DE4" i="18"/>
  <c r="DD4" i="18"/>
  <c r="DC4" i="18"/>
  <c r="DB4" i="18"/>
  <c r="DA4" i="18"/>
  <c r="CZ4" i="18"/>
  <c r="CY4" i="18"/>
  <c r="CX4" i="18"/>
  <c r="CW4" i="18"/>
  <c r="CV4" i="18"/>
  <c r="CU4" i="18"/>
  <c r="CT4" i="18"/>
  <c r="CS4" i="18"/>
  <c r="CR4" i="18"/>
  <c r="CQ4" i="18"/>
  <c r="CP4" i="18"/>
  <c r="CO4" i="18"/>
  <c r="CN4" i="18"/>
  <c r="CM4" i="18"/>
  <c r="CL4" i="18"/>
  <c r="CK4" i="18"/>
  <c r="CJ4" i="18"/>
  <c r="CI4" i="18"/>
  <c r="CH4" i="18"/>
  <c r="CG4" i="18"/>
  <c r="CF4" i="18"/>
  <c r="CE4" i="18"/>
  <c r="CD4" i="18"/>
  <c r="CC4" i="18"/>
  <c r="CB4" i="18"/>
  <c r="CA4" i="18"/>
  <c r="BZ4" i="18"/>
  <c r="BY4" i="18"/>
  <c r="BX4" i="18"/>
  <c r="BW4" i="18"/>
  <c r="BV4" i="18"/>
  <c r="BU4" i="18"/>
  <c r="BT4" i="18"/>
  <c r="BS4" i="18"/>
  <c r="BR4" i="18"/>
  <c r="BQ4" i="18"/>
  <c r="BP4" i="18"/>
  <c r="BO4" i="18"/>
  <c r="BN4" i="18"/>
  <c r="BM4" i="18"/>
  <c r="BL4" i="18"/>
  <c r="BK4" i="18"/>
  <c r="BJ4" i="18"/>
  <c r="BI4" i="18"/>
  <c r="BH4" i="18"/>
  <c r="BG4" i="18"/>
  <c r="BF4" i="18"/>
  <c r="BE4" i="18"/>
  <c r="BD4" i="18"/>
  <c r="BC4" i="18"/>
  <c r="BB4" i="18"/>
  <c r="BA4" i="18"/>
  <c r="AZ4" i="18"/>
  <c r="AY4" i="18"/>
  <c r="AX4" i="18"/>
  <c r="AW4" i="18"/>
  <c r="AV4" i="18"/>
  <c r="AU4" i="18"/>
  <c r="AT4" i="18"/>
  <c r="AS4" i="18"/>
  <c r="AR4" i="18"/>
  <c r="AQ4" i="18"/>
  <c r="AP4" i="18"/>
  <c r="AO4" i="18"/>
  <c r="AN4" i="18"/>
  <c r="AM4" i="18"/>
  <c r="AL4" i="18"/>
  <c r="AK4" i="18"/>
  <c r="AJ4" i="18"/>
  <c r="AI4" i="18"/>
  <c r="AH4" i="18"/>
  <c r="AG4" i="18"/>
  <c r="AF4" i="18"/>
  <c r="AE4" i="18"/>
  <c r="AD4" i="18"/>
  <c r="AC4" i="18"/>
  <c r="AB4" i="18"/>
  <c r="AA4" i="18"/>
  <c r="Z4" i="18"/>
  <c r="Y4" i="18"/>
  <c r="X4" i="18"/>
  <c r="W4" i="18"/>
  <c r="V4" i="18"/>
  <c r="U4" i="18"/>
  <c r="T4" i="18"/>
  <c r="S4" i="18"/>
  <c r="R4" i="18"/>
  <c r="Q4" i="18"/>
  <c r="P4" i="18"/>
  <c r="O4" i="18"/>
  <c r="N4" i="18"/>
  <c r="M4" i="18"/>
  <c r="L4" i="18"/>
  <c r="K4" i="18"/>
  <c r="J4" i="18"/>
  <c r="I4" i="18"/>
  <c r="H4" i="18"/>
  <c r="HC3" i="18"/>
  <c r="HB3" i="18"/>
  <c r="HA3" i="18"/>
  <c r="GZ3" i="18"/>
  <c r="GY3" i="18"/>
  <c r="GX3" i="18"/>
  <c r="GW3" i="18"/>
  <c r="GV3" i="18"/>
  <c r="GU3" i="18"/>
  <c r="GT3" i="18"/>
  <c r="GS3" i="18"/>
  <c r="GR3" i="18"/>
  <c r="GQ3" i="18"/>
  <c r="GP3" i="18"/>
  <c r="GO3" i="18"/>
  <c r="GN3" i="18"/>
  <c r="GM3" i="18"/>
  <c r="GL3" i="18"/>
  <c r="GK3" i="18"/>
  <c r="GJ3" i="18"/>
  <c r="GI3" i="18"/>
  <c r="GH3" i="18"/>
  <c r="GG3" i="18"/>
  <c r="GF3" i="18"/>
  <c r="GE3" i="18"/>
  <c r="GD3" i="18"/>
  <c r="GC3" i="18"/>
  <c r="GB3" i="18"/>
  <c r="GA3" i="18"/>
  <c r="FZ3" i="18"/>
  <c r="FY3" i="18"/>
  <c r="FX3" i="18"/>
  <c r="FW3" i="18"/>
  <c r="FV3" i="18"/>
  <c r="FU3" i="18"/>
  <c r="FT3" i="18"/>
  <c r="FS3" i="18"/>
  <c r="FR3" i="18"/>
  <c r="FQ3" i="18"/>
  <c r="FP3" i="18"/>
  <c r="FO3" i="18"/>
  <c r="FN3" i="18"/>
  <c r="FM3" i="18"/>
  <c r="FL3" i="18"/>
  <c r="FK3" i="18"/>
  <c r="FJ3" i="18"/>
  <c r="FI3" i="18"/>
  <c r="FH3" i="18"/>
  <c r="FG3" i="18"/>
  <c r="FF3" i="18"/>
  <c r="FE3" i="18"/>
  <c r="FD3" i="18"/>
  <c r="FC3" i="18"/>
  <c r="FB3" i="18"/>
  <c r="FA3" i="18"/>
  <c r="EZ3" i="18"/>
  <c r="EY3" i="18"/>
  <c r="EX3" i="18"/>
  <c r="EW3" i="18"/>
  <c r="EV3" i="18"/>
  <c r="EU3" i="18"/>
  <c r="ET3" i="18"/>
  <c r="ES3" i="18"/>
  <c r="ER3" i="18"/>
  <c r="EQ3" i="18"/>
  <c r="EP3" i="18"/>
  <c r="EO3" i="18"/>
  <c r="EN3" i="18"/>
  <c r="EM3" i="18"/>
  <c r="EL3" i="18"/>
  <c r="EK3" i="18"/>
  <c r="EJ3" i="18"/>
  <c r="EI3" i="18"/>
  <c r="EH3" i="18"/>
  <c r="EG3" i="18"/>
  <c r="EF3" i="18"/>
  <c r="EE3" i="18"/>
  <c r="ED3" i="18"/>
  <c r="EC3" i="18"/>
  <c r="EB3" i="18"/>
  <c r="EA3" i="18"/>
  <c r="DZ3" i="18"/>
  <c r="DY3" i="18"/>
  <c r="DX3" i="18"/>
  <c r="DW3" i="18"/>
  <c r="DV3" i="18"/>
  <c r="DU3" i="18"/>
  <c r="DT3" i="18"/>
  <c r="DS3" i="18"/>
  <c r="DR3" i="18"/>
  <c r="DQ3" i="18"/>
  <c r="DP3" i="18"/>
  <c r="DO3" i="18"/>
  <c r="DN3" i="18"/>
  <c r="DM3" i="18"/>
  <c r="DL3" i="18"/>
  <c r="DK3" i="18"/>
  <c r="DJ3" i="18"/>
  <c r="DI3" i="18"/>
  <c r="DH3" i="18"/>
  <c r="DG3" i="18"/>
  <c r="DF3" i="18"/>
  <c r="DE3" i="18"/>
  <c r="DD3" i="18"/>
  <c r="DC3" i="18"/>
  <c r="DB3" i="18"/>
  <c r="DA3" i="18"/>
  <c r="CZ3" i="18"/>
  <c r="CY3" i="18"/>
  <c r="CX3" i="18"/>
  <c r="CW3" i="18"/>
  <c r="CV3" i="18"/>
  <c r="CU3" i="18"/>
  <c r="CT3" i="18"/>
  <c r="CS3" i="18"/>
  <c r="CR3" i="18"/>
  <c r="CQ3" i="18"/>
  <c r="CP3" i="18"/>
  <c r="CO3" i="18"/>
  <c r="CN3" i="18"/>
  <c r="CM3" i="18"/>
  <c r="CL3" i="18"/>
  <c r="CK3" i="18"/>
  <c r="CJ3" i="18"/>
  <c r="CI3" i="18"/>
  <c r="CH3" i="18"/>
  <c r="CG3" i="18"/>
  <c r="CF3" i="18"/>
  <c r="CE3" i="18"/>
  <c r="CD3" i="18"/>
  <c r="CC3" i="18"/>
  <c r="CB3" i="18"/>
  <c r="CA3" i="18"/>
  <c r="BZ3" i="18"/>
  <c r="BY3" i="18"/>
  <c r="BX3" i="18"/>
  <c r="BW3" i="18"/>
  <c r="BV3" i="18"/>
  <c r="BU3" i="18"/>
  <c r="BT3" i="18"/>
  <c r="BS3" i="18"/>
  <c r="BR3" i="18"/>
  <c r="BQ3" i="18"/>
  <c r="BP3" i="18"/>
  <c r="BO3" i="18"/>
  <c r="BN3" i="18"/>
  <c r="BM3" i="18"/>
  <c r="BL3" i="18"/>
  <c r="BK3" i="18"/>
  <c r="BJ3" i="18"/>
  <c r="BI3" i="18"/>
  <c r="BH3" i="18"/>
  <c r="BG3" i="18"/>
  <c r="BF3" i="18"/>
  <c r="BE3" i="18"/>
  <c r="BD3" i="18"/>
  <c r="BC3" i="18"/>
  <c r="BB3" i="18"/>
  <c r="BA3" i="18"/>
  <c r="AZ3" i="18"/>
  <c r="AY3" i="18"/>
  <c r="AX3" i="18"/>
  <c r="AW3" i="18"/>
  <c r="AV3" i="18"/>
  <c r="AU3" i="18"/>
  <c r="AT3" i="18"/>
  <c r="AS3" i="18"/>
  <c r="AR3" i="18"/>
  <c r="AQ3" i="18"/>
  <c r="AP3" i="18"/>
  <c r="AO3" i="18"/>
  <c r="AN3" i="18"/>
  <c r="AM3" i="18"/>
  <c r="AL3" i="18"/>
  <c r="AK3" i="18"/>
  <c r="AJ3" i="18"/>
  <c r="AI3" i="18"/>
  <c r="AH3" i="18"/>
  <c r="AG3" i="18"/>
  <c r="AF3" i="18"/>
  <c r="AE3" i="18"/>
  <c r="AD3" i="18"/>
  <c r="AC3" i="18"/>
  <c r="AB3" i="18"/>
  <c r="AA3" i="18"/>
  <c r="Z3" i="18"/>
  <c r="Y3" i="18"/>
  <c r="X3" i="18"/>
  <c r="W3" i="18"/>
  <c r="V3" i="18"/>
  <c r="U3" i="18"/>
  <c r="T3" i="18"/>
  <c r="S3" i="18"/>
  <c r="R3" i="18"/>
  <c r="Q3" i="18"/>
  <c r="P3" i="18"/>
  <c r="O3" i="18"/>
  <c r="N3" i="18"/>
  <c r="M3" i="18"/>
  <c r="L3" i="18"/>
  <c r="K3" i="18"/>
  <c r="J3" i="18"/>
  <c r="I3" i="18"/>
  <c r="H3" i="18"/>
  <c r="HC2" i="18"/>
  <c r="HB2" i="18"/>
  <c r="HA2" i="18"/>
  <c r="GZ2" i="18"/>
  <c r="GY2" i="18"/>
  <c r="GX2" i="18"/>
  <c r="GW2" i="18"/>
  <c r="GV2" i="18"/>
  <c r="GU2" i="18"/>
  <c r="GT2" i="18"/>
  <c r="GS2" i="18"/>
  <c r="GR2" i="18"/>
  <c r="GQ2" i="18"/>
  <c r="GP2" i="18"/>
  <c r="GO2" i="18"/>
  <c r="GN2" i="18"/>
  <c r="GM2" i="18"/>
  <c r="GL2" i="18"/>
  <c r="GK2" i="18"/>
  <c r="GJ2" i="18"/>
  <c r="GI2" i="18"/>
  <c r="GH2" i="18"/>
  <c r="GG2" i="18"/>
  <c r="GF2" i="18"/>
  <c r="GE2" i="18"/>
  <c r="GD2" i="18"/>
  <c r="GC2" i="18"/>
  <c r="GB2" i="18"/>
  <c r="GA2" i="18"/>
  <c r="FZ2" i="18"/>
  <c r="FY2" i="18"/>
  <c r="FX2" i="18"/>
  <c r="FW2" i="18"/>
  <c r="FV2" i="18"/>
  <c r="FU2" i="18"/>
  <c r="FT2" i="18"/>
  <c r="FS2" i="18"/>
  <c r="FR2" i="18"/>
  <c r="FQ2" i="18"/>
  <c r="FP2" i="18"/>
  <c r="FO2" i="18"/>
  <c r="FN2" i="18"/>
  <c r="FM2" i="18"/>
  <c r="FL2" i="18"/>
  <c r="FK2" i="18"/>
  <c r="FJ2" i="18"/>
  <c r="FI2" i="18"/>
  <c r="FH2" i="18"/>
  <c r="FG2" i="18"/>
  <c r="FF2" i="18"/>
  <c r="FE2" i="18"/>
  <c r="FD2" i="18"/>
  <c r="FC2" i="18"/>
  <c r="FB2" i="18"/>
  <c r="FA2" i="18"/>
  <c r="EZ2" i="18"/>
  <c r="EY2" i="18"/>
  <c r="EX2" i="18"/>
  <c r="EW2" i="18"/>
  <c r="EV2" i="18"/>
  <c r="EU2" i="18"/>
  <c r="ET2" i="18"/>
  <c r="ES2" i="18"/>
  <c r="ER2" i="18"/>
  <c r="EQ2" i="18"/>
  <c r="EP2" i="18"/>
  <c r="EO2" i="18"/>
  <c r="EN2" i="18"/>
  <c r="EM2" i="18"/>
  <c r="EL2" i="18"/>
  <c r="EK2" i="18"/>
  <c r="EJ2" i="18"/>
  <c r="EI2" i="18"/>
  <c r="EH2" i="18"/>
  <c r="EG2" i="18"/>
  <c r="EF2" i="18"/>
  <c r="EE2" i="18"/>
  <c r="ED2" i="18"/>
  <c r="EC2" i="18"/>
  <c r="EB2" i="18"/>
  <c r="EA2" i="18"/>
  <c r="DZ2" i="18"/>
  <c r="DY2" i="18"/>
  <c r="DX2" i="18"/>
  <c r="DW2" i="18"/>
  <c r="DV2" i="18"/>
  <c r="DU2" i="18"/>
  <c r="DT2" i="18"/>
  <c r="DS2" i="18"/>
  <c r="DR2" i="18"/>
  <c r="DQ2" i="18"/>
  <c r="DP2" i="18"/>
  <c r="DO2" i="18"/>
  <c r="DN2" i="18"/>
  <c r="DM2" i="18"/>
  <c r="DL2" i="18"/>
  <c r="DK2" i="18"/>
  <c r="DJ2" i="18"/>
  <c r="DI2" i="18"/>
  <c r="DH2" i="18"/>
  <c r="DG2" i="18"/>
  <c r="DF2" i="18"/>
  <c r="DE2" i="18"/>
  <c r="DD2" i="18"/>
  <c r="DC2" i="18"/>
  <c r="DB2" i="18"/>
  <c r="DA2" i="18"/>
  <c r="CZ2" i="18"/>
  <c r="CY2" i="18"/>
  <c r="CX2" i="18"/>
  <c r="CW2" i="18"/>
  <c r="CV2" i="18"/>
  <c r="CU2" i="18"/>
  <c r="CT2" i="18"/>
  <c r="CS2" i="18"/>
  <c r="CR2" i="18"/>
  <c r="CQ2" i="18"/>
  <c r="CP2" i="18"/>
  <c r="CO2" i="18"/>
  <c r="CN2" i="18"/>
  <c r="CM2" i="18"/>
  <c r="CL2" i="18"/>
  <c r="CK2" i="18"/>
  <c r="CJ2" i="18"/>
  <c r="CI2" i="18"/>
  <c r="CH2" i="18"/>
  <c r="CG2" i="18"/>
  <c r="CF2" i="18"/>
  <c r="CE2" i="18"/>
  <c r="CD2" i="18"/>
  <c r="CC2" i="18"/>
  <c r="CB2" i="18"/>
  <c r="CA2" i="18"/>
  <c r="BZ2" i="18"/>
  <c r="BY2" i="18"/>
  <c r="BX2" i="18"/>
  <c r="BW2" i="18"/>
  <c r="BV2" i="18"/>
  <c r="BU2" i="18"/>
  <c r="BT2" i="18"/>
  <c r="BS2" i="18"/>
  <c r="BR2" i="18"/>
  <c r="BQ2" i="18"/>
  <c r="BP2" i="18"/>
  <c r="BO2" i="18"/>
  <c r="BN2" i="18"/>
  <c r="BM2" i="18"/>
  <c r="BL2" i="18"/>
  <c r="BK2" i="18"/>
  <c r="BJ2" i="18"/>
  <c r="BI2" i="18"/>
  <c r="BH2" i="18"/>
  <c r="BG2" i="18"/>
  <c r="BF2" i="18"/>
  <c r="BE2" i="18"/>
  <c r="BD2" i="18"/>
  <c r="BC2" i="18"/>
  <c r="BB2" i="18"/>
  <c r="BA2" i="18"/>
  <c r="AZ2" i="18"/>
  <c r="AY2" i="18"/>
  <c r="AX2" i="18"/>
  <c r="AW2" i="18"/>
  <c r="AV2" i="18"/>
  <c r="AU2" i="18"/>
  <c r="AT2" i="18"/>
  <c r="AS2" i="18"/>
  <c r="AR2" i="18"/>
  <c r="AQ2" i="18"/>
  <c r="AP2" i="18"/>
  <c r="AO2" i="18"/>
  <c r="AN2" i="18"/>
  <c r="AM2" i="18"/>
  <c r="AL2" i="18"/>
  <c r="AK2" i="18"/>
  <c r="AJ2" i="18"/>
  <c r="AI2" i="18"/>
  <c r="AH2" i="18"/>
  <c r="AG2" i="18"/>
  <c r="AF2" i="18"/>
  <c r="AE2" i="18"/>
  <c r="AD2" i="18"/>
  <c r="AC2" i="18"/>
  <c r="AB2" i="18"/>
  <c r="AA2" i="18"/>
  <c r="Z2" i="18"/>
  <c r="Y2" i="18"/>
  <c r="X2" i="18"/>
  <c r="W2" i="18"/>
  <c r="V2" i="18"/>
  <c r="U2" i="18"/>
  <c r="T2" i="18"/>
  <c r="S2" i="18"/>
  <c r="R2" i="18"/>
  <c r="Q2" i="18"/>
  <c r="P2" i="18"/>
  <c r="O2" i="18"/>
  <c r="N2" i="18"/>
  <c r="M2" i="18"/>
  <c r="L2" i="18"/>
  <c r="K2" i="18"/>
  <c r="J2" i="18"/>
  <c r="I2" i="18"/>
  <c r="H2" i="18"/>
  <c r="EK95" i="12" l="1"/>
  <c r="DU49" i="12" l="1"/>
  <c r="CK96" i="12"/>
  <c r="BN97" i="12"/>
  <c r="DU94" i="12"/>
  <c r="DR94" i="12"/>
  <c r="FI95" i="12" l="1"/>
  <c r="FI96" i="12"/>
  <c r="FI94" i="12"/>
  <c r="FI97" i="12"/>
  <c r="BW41" i="12"/>
  <c r="BQ47" i="12"/>
  <c r="EV50" i="12" l="1"/>
  <c r="DU95" i="12" l="1"/>
  <c r="BK86" i="12" l="1"/>
  <c r="FF97" i="12" l="1"/>
  <c r="FF95" i="12"/>
  <c r="FF94" i="12"/>
  <c r="DL94" i="12"/>
  <c r="DL95" i="12"/>
  <c r="DL97" i="12"/>
  <c r="CS97" i="12"/>
  <c r="CS95" i="12"/>
  <c r="CS94" i="12"/>
  <c r="AZ94" i="12"/>
  <c r="AZ95" i="12"/>
  <c r="AZ97" i="12"/>
  <c r="AU97" i="12"/>
  <c r="AU95" i="12"/>
  <c r="AU94" i="12"/>
  <c r="FL94" i="12"/>
  <c r="FL96" i="12"/>
  <c r="FL95" i="12"/>
  <c r="GY97" i="12" l="1"/>
  <c r="FX97" i="12"/>
  <c r="FW97" i="12"/>
  <c r="FC97" i="12"/>
  <c r="FA97" i="12"/>
  <c r="EW97" i="12"/>
  <c r="EL97" i="12"/>
  <c r="EK97" i="12"/>
  <c r="EH97" i="12"/>
  <c r="EC97" i="12"/>
  <c r="DI97" i="12"/>
  <c r="CZ97" i="12"/>
  <c r="CF97" i="12"/>
  <c r="CA97" i="12"/>
  <c r="BV97" i="12"/>
  <c r="BT97" i="12"/>
  <c r="BB97" i="12"/>
  <c r="AO97" i="12"/>
  <c r="V97" i="12"/>
  <c r="HC82" i="12"/>
  <c r="HB82" i="12"/>
  <c r="HA82" i="12"/>
  <c r="GZ82" i="12"/>
  <c r="GY82" i="12"/>
  <c r="GX82" i="12"/>
  <c r="GW82" i="12"/>
  <c r="GV82" i="12"/>
  <c r="GU82" i="12"/>
  <c r="GT82" i="12"/>
  <c r="GS82" i="12"/>
  <c r="GR82" i="12"/>
  <c r="GQ82" i="12"/>
  <c r="GP82" i="12"/>
  <c r="GO82" i="12"/>
  <c r="GN82" i="12"/>
  <c r="GM82" i="12"/>
  <c r="GL82" i="12"/>
  <c r="GK82" i="12"/>
  <c r="GJ82" i="12"/>
  <c r="GI82" i="12"/>
  <c r="GH82" i="12"/>
  <c r="GG82" i="12"/>
  <c r="GF82" i="12"/>
  <c r="GE82" i="12"/>
  <c r="GD82" i="12"/>
  <c r="GC82" i="12"/>
  <c r="GB82" i="12"/>
  <c r="GA82" i="12"/>
  <c r="FZ82" i="12"/>
  <c r="FY82" i="12"/>
  <c r="FX82" i="12"/>
  <c r="FW82" i="12"/>
  <c r="FV82" i="12"/>
  <c r="FU82" i="12"/>
  <c r="FT82" i="12"/>
  <c r="FS82" i="12"/>
  <c r="FR82" i="12"/>
  <c r="FQ82" i="12"/>
  <c r="FP82" i="12"/>
  <c r="FO82" i="12"/>
  <c r="FN82" i="12"/>
  <c r="FM82" i="12"/>
  <c r="FL82" i="12"/>
  <c r="FK82" i="12"/>
  <c r="FJ82" i="12"/>
  <c r="FI82" i="12"/>
  <c r="FH82" i="12"/>
  <c r="FG82" i="12"/>
  <c r="FF82" i="12"/>
  <c r="FE82" i="12"/>
  <c r="FD82" i="12"/>
  <c r="FC82" i="12"/>
  <c r="FB82" i="12"/>
  <c r="FA82" i="12"/>
  <c r="EZ82" i="12"/>
  <c r="EY82" i="12"/>
  <c r="EX82" i="12"/>
  <c r="EW82" i="12"/>
  <c r="EV82" i="12"/>
  <c r="EU82" i="12"/>
  <c r="ET82" i="12"/>
  <c r="ES82" i="12"/>
  <c r="ER82" i="12"/>
  <c r="EQ82" i="12"/>
  <c r="EP82" i="12"/>
  <c r="EO82" i="12"/>
  <c r="EN82" i="12"/>
  <c r="EM82" i="12"/>
  <c r="EL82" i="12"/>
  <c r="EK82" i="12"/>
  <c r="EJ82" i="12"/>
  <c r="EI82" i="12"/>
  <c r="EH82" i="12"/>
  <c r="EG82" i="12"/>
  <c r="EF82" i="12"/>
  <c r="EE82" i="12"/>
  <c r="ED82" i="12"/>
  <c r="EC82" i="12"/>
  <c r="EB82" i="12"/>
  <c r="EA82" i="12"/>
  <c r="DZ82" i="12"/>
  <c r="DY82" i="12"/>
  <c r="DX82" i="12"/>
  <c r="DW82" i="12"/>
  <c r="DV82" i="12"/>
  <c r="DU82" i="12"/>
  <c r="DT82" i="12"/>
  <c r="DS82" i="12"/>
  <c r="DR82" i="12"/>
  <c r="DQ82" i="12"/>
  <c r="DP82" i="12"/>
  <c r="DO82" i="12"/>
  <c r="DN82" i="12"/>
  <c r="DM82" i="12"/>
  <c r="DL82" i="12"/>
  <c r="DK82" i="12"/>
  <c r="DJ82" i="12"/>
  <c r="DI82" i="12"/>
  <c r="DH82" i="12"/>
  <c r="DG82" i="12"/>
  <c r="DF82" i="12"/>
  <c r="DE82" i="12"/>
  <c r="DD82" i="12"/>
  <c r="DC82" i="12"/>
  <c r="DB82" i="12"/>
  <c r="DA82" i="12"/>
  <c r="CZ82" i="12"/>
  <c r="CY82" i="12"/>
  <c r="CX82" i="12"/>
  <c r="CW82" i="12"/>
  <c r="CV82" i="12"/>
  <c r="CU82" i="12"/>
  <c r="CT82" i="12"/>
  <c r="CS82" i="12"/>
  <c r="CR82" i="12"/>
  <c r="CQ82" i="12"/>
  <c r="CP82" i="12"/>
  <c r="CO82" i="12"/>
  <c r="CN82" i="12"/>
  <c r="CM82" i="12"/>
  <c r="CL82" i="12"/>
  <c r="CK82" i="12"/>
  <c r="CJ82" i="12"/>
  <c r="CI82" i="12"/>
  <c r="CH82" i="12"/>
  <c r="CG82" i="12"/>
  <c r="CF82" i="12"/>
  <c r="CE82" i="12"/>
  <c r="CD82" i="12"/>
  <c r="CC82" i="12"/>
  <c r="CB82" i="12"/>
  <c r="CA82" i="12"/>
  <c r="BZ82" i="12"/>
  <c r="BY82" i="12"/>
  <c r="BX82" i="12"/>
  <c r="BW82" i="12"/>
  <c r="BV82" i="12"/>
  <c r="BU82" i="12"/>
  <c r="BT82" i="12"/>
  <c r="BS82" i="12"/>
  <c r="BR82" i="12"/>
  <c r="BQ82" i="12"/>
  <c r="BP82" i="12"/>
  <c r="BO82" i="12"/>
  <c r="BN82" i="12"/>
  <c r="BM82" i="12"/>
  <c r="BL82" i="12"/>
  <c r="BK82" i="12"/>
  <c r="BJ82" i="12"/>
  <c r="BI82" i="12"/>
  <c r="BH82" i="12"/>
  <c r="BG82" i="12"/>
  <c r="BF82" i="12"/>
  <c r="BE82" i="12"/>
  <c r="BD82" i="12"/>
  <c r="BC82" i="12"/>
  <c r="BB82" i="12"/>
  <c r="BA82" i="12"/>
  <c r="AZ82" i="12"/>
  <c r="AY82" i="12"/>
  <c r="AX82" i="12"/>
  <c r="AW82" i="12"/>
  <c r="AV82" i="12"/>
  <c r="AU82" i="12"/>
  <c r="AT82" i="12"/>
  <c r="AS82" i="12"/>
  <c r="AR82" i="12"/>
  <c r="AQ82" i="12"/>
  <c r="AP82" i="12"/>
  <c r="AO82" i="12"/>
  <c r="AN82" i="12"/>
  <c r="AM82" i="12"/>
  <c r="AL82" i="12"/>
  <c r="AK82" i="12"/>
  <c r="AJ82" i="12"/>
  <c r="AI82" i="12"/>
  <c r="AH82" i="12"/>
  <c r="AG82" i="12"/>
  <c r="AF82" i="12"/>
  <c r="AE82" i="12"/>
  <c r="AD82" i="12"/>
  <c r="AC82" i="12"/>
  <c r="AB82" i="12"/>
  <c r="AA82" i="12"/>
  <c r="Z82" i="12"/>
  <c r="Y82" i="12"/>
  <c r="X82" i="12"/>
  <c r="W82" i="12"/>
  <c r="V82" i="12"/>
  <c r="U82" i="12"/>
  <c r="T82" i="12"/>
  <c r="S82" i="12"/>
  <c r="R82" i="12"/>
  <c r="HC79" i="12"/>
  <c r="HB79" i="12"/>
  <c r="HA79" i="12"/>
  <c r="GZ79" i="12"/>
  <c r="GY79" i="12"/>
  <c r="GX79" i="12"/>
  <c r="GW79" i="12"/>
  <c r="GV79" i="12"/>
  <c r="GU79" i="12"/>
  <c r="GT79" i="12"/>
  <c r="GS79" i="12"/>
  <c r="GR79" i="12"/>
  <c r="GQ79" i="12"/>
  <c r="GP79" i="12"/>
  <c r="GO79" i="12"/>
  <c r="GN79" i="12"/>
  <c r="GM79" i="12"/>
  <c r="GL79" i="12"/>
  <c r="GK79" i="12"/>
  <c r="GJ79" i="12"/>
  <c r="GI79" i="12"/>
  <c r="GH79" i="12"/>
  <c r="GG79" i="12"/>
  <c r="GF79" i="12"/>
  <c r="GE79" i="12"/>
  <c r="GD79" i="12"/>
  <c r="GC79" i="12"/>
  <c r="GB79" i="12"/>
  <c r="GA79" i="12"/>
  <c r="FZ79" i="12"/>
  <c r="FY79" i="12"/>
  <c r="FX79" i="12"/>
  <c r="FW79" i="12"/>
  <c r="FV79" i="12"/>
  <c r="FU79" i="12"/>
  <c r="FT79" i="12"/>
  <c r="FS79" i="12"/>
  <c r="FR79" i="12"/>
  <c r="FQ79" i="12"/>
  <c r="FP79" i="12"/>
  <c r="FO79" i="12"/>
  <c r="FN79" i="12"/>
  <c r="FM79" i="12"/>
  <c r="FL79" i="12"/>
  <c r="FK79" i="12"/>
  <c r="FJ79" i="12"/>
  <c r="FI79" i="12"/>
  <c r="FH79" i="12"/>
  <c r="FG79" i="12"/>
  <c r="FF79" i="12"/>
  <c r="FE79" i="12"/>
  <c r="FD79" i="12"/>
  <c r="FC79" i="12"/>
  <c r="FB79" i="12"/>
  <c r="FA79" i="12"/>
  <c r="EZ79" i="12"/>
  <c r="EY79" i="12"/>
  <c r="EX79" i="12"/>
  <c r="EW79" i="12"/>
  <c r="EV79" i="12"/>
  <c r="EU79" i="12"/>
  <c r="ET79" i="12"/>
  <c r="ES79" i="12"/>
  <c r="ER79" i="12"/>
  <c r="EQ79" i="12"/>
  <c r="EP79" i="12"/>
  <c r="EO79" i="12"/>
  <c r="EN79" i="12"/>
  <c r="EM79" i="12"/>
  <c r="EL79" i="12"/>
  <c r="EK79" i="12"/>
  <c r="EJ79" i="12"/>
  <c r="EI79" i="12"/>
  <c r="EH79" i="12"/>
  <c r="EG79" i="12"/>
  <c r="EF79" i="12"/>
  <c r="EE79" i="12"/>
  <c r="ED79" i="12"/>
  <c r="EC79" i="12"/>
  <c r="EB79" i="12"/>
  <c r="EA79" i="12"/>
  <c r="DZ79" i="12"/>
  <c r="DY79" i="12"/>
  <c r="DX79" i="12"/>
  <c r="DW79" i="12"/>
  <c r="DV79" i="12"/>
  <c r="DU79" i="12"/>
  <c r="DT79" i="12"/>
  <c r="DS79" i="12"/>
  <c r="DR79" i="12"/>
  <c r="DQ79" i="12"/>
  <c r="DP79" i="12"/>
  <c r="DO79" i="12"/>
  <c r="DN79" i="12"/>
  <c r="DM79" i="12"/>
  <c r="DL79" i="12"/>
  <c r="DK79" i="12"/>
  <c r="DJ79" i="12"/>
  <c r="DI79" i="12"/>
  <c r="DH79" i="12"/>
  <c r="DG79" i="12"/>
  <c r="DF79" i="12"/>
  <c r="DE79" i="12"/>
  <c r="DD79" i="12"/>
  <c r="DC79" i="12"/>
  <c r="DB79" i="12"/>
  <c r="DA79" i="12"/>
  <c r="CZ79" i="12"/>
  <c r="CY79" i="12"/>
  <c r="CX79" i="12"/>
  <c r="CW79" i="12"/>
  <c r="CV79" i="12"/>
  <c r="CU79" i="12"/>
  <c r="CT79" i="12"/>
  <c r="CS79" i="12"/>
  <c r="CR79" i="12"/>
  <c r="CQ79" i="12"/>
  <c r="CP79" i="12"/>
  <c r="CO79" i="12"/>
  <c r="CN79" i="12"/>
  <c r="CM79" i="12"/>
  <c r="CL79" i="12"/>
  <c r="CK79" i="12"/>
  <c r="CJ79" i="12"/>
  <c r="CI79" i="12"/>
  <c r="CH79" i="12"/>
  <c r="CG79" i="12"/>
  <c r="CF79" i="12"/>
  <c r="CE79" i="12"/>
  <c r="CD79" i="12"/>
  <c r="CC79" i="12"/>
  <c r="CB79" i="12"/>
  <c r="CA79" i="12"/>
  <c r="BZ79" i="12"/>
  <c r="BY79" i="12"/>
  <c r="BX79" i="12"/>
  <c r="BW79" i="12"/>
  <c r="BV79" i="12"/>
  <c r="BU79" i="12"/>
  <c r="BT79" i="12"/>
  <c r="BS79" i="12"/>
  <c r="BR79" i="12"/>
  <c r="BQ79" i="12"/>
  <c r="BP79" i="12"/>
  <c r="BO79" i="12"/>
  <c r="BN79" i="12"/>
  <c r="BM79" i="12"/>
  <c r="BL79" i="12"/>
  <c r="BK79" i="12"/>
  <c r="BJ79" i="12"/>
  <c r="BI79" i="12"/>
  <c r="BH79" i="12"/>
  <c r="BG79" i="12"/>
  <c r="BF79" i="12"/>
  <c r="BE79" i="12"/>
  <c r="BD79" i="12"/>
  <c r="BC79" i="12"/>
  <c r="BB79" i="12"/>
  <c r="BA79" i="12"/>
  <c r="AZ79" i="12"/>
  <c r="AY79" i="12"/>
  <c r="AX79" i="12"/>
  <c r="AW79" i="12"/>
  <c r="AV79" i="12"/>
  <c r="AU79" i="12"/>
  <c r="AT79" i="12"/>
  <c r="AS79" i="12"/>
  <c r="AR79" i="12"/>
  <c r="AQ79" i="12"/>
  <c r="AP79" i="12"/>
  <c r="AO79" i="12"/>
  <c r="AN79" i="12"/>
  <c r="AM79" i="12"/>
  <c r="AL79" i="12"/>
  <c r="AK79" i="12"/>
  <c r="AJ79" i="12"/>
  <c r="AI79" i="12"/>
  <c r="AH79" i="12"/>
  <c r="AG79" i="12"/>
  <c r="AF79" i="12"/>
  <c r="AE79" i="12"/>
  <c r="AD79" i="12"/>
  <c r="AC79" i="12"/>
  <c r="AB79" i="12"/>
  <c r="AA79" i="12"/>
  <c r="Z79" i="12"/>
  <c r="Y79" i="12"/>
  <c r="X79" i="12"/>
  <c r="W79" i="12"/>
  <c r="V79" i="12"/>
  <c r="U79" i="12"/>
  <c r="T79" i="12"/>
  <c r="S79" i="12"/>
  <c r="R79" i="12"/>
  <c r="HC75" i="12"/>
  <c r="HB75" i="12"/>
  <c r="HA75" i="12"/>
  <c r="GZ75" i="12"/>
  <c r="GY75" i="12"/>
  <c r="GX75" i="12"/>
  <c r="GW75" i="12"/>
  <c r="GV75" i="12"/>
  <c r="GU75" i="12"/>
  <c r="GT75" i="12"/>
  <c r="GS75" i="12"/>
  <c r="GR75" i="12"/>
  <c r="GQ75" i="12"/>
  <c r="GP75" i="12"/>
  <c r="GO75" i="12"/>
  <c r="GN75" i="12"/>
  <c r="GM75" i="12"/>
  <c r="GL75" i="12"/>
  <c r="GK75" i="12"/>
  <c r="GJ75" i="12"/>
  <c r="GI75" i="12"/>
  <c r="GH75" i="12"/>
  <c r="GG75" i="12"/>
  <c r="GF75" i="12"/>
  <c r="GE75" i="12"/>
  <c r="GD75" i="12"/>
  <c r="GC75" i="12"/>
  <c r="GB75" i="12"/>
  <c r="GA75" i="12"/>
  <c r="FZ75" i="12"/>
  <c r="FY75" i="12"/>
  <c r="FX75" i="12"/>
  <c r="FW75" i="12"/>
  <c r="FV75" i="12"/>
  <c r="FU75" i="12"/>
  <c r="FT75" i="12"/>
  <c r="FS75" i="12"/>
  <c r="FR75" i="12"/>
  <c r="FQ75" i="12"/>
  <c r="FP75" i="12"/>
  <c r="FO75" i="12"/>
  <c r="FN75" i="12"/>
  <c r="FM75" i="12"/>
  <c r="FL75" i="12"/>
  <c r="FK75" i="12"/>
  <c r="FJ75" i="12"/>
  <c r="FI75" i="12"/>
  <c r="FH75" i="12"/>
  <c r="FG75" i="12"/>
  <c r="FF75" i="12"/>
  <c r="FE75" i="12"/>
  <c r="FD75" i="12"/>
  <c r="FC75" i="12"/>
  <c r="FB75" i="12"/>
  <c r="FA75" i="12"/>
  <c r="EZ75" i="12"/>
  <c r="EY75" i="12"/>
  <c r="EX75" i="12"/>
  <c r="EW75" i="12"/>
  <c r="EV75" i="12"/>
  <c r="EU75" i="12"/>
  <c r="ET75" i="12"/>
  <c r="ES75" i="12"/>
  <c r="ER75" i="12"/>
  <c r="EQ75" i="12"/>
  <c r="EP75" i="12"/>
  <c r="EO75" i="12"/>
  <c r="EN75" i="12"/>
  <c r="EM75" i="12"/>
  <c r="EL75" i="12"/>
  <c r="EK75" i="12"/>
  <c r="EJ75" i="12"/>
  <c r="EI75" i="12"/>
  <c r="EH75" i="12"/>
  <c r="EG75" i="12"/>
  <c r="EF75" i="12"/>
  <c r="EE75" i="12"/>
  <c r="ED75" i="12"/>
  <c r="EC75" i="12"/>
  <c r="EB75" i="12"/>
  <c r="EA75" i="12"/>
  <c r="DZ75" i="12"/>
  <c r="DY75" i="12"/>
  <c r="DX75" i="12"/>
  <c r="DW75" i="12"/>
  <c r="DV75" i="12"/>
  <c r="DU75" i="12"/>
  <c r="DT75" i="12"/>
  <c r="DS75" i="12"/>
  <c r="DR75" i="12"/>
  <c r="DQ75" i="12"/>
  <c r="DP75" i="12"/>
  <c r="DO75" i="12"/>
  <c r="DN75" i="12"/>
  <c r="DM75" i="12"/>
  <c r="DL75" i="12"/>
  <c r="DK75" i="12"/>
  <c r="DJ75" i="12"/>
  <c r="DI75" i="12"/>
  <c r="DH75" i="12"/>
  <c r="DG75" i="12"/>
  <c r="DF75" i="12"/>
  <c r="DE75" i="12"/>
  <c r="DD75" i="12"/>
  <c r="DC75" i="12"/>
  <c r="DB75" i="12"/>
  <c r="DA75" i="12"/>
  <c r="CZ75" i="12"/>
  <c r="CY75" i="12"/>
  <c r="CX75" i="12"/>
  <c r="CW75" i="12"/>
  <c r="CV75" i="12"/>
  <c r="CU75" i="12"/>
  <c r="CT75" i="12"/>
  <c r="CS75" i="12"/>
  <c r="CR75" i="12"/>
  <c r="CQ75" i="12"/>
  <c r="CP75" i="12"/>
  <c r="CO75" i="12"/>
  <c r="CN75" i="12"/>
  <c r="CM75" i="12"/>
  <c r="CL75" i="12"/>
  <c r="CK75" i="12"/>
  <c r="CJ75" i="12"/>
  <c r="CI75" i="12"/>
  <c r="CH75" i="12"/>
  <c r="CG75" i="12"/>
  <c r="CF75" i="12"/>
  <c r="CE75" i="12"/>
  <c r="CD75" i="12"/>
  <c r="CC75" i="12"/>
  <c r="CB75" i="12"/>
  <c r="CA75" i="12"/>
  <c r="BZ75" i="12"/>
  <c r="BY75" i="12"/>
  <c r="BX75" i="12"/>
  <c r="BW75" i="12"/>
  <c r="BV75" i="12"/>
  <c r="BU75" i="12"/>
  <c r="BT75" i="12"/>
  <c r="BS75" i="12"/>
  <c r="BR75" i="12"/>
  <c r="BQ75" i="12"/>
  <c r="BP75" i="12"/>
  <c r="BO75" i="12"/>
  <c r="BN75" i="12"/>
  <c r="BM75" i="12"/>
  <c r="BL75" i="12"/>
  <c r="BK75" i="12"/>
  <c r="BJ75" i="12"/>
  <c r="BI75" i="12"/>
  <c r="BH75" i="12"/>
  <c r="BG75" i="12"/>
  <c r="BF75" i="12"/>
  <c r="BE75" i="12"/>
  <c r="BD75" i="12"/>
  <c r="BC75" i="12"/>
  <c r="BB75" i="12"/>
  <c r="BA75" i="12"/>
  <c r="AZ75" i="12"/>
  <c r="AY75" i="12"/>
  <c r="AX75" i="12"/>
  <c r="AW75" i="12"/>
  <c r="AV75" i="12"/>
  <c r="AU75" i="12"/>
  <c r="AT75" i="12"/>
  <c r="AS75" i="12"/>
  <c r="AR75" i="12"/>
  <c r="AQ75" i="12"/>
  <c r="AP75" i="12"/>
  <c r="AO75" i="12"/>
  <c r="AN75" i="12"/>
  <c r="AM75" i="12"/>
  <c r="AL75" i="12"/>
  <c r="AK75" i="12"/>
  <c r="AJ75" i="12"/>
  <c r="AI75" i="12"/>
  <c r="AH75" i="12"/>
  <c r="AG75" i="12"/>
  <c r="AF75" i="12"/>
  <c r="AE75" i="12"/>
  <c r="AD75" i="12"/>
  <c r="AC75" i="12"/>
  <c r="AB75" i="12"/>
  <c r="AA75" i="12"/>
  <c r="Z75" i="12"/>
  <c r="Y75" i="12"/>
  <c r="X75" i="12"/>
  <c r="W75" i="12"/>
  <c r="V75" i="12"/>
  <c r="U75" i="12"/>
  <c r="T75" i="12"/>
  <c r="S75" i="12"/>
  <c r="R75" i="12"/>
  <c r="HC73" i="12"/>
  <c r="HB73" i="12"/>
  <c r="HA73" i="12"/>
  <c r="GZ73" i="12"/>
  <c r="GY73" i="12"/>
  <c r="GX73" i="12"/>
  <c r="GW73" i="12"/>
  <c r="GV73" i="12"/>
  <c r="GU73" i="12"/>
  <c r="GT73" i="12"/>
  <c r="GS73" i="12"/>
  <c r="GR73" i="12"/>
  <c r="GQ73" i="12"/>
  <c r="GP73" i="12"/>
  <c r="GO73" i="12"/>
  <c r="GN73" i="12"/>
  <c r="GM73" i="12"/>
  <c r="GL73" i="12"/>
  <c r="GK73" i="12"/>
  <c r="GJ73" i="12"/>
  <c r="GI73" i="12"/>
  <c r="GH73" i="12"/>
  <c r="GG73" i="12"/>
  <c r="GF73" i="12"/>
  <c r="GE73" i="12"/>
  <c r="GD73" i="12"/>
  <c r="GC73" i="12"/>
  <c r="GB73" i="12"/>
  <c r="GA73" i="12"/>
  <c r="FZ73" i="12"/>
  <c r="FY73" i="12"/>
  <c r="FX73" i="12"/>
  <c r="FW73" i="12"/>
  <c r="FV73" i="12"/>
  <c r="FU73" i="12"/>
  <c r="FT73" i="12"/>
  <c r="FS73" i="12"/>
  <c r="FR73" i="12"/>
  <c r="FQ73" i="12"/>
  <c r="FP73" i="12"/>
  <c r="FO73" i="12"/>
  <c r="FN73" i="12"/>
  <c r="FM73" i="12"/>
  <c r="FL73" i="12"/>
  <c r="FK73" i="12"/>
  <c r="FJ73" i="12"/>
  <c r="FI73" i="12"/>
  <c r="FH73" i="12"/>
  <c r="FG73" i="12"/>
  <c r="FF73" i="12"/>
  <c r="FE73" i="12"/>
  <c r="FD73" i="12"/>
  <c r="FC73" i="12"/>
  <c r="FB73" i="12"/>
  <c r="FA73" i="12"/>
  <c r="EZ73" i="12"/>
  <c r="EY73" i="12"/>
  <c r="EX73" i="12"/>
  <c r="EW73" i="12"/>
  <c r="EV73" i="12"/>
  <c r="EU73" i="12"/>
  <c r="ET73" i="12"/>
  <c r="ES73" i="12"/>
  <c r="ER73" i="12"/>
  <c r="EQ73" i="12"/>
  <c r="EP73" i="12"/>
  <c r="EO73" i="12"/>
  <c r="EN73" i="12"/>
  <c r="EM73" i="12"/>
  <c r="EL73" i="12"/>
  <c r="EK73" i="12"/>
  <c r="EJ73" i="12"/>
  <c r="EI73" i="12"/>
  <c r="EH73" i="12"/>
  <c r="EG73" i="12"/>
  <c r="EF73" i="12"/>
  <c r="EE73" i="12"/>
  <c r="ED73" i="12"/>
  <c r="EC73" i="12"/>
  <c r="EB73" i="12"/>
  <c r="EA73" i="12"/>
  <c r="DZ73" i="12"/>
  <c r="DX73" i="12"/>
  <c r="DW73" i="12"/>
  <c r="DV73" i="12"/>
  <c r="DU73" i="12"/>
  <c r="DT73" i="12"/>
  <c r="DS73" i="12"/>
  <c r="DR73" i="12"/>
  <c r="DQ73" i="12"/>
  <c r="DP73" i="12"/>
  <c r="DO73" i="12"/>
  <c r="DN73" i="12"/>
  <c r="DM73" i="12"/>
  <c r="DL73" i="12"/>
  <c r="DK73" i="12"/>
  <c r="DJ73" i="12"/>
  <c r="DI73" i="12"/>
  <c r="DH73" i="12"/>
  <c r="DG73" i="12"/>
  <c r="DF73" i="12"/>
  <c r="DE73" i="12"/>
  <c r="DD73" i="12"/>
  <c r="DC73" i="12"/>
  <c r="DB73" i="12"/>
  <c r="DA73" i="12"/>
  <c r="CZ73" i="12"/>
  <c r="CY73" i="12"/>
  <c r="CX73" i="12"/>
  <c r="CW73" i="12"/>
  <c r="CV73" i="12"/>
  <c r="CU73" i="12"/>
  <c r="CT73" i="12"/>
  <c r="CS73" i="12"/>
  <c r="CR73" i="12"/>
  <c r="CQ73" i="12"/>
  <c r="CP73" i="12"/>
  <c r="CO73" i="12"/>
  <c r="CN73" i="12"/>
  <c r="CM73" i="12"/>
  <c r="CL73" i="12"/>
  <c r="CK73" i="12"/>
  <c r="CJ73" i="12"/>
  <c r="CI73" i="12"/>
  <c r="CH73" i="12"/>
  <c r="CG73" i="12"/>
  <c r="CF73" i="12"/>
  <c r="CE73" i="12"/>
  <c r="CD73" i="12"/>
  <c r="CC73" i="12"/>
  <c r="CB73" i="12"/>
  <c r="CA73" i="12"/>
  <c r="BZ73" i="12"/>
  <c r="BY73" i="12"/>
  <c r="BX73" i="12"/>
  <c r="BW73" i="12"/>
  <c r="BV73" i="12"/>
  <c r="BU73" i="12"/>
  <c r="BT73" i="12"/>
  <c r="BS73" i="12"/>
  <c r="BR73" i="12"/>
  <c r="BQ73" i="12"/>
  <c r="BP73" i="12"/>
  <c r="BO73" i="12"/>
  <c r="BN73" i="12"/>
  <c r="BM73" i="12"/>
  <c r="BL73" i="12"/>
  <c r="BJ73" i="12"/>
  <c r="BI73" i="12"/>
  <c r="BH73" i="12"/>
  <c r="BG73" i="12"/>
  <c r="BF73" i="12"/>
  <c r="BE73" i="12"/>
  <c r="BD73" i="12"/>
  <c r="BC73" i="12"/>
  <c r="BB73" i="12"/>
  <c r="BA73" i="12"/>
  <c r="AZ73" i="12"/>
  <c r="AY73" i="12"/>
  <c r="AX73" i="12"/>
  <c r="AW73" i="12"/>
  <c r="AV73" i="12"/>
  <c r="AU73" i="12"/>
  <c r="AT73" i="12"/>
  <c r="AS73" i="12"/>
  <c r="AR73" i="12"/>
  <c r="AQ73" i="12"/>
  <c r="AP73" i="12"/>
  <c r="AO73" i="12"/>
  <c r="AN73" i="12"/>
  <c r="AM73" i="12"/>
  <c r="AL73" i="12"/>
  <c r="AK73" i="12"/>
  <c r="AJ73" i="12"/>
  <c r="AI73" i="12"/>
  <c r="AH73" i="12"/>
  <c r="AG73" i="12"/>
  <c r="AF73" i="12"/>
  <c r="AE73" i="12"/>
  <c r="AD73" i="12"/>
  <c r="AC73" i="12"/>
  <c r="AB73" i="12"/>
  <c r="AA73" i="12"/>
  <c r="Z73" i="12"/>
  <c r="Y73" i="12"/>
  <c r="X73" i="12"/>
  <c r="W73" i="12"/>
  <c r="V73" i="12"/>
  <c r="U73" i="12"/>
  <c r="T73" i="12"/>
  <c r="S73" i="12"/>
  <c r="R73" i="12"/>
  <c r="HC70" i="12"/>
  <c r="HB70" i="12"/>
  <c r="HA70" i="12"/>
  <c r="GZ70" i="12"/>
  <c r="GY70" i="12"/>
  <c r="GX70" i="12"/>
  <c r="GW70" i="12"/>
  <c r="GV70" i="12"/>
  <c r="GU70" i="12"/>
  <c r="GT70" i="12"/>
  <c r="GS70" i="12"/>
  <c r="GR70" i="12"/>
  <c r="GQ70" i="12"/>
  <c r="GP70" i="12"/>
  <c r="GO70" i="12"/>
  <c r="GN70" i="12"/>
  <c r="GM70" i="12"/>
  <c r="GL70" i="12"/>
  <c r="GK70" i="12"/>
  <c r="GJ70" i="12"/>
  <c r="GI70" i="12"/>
  <c r="GH70" i="12"/>
  <c r="GG70" i="12"/>
  <c r="GF70" i="12"/>
  <c r="GE70" i="12"/>
  <c r="GD70" i="12"/>
  <c r="GC70" i="12"/>
  <c r="GB70" i="12"/>
  <c r="GA70" i="12"/>
  <c r="FZ70" i="12"/>
  <c r="FY70" i="12"/>
  <c r="FX70" i="12"/>
  <c r="FW70" i="12"/>
  <c r="FV70" i="12"/>
  <c r="FU70" i="12"/>
  <c r="FT70" i="12"/>
  <c r="FS70" i="12"/>
  <c r="FR70" i="12"/>
  <c r="FQ70" i="12"/>
  <c r="FP70" i="12"/>
  <c r="FO70" i="12"/>
  <c r="FN70" i="12"/>
  <c r="FM70" i="12"/>
  <c r="FL70" i="12"/>
  <c r="FK70" i="12"/>
  <c r="FJ70" i="12"/>
  <c r="FI70" i="12"/>
  <c r="FH70" i="12"/>
  <c r="FG70" i="12"/>
  <c r="FF70" i="12"/>
  <c r="FE70" i="12"/>
  <c r="FD70" i="12"/>
  <c r="FC70" i="12"/>
  <c r="FB70" i="12"/>
  <c r="FA70" i="12"/>
  <c r="EZ70" i="12"/>
  <c r="EY70" i="12"/>
  <c r="EX70" i="12"/>
  <c r="EW70" i="12"/>
  <c r="EV70" i="12"/>
  <c r="EU70" i="12"/>
  <c r="ET70" i="12"/>
  <c r="ES70" i="12"/>
  <c r="ER70" i="12"/>
  <c r="EQ70" i="12"/>
  <c r="EP70" i="12"/>
  <c r="EO70" i="12"/>
  <c r="EN70" i="12"/>
  <c r="EM70" i="12"/>
  <c r="EL70" i="12"/>
  <c r="EK70" i="12"/>
  <c r="EJ70" i="12"/>
  <c r="EI70" i="12"/>
  <c r="EH70" i="12"/>
  <c r="EG70" i="12"/>
  <c r="EF70" i="12"/>
  <c r="EE70" i="12"/>
  <c r="ED70" i="12"/>
  <c r="EC70" i="12"/>
  <c r="EB70" i="12"/>
  <c r="EA70" i="12"/>
  <c r="DZ70" i="12"/>
  <c r="DY70" i="12"/>
  <c r="DX70" i="12"/>
  <c r="DW70" i="12"/>
  <c r="DV70" i="12"/>
  <c r="DU70" i="12"/>
  <c r="DT70" i="12"/>
  <c r="DS70" i="12"/>
  <c r="DR70" i="12"/>
  <c r="DQ70" i="12"/>
  <c r="DP70" i="12"/>
  <c r="DO70" i="12"/>
  <c r="DN70" i="12"/>
  <c r="DM70" i="12"/>
  <c r="DL70" i="12"/>
  <c r="DK70" i="12"/>
  <c r="DJ70" i="12"/>
  <c r="DI70" i="12"/>
  <c r="DH70" i="12"/>
  <c r="DG70" i="12"/>
  <c r="DF70" i="12"/>
  <c r="DE70" i="12"/>
  <c r="DD70" i="12"/>
  <c r="DC70" i="12"/>
  <c r="DB70" i="12"/>
  <c r="DA70" i="12"/>
  <c r="CZ70" i="12"/>
  <c r="CY70" i="12"/>
  <c r="CX70" i="12"/>
  <c r="CW70" i="12"/>
  <c r="CV70" i="12"/>
  <c r="CU70" i="12"/>
  <c r="CT70" i="12"/>
  <c r="CS70" i="12"/>
  <c r="CR70" i="12"/>
  <c r="CQ70" i="12"/>
  <c r="CP70" i="12"/>
  <c r="CO70" i="12"/>
  <c r="CN70" i="12"/>
  <c r="CM70" i="12"/>
  <c r="CL70" i="12"/>
  <c r="CK70" i="12"/>
  <c r="CJ70" i="12"/>
  <c r="CI70" i="12"/>
  <c r="CH70" i="12"/>
  <c r="CG70" i="12"/>
  <c r="CF70" i="12"/>
  <c r="CE70" i="12"/>
  <c r="CD70" i="12"/>
  <c r="CC70" i="12"/>
  <c r="CB70" i="12"/>
  <c r="CA70" i="12"/>
  <c r="BZ70" i="12"/>
  <c r="BY70" i="12"/>
  <c r="BX70" i="12"/>
  <c r="BW70" i="12"/>
  <c r="BV70" i="12"/>
  <c r="BU70" i="12"/>
  <c r="BT70" i="12"/>
  <c r="BS70" i="12"/>
  <c r="BR70" i="12"/>
  <c r="BQ70" i="12"/>
  <c r="BP70" i="12"/>
  <c r="BO70" i="12"/>
  <c r="BN70" i="12"/>
  <c r="BM70" i="12"/>
  <c r="BL70" i="12"/>
  <c r="BK70" i="12"/>
  <c r="BJ70" i="12"/>
  <c r="BI70" i="12"/>
  <c r="BH70" i="12"/>
  <c r="BG70" i="12"/>
  <c r="BF70" i="12"/>
  <c r="BE70" i="12"/>
  <c r="BD70" i="12"/>
  <c r="BC70" i="12"/>
  <c r="BB70" i="12"/>
  <c r="BA70" i="12"/>
  <c r="AZ70" i="12"/>
  <c r="AY70" i="12"/>
  <c r="AX70" i="12"/>
  <c r="AW70" i="12"/>
  <c r="AV70" i="12"/>
  <c r="AU70" i="12"/>
  <c r="AT70" i="12"/>
  <c r="AS70" i="12"/>
  <c r="AR70" i="12"/>
  <c r="AQ70" i="12"/>
  <c r="AP70" i="12"/>
  <c r="AO70" i="12"/>
  <c r="AN70" i="12"/>
  <c r="AM70" i="12"/>
  <c r="AL70" i="12"/>
  <c r="AK70" i="12"/>
  <c r="AJ70" i="12"/>
  <c r="AI70" i="12"/>
  <c r="AH70" i="12"/>
  <c r="AG70" i="12"/>
  <c r="AF70" i="12"/>
  <c r="AE70" i="12"/>
  <c r="AD70" i="12"/>
  <c r="AC70" i="12"/>
  <c r="AB70" i="12"/>
  <c r="AA70" i="12"/>
  <c r="Z70" i="12"/>
  <c r="Y70" i="12"/>
  <c r="X70" i="12"/>
  <c r="W70" i="12"/>
  <c r="V70" i="12"/>
  <c r="U70" i="12"/>
  <c r="T70" i="12"/>
  <c r="S70" i="12"/>
  <c r="R70" i="12"/>
  <c r="HC65" i="12"/>
  <c r="HB65" i="12"/>
  <c r="HA65" i="12"/>
  <c r="GZ65" i="12"/>
  <c r="GY65" i="12"/>
  <c r="GX65" i="12"/>
  <c r="GW65" i="12"/>
  <c r="GV65" i="12"/>
  <c r="GU65" i="12"/>
  <c r="GT65" i="12"/>
  <c r="GS65" i="12"/>
  <c r="GR65" i="12"/>
  <c r="GQ65" i="12"/>
  <c r="GP65" i="12"/>
  <c r="GO65" i="12"/>
  <c r="GN65" i="12"/>
  <c r="GM65" i="12"/>
  <c r="GL65" i="12"/>
  <c r="GK65" i="12"/>
  <c r="GJ65" i="12"/>
  <c r="GI65" i="12"/>
  <c r="GH65" i="12"/>
  <c r="GG65" i="12"/>
  <c r="GF65" i="12"/>
  <c r="GE65" i="12"/>
  <c r="GD65" i="12"/>
  <c r="GC65" i="12"/>
  <c r="GB65" i="12"/>
  <c r="GA65" i="12"/>
  <c r="FZ65" i="12"/>
  <c r="FY65" i="12"/>
  <c r="FX65" i="12"/>
  <c r="FW65" i="12"/>
  <c r="FV65" i="12"/>
  <c r="FU65" i="12"/>
  <c r="FT65" i="12"/>
  <c r="FS65" i="12"/>
  <c r="FR65" i="12"/>
  <c r="FQ65" i="12"/>
  <c r="FP65" i="12"/>
  <c r="FO65" i="12"/>
  <c r="FN65" i="12"/>
  <c r="FM65" i="12"/>
  <c r="FL65" i="12"/>
  <c r="FK65" i="12"/>
  <c r="FJ65" i="12"/>
  <c r="FI65" i="12"/>
  <c r="FH65" i="12"/>
  <c r="FG65" i="12"/>
  <c r="FF65" i="12"/>
  <c r="FE65" i="12"/>
  <c r="FD65" i="12"/>
  <c r="FC65" i="12"/>
  <c r="FB65" i="12"/>
  <c r="FA65" i="12"/>
  <c r="EZ65" i="12"/>
  <c r="EY65" i="12"/>
  <c r="EX65" i="12"/>
  <c r="EW65" i="12"/>
  <c r="EV65" i="12"/>
  <c r="EU65" i="12"/>
  <c r="ET65" i="12"/>
  <c r="ES65" i="12"/>
  <c r="ER65" i="12"/>
  <c r="EQ65" i="12"/>
  <c r="EP65" i="12"/>
  <c r="EO65" i="12"/>
  <c r="EN65" i="12"/>
  <c r="EM65" i="12"/>
  <c r="EL65" i="12"/>
  <c r="EK65" i="12"/>
  <c r="EJ65" i="12"/>
  <c r="EI65" i="12"/>
  <c r="EH65" i="12"/>
  <c r="EG65" i="12"/>
  <c r="EF65" i="12"/>
  <c r="EE65" i="12"/>
  <c r="ED65" i="12"/>
  <c r="EC65" i="12"/>
  <c r="EB65" i="12"/>
  <c r="EA65" i="12"/>
  <c r="DZ65" i="12"/>
  <c r="DY65" i="12"/>
  <c r="DX65" i="12"/>
  <c r="DW65" i="12"/>
  <c r="DV65" i="12"/>
  <c r="DU65" i="12"/>
  <c r="DT65" i="12"/>
  <c r="DS65" i="12"/>
  <c r="DR65" i="12"/>
  <c r="DQ65" i="12"/>
  <c r="DP65" i="12"/>
  <c r="DO65" i="12"/>
  <c r="DN65" i="12"/>
  <c r="DM65" i="12"/>
  <c r="DL65" i="12"/>
  <c r="DK65" i="12"/>
  <c r="DJ65" i="12"/>
  <c r="DI65" i="12"/>
  <c r="DH65" i="12"/>
  <c r="DG65" i="12"/>
  <c r="DF65" i="12"/>
  <c r="DE65" i="12"/>
  <c r="DD65" i="12"/>
  <c r="DC65" i="12"/>
  <c r="DB65" i="12"/>
  <c r="DA65" i="12"/>
  <c r="CZ65" i="12"/>
  <c r="CY65" i="12"/>
  <c r="CX65" i="12"/>
  <c r="CW65" i="12"/>
  <c r="CV65" i="12"/>
  <c r="CU65" i="12"/>
  <c r="CT65" i="12"/>
  <c r="CS65" i="12"/>
  <c r="CR65" i="12"/>
  <c r="CQ65" i="12"/>
  <c r="CP65" i="12"/>
  <c r="CO65" i="12"/>
  <c r="CN65" i="12"/>
  <c r="CM65" i="12"/>
  <c r="CL65" i="12"/>
  <c r="CK65" i="12"/>
  <c r="CJ65" i="12"/>
  <c r="CI65" i="12"/>
  <c r="CH65" i="12"/>
  <c r="CG65" i="12"/>
  <c r="CF65" i="12"/>
  <c r="CE65" i="12"/>
  <c r="CD65" i="12"/>
  <c r="CC65" i="12"/>
  <c r="CB65" i="12"/>
  <c r="CA65" i="12"/>
  <c r="BZ65" i="12"/>
  <c r="BY65" i="12"/>
  <c r="BX65" i="12"/>
  <c r="BW65" i="12"/>
  <c r="BV65" i="12"/>
  <c r="BU65" i="12"/>
  <c r="BT65" i="12"/>
  <c r="BS65" i="12"/>
  <c r="BR65" i="12"/>
  <c r="BQ65" i="12"/>
  <c r="BP65" i="12"/>
  <c r="BO65" i="12"/>
  <c r="BN65" i="12"/>
  <c r="BM65" i="12"/>
  <c r="BL65" i="12"/>
  <c r="BK65" i="12"/>
  <c r="BJ65" i="12"/>
  <c r="BI65" i="12"/>
  <c r="BH65" i="12"/>
  <c r="BG65" i="12"/>
  <c r="BF65" i="12"/>
  <c r="BE65" i="12"/>
  <c r="BD65" i="12"/>
  <c r="BC65" i="12"/>
  <c r="BB65" i="12"/>
  <c r="BA65" i="12"/>
  <c r="AZ65" i="12"/>
  <c r="AY65" i="12"/>
  <c r="AX65" i="12"/>
  <c r="AW65" i="12"/>
  <c r="AV65" i="12"/>
  <c r="AU65" i="12"/>
  <c r="AT65" i="12"/>
  <c r="AS65" i="12"/>
  <c r="AR65" i="12"/>
  <c r="AQ65" i="12"/>
  <c r="AP65" i="12"/>
  <c r="AO65" i="12"/>
  <c r="AN65" i="12"/>
  <c r="AM65" i="12"/>
  <c r="AL65" i="12"/>
  <c r="AK65" i="12"/>
  <c r="AJ65" i="12"/>
  <c r="AI65" i="12"/>
  <c r="AH65" i="12"/>
  <c r="AG65" i="12"/>
  <c r="AF65" i="12"/>
  <c r="AE65" i="12"/>
  <c r="AD65" i="12"/>
  <c r="AC65" i="12"/>
  <c r="AB65" i="12"/>
  <c r="AA65" i="12"/>
  <c r="Z65" i="12"/>
  <c r="Y65" i="12"/>
  <c r="X65" i="12"/>
  <c r="W65" i="12"/>
  <c r="V65" i="12"/>
  <c r="U65" i="12"/>
  <c r="T65" i="12"/>
  <c r="S65" i="12"/>
  <c r="R65" i="12"/>
  <c r="HC61" i="12"/>
  <c r="HB61" i="12"/>
  <c r="HA61" i="12"/>
  <c r="GZ61" i="12"/>
  <c r="GY61" i="12"/>
  <c r="GX61" i="12"/>
  <c r="GW61" i="12"/>
  <c r="GV61" i="12"/>
  <c r="GU61" i="12"/>
  <c r="GT61" i="12"/>
  <c r="GS61" i="12"/>
  <c r="GR61" i="12"/>
  <c r="GQ61" i="12"/>
  <c r="GP61" i="12"/>
  <c r="GO61" i="12"/>
  <c r="GN61" i="12"/>
  <c r="GM61" i="12"/>
  <c r="GL61" i="12"/>
  <c r="GK61" i="12"/>
  <c r="GJ61" i="12"/>
  <c r="GI61" i="12"/>
  <c r="GH61" i="12"/>
  <c r="GG61" i="12"/>
  <c r="GF61" i="12"/>
  <c r="GE61" i="12"/>
  <c r="GD61" i="12"/>
  <c r="GC61" i="12"/>
  <c r="GB61" i="12"/>
  <c r="GA61" i="12"/>
  <c r="FZ61" i="12"/>
  <c r="FY61" i="12"/>
  <c r="FX61" i="12"/>
  <c r="FW61" i="12"/>
  <c r="FV61" i="12"/>
  <c r="FU61" i="12"/>
  <c r="FT61" i="12"/>
  <c r="FS61" i="12"/>
  <c r="FR61" i="12"/>
  <c r="FQ61" i="12"/>
  <c r="FP61" i="12"/>
  <c r="FO61" i="12"/>
  <c r="FN61" i="12"/>
  <c r="FM61" i="12"/>
  <c r="FL61" i="12"/>
  <c r="FK61" i="12"/>
  <c r="FJ61" i="12"/>
  <c r="FI61" i="12"/>
  <c r="FH61" i="12"/>
  <c r="FG61" i="12"/>
  <c r="FF61" i="12"/>
  <c r="FE61" i="12"/>
  <c r="FD61" i="12"/>
  <c r="FC61" i="12"/>
  <c r="FB61" i="12"/>
  <c r="FA61" i="12"/>
  <c r="EZ61" i="12"/>
  <c r="EY61" i="12"/>
  <c r="EX61" i="12"/>
  <c r="EW61" i="12"/>
  <c r="EV61" i="12"/>
  <c r="EU61" i="12"/>
  <c r="ET61" i="12"/>
  <c r="ES61" i="12"/>
  <c r="ER61" i="12"/>
  <c r="EQ61" i="12"/>
  <c r="EP61" i="12"/>
  <c r="EO61" i="12"/>
  <c r="EN61" i="12"/>
  <c r="EM61" i="12"/>
  <c r="EL61" i="12"/>
  <c r="EK61" i="12"/>
  <c r="EJ61" i="12"/>
  <c r="EI61" i="12"/>
  <c r="EH61" i="12"/>
  <c r="EG61" i="12"/>
  <c r="EF61" i="12"/>
  <c r="EE61" i="12"/>
  <c r="ED61" i="12"/>
  <c r="EC61" i="12"/>
  <c r="EB61" i="12"/>
  <c r="EA61" i="12"/>
  <c r="DZ61" i="12"/>
  <c r="DY61" i="12"/>
  <c r="DX61" i="12"/>
  <c r="DW61" i="12"/>
  <c r="DV61" i="12"/>
  <c r="DU61" i="12"/>
  <c r="DT61" i="12"/>
  <c r="DS61" i="12"/>
  <c r="DR61" i="12"/>
  <c r="DQ61" i="12"/>
  <c r="DP61" i="12"/>
  <c r="DO61" i="12"/>
  <c r="DN61" i="12"/>
  <c r="DM61" i="12"/>
  <c r="DL61" i="12"/>
  <c r="DK61" i="12"/>
  <c r="DJ61" i="12"/>
  <c r="DI61" i="12"/>
  <c r="DH61" i="12"/>
  <c r="DG61" i="12"/>
  <c r="DF61" i="12"/>
  <c r="DE61" i="12"/>
  <c r="DD61" i="12"/>
  <c r="DC61" i="12"/>
  <c r="DB61" i="12"/>
  <c r="DA61" i="12"/>
  <c r="CZ61" i="12"/>
  <c r="CY61" i="12"/>
  <c r="CX61" i="12"/>
  <c r="CW61" i="12"/>
  <c r="CV61" i="12"/>
  <c r="CU61" i="12"/>
  <c r="CT61" i="12"/>
  <c r="CS61" i="12"/>
  <c r="CR61" i="12"/>
  <c r="CQ61" i="12"/>
  <c r="CP61" i="12"/>
  <c r="CO61" i="12"/>
  <c r="CN61" i="12"/>
  <c r="CM61" i="12"/>
  <c r="CL61" i="12"/>
  <c r="CK61" i="12"/>
  <c r="CJ61" i="12"/>
  <c r="CI61" i="12"/>
  <c r="CH61" i="12"/>
  <c r="CG61" i="12"/>
  <c r="CF61" i="12"/>
  <c r="CE61" i="12"/>
  <c r="CD61" i="12"/>
  <c r="CC61" i="12"/>
  <c r="CB61" i="12"/>
  <c r="CA61" i="12"/>
  <c r="BZ61" i="12"/>
  <c r="BY61" i="12"/>
  <c r="BX61" i="12"/>
  <c r="BW61" i="12"/>
  <c r="BV61" i="12"/>
  <c r="BU61" i="12"/>
  <c r="BT61" i="12"/>
  <c r="BS61" i="12"/>
  <c r="BR61" i="12"/>
  <c r="BQ61" i="12"/>
  <c r="BP61" i="12"/>
  <c r="BO61" i="12"/>
  <c r="BN61" i="12"/>
  <c r="BM61" i="12"/>
  <c r="BL61" i="12"/>
  <c r="BK61" i="12"/>
  <c r="BJ61" i="12"/>
  <c r="BI61" i="12"/>
  <c r="BH61" i="12"/>
  <c r="BG61" i="12"/>
  <c r="BF61" i="12"/>
  <c r="BE61" i="12"/>
  <c r="BD61" i="12"/>
  <c r="BC61" i="12"/>
  <c r="BB61" i="12"/>
  <c r="BA61" i="12"/>
  <c r="AZ61" i="12"/>
  <c r="AY61" i="12"/>
  <c r="AX61" i="12"/>
  <c r="AW61" i="12"/>
  <c r="AV61" i="12"/>
  <c r="AU61" i="12"/>
  <c r="AT61" i="12"/>
  <c r="AS61" i="12"/>
  <c r="AR61" i="12"/>
  <c r="AQ61" i="12"/>
  <c r="AP61" i="12"/>
  <c r="AO61" i="12"/>
  <c r="AN61" i="12"/>
  <c r="AM61" i="12"/>
  <c r="AL61" i="12"/>
  <c r="AK61" i="12"/>
  <c r="AJ61" i="12"/>
  <c r="AI61" i="12"/>
  <c r="AH61" i="12"/>
  <c r="AG61" i="12"/>
  <c r="AF61" i="12"/>
  <c r="AE61" i="12"/>
  <c r="AD61" i="12"/>
  <c r="AC61" i="12"/>
  <c r="AB61" i="12"/>
  <c r="AA61" i="12"/>
  <c r="Z61" i="12"/>
  <c r="Y61" i="12"/>
  <c r="X61" i="12"/>
  <c r="W61" i="12"/>
  <c r="V61" i="12"/>
  <c r="U61" i="12"/>
  <c r="T61" i="12"/>
  <c r="S61" i="12"/>
  <c r="R61" i="12"/>
  <c r="HC56" i="12"/>
  <c r="HB56" i="12"/>
  <c r="HA56" i="12"/>
  <c r="GZ56" i="12"/>
  <c r="GY56" i="12"/>
  <c r="GX56" i="12"/>
  <c r="GW56" i="12"/>
  <c r="GV56" i="12"/>
  <c r="GU56" i="12"/>
  <c r="GT56" i="12"/>
  <c r="GS56" i="12"/>
  <c r="GR56" i="12"/>
  <c r="GQ56" i="12"/>
  <c r="GP56" i="12"/>
  <c r="GO56" i="12"/>
  <c r="GN56" i="12"/>
  <c r="GM56" i="12"/>
  <c r="GL56" i="12"/>
  <c r="GK56" i="12"/>
  <c r="GJ56" i="12"/>
  <c r="GI56" i="12"/>
  <c r="GH56" i="12"/>
  <c r="GG56" i="12"/>
  <c r="GF56" i="12"/>
  <c r="GE56" i="12"/>
  <c r="GD56" i="12"/>
  <c r="GC56" i="12"/>
  <c r="GB56" i="12"/>
  <c r="GA56" i="12"/>
  <c r="FZ56" i="12"/>
  <c r="FY56" i="12"/>
  <c r="FX56" i="12"/>
  <c r="FW56" i="12"/>
  <c r="FV56" i="12"/>
  <c r="FU56" i="12"/>
  <c r="FT56" i="12"/>
  <c r="FS56" i="12"/>
  <c r="FR56" i="12"/>
  <c r="FQ56" i="12"/>
  <c r="FP56" i="12"/>
  <c r="FO56" i="12"/>
  <c r="FN56" i="12"/>
  <c r="FM56" i="12"/>
  <c r="FK56" i="12"/>
  <c r="FJ56" i="12"/>
  <c r="FI56" i="12"/>
  <c r="FH56" i="12"/>
  <c r="FG56" i="12"/>
  <c r="FF56" i="12"/>
  <c r="FE56" i="12"/>
  <c r="FD56" i="12"/>
  <c r="FC56" i="12"/>
  <c r="FB56" i="12"/>
  <c r="FA56" i="12"/>
  <c r="EZ56" i="12"/>
  <c r="EY56" i="12"/>
  <c r="EX56" i="12"/>
  <c r="EW56" i="12"/>
  <c r="EV56" i="12"/>
  <c r="EU56" i="12"/>
  <c r="ET56" i="12"/>
  <c r="ES56" i="12"/>
  <c r="ER56" i="12"/>
  <c r="EQ56" i="12"/>
  <c r="EP56" i="12"/>
  <c r="EO56" i="12"/>
  <c r="EN56" i="12"/>
  <c r="EM56" i="12"/>
  <c r="EL56" i="12"/>
  <c r="EK56" i="12"/>
  <c r="EJ56" i="12"/>
  <c r="EI56" i="12"/>
  <c r="EH56" i="12"/>
  <c r="EG56" i="12"/>
  <c r="EF56" i="12"/>
  <c r="EE56" i="12"/>
  <c r="ED56" i="12"/>
  <c r="EC56" i="12"/>
  <c r="EB56" i="12"/>
  <c r="EA56" i="12"/>
  <c r="DZ56" i="12"/>
  <c r="DY56" i="12"/>
  <c r="DX56" i="12"/>
  <c r="DW56" i="12"/>
  <c r="DV56" i="12"/>
  <c r="DU56" i="12"/>
  <c r="DT56" i="12"/>
  <c r="DS56" i="12"/>
  <c r="DR56" i="12"/>
  <c r="DQ56" i="12"/>
  <c r="DP56" i="12"/>
  <c r="DO56" i="12"/>
  <c r="DN56" i="12"/>
  <c r="DM56" i="12"/>
  <c r="DL56" i="12"/>
  <c r="DK56" i="12"/>
  <c r="DJ56" i="12"/>
  <c r="DI56" i="12"/>
  <c r="DH56" i="12"/>
  <c r="DG56" i="12"/>
  <c r="DF56" i="12"/>
  <c r="DE56" i="12"/>
  <c r="DD56" i="12"/>
  <c r="DC56" i="12"/>
  <c r="DB56" i="12"/>
  <c r="DA56" i="12"/>
  <c r="CZ56" i="12"/>
  <c r="CY56" i="12"/>
  <c r="CX56" i="12"/>
  <c r="CW56" i="12"/>
  <c r="CV56" i="12"/>
  <c r="CU56" i="12"/>
  <c r="CT56" i="12"/>
  <c r="CS56" i="12"/>
  <c r="CR56" i="12"/>
  <c r="CQ56" i="12"/>
  <c r="CP56" i="12"/>
  <c r="CO56" i="12"/>
  <c r="CN56" i="12"/>
  <c r="CM56" i="12"/>
  <c r="CL56" i="12"/>
  <c r="CK56" i="12"/>
  <c r="CJ56" i="12"/>
  <c r="CI56" i="12"/>
  <c r="CH56" i="12"/>
  <c r="CG56" i="12"/>
  <c r="CF56" i="12"/>
  <c r="CE56" i="12"/>
  <c r="CD56" i="12"/>
  <c r="CC56" i="12"/>
  <c r="CB56" i="12"/>
  <c r="CA56" i="12"/>
  <c r="BZ56" i="12"/>
  <c r="BY56" i="12"/>
  <c r="BX56" i="12"/>
  <c r="BW56" i="12"/>
  <c r="BV56" i="12"/>
  <c r="BU56" i="12"/>
  <c r="BT56" i="12"/>
  <c r="BS56" i="12"/>
  <c r="BR56" i="12"/>
  <c r="BQ56" i="12"/>
  <c r="BP56" i="12"/>
  <c r="BO56" i="12"/>
  <c r="BN56" i="12"/>
  <c r="BM56" i="12"/>
  <c r="BL56" i="12"/>
  <c r="BK56" i="12"/>
  <c r="BJ56" i="12"/>
  <c r="BI56" i="12"/>
  <c r="BH56" i="12"/>
  <c r="BG56" i="12"/>
  <c r="BF56" i="12"/>
  <c r="BE56" i="12"/>
  <c r="BD56" i="12"/>
  <c r="BC56" i="12"/>
  <c r="BB56" i="12"/>
  <c r="BA56" i="12"/>
  <c r="AZ56" i="12"/>
  <c r="AY56" i="12"/>
  <c r="AX56" i="12"/>
  <c r="AW56" i="12"/>
  <c r="AV56" i="12"/>
  <c r="AU56" i="12"/>
  <c r="AT56" i="12"/>
  <c r="AS56" i="12"/>
  <c r="AR56" i="12"/>
  <c r="AQ56" i="12"/>
  <c r="AP56" i="12"/>
  <c r="AO56" i="12"/>
  <c r="AN56" i="12"/>
  <c r="AM56" i="12"/>
  <c r="AL56" i="12"/>
  <c r="AK56" i="12"/>
  <c r="AJ56" i="12"/>
  <c r="AI56" i="12"/>
  <c r="AH56" i="12"/>
  <c r="AG56" i="12"/>
  <c r="AF56" i="12"/>
  <c r="AE56" i="12"/>
  <c r="AD56" i="12"/>
  <c r="AC56" i="12"/>
  <c r="AB56" i="12"/>
  <c r="AA56" i="12"/>
  <c r="Z56" i="12"/>
  <c r="Y56" i="12"/>
  <c r="X56" i="12"/>
  <c r="W56" i="12"/>
  <c r="V56" i="12"/>
  <c r="U56" i="12"/>
  <c r="T56" i="12"/>
  <c r="S56" i="12"/>
  <c r="R56" i="12"/>
  <c r="HC46" i="12"/>
  <c r="HB46" i="12"/>
  <c r="HA46" i="12"/>
  <c r="GZ46" i="12"/>
  <c r="GY46" i="12"/>
  <c r="GX46" i="12"/>
  <c r="GW46" i="12"/>
  <c r="GV46" i="12"/>
  <c r="GU46" i="12"/>
  <c r="GT46" i="12"/>
  <c r="GS46" i="12"/>
  <c r="GR46" i="12"/>
  <c r="GQ46" i="12"/>
  <c r="GP46" i="12"/>
  <c r="GO46" i="12"/>
  <c r="GN46" i="12"/>
  <c r="GM46" i="12"/>
  <c r="GL46" i="12"/>
  <c r="GK46" i="12"/>
  <c r="GJ46" i="12"/>
  <c r="GI46" i="12"/>
  <c r="GH46" i="12"/>
  <c r="GG46" i="12"/>
  <c r="GF46" i="12"/>
  <c r="GE46" i="12"/>
  <c r="GD46" i="12"/>
  <c r="GC46" i="12"/>
  <c r="GB46" i="12"/>
  <c r="GA46" i="12"/>
  <c r="FZ46" i="12"/>
  <c r="FY46" i="12"/>
  <c r="FX46" i="12"/>
  <c r="FW46" i="12"/>
  <c r="FV46" i="12"/>
  <c r="FU46" i="12"/>
  <c r="FT46" i="12"/>
  <c r="FS46" i="12"/>
  <c r="FR46" i="12"/>
  <c r="FQ46" i="12"/>
  <c r="FP46" i="12"/>
  <c r="FO46" i="12"/>
  <c r="FN46" i="12"/>
  <c r="FM46" i="12"/>
  <c r="FL46" i="12"/>
  <c r="FK46" i="12"/>
  <c r="FJ46" i="12"/>
  <c r="FI46" i="12"/>
  <c r="FH46" i="12"/>
  <c r="FG46" i="12"/>
  <c r="FF46" i="12"/>
  <c r="FE46" i="12"/>
  <c r="FD46" i="12"/>
  <c r="FC46" i="12"/>
  <c r="FB46" i="12"/>
  <c r="FA46" i="12"/>
  <c r="EZ46" i="12"/>
  <c r="EY46" i="12"/>
  <c r="EX46" i="12"/>
  <c r="EW46" i="12"/>
  <c r="EV46" i="12"/>
  <c r="EU46" i="12"/>
  <c r="ET46" i="12"/>
  <c r="ES46" i="12"/>
  <c r="ER46" i="12"/>
  <c r="EQ46" i="12"/>
  <c r="EP46" i="12"/>
  <c r="EO46" i="12"/>
  <c r="EN46" i="12"/>
  <c r="EM46" i="12"/>
  <c r="EL46" i="12"/>
  <c r="EK46" i="12"/>
  <c r="EJ46" i="12"/>
  <c r="EI46" i="12"/>
  <c r="EH46" i="12"/>
  <c r="EG46" i="12"/>
  <c r="EF46" i="12"/>
  <c r="EE46" i="12"/>
  <c r="ED46" i="12"/>
  <c r="EC46" i="12"/>
  <c r="EB46" i="12"/>
  <c r="EA46" i="12"/>
  <c r="DZ46" i="12"/>
  <c r="DY46" i="12"/>
  <c r="DX46" i="12"/>
  <c r="DW46" i="12"/>
  <c r="DV46" i="12"/>
  <c r="DU46" i="12"/>
  <c r="DT46" i="12"/>
  <c r="DS46" i="12"/>
  <c r="DR46" i="12"/>
  <c r="DQ46" i="12"/>
  <c r="DP46" i="12"/>
  <c r="DO46" i="12"/>
  <c r="DN46" i="12"/>
  <c r="DM46" i="12"/>
  <c r="DL46" i="12"/>
  <c r="DK46" i="12"/>
  <c r="DJ46" i="12"/>
  <c r="DI46" i="12"/>
  <c r="DH46" i="12"/>
  <c r="DG46" i="12"/>
  <c r="DF46" i="12"/>
  <c r="DE46" i="12"/>
  <c r="DD46" i="12"/>
  <c r="DC46" i="12"/>
  <c r="DB46" i="12"/>
  <c r="DA46" i="12"/>
  <c r="CZ46" i="12"/>
  <c r="CY46" i="12"/>
  <c r="CX46" i="12"/>
  <c r="CW46" i="12"/>
  <c r="CV46" i="12"/>
  <c r="CU46" i="12"/>
  <c r="CT46" i="12"/>
  <c r="CS46" i="12"/>
  <c r="CR46" i="12"/>
  <c r="CQ46" i="12"/>
  <c r="CP46" i="12"/>
  <c r="CO46" i="12"/>
  <c r="CN46" i="12"/>
  <c r="CM46" i="12"/>
  <c r="CL46" i="12"/>
  <c r="CK46" i="12"/>
  <c r="CJ46" i="12"/>
  <c r="CI46" i="12"/>
  <c r="CH46" i="12"/>
  <c r="CG46" i="12"/>
  <c r="CF46" i="12"/>
  <c r="CE46" i="12"/>
  <c r="CD46" i="12"/>
  <c r="CC46" i="12"/>
  <c r="CB46" i="12"/>
  <c r="CA46" i="12"/>
  <c r="BZ46" i="12"/>
  <c r="BY46" i="12"/>
  <c r="BX46" i="12"/>
  <c r="BW46" i="12"/>
  <c r="BV46" i="12"/>
  <c r="BU46" i="12"/>
  <c r="BT46" i="12"/>
  <c r="BS46" i="12"/>
  <c r="BR46" i="12"/>
  <c r="BQ46" i="12"/>
  <c r="BP46" i="12"/>
  <c r="BO46" i="12"/>
  <c r="BN46" i="12"/>
  <c r="BM46" i="12"/>
  <c r="BL46" i="12"/>
  <c r="BK46" i="12"/>
  <c r="BJ46" i="12"/>
  <c r="BI46" i="12"/>
  <c r="BH46" i="12"/>
  <c r="BG46" i="12"/>
  <c r="BF46" i="12"/>
  <c r="BE46" i="12"/>
  <c r="BD46" i="12"/>
  <c r="BC46" i="12"/>
  <c r="BB46" i="12"/>
  <c r="BA46" i="12"/>
  <c r="AZ46" i="12"/>
  <c r="AY46" i="12"/>
  <c r="AX46" i="12"/>
  <c r="AW46" i="12"/>
  <c r="AV46" i="12"/>
  <c r="AU46" i="12"/>
  <c r="AT46" i="12"/>
  <c r="AS46" i="12"/>
  <c r="AR46" i="12"/>
  <c r="AQ46" i="12"/>
  <c r="AP46" i="12"/>
  <c r="AO46" i="12"/>
  <c r="AN46" i="12"/>
  <c r="AM46" i="12"/>
  <c r="AL46" i="12"/>
  <c r="AK46" i="12"/>
  <c r="AJ46" i="12"/>
  <c r="AI46" i="12"/>
  <c r="AH46" i="12"/>
  <c r="AG46" i="12"/>
  <c r="AF46" i="12"/>
  <c r="AE46" i="12"/>
  <c r="AD46" i="12"/>
  <c r="AC46" i="12"/>
  <c r="AB46" i="12"/>
  <c r="AA46" i="12"/>
  <c r="Z46" i="12"/>
  <c r="Y46" i="12"/>
  <c r="X46" i="12"/>
  <c r="W46" i="12"/>
  <c r="V46" i="12"/>
  <c r="U46" i="12"/>
  <c r="T46" i="12"/>
  <c r="S46" i="12"/>
  <c r="R46" i="12"/>
  <c r="HC25" i="12"/>
  <c r="HB25" i="12"/>
  <c r="HA25" i="12"/>
  <c r="GZ25" i="12"/>
  <c r="GY25" i="12"/>
  <c r="GX25" i="12"/>
  <c r="GW25" i="12"/>
  <c r="GV25" i="12"/>
  <c r="GU25" i="12"/>
  <c r="GT25" i="12"/>
  <c r="GS25" i="12"/>
  <c r="GR25" i="12"/>
  <c r="GQ25" i="12"/>
  <c r="GP25" i="12"/>
  <c r="GO25" i="12"/>
  <c r="GN25" i="12"/>
  <c r="GM25" i="12"/>
  <c r="GL25" i="12"/>
  <c r="GK25" i="12"/>
  <c r="GJ25" i="12"/>
  <c r="GI25" i="12"/>
  <c r="GH25" i="12"/>
  <c r="GG25" i="12"/>
  <c r="GF25" i="12"/>
  <c r="GE25" i="12"/>
  <c r="GD25" i="12"/>
  <c r="GC25" i="12"/>
  <c r="GB25" i="12"/>
  <c r="GA25" i="12"/>
  <c r="FZ25" i="12"/>
  <c r="FY25" i="12"/>
  <c r="FX25" i="12"/>
  <c r="FW25" i="12"/>
  <c r="FV25" i="12"/>
  <c r="FU25" i="12"/>
  <c r="FT25" i="12"/>
  <c r="FS25" i="12"/>
  <c r="FR25" i="12"/>
  <c r="FQ25" i="12"/>
  <c r="FP25" i="12"/>
  <c r="FO25" i="12"/>
  <c r="FN25" i="12"/>
  <c r="FM25" i="12"/>
  <c r="FL25" i="12"/>
  <c r="FK25" i="12"/>
  <c r="FJ25" i="12"/>
  <c r="FI25" i="12"/>
  <c r="FH25" i="12"/>
  <c r="FG25" i="12"/>
  <c r="FF25" i="12"/>
  <c r="FE25" i="12"/>
  <c r="FD25" i="12"/>
  <c r="FC25" i="12"/>
  <c r="FB25" i="12"/>
  <c r="FA25" i="12"/>
  <c r="EZ25" i="12"/>
  <c r="EY25" i="12"/>
  <c r="EX25" i="12"/>
  <c r="EW25" i="12"/>
  <c r="EV25" i="12"/>
  <c r="EU25" i="12"/>
  <c r="ET25" i="12"/>
  <c r="ES25" i="12"/>
  <c r="ER25" i="12"/>
  <c r="EQ25" i="12"/>
  <c r="EP25" i="12"/>
  <c r="EO25" i="12"/>
  <c r="EN25" i="12"/>
  <c r="EM25" i="12"/>
  <c r="EL25" i="12"/>
  <c r="EK25" i="12"/>
  <c r="EJ25" i="12"/>
  <c r="EI25" i="12"/>
  <c r="EH25" i="12"/>
  <c r="EG25" i="12"/>
  <c r="EF25" i="12"/>
  <c r="EE25" i="12"/>
  <c r="ED25" i="12"/>
  <c r="EC25" i="12"/>
  <c r="EB25" i="12"/>
  <c r="EA25" i="12"/>
  <c r="DZ25" i="12"/>
  <c r="DY25" i="12"/>
  <c r="DX25" i="12"/>
  <c r="DW25" i="12"/>
  <c r="DV25" i="12"/>
  <c r="DU25" i="12"/>
  <c r="DT25" i="12"/>
  <c r="DS25" i="12"/>
  <c r="DR25" i="12"/>
  <c r="DQ25" i="12"/>
  <c r="DP25" i="12"/>
  <c r="DO25" i="12"/>
  <c r="DN25" i="12"/>
  <c r="DM25" i="12"/>
  <c r="DL25" i="12"/>
  <c r="DK25" i="12"/>
  <c r="DJ25" i="12"/>
  <c r="DI25" i="12"/>
  <c r="DH25" i="12"/>
  <c r="DG25" i="12"/>
  <c r="DF25" i="12"/>
  <c r="DE25" i="12"/>
  <c r="DD25" i="12"/>
  <c r="DC25" i="12"/>
  <c r="DB25" i="12"/>
  <c r="DA25" i="12"/>
  <c r="CZ25" i="12"/>
  <c r="CY25" i="12"/>
  <c r="CX25" i="12"/>
  <c r="CW25" i="12"/>
  <c r="CV25" i="12"/>
  <c r="CU25" i="12"/>
  <c r="CT25" i="12"/>
  <c r="CS25" i="12"/>
  <c r="CR25" i="12"/>
  <c r="CQ25" i="12"/>
  <c r="CP25" i="12"/>
  <c r="CO25" i="12"/>
  <c r="CN25" i="12"/>
  <c r="CM25" i="12"/>
  <c r="CL25" i="12"/>
  <c r="CK25" i="12"/>
  <c r="CJ25" i="12"/>
  <c r="CI25" i="12"/>
  <c r="CH25" i="12"/>
  <c r="CG25" i="12"/>
  <c r="CF25" i="12"/>
  <c r="CE25" i="12"/>
  <c r="CD25" i="12"/>
  <c r="CC25" i="12"/>
  <c r="CB25" i="12"/>
  <c r="CA25" i="12"/>
  <c r="BZ25" i="12"/>
  <c r="BY25" i="12"/>
  <c r="BX25" i="12"/>
  <c r="BW25" i="12"/>
  <c r="BV25" i="12"/>
  <c r="BU25" i="12"/>
  <c r="BT25" i="12"/>
  <c r="BS25" i="12"/>
  <c r="BR25" i="12"/>
  <c r="BQ25" i="12"/>
  <c r="BP25" i="12"/>
  <c r="BO25" i="12"/>
  <c r="BN25" i="12"/>
  <c r="BM25" i="12"/>
  <c r="BL25" i="12"/>
  <c r="BK25" i="12"/>
  <c r="BJ25" i="12"/>
  <c r="BI25" i="12"/>
  <c r="BH25" i="12"/>
  <c r="BG25" i="12"/>
  <c r="BF25" i="12"/>
  <c r="BE25" i="12"/>
  <c r="BD25" i="12"/>
  <c r="BC25" i="12"/>
  <c r="BB25" i="12"/>
  <c r="BA25" i="12"/>
  <c r="AZ25" i="12"/>
  <c r="AY25" i="12"/>
  <c r="AX25" i="12"/>
  <c r="AW25" i="12"/>
  <c r="AV25" i="12"/>
  <c r="AU25" i="12"/>
  <c r="AT25" i="12"/>
  <c r="AS25" i="12"/>
  <c r="AR25" i="12"/>
  <c r="AQ25" i="12"/>
  <c r="AP25" i="12"/>
  <c r="AO25" i="12"/>
  <c r="AN25" i="12"/>
  <c r="AM25" i="12"/>
  <c r="AL25" i="12"/>
  <c r="AK25" i="12"/>
  <c r="AJ25" i="12"/>
  <c r="AI25" i="12"/>
  <c r="AH25" i="12"/>
  <c r="AG25" i="12"/>
  <c r="AF25" i="12"/>
  <c r="AE25" i="12"/>
  <c r="AD25" i="12"/>
  <c r="AC25" i="12"/>
  <c r="AB25" i="12"/>
  <c r="AA25" i="12"/>
  <c r="Z25" i="12"/>
  <c r="Y25" i="12"/>
  <c r="X25" i="12"/>
  <c r="W25" i="12"/>
  <c r="V25" i="12"/>
  <c r="U25" i="12"/>
  <c r="T25" i="12"/>
  <c r="S25" i="12"/>
  <c r="R25" i="12"/>
  <c r="HC20" i="12"/>
  <c r="HB20" i="12"/>
  <c r="HA20" i="12"/>
  <c r="GZ20" i="12"/>
  <c r="GY20" i="12"/>
  <c r="GX20" i="12"/>
  <c r="GW20" i="12"/>
  <c r="GV20" i="12"/>
  <c r="GU20" i="12"/>
  <c r="GT20" i="12"/>
  <c r="GS20" i="12"/>
  <c r="GR20" i="12"/>
  <c r="GQ20" i="12"/>
  <c r="GP20" i="12"/>
  <c r="GO20" i="12"/>
  <c r="GN20" i="12"/>
  <c r="GM20" i="12"/>
  <c r="GL20" i="12"/>
  <c r="GK20" i="12"/>
  <c r="GJ20" i="12"/>
  <c r="GI20" i="12"/>
  <c r="GH20" i="12"/>
  <c r="GG20" i="12"/>
  <c r="GF20" i="12"/>
  <c r="GE20" i="12"/>
  <c r="GD20" i="12"/>
  <c r="GC20" i="12"/>
  <c r="GB20" i="12"/>
  <c r="GA20" i="12"/>
  <c r="FZ20" i="12"/>
  <c r="FY20" i="12"/>
  <c r="FX20" i="12"/>
  <c r="FW20" i="12"/>
  <c r="FV20" i="12"/>
  <c r="FU20" i="12"/>
  <c r="FT20" i="12"/>
  <c r="FS20" i="12"/>
  <c r="FR20" i="12"/>
  <c r="FQ20" i="12"/>
  <c r="FP20" i="12"/>
  <c r="FO20" i="12"/>
  <c r="FN20" i="12"/>
  <c r="FM20" i="12"/>
  <c r="FL20" i="12"/>
  <c r="FK20" i="12"/>
  <c r="FJ20" i="12"/>
  <c r="FI20" i="12"/>
  <c r="FH20" i="12"/>
  <c r="FG20" i="12"/>
  <c r="FF20" i="12"/>
  <c r="FE20" i="12"/>
  <c r="FD20" i="12"/>
  <c r="FC20" i="12"/>
  <c r="FB20" i="12"/>
  <c r="FA20" i="12"/>
  <c r="EZ20" i="12"/>
  <c r="EY20" i="12"/>
  <c r="EX20" i="12"/>
  <c r="EW20" i="12"/>
  <c r="EV20" i="12"/>
  <c r="EU20" i="12"/>
  <c r="ET20" i="12"/>
  <c r="ES20" i="12"/>
  <c r="ER20" i="12"/>
  <c r="EQ20" i="12"/>
  <c r="EP20" i="12"/>
  <c r="EO20" i="12"/>
  <c r="EN20" i="12"/>
  <c r="EM20" i="12"/>
  <c r="EL20" i="12"/>
  <c r="EK20" i="12"/>
  <c r="EJ20" i="12"/>
  <c r="EI20" i="12"/>
  <c r="EH20" i="12"/>
  <c r="EG20" i="12"/>
  <c r="EF20" i="12"/>
  <c r="EE20" i="12"/>
  <c r="ED20" i="12"/>
  <c r="EC20" i="12"/>
  <c r="EB20" i="12"/>
  <c r="EA20" i="12"/>
  <c r="DZ20" i="12"/>
  <c r="DY20" i="12"/>
  <c r="DX20" i="12"/>
  <c r="DW20" i="12"/>
  <c r="DV20" i="12"/>
  <c r="DU20" i="12"/>
  <c r="DT20" i="12"/>
  <c r="DS20" i="12"/>
  <c r="DR20" i="12"/>
  <c r="DQ20" i="12"/>
  <c r="DP20" i="12"/>
  <c r="DO20" i="12"/>
  <c r="DN20" i="12"/>
  <c r="DM20" i="12"/>
  <c r="DL20" i="12"/>
  <c r="DK20" i="12"/>
  <c r="DJ20" i="12"/>
  <c r="DI20" i="12"/>
  <c r="DH20" i="12"/>
  <c r="DG20" i="12"/>
  <c r="DF20" i="12"/>
  <c r="DE20" i="12"/>
  <c r="DD20" i="12"/>
  <c r="DC20" i="12"/>
  <c r="DB20" i="12"/>
  <c r="DA20" i="12"/>
  <c r="CZ20" i="12"/>
  <c r="CY20" i="12"/>
  <c r="CX20" i="12"/>
  <c r="CW20" i="12"/>
  <c r="CV20" i="12"/>
  <c r="CU20" i="12"/>
  <c r="CT20" i="12"/>
  <c r="CS20" i="12"/>
  <c r="CR20" i="12"/>
  <c r="CQ20" i="12"/>
  <c r="CP20" i="12"/>
  <c r="CO20" i="12"/>
  <c r="CN20" i="12"/>
  <c r="CM20" i="12"/>
  <c r="CL20" i="12"/>
  <c r="CK20" i="12"/>
  <c r="CJ20" i="12"/>
  <c r="CI20" i="12"/>
  <c r="CH20" i="12"/>
  <c r="CG20" i="12"/>
  <c r="CF20" i="12"/>
  <c r="CE20" i="12"/>
  <c r="CD20" i="12"/>
  <c r="CC20" i="12"/>
  <c r="CB20" i="12"/>
  <c r="CA20" i="12"/>
  <c r="BZ20" i="12"/>
  <c r="BY20" i="12"/>
  <c r="BX20" i="12"/>
  <c r="BW20" i="12"/>
  <c r="BV20" i="12"/>
  <c r="BU20" i="12"/>
  <c r="BT20" i="12"/>
  <c r="BS20" i="12"/>
  <c r="BR20" i="12"/>
  <c r="BQ20" i="12"/>
  <c r="BP20" i="12"/>
  <c r="BO20" i="12"/>
  <c r="BN20" i="12"/>
  <c r="BM20" i="12"/>
  <c r="BL20" i="12"/>
  <c r="BK20" i="12"/>
  <c r="BJ20" i="12"/>
  <c r="BI20" i="12"/>
  <c r="BH20" i="12"/>
  <c r="BG20" i="12"/>
  <c r="BF20" i="12"/>
  <c r="BE20" i="12"/>
  <c r="BD20" i="12"/>
  <c r="BC20" i="12"/>
  <c r="BB20" i="12"/>
  <c r="BA20" i="12"/>
  <c r="AZ20" i="12"/>
  <c r="AY20" i="12"/>
  <c r="AX20" i="12"/>
  <c r="AW20" i="12"/>
  <c r="AV20" i="12"/>
  <c r="AU20" i="12"/>
  <c r="AT20" i="12"/>
  <c r="AS20" i="12"/>
  <c r="AR20" i="12"/>
  <c r="AQ20" i="12"/>
  <c r="AP20" i="12"/>
  <c r="AO20" i="12"/>
  <c r="AN20" i="12"/>
  <c r="AM20" i="12"/>
  <c r="AL20" i="12"/>
  <c r="AK20" i="12"/>
  <c r="AJ20" i="12"/>
  <c r="AI20" i="12"/>
  <c r="AH20" i="12"/>
  <c r="AG20" i="12"/>
  <c r="AF20" i="12"/>
  <c r="AE20" i="12"/>
  <c r="AD20" i="12"/>
  <c r="AC20" i="12"/>
  <c r="AB20" i="12"/>
  <c r="AA20" i="12"/>
  <c r="Z20" i="12"/>
  <c r="Y20" i="12"/>
  <c r="X20" i="12"/>
  <c r="W20" i="12"/>
  <c r="V20" i="12"/>
  <c r="U20" i="12"/>
  <c r="T20" i="12"/>
  <c r="S20" i="12"/>
  <c r="R20" i="12"/>
  <c r="HC16" i="12"/>
  <c r="HB16" i="12"/>
  <c r="HA16" i="12"/>
  <c r="GZ16" i="12"/>
  <c r="GY16" i="12"/>
  <c r="GX16" i="12"/>
  <c r="GW16" i="12"/>
  <c r="GV16" i="12"/>
  <c r="GU16" i="12"/>
  <c r="GT16" i="12"/>
  <c r="GS16" i="12"/>
  <c r="GR16" i="12"/>
  <c r="GQ16" i="12"/>
  <c r="GP16" i="12"/>
  <c r="GO16" i="12"/>
  <c r="GN16" i="12"/>
  <c r="GM16" i="12"/>
  <c r="GL16" i="12"/>
  <c r="GK16" i="12"/>
  <c r="GJ16" i="12"/>
  <c r="GI16" i="12"/>
  <c r="GH16" i="12"/>
  <c r="GG16" i="12"/>
  <c r="GF16" i="12"/>
  <c r="GE16" i="12"/>
  <c r="GD16" i="12"/>
  <c r="GC16" i="12"/>
  <c r="GB16" i="12"/>
  <c r="GA16" i="12"/>
  <c r="FZ16" i="12"/>
  <c r="FY16" i="12"/>
  <c r="FX16" i="12"/>
  <c r="FW16" i="12"/>
  <c r="FV16" i="12"/>
  <c r="FU16" i="12"/>
  <c r="FT16" i="12"/>
  <c r="FS16" i="12"/>
  <c r="FR16" i="12"/>
  <c r="FQ16" i="12"/>
  <c r="FP16" i="12"/>
  <c r="FO16" i="12"/>
  <c r="FN16" i="12"/>
  <c r="FM16" i="12"/>
  <c r="FL16" i="12"/>
  <c r="FK16" i="12"/>
  <c r="FJ16" i="12"/>
  <c r="FI16" i="12"/>
  <c r="FH16" i="12"/>
  <c r="FG16" i="12"/>
  <c r="FF16" i="12"/>
  <c r="FE16" i="12"/>
  <c r="FD16" i="12"/>
  <c r="FC16" i="12"/>
  <c r="FB16" i="12"/>
  <c r="FA16" i="12"/>
  <c r="EZ16" i="12"/>
  <c r="EY16" i="12"/>
  <c r="EX16" i="12"/>
  <c r="EW16" i="12"/>
  <c r="EV16" i="12"/>
  <c r="EU16" i="12"/>
  <c r="ET16" i="12"/>
  <c r="ES16" i="12"/>
  <c r="ER16" i="12"/>
  <c r="EQ16" i="12"/>
  <c r="EP16" i="12"/>
  <c r="EO16" i="12"/>
  <c r="EN16" i="12"/>
  <c r="EM16" i="12"/>
  <c r="EL16" i="12"/>
  <c r="EK16" i="12"/>
  <c r="EJ16" i="12"/>
  <c r="EI16" i="12"/>
  <c r="EH16" i="12"/>
  <c r="EG16" i="12"/>
  <c r="EF16" i="12"/>
  <c r="EE16" i="12"/>
  <c r="ED16" i="12"/>
  <c r="EC16" i="12"/>
  <c r="EB16" i="12"/>
  <c r="EA16" i="12"/>
  <c r="DZ16" i="12"/>
  <c r="DY16" i="12"/>
  <c r="DX16" i="12"/>
  <c r="DW16" i="12"/>
  <c r="DV16" i="12"/>
  <c r="DU16" i="12"/>
  <c r="DT16" i="12"/>
  <c r="DS16" i="12"/>
  <c r="DR16" i="12"/>
  <c r="DQ16" i="12"/>
  <c r="DP16" i="12"/>
  <c r="DO16" i="12"/>
  <c r="DN16" i="12"/>
  <c r="DM16" i="12"/>
  <c r="DL16" i="12"/>
  <c r="DK16" i="12"/>
  <c r="DJ16" i="12"/>
  <c r="DI16" i="12"/>
  <c r="DH16" i="12"/>
  <c r="DG16" i="12"/>
  <c r="DF16" i="12"/>
  <c r="DE16" i="12"/>
  <c r="DD16" i="12"/>
  <c r="DC16" i="12"/>
  <c r="DB16" i="12"/>
  <c r="DA16" i="12"/>
  <c r="CZ16" i="12"/>
  <c r="CY16" i="12"/>
  <c r="CX16" i="12"/>
  <c r="CW16" i="12"/>
  <c r="CV16" i="12"/>
  <c r="CU16" i="12"/>
  <c r="CT16" i="12"/>
  <c r="CS16" i="12"/>
  <c r="CR16" i="12"/>
  <c r="CQ16" i="12"/>
  <c r="CP16" i="12"/>
  <c r="CO16" i="12"/>
  <c r="CN16" i="12"/>
  <c r="CM16" i="12"/>
  <c r="CL16" i="12"/>
  <c r="CK16" i="12"/>
  <c r="CJ16" i="12"/>
  <c r="CI16" i="12"/>
  <c r="CH16" i="12"/>
  <c r="CG16" i="12"/>
  <c r="CF16" i="12"/>
  <c r="CE16" i="12"/>
  <c r="CD16" i="12"/>
  <c r="CC16" i="12"/>
  <c r="CB16" i="12"/>
  <c r="CA16" i="12"/>
  <c r="BZ16" i="12"/>
  <c r="BY16" i="12"/>
  <c r="BX16" i="12"/>
  <c r="BW16" i="12"/>
  <c r="BV16" i="12"/>
  <c r="BU16" i="12"/>
  <c r="BT16" i="12"/>
  <c r="BS16" i="12"/>
  <c r="BR16" i="12"/>
  <c r="BQ16" i="12"/>
  <c r="BP16" i="12"/>
  <c r="BO16" i="12"/>
  <c r="BN16" i="12"/>
  <c r="BM16" i="12"/>
  <c r="BL16" i="12"/>
  <c r="BK16" i="12"/>
  <c r="BJ16" i="12"/>
  <c r="BI16" i="12"/>
  <c r="BH16" i="12"/>
  <c r="BG16" i="12"/>
  <c r="BF16" i="12"/>
  <c r="BE16" i="12"/>
  <c r="BD16" i="12"/>
  <c r="BC16" i="12"/>
  <c r="BB16" i="12"/>
  <c r="BA16" i="12"/>
  <c r="AZ16" i="12"/>
  <c r="AY16" i="12"/>
  <c r="AX16" i="12"/>
  <c r="AW16" i="12"/>
  <c r="AV16" i="12"/>
  <c r="AU16" i="12"/>
  <c r="AT16" i="12"/>
  <c r="AS16" i="12"/>
  <c r="AR16" i="12"/>
  <c r="AQ16" i="12"/>
  <c r="AP16" i="12"/>
  <c r="AO16" i="12"/>
  <c r="AN16" i="12"/>
  <c r="AM16" i="12"/>
  <c r="AL16" i="12"/>
  <c r="AK16" i="12"/>
  <c r="AJ16" i="12"/>
  <c r="AI16" i="12"/>
  <c r="AH16" i="12"/>
  <c r="AG16" i="12"/>
  <c r="AF16" i="12"/>
  <c r="AE16" i="12"/>
  <c r="AD16" i="12"/>
  <c r="AC16" i="12"/>
  <c r="AB16" i="12"/>
  <c r="AA16" i="12"/>
  <c r="Z16" i="12"/>
  <c r="Y16" i="12"/>
  <c r="X16" i="12"/>
  <c r="W16" i="12"/>
  <c r="V16" i="12"/>
  <c r="U16" i="12"/>
  <c r="T16" i="12"/>
  <c r="S16" i="12"/>
  <c r="R16" i="12"/>
  <c r="HC12" i="12"/>
  <c r="HB12" i="12"/>
  <c r="HA12" i="12"/>
  <c r="GZ12" i="12"/>
  <c r="GY12" i="12"/>
  <c r="GX12" i="12"/>
  <c r="GW12" i="12"/>
  <c r="GV12" i="12"/>
  <c r="GU12" i="12"/>
  <c r="GT12" i="12"/>
  <c r="GS12" i="12"/>
  <c r="GR12" i="12"/>
  <c r="GQ12" i="12"/>
  <c r="GP12" i="12"/>
  <c r="GO12" i="12"/>
  <c r="GN12" i="12"/>
  <c r="GM12" i="12"/>
  <c r="GL12" i="12"/>
  <c r="GK12" i="12"/>
  <c r="GJ12" i="12"/>
  <c r="GI12" i="12"/>
  <c r="GH12" i="12"/>
  <c r="GG12" i="12"/>
  <c r="GF12" i="12"/>
  <c r="GE12" i="12"/>
  <c r="GD12" i="12"/>
  <c r="GC12" i="12"/>
  <c r="GB12" i="12"/>
  <c r="GA12" i="12"/>
  <c r="FZ12" i="12"/>
  <c r="FY12" i="12"/>
  <c r="FX12" i="12"/>
  <c r="FW12" i="12"/>
  <c r="FV12" i="12"/>
  <c r="FU12" i="12"/>
  <c r="FT12" i="12"/>
  <c r="FS12" i="12"/>
  <c r="FR12" i="12"/>
  <c r="FQ12" i="12"/>
  <c r="FP12" i="12"/>
  <c r="FO12" i="12"/>
  <c r="FN12" i="12"/>
  <c r="FM12" i="12"/>
  <c r="FL12" i="12"/>
  <c r="FK12" i="12"/>
  <c r="FJ12" i="12"/>
  <c r="FI12" i="12"/>
  <c r="FH12" i="12"/>
  <c r="FG12" i="12"/>
  <c r="FF12" i="12"/>
  <c r="FE12" i="12"/>
  <c r="FD12" i="12"/>
  <c r="FC12" i="12"/>
  <c r="FB12" i="12"/>
  <c r="FA12" i="12"/>
  <c r="EZ12" i="12"/>
  <c r="EY12" i="12"/>
  <c r="EX12" i="12"/>
  <c r="EW12" i="12"/>
  <c r="EV12" i="12"/>
  <c r="EU12" i="12"/>
  <c r="ET12" i="12"/>
  <c r="ES12" i="12"/>
  <c r="ER12" i="12"/>
  <c r="EQ12" i="12"/>
  <c r="EP12" i="12"/>
  <c r="EO12" i="12"/>
  <c r="EN12" i="12"/>
  <c r="EM12" i="12"/>
  <c r="EL12" i="12"/>
  <c r="EK12" i="12"/>
  <c r="EJ12" i="12"/>
  <c r="EI12" i="12"/>
  <c r="EH12" i="12"/>
  <c r="EG12" i="12"/>
  <c r="EF12" i="12"/>
  <c r="EE12" i="12"/>
  <c r="ED12" i="12"/>
  <c r="EC12" i="12"/>
  <c r="EB12" i="12"/>
  <c r="EA12" i="12"/>
  <c r="DZ12" i="12"/>
  <c r="DY12" i="12"/>
  <c r="DX12" i="12"/>
  <c r="DW12" i="12"/>
  <c r="DV12" i="12"/>
  <c r="DU12" i="12"/>
  <c r="DT12" i="12"/>
  <c r="DS12" i="12"/>
  <c r="DR12" i="12"/>
  <c r="DQ12" i="12"/>
  <c r="DP12" i="12"/>
  <c r="DO12" i="12"/>
  <c r="DN12" i="12"/>
  <c r="DM12" i="12"/>
  <c r="DL12" i="12"/>
  <c r="DK12" i="12"/>
  <c r="DJ12" i="12"/>
  <c r="DI12" i="12"/>
  <c r="DH12" i="12"/>
  <c r="DG12" i="12"/>
  <c r="DF12" i="12"/>
  <c r="DE12" i="12"/>
  <c r="DD12" i="12"/>
  <c r="DC12" i="12"/>
  <c r="DB12" i="12"/>
  <c r="DA12" i="12"/>
  <c r="CZ12" i="12"/>
  <c r="CY12" i="12"/>
  <c r="CX12" i="12"/>
  <c r="CW12" i="12"/>
  <c r="CV12" i="12"/>
  <c r="CU12" i="12"/>
  <c r="CT12" i="12"/>
  <c r="CS12" i="12"/>
  <c r="CR12" i="12"/>
  <c r="CQ12" i="12"/>
  <c r="CP12" i="12"/>
  <c r="CO12" i="12"/>
  <c r="CN12" i="12"/>
  <c r="CM12" i="12"/>
  <c r="CL12" i="12"/>
  <c r="CK12" i="12"/>
  <c r="CJ12" i="12"/>
  <c r="CI12" i="12"/>
  <c r="CH12" i="12"/>
  <c r="CG12" i="12"/>
  <c r="CF12" i="12"/>
  <c r="CE12" i="12"/>
  <c r="CD12" i="12"/>
  <c r="CC12" i="12"/>
  <c r="CB12" i="12"/>
  <c r="CA12" i="12"/>
  <c r="BZ12" i="12"/>
  <c r="BY12" i="12"/>
  <c r="BX12" i="12"/>
  <c r="BW12" i="12"/>
  <c r="BV12" i="12"/>
  <c r="BU12" i="12"/>
  <c r="BT12" i="12"/>
  <c r="BS12" i="12"/>
  <c r="BR12" i="12"/>
  <c r="BQ12" i="12"/>
  <c r="BP12" i="12"/>
  <c r="BO12" i="12"/>
  <c r="BN12" i="12"/>
  <c r="BM12" i="12"/>
  <c r="BL12" i="12"/>
  <c r="BK12" i="12"/>
  <c r="BJ12" i="12"/>
  <c r="BI12" i="12"/>
  <c r="BH12" i="12"/>
  <c r="BG12" i="12"/>
  <c r="BF12" i="12"/>
  <c r="BE12" i="12"/>
  <c r="BD12" i="12"/>
  <c r="BC12" i="12"/>
  <c r="BB12" i="12"/>
  <c r="BA12" i="12"/>
  <c r="AZ12" i="12"/>
  <c r="AY12" i="12"/>
  <c r="AX12" i="12"/>
  <c r="AW12" i="12"/>
  <c r="AV12" i="12"/>
  <c r="AU12" i="12"/>
  <c r="AT12" i="12"/>
  <c r="AS12" i="12"/>
  <c r="AR12" i="12"/>
  <c r="AQ12" i="12"/>
  <c r="AP12" i="12"/>
  <c r="AO12" i="12"/>
  <c r="AN12" i="12"/>
  <c r="AM12" i="12"/>
  <c r="AL12" i="12"/>
  <c r="AK12" i="12"/>
  <c r="AJ12" i="12"/>
  <c r="AI12" i="12"/>
  <c r="AH12" i="12"/>
  <c r="AG12" i="12"/>
  <c r="AF12" i="12"/>
  <c r="AE12" i="12"/>
  <c r="AD12" i="12"/>
  <c r="AC12" i="12"/>
  <c r="AB12" i="12"/>
  <c r="AA12" i="12"/>
  <c r="Z12" i="12"/>
  <c r="Y12" i="12"/>
  <c r="X12" i="12"/>
  <c r="W12" i="12"/>
  <c r="V12" i="12"/>
  <c r="U12" i="12"/>
  <c r="T12" i="12"/>
  <c r="S12" i="12"/>
  <c r="R12" i="12"/>
  <c r="HC7" i="12"/>
  <c r="HB7" i="12"/>
  <c r="HA7" i="12"/>
  <c r="GZ7" i="12"/>
  <c r="GY7" i="12"/>
  <c r="GX7" i="12"/>
  <c r="GW7" i="12"/>
  <c r="GV7" i="12"/>
  <c r="GU7" i="12"/>
  <c r="GT7" i="12"/>
  <c r="GS7" i="12"/>
  <c r="GR7" i="12"/>
  <c r="GQ7" i="12"/>
  <c r="GP7" i="12"/>
  <c r="GO7" i="12"/>
  <c r="GN7" i="12"/>
  <c r="GM7" i="12"/>
  <c r="GL7" i="12"/>
  <c r="GK7" i="12"/>
  <c r="GJ7" i="12"/>
  <c r="GI7" i="12"/>
  <c r="GH7" i="12"/>
  <c r="GG7" i="12"/>
  <c r="GF7" i="12"/>
  <c r="GE7" i="12"/>
  <c r="GD7" i="12"/>
  <c r="GC7" i="12"/>
  <c r="GB7" i="12"/>
  <c r="GA7" i="12"/>
  <c r="FZ7" i="12"/>
  <c r="FY7" i="12"/>
  <c r="FX7" i="12"/>
  <c r="FW7" i="12"/>
  <c r="FV7" i="12"/>
  <c r="FU7" i="12"/>
  <c r="FT7" i="12"/>
  <c r="FS7" i="12"/>
  <c r="FR7" i="12"/>
  <c r="FQ7" i="12"/>
  <c r="FP7" i="12"/>
  <c r="FO7" i="12"/>
  <c r="FN7" i="12"/>
  <c r="FM7" i="12"/>
  <c r="FL7" i="12"/>
  <c r="FK7" i="12"/>
  <c r="FJ7" i="12"/>
  <c r="FI7" i="12"/>
  <c r="FH7" i="12"/>
  <c r="FG7" i="12"/>
  <c r="FF7" i="12"/>
  <c r="FE7" i="12"/>
  <c r="FD7" i="12"/>
  <c r="FC7" i="12"/>
  <c r="FB7" i="12"/>
  <c r="FA7" i="12"/>
  <c r="EZ7" i="12"/>
  <c r="EY7" i="12"/>
  <c r="EX7" i="12"/>
  <c r="EW7" i="12"/>
  <c r="EV7" i="12"/>
  <c r="EU7" i="12"/>
  <c r="ET7" i="12"/>
  <c r="ES7" i="12"/>
  <c r="ER7" i="12"/>
  <c r="EQ7" i="12"/>
  <c r="EP7" i="12"/>
  <c r="EO7" i="12"/>
  <c r="EN7" i="12"/>
  <c r="EM7" i="12"/>
  <c r="EL7" i="12"/>
  <c r="EK7" i="12"/>
  <c r="EJ7" i="12"/>
  <c r="EI7" i="12"/>
  <c r="EH7" i="12"/>
  <c r="EG7" i="12"/>
  <c r="EF7" i="12"/>
  <c r="EE7" i="12"/>
  <c r="ED7" i="12"/>
  <c r="EC7" i="12"/>
  <c r="EB7" i="12"/>
  <c r="EA7" i="12"/>
  <c r="DZ7" i="12"/>
  <c r="DY7" i="12"/>
  <c r="DX7" i="12"/>
  <c r="DW7" i="12"/>
  <c r="DV7" i="12"/>
  <c r="DU7" i="12"/>
  <c r="DT7" i="12"/>
  <c r="DS7" i="12"/>
  <c r="DR7" i="12"/>
  <c r="DQ7" i="12"/>
  <c r="DP7" i="12"/>
  <c r="DO7" i="12"/>
  <c r="DN7" i="12"/>
  <c r="DM7" i="12"/>
  <c r="DL7" i="12"/>
  <c r="DK7" i="12"/>
  <c r="DJ7" i="12"/>
  <c r="DI7" i="12"/>
  <c r="DH7" i="12"/>
  <c r="DG7" i="12"/>
  <c r="DF7" i="12"/>
  <c r="DE7" i="12"/>
  <c r="DD7" i="12"/>
  <c r="DC7" i="12"/>
  <c r="DB7" i="12"/>
  <c r="DA7" i="12"/>
  <c r="CZ7" i="12"/>
  <c r="CY7" i="12"/>
  <c r="CX7" i="12"/>
  <c r="CW7" i="12"/>
  <c r="CV7" i="12"/>
  <c r="CU7" i="12"/>
  <c r="CT7" i="12"/>
  <c r="CS7" i="12"/>
  <c r="CR7" i="12"/>
  <c r="CQ7" i="12"/>
  <c r="CP7" i="12"/>
  <c r="CO7" i="12"/>
  <c r="CN7" i="12"/>
  <c r="CM7" i="12"/>
  <c r="CL7" i="12"/>
  <c r="CK7" i="12"/>
  <c r="CJ7" i="12"/>
  <c r="CI7" i="12"/>
  <c r="CH7" i="12"/>
  <c r="CG7" i="12"/>
  <c r="CF7" i="12"/>
  <c r="CE7" i="12"/>
  <c r="CD7" i="12"/>
  <c r="CC7" i="12"/>
  <c r="CB7" i="12"/>
  <c r="CA7" i="12"/>
  <c r="BZ7" i="12"/>
  <c r="BY7" i="12"/>
  <c r="BX7" i="12"/>
  <c r="BW7" i="12"/>
  <c r="BV7" i="12"/>
  <c r="BU7" i="12"/>
  <c r="BT7" i="12"/>
  <c r="BS7" i="12"/>
  <c r="BR7" i="12"/>
  <c r="BQ7" i="12"/>
  <c r="BP7" i="12"/>
  <c r="BO7" i="12"/>
  <c r="BN7" i="12"/>
  <c r="BM7" i="12"/>
  <c r="BL7" i="12"/>
  <c r="BK7" i="12"/>
  <c r="BJ7" i="12"/>
  <c r="BI7" i="12"/>
  <c r="BH7" i="12"/>
  <c r="BG7" i="12"/>
  <c r="BF7" i="12"/>
  <c r="BE7" i="12"/>
  <c r="BD7" i="12"/>
  <c r="BC7" i="12"/>
  <c r="BB7" i="12"/>
  <c r="BA7" i="12"/>
  <c r="AZ7" i="12"/>
  <c r="AY7" i="12"/>
  <c r="AX7" i="12"/>
  <c r="AW7" i="12"/>
  <c r="AV7" i="12"/>
  <c r="AU7" i="12"/>
  <c r="AT7" i="12"/>
  <c r="AS7" i="12"/>
  <c r="AR7" i="12"/>
  <c r="AQ7" i="12"/>
  <c r="AP7" i="12"/>
  <c r="AO7" i="12"/>
  <c r="AN7" i="12"/>
  <c r="AM7" i="12"/>
  <c r="AL7" i="12"/>
  <c r="AK7" i="12"/>
  <c r="AJ7" i="12"/>
  <c r="AI7" i="12"/>
  <c r="AH7" i="12"/>
  <c r="AG7" i="12"/>
  <c r="AF7" i="12"/>
  <c r="AE7" i="12"/>
  <c r="AD7" i="12"/>
  <c r="AC7" i="12"/>
  <c r="AB7" i="12"/>
  <c r="AA7" i="12"/>
  <c r="Z7" i="12"/>
  <c r="Y7" i="12"/>
  <c r="X7" i="12"/>
  <c r="W7" i="12"/>
  <c r="V7" i="12"/>
  <c r="U7" i="12"/>
  <c r="T7" i="12"/>
  <c r="S7" i="12"/>
  <c r="R7" i="12"/>
  <c r="HC96" i="12" l="1"/>
  <c r="GX96" i="12"/>
  <c r="GN96" i="12"/>
  <c r="GM96" i="12"/>
  <c r="GA96" i="12"/>
  <c r="FW90" i="12"/>
  <c r="FS96" i="12"/>
  <c r="FQ96" i="12"/>
  <c r="EW96" i="12"/>
  <c r="EU96" i="12"/>
  <c r="EI96" i="12"/>
  <c r="EE96" i="12"/>
  <c r="EC96" i="12"/>
  <c r="DO96" i="12"/>
  <c r="DL96" i="12"/>
  <c r="DA96" i="12"/>
  <c r="CW96" i="12"/>
  <c r="CS96" i="12"/>
  <c r="CQ96" i="12"/>
  <c r="CP96" i="12"/>
  <c r="CM96" i="12"/>
  <c r="CJ96" i="12"/>
  <c r="CD96" i="12"/>
  <c r="BT96" i="12"/>
  <c r="BS96" i="12"/>
  <c r="BJ96" i="12"/>
  <c r="BI96" i="12"/>
  <c r="BG96" i="12"/>
  <c r="BE96" i="12"/>
  <c r="BC96" i="12"/>
  <c r="BA96" i="12"/>
  <c r="AO96" i="12"/>
  <c r="AK96" i="12"/>
  <c r="AC96" i="12"/>
  <c r="V96" i="12"/>
  <c r="R96" i="12"/>
  <c r="HC90" i="12"/>
  <c r="HB90" i="12"/>
  <c r="HA90" i="12"/>
  <c r="GZ90" i="12"/>
  <c r="GY90" i="12"/>
  <c r="GX90" i="12"/>
  <c r="GW90" i="12"/>
  <c r="GV90" i="12"/>
  <c r="GU90" i="12"/>
  <c r="GT90" i="12"/>
  <c r="GS90" i="12"/>
  <c r="GR90" i="12"/>
  <c r="GQ90" i="12"/>
  <c r="GP90" i="12"/>
  <c r="GO90" i="12"/>
  <c r="GN90" i="12"/>
  <c r="GM90" i="12"/>
  <c r="GL90" i="12"/>
  <c r="GK90" i="12"/>
  <c r="GJ90" i="12"/>
  <c r="GI90" i="12"/>
  <c r="GH90" i="12"/>
  <c r="GG90" i="12"/>
  <c r="GF90" i="12"/>
  <c r="GE90" i="12"/>
  <c r="GD90" i="12"/>
  <c r="GC90" i="12"/>
  <c r="GB90" i="12"/>
  <c r="GA90" i="12"/>
  <c r="FZ90" i="12"/>
  <c r="FY90" i="12"/>
  <c r="FX90" i="12"/>
  <c r="FV90" i="12"/>
  <c r="FU90" i="12"/>
  <c r="FT90" i="12"/>
  <c r="FS90" i="12"/>
  <c r="FR90" i="12"/>
  <c r="FQ90" i="12"/>
  <c r="FP90" i="12"/>
  <c r="FO90" i="12"/>
  <c r="FN90" i="12"/>
  <c r="FM90" i="12"/>
  <c r="FL90" i="12"/>
  <c r="FK90" i="12"/>
  <c r="FJ90" i="12"/>
  <c r="FI90" i="12"/>
  <c r="FH90" i="12"/>
  <c r="FG90" i="12"/>
  <c r="FF90" i="12"/>
  <c r="FE90" i="12"/>
  <c r="FD90" i="12"/>
  <c r="FC90" i="12"/>
  <c r="FB90" i="12"/>
  <c r="FA90" i="12"/>
  <c r="EZ90" i="12"/>
  <c r="EY90" i="12"/>
  <c r="EX90" i="12"/>
  <c r="EW90" i="12"/>
  <c r="EV90" i="12"/>
  <c r="EU90" i="12"/>
  <c r="ET90" i="12"/>
  <c r="ES90" i="12"/>
  <c r="ER90" i="12"/>
  <c r="EQ90" i="12"/>
  <c r="EP90" i="12"/>
  <c r="EO90" i="12"/>
  <c r="EN90" i="12"/>
  <c r="EM90" i="12"/>
  <c r="EL90" i="12"/>
  <c r="EK90" i="12"/>
  <c r="EJ90" i="12"/>
  <c r="EI90" i="12"/>
  <c r="EH90" i="12"/>
  <c r="EG90" i="12"/>
  <c r="EF90" i="12"/>
  <c r="EE90" i="12"/>
  <c r="ED90" i="12"/>
  <c r="EC90" i="12"/>
  <c r="EB90" i="12"/>
  <c r="EA90" i="12"/>
  <c r="DZ90" i="12"/>
  <c r="DY90" i="12"/>
  <c r="DX90" i="12"/>
  <c r="DW90" i="12"/>
  <c r="DV90" i="12"/>
  <c r="DU90" i="12"/>
  <c r="DT90" i="12"/>
  <c r="DS90" i="12"/>
  <c r="DR90" i="12"/>
  <c r="DQ90" i="12"/>
  <c r="DP90" i="12"/>
  <c r="DO90" i="12"/>
  <c r="DN90" i="12"/>
  <c r="DM90" i="12"/>
  <c r="DL90" i="12"/>
  <c r="DK90" i="12"/>
  <c r="DJ90" i="12"/>
  <c r="DI90" i="12"/>
  <c r="DH90" i="12"/>
  <c r="DG90" i="12"/>
  <c r="DF90" i="12"/>
  <c r="DE90" i="12"/>
  <c r="DD90" i="12"/>
  <c r="DC90" i="12"/>
  <c r="DB90" i="12"/>
  <c r="DA90" i="12"/>
  <c r="CZ90" i="12"/>
  <c r="CY90" i="12"/>
  <c r="CX90" i="12"/>
  <c r="CW90" i="12"/>
  <c r="CV90" i="12"/>
  <c r="CU90" i="12"/>
  <c r="CT90" i="12"/>
  <c r="CS90" i="12"/>
  <c r="CR90" i="12"/>
  <c r="CQ90" i="12"/>
  <c r="CP90" i="12"/>
  <c r="CO90" i="12"/>
  <c r="CN90" i="12"/>
  <c r="CM90" i="12"/>
  <c r="CL90" i="12"/>
  <c r="CK90" i="12"/>
  <c r="CJ90" i="12"/>
  <c r="CI90" i="12"/>
  <c r="CH90" i="12"/>
  <c r="CG90" i="12"/>
  <c r="CF90" i="12"/>
  <c r="CE90" i="12"/>
  <c r="CD90" i="12"/>
  <c r="CC90" i="12"/>
  <c r="CB90" i="12"/>
  <c r="CA90" i="12"/>
  <c r="BZ90" i="12"/>
  <c r="BY90" i="12"/>
  <c r="BX90" i="12"/>
  <c r="BW90" i="12"/>
  <c r="BV90" i="12"/>
  <c r="BU90" i="12"/>
  <c r="BT90" i="12"/>
  <c r="BS90" i="12"/>
  <c r="BR90" i="12"/>
  <c r="BQ90" i="12"/>
  <c r="BP90" i="12"/>
  <c r="BO90" i="12"/>
  <c r="BN90" i="12"/>
  <c r="BM90" i="12"/>
  <c r="BL90" i="12"/>
  <c r="BK90" i="12"/>
  <c r="BJ90" i="12"/>
  <c r="BI90" i="12"/>
  <c r="BH90" i="12"/>
  <c r="BG90" i="12"/>
  <c r="BF90" i="12"/>
  <c r="BE90" i="12"/>
  <c r="BD90" i="12"/>
  <c r="BC90" i="12"/>
  <c r="BB90" i="12"/>
  <c r="BA90" i="12"/>
  <c r="AZ90" i="12"/>
  <c r="AY90" i="12"/>
  <c r="AX90" i="12"/>
  <c r="AW90" i="12"/>
  <c r="AV90" i="12"/>
  <c r="AU90" i="12"/>
  <c r="AT90" i="12"/>
  <c r="AS90" i="12"/>
  <c r="AR90" i="12"/>
  <c r="AQ90" i="12"/>
  <c r="AP90" i="12"/>
  <c r="AO90" i="12"/>
  <c r="AN90" i="12"/>
  <c r="AM90" i="12"/>
  <c r="AL90" i="12"/>
  <c r="AK90" i="12"/>
  <c r="AJ90" i="12"/>
  <c r="AI90" i="12"/>
  <c r="AH90" i="12"/>
  <c r="AG90" i="12"/>
  <c r="AF90" i="12"/>
  <c r="AE90" i="12"/>
  <c r="AD90" i="12"/>
  <c r="AC90" i="12"/>
  <c r="AB90" i="12"/>
  <c r="AA90" i="12"/>
  <c r="Z90" i="12"/>
  <c r="Y90" i="12"/>
  <c r="X90" i="12"/>
  <c r="W90" i="12"/>
  <c r="V90" i="12"/>
  <c r="U90" i="12"/>
  <c r="T90" i="12"/>
  <c r="S90" i="12"/>
  <c r="R90" i="12"/>
  <c r="HC89" i="12"/>
  <c r="HB89" i="12"/>
  <c r="HA89" i="12"/>
  <c r="GZ89" i="12"/>
  <c r="GY89" i="12"/>
  <c r="GX89" i="12"/>
  <c r="GW89" i="12"/>
  <c r="GV89" i="12"/>
  <c r="GU89" i="12"/>
  <c r="GT89" i="12"/>
  <c r="GS89" i="12"/>
  <c r="GR89" i="12"/>
  <c r="GQ89" i="12"/>
  <c r="GP89" i="12"/>
  <c r="GO89" i="12"/>
  <c r="GN89" i="12"/>
  <c r="GM89" i="12"/>
  <c r="GL89" i="12"/>
  <c r="GK89" i="12"/>
  <c r="GJ89" i="12"/>
  <c r="GI89" i="12"/>
  <c r="GH89" i="12"/>
  <c r="GG89" i="12"/>
  <c r="GF89" i="12"/>
  <c r="GE89" i="12"/>
  <c r="GD89" i="12"/>
  <c r="GC89" i="12"/>
  <c r="GB89" i="12"/>
  <c r="GA89" i="12"/>
  <c r="FZ89" i="12"/>
  <c r="FY89" i="12"/>
  <c r="FX89" i="12"/>
  <c r="FW89" i="12"/>
  <c r="FV89" i="12"/>
  <c r="FU89" i="12"/>
  <c r="FT89" i="12"/>
  <c r="FS89" i="12"/>
  <c r="FR89" i="12"/>
  <c r="FQ89" i="12"/>
  <c r="FP89" i="12"/>
  <c r="FO89" i="12"/>
  <c r="FN89" i="12"/>
  <c r="FM89" i="12"/>
  <c r="FL89" i="12"/>
  <c r="FK89" i="12"/>
  <c r="FJ89" i="12"/>
  <c r="FI89" i="12"/>
  <c r="FH89" i="12"/>
  <c r="FG89" i="12"/>
  <c r="FF89" i="12"/>
  <c r="FE89" i="12"/>
  <c r="FD89" i="12"/>
  <c r="FC89" i="12"/>
  <c r="FB89" i="12"/>
  <c r="FA89" i="12"/>
  <c r="EZ89" i="12"/>
  <c r="EY89" i="12"/>
  <c r="EX89" i="12"/>
  <c r="EW89" i="12"/>
  <c r="EV89" i="12"/>
  <c r="EU89" i="12"/>
  <c r="ET89" i="12"/>
  <c r="ES89" i="12"/>
  <c r="ER89" i="12"/>
  <c r="EQ89" i="12"/>
  <c r="EP89" i="12"/>
  <c r="EO89" i="12"/>
  <c r="EN89" i="12"/>
  <c r="EM89" i="12"/>
  <c r="EL89" i="12"/>
  <c r="EK89" i="12"/>
  <c r="EJ89" i="12"/>
  <c r="EI89" i="12"/>
  <c r="EH89" i="12"/>
  <c r="EG89" i="12"/>
  <c r="EF89" i="12"/>
  <c r="EE89" i="12"/>
  <c r="ED89" i="12"/>
  <c r="EC89" i="12"/>
  <c r="EB89" i="12"/>
  <c r="EA89" i="12"/>
  <c r="DZ89" i="12"/>
  <c r="DY89" i="12"/>
  <c r="DX89" i="12"/>
  <c r="DW89" i="12"/>
  <c r="DV89" i="12"/>
  <c r="DU89" i="12"/>
  <c r="DT89" i="12"/>
  <c r="DS89" i="12"/>
  <c r="DR89" i="12"/>
  <c r="DQ89" i="12"/>
  <c r="DP89" i="12"/>
  <c r="DO89" i="12"/>
  <c r="DN89" i="12"/>
  <c r="DM89" i="12"/>
  <c r="DL89" i="12"/>
  <c r="DK89" i="12"/>
  <c r="DJ89" i="12"/>
  <c r="DI89" i="12"/>
  <c r="DH89" i="12"/>
  <c r="DG89" i="12"/>
  <c r="DF89" i="12"/>
  <c r="DE89" i="12"/>
  <c r="DD89" i="12"/>
  <c r="DC89" i="12"/>
  <c r="DB89" i="12"/>
  <c r="DA89" i="12"/>
  <c r="CZ89" i="12"/>
  <c r="CY89" i="12"/>
  <c r="CX89" i="12"/>
  <c r="CW89" i="12"/>
  <c r="CV89" i="12"/>
  <c r="CU89" i="12"/>
  <c r="CT89" i="12"/>
  <c r="CS89" i="12"/>
  <c r="CR89" i="12"/>
  <c r="CQ89" i="12"/>
  <c r="CP89" i="12"/>
  <c r="CO89" i="12"/>
  <c r="CN89" i="12"/>
  <c r="CM89" i="12"/>
  <c r="CL89" i="12"/>
  <c r="CK89" i="12"/>
  <c r="CJ89" i="12"/>
  <c r="CI89" i="12"/>
  <c r="CH89" i="12"/>
  <c r="CG89" i="12"/>
  <c r="CF89" i="12"/>
  <c r="CE89" i="12"/>
  <c r="CD89" i="12"/>
  <c r="CC89" i="12"/>
  <c r="CB89" i="12"/>
  <c r="CA89" i="12"/>
  <c r="BZ89" i="12"/>
  <c r="BY89" i="12"/>
  <c r="BX89" i="12"/>
  <c r="BW89" i="12"/>
  <c r="BV89" i="12"/>
  <c r="BU89" i="12"/>
  <c r="BT89" i="12"/>
  <c r="BS89" i="12"/>
  <c r="BR89" i="12"/>
  <c r="BQ89" i="12"/>
  <c r="BP89" i="12"/>
  <c r="BO89" i="12"/>
  <c r="BN89" i="12"/>
  <c r="BM89" i="12"/>
  <c r="BL89" i="12"/>
  <c r="BK89" i="12"/>
  <c r="BJ89" i="12"/>
  <c r="BI89" i="12"/>
  <c r="BH89" i="12"/>
  <c r="BG89" i="12"/>
  <c r="BF89" i="12"/>
  <c r="BE89" i="12"/>
  <c r="BD89" i="12"/>
  <c r="BC89" i="12"/>
  <c r="BB89" i="12"/>
  <c r="BA89" i="12"/>
  <c r="AZ89" i="12"/>
  <c r="AY89" i="12"/>
  <c r="AX89" i="12"/>
  <c r="AW89" i="12"/>
  <c r="AV89" i="12"/>
  <c r="AU89" i="12"/>
  <c r="AT89" i="12"/>
  <c r="AS89" i="12"/>
  <c r="AR89" i="12"/>
  <c r="AQ89" i="12"/>
  <c r="AP89" i="12"/>
  <c r="AO89" i="12"/>
  <c r="AN89" i="12"/>
  <c r="AM89" i="12"/>
  <c r="AL89" i="12"/>
  <c r="AK89" i="12"/>
  <c r="AJ89" i="12"/>
  <c r="AI89" i="12"/>
  <c r="AH89" i="12"/>
  <c r="AG89" i="12"/>
  <c r="AF89" i="12"/>
  <c r="AE89" i="12"/>
  <c r="AD89" i="12"/>
  <c r="AC89" i="12"/>
  <c r="AB89" i="12"/>
  <c r="AA89" i="12"/>
  <c r="Z89" i="12"/>
  <c r="Y89" i="12"/>
  <c r="X89" i="12"/>
  <c r="W89" i="12"/>
  <c r="V89" i="12"/>
  <c r="U89" i="12"/>
  <c r="T89" i="12"/>
  <c r="S89" i="12"/>
  <c r="R89" i="12"/>
  <c r="HC86" i="12"/>
  <c r="HB86" i="12"/>
  <c r="HA86" i="12"/>
  <c r="GZ86" i="12"/>
  <c r="GY86" i="12"/>
  <c r="GX86" i="12"/>
  <c r="GW86" i="12"/>
  <c r="GV86" i="12"/>
  <c r="GU86" i="12"/>
  <c r="GT86" i="12"/>
  <c r="GS86" i="12"/>
  <c r="GR86" i="12"/>
  <c r="GQ86" i="12"/>
  <c r="GP86" i="12"/>
  <c r="GO86" i="12"/>
  <c r="GN86" i="12"/>
  <c r="GM86" i="12"/>
  <c r="GL86" i="12"/>
  <c r="GK86" i="12"/>
  <c r="GJ86" i="12"/>
  <c r="GI86" i="12"/>
  <c r="GH86" i="12"/>
  <c r="GG86" i="12"/>
  <c r="GF86" i="12"/>
  <c r="GE86" i="12"/>
  <c r="GD86" i="12"/>
  <c r="GC86" i="12"/>
  <c r="GB86" i="12"/>
  <c r="GA86" i="12"/>
  <c r="FZ86" i="12"/>
  <c r="FY86" i="12"/>
  <c r="FX86" i="12"/>
  <c r="FW86" i="12"/>
  <c r="FV86" i="12"/>
  <c r="FU86" i="12"/>
  <c r="FT86" i="12"/>
  <c r="FS86" i="12"/>
  <c r="FR86" i="12"/>
  <c r="FQ86" i="12"/>
  <c r="FP86" i="12"/>
  <c r="FO86" i="12"/>
  <c r="FN86" i="12"/>
  <c r="FM86" i="12"/>
  <c r="FL86" i="12"/>
  <c r="FK86" i="12"/>
  <c r="FJ86" i="12"/>
  <c r="FI86" i="12"/>
  <c r="FH86" i="12"/>
  <c r="FG86" i="12"/>
  <c r="FF86" i="12"/>
  <c r="FE86" i="12"/>
  <c r="FD86" i="12"/>
  <c r="FC86" i="12"/>
  <c r="FB86" i="12"/>
  <c r="FA86" i="12"/>
  <c r="EZ86" i="12"/>
  <c r="EY86" i="12"/>
  <c r="EX86" i="12"/>
  <c r="EW86" i="12"/>
  <c r="EV86" i="12"/>
  <c r="EU86" i="12"/>
  <c r="ET86" i="12"/>
  <c r="ES86" i="12"/>
  <c r="ER86" i="12"/>
  <c r="EQ86" i="12"/>
  <c r="EP86" i="12"/>
  <c r="EO86" i="12"/>
  <c r="EN86" i="12"/>
  <c r="EM86" i="12"/>
  <c r="EL86" i="12"/>
  <c r="EK86" i="12"/>
  <c r="EJ86" i="12"/>
  <c r="EI86" i="12"/>
  <c r="EH86" i="12"/>
  <c r="EG86" i="12"/>
  <c r="EF86" i="12"/>
  <c r="EE86" i="12"/>
  <c r="ED86" i="12"/>
  <c r="EC86" i="12"/>
  <c r="EB86" i="12"/>
  <c r="EA86" i="12"/>
  <c r="DZ86" i="12"/>
  <c r="DX86" i="12"/>
  <c r="DW86" i="12"/>
  <c r="DV86" i="12"/>
  <c r="DU86" i="12"/>
  <c r="DT86" i="12"/>
  <c r="DS86" i="12"/>
  <c r="DR86" i="12"/>
  <c r="DQ86" i="12"/>
  <c r="DP86" i="12"/>
  <c r="DO86" i="12"/>
  <c r="DN86" i="12"/>
  <c r="DM86" i="12"/>
  <c r="DL86" i="12"/>
  <c r="DK86" i="12"/>
  <c r="DJ86" i="12"/>
  <c r="DI86" i="12"/>
  <c r="DH86" i="12"/>
  <c r="DG86" i="12"/>
  <c r="DF86" i="12"/>
  <c r="DE86" i="12"/>
  <c r="DD86" i="12"/>
  <c r="DC86" i="12"/>
  <c r="DB86" i="12"/>
  <c r="DA86" i="12"/>
  <c r="CZ86" i="12"/>
  <c r="CY86" i="12"/>
  <c r="CX86" i="12"/>
  <c r="CW86" i="12"/>
  <c r="CV86" i="12"/>
  <c r="CU86" i="12"/>
  <c r="CT86" i="12"/>
  <c r="CS86" i="12"/>
  <c r="CR86" i="12"/>
  <c r="CQ86" i="12"/>
  <c r="CP86" i="12"/>
  <c r="CO86" i="12"/>
  <c r="CN86" i="12"/>
  <c r="CM86" i="12"/>
  <c r="CL86" i="12"/>
  <c r="CK86" i="12"/>
  <c r="CJ86" i="12"/>
  <c r="CI86" i="12"/>
  <c r="CH86" i="12"/>
  <c r="CG86" i="12"/>
  <c r="CF86" i="12"/>
  <c r="CE86" i="12"/>
  <c r="CD86" i="12"/>
  <c r="CC86" i="12"/>
  <c r="CB86" i="12"/>
  <c r="CA86" i="12"/>
  <c r="BZ86" i="12"/>
  <c r="BY86" i="12"/>
  <c r="BX86" i="12"/>
  <c r="BW86" i="12"/>
  <c r="BV86" i="12"/>
  <c r="BU86" i="12"/>
  <c r="BT86" i="12"/>
  <c r="BS86" i="12"/>
  <c r="BR86" i="12"/>
  <c r="BQ86" i="12"/>
  <c r="BP86" i="12"/>
  <c r="BO86" i="12"/>
  <c r="BN86" i="12"/>
  <c r="BM86" i="12"/>
  <c r="BL86" i="12"/>
  <c r="BJ86" i="12"/>
  <c r="BI86" i="12"/>
  <c r="BH86" i="12"/>
  <c r="BG86" i="12"/>
  <c r="BF86" i="12"/>
  <c r="BE86" i="12"/>
  <c r="BD86" i="12"/>
  <c r="BC86" i="12"/>
  <c r="BB86" i="12"/>
  <c r="BA86" i="12"/>
  <c r="AZ86" i="12"/>
  <c r="AY86" i="12"/>
  <c r="AX86" i="12"/>
  <c r="AW86" i="12"/>
  <c r="AV86" i="12"/>
  <c r="AU86" i="12"/>
  <c r="AT86" i="12"/>
  <c r="AS86" i="12"/>
  <c r="AR86" i="12"/>
  <c r="AQ86" i="12"/>
  <c r="AP86" i="12"/>
  <c r="AO86" i="12"/>
  <c r="AN86" i="12"/>
  <c r="AM86" i="12"/>
  <c r="AL86" i="12"/>
  <c r="AK86" i="12"/>
  <c r="AJ86" i="12"/>
  <c r="AI86" i="12"/>
  <c r="AH86" i="12"/>
  <c r="AG86" i="12"/>
  <c r="AF86" i="12"/>
  <c r="AE86" i="12"/>
  <c r="AD86" i="12"/>
  <c r="AC86" i="12"/>
  <c r="AB86" i="12"/>
  <c r="AA86" i="12"/>
  <c r="Z86" i="12"/>
  <c r="Y86" i="12"/>
  <c r="X86" i="12"/>
  <c r="W86" i="12"/>
  <c r="V86" i="12"/>
  <c r="U86" i="12"/>
  <c r="T86" i="12"/>
  <c r="S86" i="12"/>
  <c r="R86" i="12"/>
  <c r="HC85" i="12"/>
  <c r="HB85" i="12"/>
  <c r="HA85" i="12"/>
  <c r="GZ85" i="12"/>
  <c r="GY85" i="12"/>
  <c r="GX85" i="12"/>
  <c r="GW85" i="12"/>
  <c r="GV85" i="12"/>
  <c r="GU85" i="12"/>
  <c r="GT85" i="12"/>
  <c r="GS85" i="12"/>
  <c r="GR85" i="12"/>
  <c r="GQ85" i="12"/>
  <c r="GP85" i="12"/>
  <c r="GO85" i="12"/>
  <c r="GN85" i="12"/>
  <c r="GM85" i="12"/>
  <c r="GL85" i="12"/>
  <c r="GK85" i="12"/>
  <c r="GJ85" i="12"/>
  <c r="GI85" i="12"/>
  <c r="GH85" i="12"/>
  <c r="GG85" i="12"/>
  <c r="GF85" i="12"/>
  <c r="GE85" i="12"/>
  <c r="GD85" i="12"/>
  <c r="GC85" i="12"/>
  <c r="GB85" i="12"/>
  <c r="GA85" i="12"/>
  <c r="FZ85" i="12"/>
  <c r="FY85" i="12"/>
  <c r="FX85" i="12"/>
  <c r="FW85" i="12"/>
  <c r="FV85" i="12"/>
  <c r="FU85" i="12"/>
  <c r="FT85" i="12"/>
  <c r="FS85" i="12"/>
  <c r="FR85" i="12"/>
  <c r="FQ85" i="12"/>
  <c r="FP85" i="12"/>
  <c r="FO85" i="12"/>
  <c r="FN85" i="12"/>
  <c r="FM85" i="12"/>
  <c r="FL85" i="12"/>
  <c r="FK85" i="12"/>
  <c r="FJ85" i="12"/>
  <c r="FI85" i="12"/>
  <c r="FH85" i="12"/>
  <c r="FG85" i="12"/>
  <c r="FF85" i="12"/>
  <c r="FE85" i="12"/>
  <c r="FD85" i="12"/>
  <c r="FC85" i="12"/>
  <c r="FB85" i="12"/>
  <c r="FA85" i="12"/>
  <c r="EZ85" i="12"/>
  <c r="EY85" i="12"/>
  <c r="EX85" i="12"/>
  <c r="EW85" i="12"/>
  <c r="EV85" i="12"/>
  <c r="EU85" i="12"/>
  <c r="ET85" i="12"/>
  <c r="ES85" i="12"/>
  <c r="ER85" i="12"/>
  <c r="EQ85" i="12"/>
  <c r="EP85" i="12"/>
  <c r="EO85" i="12"/>
  <c r="EN85" i="12"/>
  <c r="EM85" i="12"/>
  <c r="EL85" i="12"/>
  <c r="EK85" i="12"/>
  <c r="EJ85" i="12"/>
  <c r="EI85" i="12"/>
  <c r="EH85" i="12"/>
  <c r="EG85" i="12"/>
  <c r="EF85" i="12"/>
  <c r="EE85" i="12"/>
  <c r="ED85" i="12"/>
  <c r="EC85" i="12"/>
  <c r="EB85" i="12"/>
  <c r="EA85" i="12"/>
  <c r="DZ85" i="12"/>
  <c r="DY85" i="12"/>
  <c r="DX85" i="12"/>
  <c r="DW85" i="12"/>
  <c r="DV85" i="12"/>
  <c r="DU85" i="12"/>
  <c r="DT85" i="12"/>
  <c r="DS85" i="12"/>
  <c r="DR85" i="12"/>
  <c r="DQ85" i="12"/>
  <c r="DP85" i="12"/>
  <c r="DO85" i="12"/>
  <c r="DN85" i="12"/>
  <c r="DM85" i="12"/>
  <c r="DL85" i="12"/>
  <c r="DK85" i="12"/>
  <c r="DJ85" i="12"/>
  <c r="DI85" i="12"/>
  <c r="DH85" i="12"/>
  <c r="DG85" i="12"/>
  <c r="DF85" i="12"/>
  <c r="DE85" i="12"/>
  <c r="DD85" i="12"/>
  <c r="DC85" i="12"/>
  <c r="DB85" i="12"/>
  <c r="DA85" i="12"/>
  <c r="CZ85" i="12"/>
  <c r="CY85" i="12"/>
  <c r="CX85" i="12"/>
  <c r="CW85" i="12"/>
  <c r="CV85" i="12"/>
  <c r="CU85" i="12"/>
  <c r="CT85" i="12"/>
  <c r="CS85" i="12"/>
  <c r="CR85" i="12"/>
  <c r="CQ85" i="12"/>
  <c r="CP85" i="12"/>
  <c r="CO85" i="12"/>
  <c r="CN85" i="12"/>
  <c r="CM85" i="12"/>
  <c r="CL85" i="12"/>
  <c r="CK85" i="12"/>
  <c r="CJ85" i="12"/>
  <c r="CI85" i="12"/>
  <c r="CH85" i="12"/>
  <c r="CG85" i="12"/>
  <c r="CF85" i="12"/>
  <c r="CE85" i="12"/>
  <c r="CD85" i="12"/>
  <c r="CC85" i="12"/>
  <c r="CB85" i="12"/>
  <c r="CA85" i="12"/>
  <c r="BZ85" i="12"/>
  <c r="BY85" i="12"/>
  <c r="BX85" i="12"/>
  <c r="BW85" i="12"/>
  <c r="BV85" i="12"/>
  <c r="BU85" i="12"/>
  <c r="BT85" i="12"/>
  <c r="BS85" i="12"/>
  <c r="BR85" i="12"/>
  <c r="BQ85" i="12"/>
  <c r="BP85" i="12"/>
  <c r="BO85" i="12"/>
  <c r="BN85" i="12"/>
  <c r="BM85" i="12"/>
  <c r="BL85" i="12"/>
  <c r="BK85" i="12"/>
  <c r="BJ85" i="12"/>
  <c r="BI85" i="12"/>
  <c r="BH85" i="12"/>
  <c r="BG85" i="12"/>
  <c r="BF85" i="12"/>
  <c r="BE85" i="12"/>
  <c r="BD85" i="12"/>
  <c r="BC85" i="12"/>
  <c r="BB85" i="12"/>
  <c r="BA85" i="12"/>
  <c r="AZ85" i="12"/>
  <c r="AY85" i="12"/>
  <c r="AX85" i="12"/>
  <c r="AW85" i="12"/>
  <c r="AV85" i="12"/>
  <c r="AU85" i="12"/>
  <c r="AT85" i="12"/>
  <c r="AS85" i="12"/>
  <c r="AR85" i="12"/>
  <c r="AQ85" i="12"/>
  <c r="AP85" i="12"/>
  <c r="AO85" i="12"/>
  <c r="AN85" i="12"/>
  <c r="AM85" i="12"/>
  <c r="AL85" i="12"/>
  <c r="AK85" i="12"/>
  <c r="AJ85" i="12"/>
  <c r="AI85" i="12"/>
  <c r="AH85" i="12"/>
  <c r="AG85" i="12"/>
  <c r="AF85" i="12"/>
  <c r="AE85" i="12"/>
  <c r="AD85" i="12"/>
  <c r="AC85" i="12"/>
  <c r="AB85" i="12"/>
  <c r="AA85" i="12"/>
  <c r="Z85" i="12"/>
  <c r="Y85" i="12"/>
  <c r="X85" i="12"/>
  <c r="W85" i="12"/>
  <c r="V85" i="12"/>
  <c r="U85" i="12"/>
  <c r="T85" i="12"/>
  <c r="S85" i="12"/>
  <c r="R85" i="12"/>
  <c r="HC84" i="12"/>
  <c r="HB84" i="12"/>
  <c r="HA84" i="12"/>
  <c r="GZ84" i="12"/>
  <c r="GY84" i="12"/>
  <c r="GX84" i="12"/>
  <c r="GW84" i="12"/>
  <c r="GV84" i="12"/>
  <c r="GU84" i="12"/>
  <c r="GT84" i="12"/>
  <c r="GS84" i="12"/>
  <c r="GR84" i="12"/>
  <c r="GQ84" i="12"/>
  <c r="GP84" i="12"/>
  <c r="GO84" i="12"/>
  <c r="GN84" i="12"/>
  <c r="GM84" i="12"/>
  <c r="GL84" i="12"/>
  <c r="GK84" i="12"/>
  <c r="GJ84" i="12"/>
  <c r="GI84" i="12"/>
  <c r="GH84" i="12"/>
  <c r="GG84" i="12"/>
  <c r="GF84" i="12"/>
  <c r="GE84" i="12"/>
  <c r="GD84" i="12"/>
  <c r="GC84" i="12"/>
  <c r="GB84" i="12"/>
  <c r="GA84" i="12"/>
  <c r="FZ84" i="12"/>
  <c r="FY84" i="12"/>
  <c r="FX84" i="12"/>
  <c r="FW84" i="12"/>
  <c r="FV84" i="12"/>
  <c r="FU84" i="12"/>
  <c r="FT84" i="12"/>
  <c r="FS84" i="12"/>
  <c r="FR84" i="12"/>
  <c r="FQ84" i="12"/>
  <c r="FP84" i="12"/>
  <c r="FO84" i="12"/>
  <c r="FN84" i="12"/>
  <c r="FM84" i="12"/>
  <c r="FL84" i="12"/>
  <c r="FK84" i="12"/>
  <c r="FJ84" i="12"/>
  <c r="FI84" i="12"/>
  <c r="FH84" i="12"/>
  <c r="FG84" i="12"/>
  <c r="FF84" i="12"/>
  <c r="FE84" i="12"/>
  <c r="FD84" i="12"/>
  <c r="FC84" i="12"/>
  <c r="FB84" i="12"/>
  <c r="FA84" i="12"/>
  <c r="EZ84" i="12"/>
  <c r="EY84" i="12"/>
  <c r="EX84" i="12"/>
  <c r="EW84" i="12"/>
  <c r="EV84" i="12"/>
  <c r="EU84" i="12"/>
  <c r="ET84" i="12"/>
  <c r="ES84" i="12"/>
  <c r="ER84" i="12"/>
  <c r="EQ84" i="12"/>
  <c r="EP84" i="12"/>
  <c r="EO84" i="12"/>
  <c r="EN84" i="12"/>
  <c r="EM84" i="12"/>
  <c r="EL84" i="12"/>
  <c r="EK84" i="12"/>
  <c r="EJ84" i="12"/>
  <c r="EI84" i="12"/>
  <c r="EH84" i="12"/>
  <c r="EG84" i="12"/>
  <c r="EF84" i="12"/>
  <c r="EE84" i="12"/>
  <c r="ED84" i="12"/>
  <c r="EC84" i="12"/>
  <c r="EB84" i="12"/>
  <c r="EA84" i="12"/>
  <c r="DZ84" i="12"/>
  <c r="DY84" i="12"/>
  <c r="DX84" i="12"/>
  <c r="DW84" i="12"/>
  <c r="DV84" i="12"/>
  <c r="DU84" i="12"/>
  <c r="DT84" i="12"/>
  <c r="DS84" i="12"/>
  <c r="DR84" i="12"/>
  <c r="DQ84" i="12"/>
  <c r="DP84" i="12"/>
  <c r="DO84" i="12"/>
  <c r="DN84" i="12"/>
  <c r="DM84" i="12"/>
  <c r="DL84" i="12"/>
  <c r="DK84" i="12"/>
  <c r="DJ84" i="12"/>
  <c r="DI84" i="12"/>
  <c r="DH84" i="12"/>
  <c r="DG84" i="12"/>
  <c r="DF84" i="12"/>
  <c r="DE84" i="12"/>
  <c r="DD84" i="12"/>
  <c r="DC84" i="12"/>
  <c r="DB84" i="12"/>
  <c r="DA84" i="12"/>
  <c r="CZ84" i="12"/>
  <c r="CY84" i="12"/>
  <c r="CX84" i="12"/>
  <c r="CW84" i="12"/>
  <c r="CV84" i="12"/>
  <c r="CU84" i="12"/>
  <c r="CT84" i="12"/>
  <c r="CS84" i="12"/>
  <c r="CR84" i="12"/>
  <c r="CQ84" i="12"/>
  <c r="CP84" i="12"/>
  <c r="CO84" i="12"/>
  <c r="CN84" i="12"/>
  <c r="CM84" i="12"/>
  <c r="CL84" i="12"/>
  <c r="CK84" i="12"/>
  <c r="CJ84" i="12"/>
  <c r="CI84" i="12"/>
  <c r="CH84" i="12"/>
  <c r="CG84" i="12"/>
  <c r="CF84" i="12"/>
  <c r="CE84" i="12"/>
  <c r="CD84" i="12"/>
  <c r="CC84" i="12"/>
  <c r="CB84" i="12"/>
  <c r="CA84" i="12"/>
  <c r="BZ84" i="12"/>
  <c r="BY84" i="12"/>
  <c r="BX84" i="12"/>
  <c r="BW84" i="12"/>
  <c r="BV84" i="12"/>
  <c r="BU84" i="12"/>
  <c r="BT84" i="12"/>
  <c r="BS84" i="12"/>
  <c r="BR84" i="12"/>
  <c r="BQ84" i="12"/>
  <c r="BP84" i="12"/>
  <c r="BO84" i="12"/>
  <c r="BN84" i="12"/>
  <c r="BM84" i="12"/>
  <c r="BL84" i="12"/>
  <c r="BK84" i="12"/>
  <c r="BJ84" i="12"/>
  <c r="BI84" i="12"/>
  <c r="BH84" i="12"/>
  <c r="BG84" i="12"/>
  <c r="BF84" i="12"/>
  <c r="BE84" i="12"/>
  <c r="BD84" i="12"/>
  <c r="BC84" i="12"/>
  <c r="BB84" i="12"/>
  <c r="BA84" i="12"/>
  <c r="AZ84" i="12"/>
  <c r="AY84" i="12"/>
  <c r="AX84" i="12"/>
  <c r="AW84" i="12"/>
  <c r="AV84" i="12"/>
  <c r="AU84" i="12"/>
  <c r="AT84" i="12"/>
  <c r="AS84" i="12"/>
  <c r="AR84" i="12"/>
  <c r="AQ84" i="12"/>
  <c r="AP84" i="12"/>
  <c r="AO84" i="12"/>
  <c r="AN84" i="12"/>
  <c r="AM84" i="12"/>
  <c r="AL84" i="12"/>
  <c r="AK84" i="12"/>
  <c r="AJ84" i="12"/>
  <c r="AI84" i="12"/>
  <c r="AH84" i="12"/>
  <c r="AG84" i="12"/>
  <c r="AF84" i="12"/>
  <c r="AE84" i="12"/>
  <c r="AD84" i="12"/>
  <c r="AC84" i="12"/>
  <c r="AB84" i="12"/>
  <c r="AA84" i="12"/>
  <c r="Z84" i="12"/>
  <c r="Y84" i="12"/>
  <c r="X84" i="12"/>
  <c r="W84" i="12"/>
  <c r="V84" i="12"/>
  <c r="U84" i="12"/>
  <c r="T84" i="12"/>
  <c r="S84" i="12"/>
  <c r="R84" i="12"/>
  <c r="HC83" i="12"/>
  <c r="HB83" i="12"/>
  <c r="HA83" i="12"/>
  <c r="GZ83" i="12"/>
  <c r="GY83" i="12"/>
  <c r="GX83" i="12"/>
  <c r="GW83" i="12"/>
  <c r="GV83" i="12"/>
  <c r="GU83" i="12"/>
  <c r="GT83" i="12"/>
  <c r="GS83" i="12"/>
  <c r="GR83" i="12"/>
  <c r="GQ83" i="12"/>
  <c r="GP83" i="12"/>
  <c r="GO83" i="12"/>
  <c r="GN83" i="12"/>
  <c r="GM83" i="12"/>
  <c r="GL83" i="12"/>
  <c r="GK83" i="12"/>
  <c r="GJ83" i="12"/>
  <c r="GI83" i="12"/>
  <c r="GH83" i="12"/>
  <c r="GG83" i="12"/>
  <c r="GF83" i="12"/>
  <c r="GE83" i="12"/>
  <c r="GD83" i="12"/>
  <c r="GC83" i="12"/>
  <c r="GB83" i="12"/>
  <c r="GA83" i="12"/>
  <c r="FZ83" i="12"/>
  <c r="FY83" i="12"/>
  <c r="FX83" i="12"/>
  <c r="FW83" i="12"/>
  <c r="FV83" i="12"/>
  <c r="FU83" i="12"/>
  <c r="FT83" i="12"/>
  <c r="FS83" i="12"/>
  <c r="FR83" i="12"/>
  <c r="FQ83" i="12"/>
  <c r="FP83" i="12"/>
  <c r="FO83" i="12"/>
  <c r="FN83" i="12"/>
  <c r="FM83" i="12"/>
  <c r="FL83" i="12"/>
  <c r="FK83" i="12"/>
  <c r="FJ83" i="12"/>
  <c r="FI83" i="12"/>
  <c r="FH83" i="12"/>
  <c r="FG83" i="12"/>
  <c r="FF83" i="12"/>
  <c r="FE83" i="12"/>
  <c r="FD83" i="12"/>
  <c r="FC83" i="12"/>
  <c r="FB83" i="12"/>
  <c r="FA83" i="12"/>
  <c r="EZ83" i="12"/>
  <c r="EY83" i="12"/>
  <c r="EX83" i="12"/>
  <c r="EW83" i="12"/>
  <c r="EV83" i="12"/>
  <c r="EU83" i="12"/>
  <c r="ET83" i="12"/>
  <c r="ES83" i="12"/>
  <c r="ER83" i="12"/>
  <c r="EQ83" i="12"/>
  <c r="EP83" i="12"/>
  <c r="EO83" i="12"/>
  <c r="EN83" i="12"/>
  <c r="EM83" i="12"/>
  <c r="EL83" i="12"/>
  <c r="EK83" i="12"/>
  <c r="EJ83" i="12"/>
  <c r="EI83" i="12"/>
  <c r="EH83" i="12"/>
  <c r="EG83" i="12"/>
  <c r="EF83" i="12"/>
  <c r="EE83" i="12"/>
  <c r="ED83" i="12"/>
  <c r="EC83" i="12"/>
  <c r="EB83" i="12"/>
  <c r="EA83" i="12"/>
  <c r="DZ83" i="12"/>
  <c r="DY83" i="12"/>
  <c r="DX83" i="12"/>
  <c r="DW83" i="12"/>
  <c r="DV83" i="12"/>
  <c r="DU83" i="12"/>
  <c r="DT83" i="12"/>
  <c r="DS83" i="12"/>
  <c r="DR83" i="12"/>
  <c r="DQ83" i="12"/>
  <c r="DP83" i="12"/>
  <c r="DO83" i="12"/>
  <c r="DN83" i="12"/>
  <c r="DM83" i="12"/>
  <c r="DL83" i="12"/>
  <c r="DK83" i="12"/>
  <c r="DJ83" i="12"/>
  <c r="DI83" i="12"/>
  <c r="DH83" i="12"/>
  <c r="DG83" i="12"/>
  <c r="DF83" i="12"/>
  <c r="DE83" i="12"/>
  <c r="DD83" i="12"/>
  <c r="DC83" i="12"/>
  <c r="DB83" i="12"/>
  <c r="DA83" i="12"/>
  <c r="CZ83" i="12"/>
  <c r="CY83" i="12"/>
  <c r="CX83" i="12"/>
  <c r="CW83" i="12"/>
  <c r="CV83" i="12"/>
  <c r="CU83" i="12"/>
  <c r="CT83" i="12"/>
  <c r="CS83" i="12"/>
  <c r="CR83" i="12"/>
  <c r="CQ83" i="12"/>
  <c r="CP83" i="12"/>
  <c r="CO83" i="12"/>
  <c r="CN83" i="12"/>
  <c r="CM83" i="12"/>
  <c r="CL83" i="12"/>
  <c r="CK83" i="12"/>
  <c r="CJ83" i="12"/>
  <c r="CI83" i="12"/>
  <c r="CH83" i="12"/>
  <c r="CG83" i="12"/>
  <c r="CF83" i="12"/>
  <c r="CE83" i="12"/>
  <c r="CD83" i="12"/>
  <c r="CC83" i="12"/>
  <c r="CB83" i="12"/>
  <c r="CA83" i="12"/>
  <c r="BZ83" i="12"/>
  <c r="BY83" i="12"/>
  <c r="BX83" i="12"/>
  <c r="BW83" i="12"/>
  <c r="BV83" i="12"/>
  <c r="BU83" i="12"/>
  <c r="BT83" i="12"/>
  <c r="BS83" i="12"/>
  <c r="BR83" i="12"/>
  <c r="BQ83" i="12"/>
  <c r="BP83" i="12"/>
  <c r="BO83" i="12"/>
  <c r="BN83" i="12"/>
  <c r="BM83" i="12"/>
  <c r="BL83" i="12"/>
  <c r="BK83" i="12"/>
  <c r="BJ83" i="12"/>
  <c r="BI83" i="12"/>
  <c r="BH83" i="12"/>
  <c r="BG83" i="12"/>
  <c r="BF83" i="12"/>
  <c r="BE83" i="12"/>
  <c r="BD83" i="12"/>
  <c r="BC83" i="12"/>
  <c r="BB83" i="12"/>
  <c r="BA83" i="12"/>
  <c r="AZ83" i="12"/>
  <c r="AY83" i="12"/>
  <c r="AX83" i="12"/>
  <c r="AW83" i="12"/>
  <c r="AV83" i="12"/>
  <c r="AU83" i="12"/>
  <c r="AT83" i="12"/>
  <c r="AS83" i="12"/>
  <c r="AR83" i="12"/>
  <c r="AQ83" i="12"/>
  <c r="AP83" i="12"/>
  <c r="AO83" i="12"/>
  <c r="AN83" i="12"/>
  <c r="AM83" i="12"/>
  <c r="AL83" i="12"/>
  <c r="AK83" i="12"/>
  <c r="AJ83" i="12"/>
  <c r="AI83" i="12"/>
  <c r="AH83" i="12"/>
  <c r="AG83" i="12"/>
  <c r="AF83" i="12"/>
  <c r="AE83" i="12"/>
  <c r="AD83" i="12"/>
  <c r="AC83" i="12"/>
  <c r="AB83" i="12"/>
  <c r="AA83" i="12"/>
  <c r="Z83" i="12"/>
  <c r="Y83" i="12"/>
  <c r="X83" i="12"/>
  <c r="W83" i="12"/>
  <c r="V83" i="12"/>
  <c r="U83" i="12"/>
  <c r="T83" i="12"/>
  <c r="S83" i="12"/>
  <c r="R83" i="12"/>
  <c r="HC64" i="12"/>
  <c r="HB64" i="12"/>
  <c r="HA64" i="12"/>
  <c r="GZ64" i="12"/>
  <c r="GY64" i="12"/>
  <c r="GX64" i="12"/>
  <c r="GW64" i="12"/>
  <c r="GV64" i="12"/>
  <c r="GU64" i="12"/>
  <c r="GT64" i="12"/>
  <c r="GS64" i="12"/>
  <c r="GR64" i="12"/>
  <c r="GQ64" i="12"/>
  <c r="GP64" i="12"/>
  <c r="GO64" i="12"/>
  <c r="GN64" i="12"/>
  <c r="GM64" i="12"/>
  <c r="GL64" i="12"/>
  <c r="GK64" i="12"/>
  <c r="GJ64" i="12"/>
  <c r="GI64" i="12"/>
  <c r="GH64" i="12"/>
  <c r="GG64" i="12"/>
  <c r="GF64" i="12"/>
  <c r="GE64" i="12"/>
  <c r="GD64" i="12"/>
  <c r="GC64" i="12"/>
  <c r="GB64" i="12"/>
  <c r="GA64" i="12"/>
  <c r="FZ64" i="12"/>
  <c r="FY64" i="12"/>
  <c r="FX64" i="12"/>
  <c r="FW64" i="12"/>
  <c r="FV64" i="12"/>
  <c r="FU64" i="12"/>
  <c r="FT64" i="12"/>
  <c r="FS64" i="12"/>
  <c r="FR64" i="12"/>
  <c r="FQ64" i="12"/>
  <c r="FP64" i="12"/>
  <c r="FO64" i="12"/>
  <c r="FN64" i="12"/>
  <c r="FM64" i="12"/>
  <c r="FL64" i="12"/>
  <c r="FK64" i="12"/>
  <c r="FJ64" i="12"/>
  <c r="FI64" i="12"/>
  <c r="FH64" i="12"/>
  <c r="FG64" i="12"/>
  <c r="FF64" i="12"/>
  <c r="FE64" i="12"/>
  <c r="FD64" i="12"/>
  <c r="FC64" i="12"/>
  <c r="FB64" i="12"/>
  <c r="FA64" i="12"/>
  <c r="EZ64" i="12"/>
  <c r="EY64" i="12"/>
  <c r="EX64" i="12"/>
  <c r="EW64" i="12"/>
  <c r="EV64" i="12"/>
  <c r="EU64" i="12"/>
  <c r="ET64" i="12"/>
  <c r="ES64" i="12"/>
  <c r="ER64" i="12"/>
  <c r="EQ64" i="12"/>
  <c r="EP64" i="12"/>
  <c r="EO64" i="12"/>
  <c r="EN64" i="12"/>
  <c r="EM64" i="12"/>
  <c r="EL64" i="12"/>
  <c r="EK64" i="12"/>
  <c r="EJ64" i="12"/>
  <c r="EI64" i="12"/>
  <c r="EH64" i="12"/>
  <c r="EG64" i="12"/>
  <c r="EF64" i="12"/>
  <c r="EE64" i="12"/>
  <c r="ED64" i="12"/>
  <c r="EC64" i="12"/>
  <c r="EB64" i="12"/>
  <c r="EA64" i="12"/>
  <c r="DZ64" i="12"/>
  <c r="DY64" i="12"/>
  <c r="DX64" i="12"/>
  <c r="DW64" i="12"/>
  <c r="DV64" i="12"/>
  <c r="DU64" i="12"/>
  <c r="DT64" i="12"/>
  <c r="DS64" i="12"/>
  <c r="DR64" i="12"/>
  <c r="DQ64" i="12"/>
  <c r="DP64" i="12"/>
  <c r="DO64" i="12"/>
  <c r="DN64" i="12"/>
  <c r="DM64" i="12"/>
  <c r="DL64" i="12"/>
  <c r="DK64" i="12"/>
  <c r="DJ64" i="12"/>
  <c r="DI64" i="12"/>
  <c r="DH64" i="12"/>
  <c r="DG64" i="12"/>
  <c r="DF64" i="12"/>
  <c r="DE64" i="12"/>
  <c r="DD64" i="12"/>
  <c r="DC64" i="12"/>
  <c r="DB64" i="12"/>
  <c r="DA64" i="12"/>
  <c r="CZ64" i="12"/>
  <c r="CY64" i="12"/>
  <c r="CX64" i="12"/>
  <c r="CW64" i="12"/>
  <c r="CV64" i="12"/>
  <c r="CU64" i="12"/>
  <c r="CT64" i="12"/>
  <c r="CS64" i="12"/>
  <c r="CR64" i="12"/>
  <c r="CQ64" i="12"/>
  <c r="CP64" i="12"/>
  <c r="CO64" i="12"/>
  <c r="CN64" i="12"/>
  <c r="CM64" i="12"/>
  <c r="CL64" i="12"/>
  <c r="CK64" i="12"/>
  <c r="CJ64" i="12"/>
  <c r="CI64" i="12"/>
  <c r="CH64" i="12"/>
  <c r="CG64" i="12"/>
  <c r="CF64" i="12"/>
  <c r="CE64" i="12"/>
  <c r="CD64" i="12"/>
  <c r="CC64" i="12"/>
  <c r="CB64" i="12"/>
  <c r="CA64" i="12"/>
  <c r="BZ64" i="12"/>
  <c r="BY64" i="12"/>
  <c r="BX64" i="12"/>
  <c r="BW64" i="12"/>
  <c r="BV64" i="12"/>
  <c r="BU64" i="12"/>
  <c r="BT64" i="12"/>
  <c r="BS64" i="12"/>
  <c r="BR64" i="12"/>
  <c r="BQ64" i="12"/>
  <c r="BP64" i="12"/>
  <c r="BO64" i="12"/>
  <c r="BN64" i="12"/>
  <c r="BM64" i="12"/>
  <c r="BL64" i="12"/>
  <c r="BK64" i="12"/>
  <c r="BJ64" i="12"/>
  <c r="BI64" i="12"/>
  <c r="BH64" i="12"/>
  <c r="BG64" i="12"/>
  <c r="BF64" i="12"/>
  <c r="BE64" i="12"/>
  <c r="BD64" i="12"/>
  <c r="BC64" i="12"/>
  <c r="BB64" i="12"/>
  <c r="BA64" i="12"/>
  <c r="AZ64" i="12"/>
  <c r="AY64" i="12"/>
  <c r="AX64" i="12"/>
  <c r="AW64" i="12"/>
  <c r="AV64" i="12"/>
  <c r="AU64" i="12"/>
  <c r="AT64" i="12"/>
  <c r="AS64" i="12"/>
  <c r="AR64" i="12"/>
  <c r="AQ64" i="12"/>
  <c r="AP64" i="12"/>
  <c r="AO64" i="12"/>
  <c r="AN64" i="12"/>
  <c r="AM64" i="12"/>
  <c r="AL64" i="12"/>
  <c r="AK64" i="12"/>
  <c r="AJ64" i="12"/>
  <c r="AI64" i="12"/>
  <c r="AH64" i="12"/>
  <c r="AG64" i="12"/>
  <c r="AF64" i="12"/>
  <c r="AE64" i="12"/>
  <c r="AD64" i="12"/>
  <c r="AC64" i="12"/>
  <c r="AB64" i="12"/>
  <c r="AA64" i="12"/>
  <c r="Z64" i="12"/>
  <c r="Y64" i="12"/>
  <c r="X64" i="12"/>
  <c r="W64" i="12"/>
  <c r="V64" i="12"/>
  <c r="U64" i="12"/>
  <c r="T64" i="12"/>
  <c r="S64" i="12"/>
  <c r="R64" i="12"/>
  <c r="HC60" i="12"/>
  <c r="HB60" i="12"/>
  <c r="HA60" i="12"/>
  <c r="GZ60" i="12"/>
  <c r="GY60" i="12"/>
  <c r="GX60" i="12"/>
  <c r="GW60" i="12"/>
  <c r="GV60" i="12"/>
  <c r="GU60" i="12"/>
  <c r="GT60" i="12"/>
  <c r="GS60" i="12"/>
  <c r="GR60" i="12"/>
  <c r="GQ60" i="12"/>
  <c r="GP60" i="12"/>
  <c r="GO60" i="12"/>
  <c r="GN60" i="12"/>
  <c r="GM60" i="12"/>
  <c r="GL60" i="12"/>
  <c r="GK60" i="12"/>
  <c r="GJ60" i="12"/>
  <c r="GI60" i="12"/>
  <c r="GH60" i="12"/>
  <c r="GG60" i="12"/>
  <c r="GF60" i="12"/>
  <c r="GE60" i="12"/>
  <c r="GD60" i="12"/>
  <c r="GC60" i="12"/>
  <c r="GB60" i="12"/>
  <c r="GA60" i="12"/>
  <c r="FZ60" i="12"/>
  <c r="FY60" i="12"/>
  <c r="FX60" i="12"/>
  <c r="FW60" i="12"/>
  <c r="FV60" i="12"/>
  <c r="FU60" i="12"/>
  <c r="FT60" i="12"/>
  <c r="FS60" i="12"/>
  <c r="FR60" i="12"/>
  <c r="FQ60" i="12"/>
  <c r="FP60" i="12"/>
  <c r="FO60" i="12"/>
  <c r="FN60" i="12"/>
  <c r="FM60" i="12"/>
  <c r="FL60" i="12"/>
  <c r="FK60" i="12"/>
  <c r="FJ60" i="12"/>
  <c r="FI60" i="12"/>
  <c r="FH60" i="12"/>
  <c r="FG60" i="12"/>
  <c r="FF60" i="12"/>
  <c r="FE60" i="12"/>
  <c r="FD60" i="12"/>
  <c r="FC60" i="12"/>
  <c r="FB60" i="12"/>
  <c r="FA60" i="12"/>
  <c r="EZ60" i="12"/>
  <c r="EY60" i="12"/>
  <c r="EX60" i="12"/>
  <c r="EW60" i="12"/>
  <c r="EV60" i="12"/>
  <c r="EU60" i="12"/>
  <c r="ET60" i="12"/>
  <c r="ES60" i="12"/>
  <c r="ER60" i="12"/>
  <c r="EQ60" i="12"/>
  <c r="EP60" i="12"/>
  <c r="EO60" i="12"/>
  <c r="EN60" i="12"/>
  <c r="EM60" i="12"/>
  <c r="EL60" i="12"/>
  <c r="EK60" i="12"/>
  <c r="EJ60" i="12"/>
  <c r="EI60" i="12"/>
  <c r="EH60" i="12"/>
  <c r="EG60" i="12"/>
  <c r="EF60" i="12"/>
  <c r="EE60" i="12"/>
  <c r="ED60" i="12"/>
  <c r="EC60" i="12"/>
  <c r="EB60" i="12"/>
  <c r="EA60" i="12"/>
  <c r="DZ60" i="12"/>
  <c r="DY60" i="12"/>
  <c r="DX60" i="12"/>
  <c r="DW60" i="12"/>
  <c r="DV60" i="12"/>
  <c r="DU60" i="12"/>
  <c r="DT60" i="12"/>
  <c r="DS60" i="12"/>
  <c r="DR60" i="12"/>
  <c r="DQ60" i="12"/>
  <c r="DP60" i="12"/>
  <c r="DO60" i="12"/>
  <c r="DN60" i="12"/>
  <c r="DM60" i="12"/>
  <c r="DL60" i="12"/>
  <c r="DK60" i="12"/>
  <c r="DJ60" i="12"/>
  <c r="DI60" i="12"/>
  <c r="DH60" i="12"/>
  <c r="DG60" i="12"/>
  <c r="DF60" i="12"/>
  <c r="DE60" i="12"/>
  <c r="DD60" i="12"/>
  <c r="DC60" i="12"/>
  <c r="DB60" i="12"/>
  <c r="DA60" i="12"/>
  <c r="CZ60" i="12"/>
  <c r="CY60" i="12"/>
  <c r="CX60" i="12"/>
  <c r="CW60" i="12"/>
  <c r="CV60" i="12"/>
  <c r="CU60" i="12"/>
  <c r="CT60" i="12"/>
  <c r="CS60" i="12"/>
  <c r="CR60" i="12"/>
  <c r="CQ60" i="12"/>
  <c r="CP60" i="12"/>
  <c r="CO60" i="12"/>
  <c r="CN60" i="12"/>
  <c r="CM60" i="12"/>
  <c r="CL60" i="12"/>
  <c r="CK60" i="12"/>
  <c r="CJ60" i="12"/>
  <c r="CI60" i="12"/>
  <c r="CH60" i="12"/>
  <c r="CG60" i="12"/>
  <c r="CF60" i="12"/>
  <c r="CE60" i="12"/>
  <c r="CD60" i="12"/>
  <c r="CC60" i="12"/>
  <c r="CB60" i="12"/>
  <c r="CA60" i="12"/>
  <c r="BZ60" i="12"/>
  <c r="BY60" i="12"/>
  <c r="BX60" i="12"/>
  <c r="BW60" i="12"/>
  <c r="BV60" i="12"/>
  <c r="BU60" i="12"/>
  <c r="BT60" i="12"/>
  <c r="BS60" i="12"/>
  <c r="BR60" i="12"/>
  <c r="BQ60" i="12"/>
  <c r="BP60" i="12"/>
  <c r="BO60" i="12"/>
  <c r="BN60" i="12"/>
  <c r="BM60" i="12"/>
  <c r="BL60" i="12"/>
  <c r="BK60" i="12"/>
  <c r="BJ60" i="12"/>
  <c r="BI60" i="12"/>
  <c r="BH60" i="12"/>
  <c r="BG60" i="12"/>
  <c r="BF60" i="12"/>
  <c r="BE60" i="12"/>
  <c r="BD60" i="12"/>
  <c r="BC60" i="12"/>
  <c r="BB60" i="12"/>
  <c r="BA60" i="12"/>
  <c r="AZ60" i="12"/>
  <c r="AY60" i="12"/>
  <c r="AX60" i="12"/>
  <c r="AW60" i="12"/>
  <c r="AV60" i="12"/>
  <c r="AU60" i="12"/>
  <c r="AT60" i="12"/>
  <c r="AS60" i="12"/>
  <c r="AR60" i="12"/>
  <c r="AQ60" i="12"/>
  <c r="AP60" i="12"/>
  <c r="AO60" i="12"/>
  <c r="AN60" i="12"/>
  <c r="AM60" i="12"/>
  <c r="AL60" i="12"/>
  <c r="AK60" i="12"/>
  <c r="AJ60" i="12"/>
  <c r="AI60" i="12"/>
  <c r="AH60" i="12"/>
  <c r="AG60" i="12"/>
  <c r="AF60" i="12"/>
  <c r="AE60" i="12"/>
  <c r="AD60" i="12"/>
  <c r="AC60" i="12"/>
  <c r="AB60" i="12"/>
  <c r="AA60" i="12"/>
  <c r="Z60" i="12"/>
  <c r="Y60" i="12"/>
  <c r="X60" i="12"/>
  <c r="W60" i="12"/>
  <c r="V60" i="12"/>
  <c r="U60" i="12"/>
  <c r="T60" i="12"/>
  <c r="S60" i="12"/>
  <c r="R60" i="12"/>
  <c r="HC57" i="12"/>
  <c r="HB57" i="12"/>
  <c r="HA57" i="12"/>
  <c r="GZ57" i="12"/>
  <c r="GY57" i="12"/>
  <c r="GX57" i="12"/>
  <c r="GW57" i="12"/>
  <c r="GV57" i="12"/>
  <c r="GU57" i="12"/>
  <c r="GT57" i="12"/>
  <c r="GS57" i="12"/>
  <c r="GR57" i="12"/>
  <c r="GQ57" i="12"/>
  <c r="GP57" i="12"/>
  <c r="GO57" i="12"/>
  <c r="GN57" i="12"/>
  <c r="GM57" i="12"/>
  <c r="GL57" i="12"/>
  <c r="GK57" i="12"/>
  <c r="GJ57" i="12"/>
  <c r="GI57" i="12"/>
  <c r="GH57" i="12"/>
  <c r="GG57" i="12"/>
  <c r="GF57" i="12"/>
  <c r="GE57" i="12"/>
  <c r="GD57" i="12"/>
  <c r="GC57" i="12"/>
  <c r="GB57" i="12"/>
  <c r="GA57" i="12"/>
  <c r="FZ57" i="12"/>
  <c r="FY57" i="12"/>
  <c r="FX57" i="12"/>
  <c r="FW57" i="12"/>
  <c r="FV57" i="12"/>
  <c r="FU57" i="12"/>
  <c r="FT57" i="12"/>
  <c r="FS57" i="12"/>
  <c r="FR57" i="12"/>
  <c r="FQ57" i="12"/>
  <c r="FP57" i="12"/>
  <c r="FO57" i="12"/>
  <c r="FN57" i="12"/>
  <c r="FM57" i="12"/>
  <c r="FL57" i="12"/>
  <c r="FK57" i="12"/>
  <c r="FJ57" i="12"/>
  <c r="FI57" i="12"/>
  <c r="FH57" i="12"/>
  <c r="FG57" i="12"/>
  <c r="FF57" i="12"/>
  <c r="FE57" i="12"/>
  <c r="FD57" i="12"/>
  <c r="FC57" i="12"/>
  <c r="FB57" i="12"/>
  <c r="FA57" i="12"/>
  <c r="EZ57" i="12"/>
  <c r="EY57" i="12"/>
  <c r="EX57" i="12"/>
  <c r="EW57" i="12"/>
  <c r="EV57" i="12"/>
  <c r="EU57" i="12"/>
  <c r="ET57" i="12"/>
  <c r="ES57" i="12"/>
  <c r="ER57" i="12"/>
  <c r="EQ57" i="12"/>
  <c r="EP57" i="12"/>
  <c r="EO57" i="12"/>
  <c r="EN57" i="12"/>
  <c r="EM57" i="12"/>
  <c r="EL57" i="12"/>
  <c r="EK57" i="12"/>
  <c r="EJ57" i="12"/>
  <c r="EI57" i="12"/>
  <c r="EH57" i="12"/>
  <c r="EG57" i="12"/>
  <c r="EF57" i="12"/>
  <c r="EE57" i="12"/>
  <c r="ED57" i="12"/>
  <c r="EC57" i="12"/>
  <c r="EB57" i="12"/>
  <c r="EA57" i="12"/>
  <c r="DZ57" i="12"/>
  <c r="DY57" i="12"/>
  <c r="DX57" i="12"/>
  <c r="DW57" i="12"/>
  <c r="DV57" i="12"/>
  <c r="DU57" i="12"/>
  <c r="DT57" i="12"/>
  <c r="DS57" i="12"/>
  <c r="DR57" i="12"/>
  <c r="DQ57" i="12"/>
  <c r="DP57" i="12"/>
  <c r="DO57" i="12"/>
  <c r="DN57" i="12"/>
  <c r="DM57" i="12"/>
  <c r="DL57" i="12"/>
  <c r="DK57" i="12"/>
  <c r="DJ57" i="12"/>
  <c r="DI57" i="12"/>
  <c r="DH57" i="12"/>
  <c r="DG57" i="12"/>
  <c r="DF57" i="12"/>
  <c r="DE57" i="12"/>
  <c r="DD57" i="12"/>
  <c r="DC57" i="12"/>
  <c r="DB57" i="12"/>
  <c r="DA57" i="12"/>
  <c r="CZ57" i="12"/>
  <c r="CY57" i="12"/>
  <c r="CX57" i="12"/>
  <c r="CW57" i="12"/>
  <c r="CV57" i="12"/>
  <c r="CU57" i="12"/>
  <c r="CT57" i="12"/>
  <c r="CS57" i="12"/>
  <c r="CR57" i="12"/>
  <c r="CQ57" i="12"/>
  <c r="CP57" i="12"/>
  <c r="CO57" i="12"/>
  <c r="CN57" i="12"/>
  <c r="CM57" i="12"/>
  <c r="CL57" i="12"/>
  <c r="CK57" i="12"/>
  <c r="CJ57" i="12"/>
  <c r="CI57" i="12"/>
  <c r="CH57" i="12"/>
  <c r="CG57" i="12"/>
  <c r="CF57" i="12"/>
  <c r="CE57" i="12"/>
  <c r="CD57" i="12"/>
  <c r="CC57" i="12"/>
  <c r="CB57" i="12"/>
  <c r="CA57" i="12"/>
  <c r="BZ57" i="12"/>
  <c r="BY57" i="12"/>
  <c r="BX57" i="12"/>
  <c r="BW57" i="12"/>
  <c r="BV57" i="12"/>
  <c r="BU57" i="12"/>
  <c r="BT57" i="12"/>
  <c r="BS57" i="12"/>
  <c r="BR57" i="12"/>
  <c r="BQ57" i="12"/>
  <c r="BP57" i="12"/>
  <c r="BO57" i="12"/>
  <c r="BN57" i="12"/>
  <c r="BM57" i="12"/>
  <c r="BL57" i="12"/>
  <c r="BK57" i="12"/>
  <c r="BJ57" i="12"/>
  <c r="BI57" i="12"/>
  <c r="BH57" i="12"/>
  <c r="BG57" i="12"/>
  <c r="BF57" i="12"/>
  <c r="BE57" i="12"/>
  <c r="BD57" i="12"/>
  <c r="BC57" i="12"/>
  <c r="BB57" i="12"/>
  <c r="BA57" i="12"/>
  <c r="AZ57" i="12"/>
  <c r="AY57" i="12"/>
  <c r="AX57" i="12"/>
  <c r="AW57" i="12"/>
  <c r="AV57" i="12"/>
  <c r="AU57" i="12"/>
  <c r="AT57" i="12"/>
  <c r="AS57" i="12"/>
  <c r="AR57" i="12"/>
  <c r="AQ57" i="12"/>
  <c r="AP57" i="12"/>
  <c r="AO57" i="12"/>
  <c r="AN57" i="12"/>
  <c r="AM57" i="12"/>
  <c r="AL57" i="12"/>
  <c r="AK57" i="12"/>
  <c r="AJ57" i="12"/>
  <c r="AI57" i="12"/>
  <c r="AH57" i="12"/>
  <c r="AG57" i="12"/>
  <c r="AF57" i="12"/>
  <c r="AE57" i="12"/>
  <c r="AD57" i="12"/>
  <c r="AC57" i="12"/>
  <c r="AB57" i="12"/>
  <c r="AA57" i="12"/>
  <c r="Z57" i="12"/>
  <c r="Y57" i="12"/>
  <c r="X57" i="12"/>
  <c r="W57" i="12"/>
  <c r="V57" i="12"/>
  <c r="U57" i="12"/>
  <c r="T57" i="12"/>
  <c r="S57" i="12"/>
  <c r="R57" i="12"/>
  <c r="HC53" i="12"/>
  <c r="HB53" i="12"/>
  <c r="HA53" i="12"/>
  <c r="GZ53" i="12"/>
  <c r="GY53" i="12"/>
  <c r="GX53" i="12"/>
  <c r="GW53" i="12"/>
  <c r="GV53" i="12"/>
  <c r="GU53" i="12"/>
  <c r="GT53" i="12"/>
  <c r="GS53" i="12"/>
  <c r="GR53" i="12"/>
  <c r="GQ53" i="12"/>
  <c r="GP53" i="12"/>
  <c r="GO53" i="12"/>
  <c r="GN53" i="12"/>
  <c r="GM53" i="12"/>
  <c r="GL53" i="12"/>
  <c r="GK53" i="12"/>
  <c r="GJ53" i="12"/>
  <c r="GI53" i="12"/>
  <c r="GH53" i="12"/>
  <c r="GG53" i="12"/>
  <c r="GF53" i="12"/>
  <c r="GE53" i="12"/>
  <c r="GD53" i="12"/>
  <c r="GC53" i="12"/>
  <c r="GB53" i="12"/>
  <c r="GA53" i="12"/>
  <c r="FZ53" i="12"/>
  <c r="FY53" i="12"/>
  <c r="FX53" i="12"/>
  <c r="FW53" i="12"/>
  <c r="FV53" i="12"/>
  <c r="FU53" i="12"/>
  <c r="FT53" i="12"/>
  <c r="FS53" i="12"/>
  <c r="FR53" i="12"/>
  <c r="FQ53" i="12"/>
  <c r="FP53" i="12"/>
  <c r="FO53" i="12"/>
  <c r="FN53" i="12"/>
  <c r="FM53" i="12"/>
  <c r="FL53" i="12"/>
  <c r="FK53" i="12"/>
  <c r="FJ53" i="12"/>
  <c r="FI53" i="12"/>
  <c r="FH53" i="12"/>
  <c r="FG53" i="12"/>
  <c r="FF53" i="12"/>
  <c r="FE53" i="12"/>
  <c r="FD53" i="12"/>
  <c r="FC53" i="12"/>
  <c r="FB53" i="12"/>
  <c r="FA53" i="12"/>
  <c r="EZ53" i="12"/>
  <c r="EY53" i="12"/>
  <c r="EX53" i="12"/>
  <c r="EW53" i="12"/>
  <c r="EV53" i="12"/>
  <c r="EU53" i="12"/>
  <c r="ET53" i="12"/>
  <c r="ES53" i="12"/>
  <c r="ER53" i="12"/>
  <c r="EQ53" i="12"/>
  <c r="EP53" i="12"/>
  <c r="EO53" i="12"/>
  <c r="EN53" i="12"/>
  <c r="EM53" i="12"/>
  <c r="EL53" i="12"/>
  <c r="EK53" i="12"/>
  <c r="EJ53" i="12"/>
  <c r="EI53" i="12"/>
  <c r="EH53" i="12"/>
  <c r="EG53" i="12"/>
  <c r="EF53" i="12"/>
  <c r="EE53" i="12"/>
  <c r="ED53" i="12"/>
  <c r="EC53" i="12"/>
  <c r="EB53" i="12"/>
  <c r="EA53" i="12"/>
  <c r="DZ53" i="12"/>
  <c r="DY53" i="12"/>
  <c r="DX53" i="12"/>
  <c r="DW53" i="12"/>
  <c r="DV53" i="12"/>
  <c r="DU53" i="12"/>
  <c r="DT53" i="12"/>
  <c r="DS53" i="12"/>
  <c r="DR53" i="12"/>
  <c r="DQ53" i="12"/>
  <c r="DP53" i="12"/>
  <c r="DO53" i="12"/>
  <c r="DN53" i="12"/>
  <c r="DM53" i="12"/>
  <c r="DL53" i="12"/>
  <c r="DK53" i="12"/>
  <c r="DJ53" i="12"/>
  <c r="DI53" i="12"/>
  <c r="DH53" i="12"/>
  <c r="DG53" i="12"/>
  <c r="DF53" i="12"/>
  <c r="DE53" i="12"/>
  <c r="DD53" i="12"/>
  <c r="DC53" i="12"/>
  <c r="DB53" i="12"/>
  <c r="DA53" i="12"/>
  <c r="CZ53" i="12"/>
  <c r="CY53" i="12"/>
  <c r="CX53" i="12"/>
  <c r="CW53" i="12"/>
  <c r="CV53" i="12"/>
  <c r="CU53" i="12"/>
  <c r="CT53" i="12"/>
  <c r="CS53" i="12"/>
  <c r="CR53" i="12"/>
  <c r="CQ53" i="12"/>
  <c r="CP53" i="12"/>
  <c r="CO53" i="12"/>
  <c r="CN53" i="12"/>
  <c r="CM53" i="12"/>
  <c r="CL53" i="12"/>
  <c r="CK53" i="12"/>
  <c r="CJ53" i="12"/>
  <c r="CI53" i="12"/>
  <c r="CH53" i="12"/>
  <c r="CG53" i="12"/>
  <c r="CF53" i="12"/>
  <c r="CE53" i="12"/>
  <c r="CD53" i="12"/>
  <c r="CC53" i="12"/>
  <c r="CB53" i="12"/>
  <c r="CA53" i="12"/>
  <c r="BZ53" i="12"/>
  <c r="BY53" i="12"/>
  <c r="BX53" i="12"/>
  <c r="BW53" i="12"/>
  <c r="BV53" i="12"/>
  <c r="BU53" i="12"/>
  <c r="BT53" i="12"/>
  <c r="BS53" i="12"/>
  <c r="BR53" i="12"/>
  <c r="BQ53" i="12"/>
  <c r="BP53" i="12"/>
  <c r="BO53" i="12"/>
  <c r="BN53" i="12"/>
  <c r="BM53" i="12"/>
  <c r="BL53" i="12"/>
  <c r="BK53" i="12"/>
  <c r="BJ53" i="12"/>
  <c r="BI53" i="12"/>
  <c r="BH53" i="12"/>
  <c r="BG53" i="12"/>
  <c r="BF53" i="12"/>
  <c r="BE53" i="12"/>
  <c r="BD53" i="12"/>
  <c r="BC53" i="12"/>
  <c r="BB53" i="12"/>
  <c r="BA53" i="12"/>
  <c r="AZ53" i="12"/>
  <c r="AY53" i="12"/>
  <c r="AX53" i="12"/>
  <c r="AW53" i="12"/>
  <c r="AV53" i="12"/>
  <c r="AU53" i="12"/>
  <c r="AT53" i="12"/>
  <c r="AS53" i="12"/>
  <c r="AR53" i="12"/>
  <c r="AQ53" i="12"/>
  <c r="AP53" i="12"/>
  <c r="AO53" i="12"/>
  <c r="AN53" i="12"/>
  <c r="AM53" i="12"/>
  <c r="AL53" i="12"/>
  <c r="AK53" i="12"/>
  <c r="AJ53" i="12"/>
  <c r="AI53" i="12"/>
  <c r="AH53" i="12"/>
  <c r="AG53" i="12"/>
  <c r="AF53" i="12"/>
  <c r="AE53" i="12"/>
  <c r="AD53" i="12"/>
  <c r="AC53" i="12"/>
  <c r="AB53" i="12"/>
  <c r="AA53" i="12"/>
  <c r="Z53" i="12"/>
  <c r="Y53" i="12"/>
  <c r="X53" i="12"/>
  <c r="W53" i="12"/>
  <c r="V53" i="12"/>
  <c r="U53" i="12"/>
  <c r="T53" i="12"/>
  <c r="S53" i="12"/>
  <c r="R53" i="12"/>
  <c r="HC52" i="12"/>
  <c r="HB52" i="12"/>
  <c r="HA52" i="12"/>
  <c r="GZ52" i="12"/>
  <c r="GY52" i="12"/>
  <c r="GX52" i="12"/>
  <c r="GW52" i="12"/>
  <c r="GV52" i="12"/>
  <c r="GU52" i="12"/>
  <c r="GT52" i="12"/>
  <c r="GS52" i="12"/>
  <c r="GR52" i="12"/>
  <c r="GQ52" i="12"/>
  <c r="GP52" i="12"/>
  <c r="GO52" i="12"/>
  <c r="GN52" i="12"/>
  <c r="GM52" i="12"/>
  <c r="GL52" i="12"/>
  <c r="GK52" i="12"/>
  <c r="GJ52" i="12"/>
  <c r="GI52" i="12"/>
  <c r="GH52" i="12"/>
  <c r="GG52" i="12"/>
  <c r="GF52" i="12"/>
  <c r="GE52" i="12"/>
  <c r="GD52" i="12"/>
  <c r="GC52" i="12"/>
  <c r="GB52" i="12"/>
  <c r="GA52" i="12"/>
  <c r="FZ52" i="12"/>
  <c r="FY52" i="12"/>
  <c r="FX52" i="12"/>
  <c r="FW52" i="12"/>
  <c r="FV52" i="12"/>
  <c r="FU52" i="12"/>
  <c r="FT52" i="12"/>
  <c r="FS52" i="12"/>
  <c r="FR52" i="12"/>
  <c r="FQ52" i="12"/>
  <c r="FP52" i="12"/>
  <c r="FO52" i="12"/>
  <c r="FN52" i="12"/>
  <c r="FM52" i="12"/>
  <c r="FL52" i="12"/>
  <c r="FK52" i="12"/>
  <c r="FJ52" i="12"/>
  <c r="FI52" i="12"/>
  <c r="FH52" i="12"/>
  <c r="FG52" i="12"/>
  <c r="FF52" i="12"/>
  <c r="FE52" i="12"/>
  <c r="FD52" i="12"/>
  <c r="FC52" i="12"/>
  <c r="FB52" i="12"/>
  <c r="FA52" i="12"/>
  <c r="EZ52" i="12"/>
  <c r="EY52" i="12"/>
  <c r="EX52" i="12"/>
  <c r="EW52" i="12"/>
  <c r="EV52" i="12"/>
  <c r="EU52" i="12"/>
  <c r="ET52" i="12"/>
  <c r="ES52" i="12"/>
  <c r="ER52" i="12"/>
  <c r="EQ52" i="12"/>
  <c r="EP52" i="12"/>
  <c r="EO52" i="12"/>
  <c r="EN52" i="12"/>
  <c r="EM52" i="12"/>
  <c r="EL52" i="12"/>
  <c r="EK52" i="12"/>
  <c r="EJ52" i="12"/>
  <c r="EI52" i="12"/>
  <c r="EH52" i="12"/>
  <c r="EG52" i="12"/>
  <c r="EF52" i="12"/>
  <c r="EE52" i="12"/>
  <c r="ED52" i="12"/>
  <c r="EC52" i="12"/>
  <c r="EB52" i="12"/>
  <c r="EA52" i="12"/>
  <c r="DZ52" i="12"/>
  <c r="DY52" i="12"/>
  <c r="DX52" i="12"/>
  <c r="DW52" i="12"/>
  <c r="DV52" i="12"/>
  <c r="DU52" i="12"/>
  <c r="DT52" i="12"/>
  <c r="DS52" i="12"/>
  <c r="DR52" i="12"/>
  <c r="DQ52" i="12"/>
  <c r="DP52" i="12"/>
  <c r="DO52" i="12"/>
  <c r="DN52" i="12"/>
  <c r="DM52" i="12"/>
  <c r="DL52" i="12"/>
  <c r="DK52" i="12"/>
  <c r="DJ52" i="12"/>
  <c r="DI52" i="12"/>
  <c r="DH52" i="12"/>
  <c r="DG52" i="12"/>
  <c r="DF52" i="12"/>
  <c r="DE52" i="12"/>
  <c r="DD52" i="12"/>
  <c r="DC52" i="12"/>
  <c r="DB52" i="12"/>
  <c r="DA52" i="12"/>
  <c r="CZ52" i="12"/>
  <c r="CY52" i="12"/>
  <c r="CX52" i="12"/>
  <c r="CW52" i="12"/>
  <c r="CV52" i="12"/>
  <c r="CU52" i="12"/>
  <c r="CT52" i="12"/>
  <c r="CS52" i="12"/>
  <c r="CR52" i="12"/>
  <c r="CQ52" i="12"/>
  <c r="CP52" i="12"/>
  <c r="CO52" i="12"/>
  <c r="CN52" i="12"/>
  <c r="CM52" i="12"/>
  <c r="CL52" i="12"/>
  <c r="CK52" i="12"/>
  <c r="CJ52" i="12"/>
  <c r="CI52" i="12"/>
  <c r="CH52" i="12"/>
  <c r="CG52" i="12"/>
  <c r="CF52" i="12"/>
  <c r="CE52" i="12"/>
  <c r="CD52" i="12"/>
  <c r="CC52" i="12"/>
  <c r="CB52" i="12"/>
  <c r="CA52" i="12"/>
  <c r="BZ52" i="12"/>
  <c r="BY52" i="12"/>
  <c r="BX52" i="12"/>
  <c r="BW52" i="12"/>
  <c r="BV52" i="12"/>
  <c r="BU52" i="12"/>
  <c r="BT52" i="12"/>
  <c r="BS52" i="12"/>
  <c r="BR52" i="12"/>
  <c r="BQ52" i="12"/>
  <c r="BP52" i="12"/>
  <c r="BO52" i="12"/>
  <c r="BN52" i="12"/>
  <c r="BM52" i="12"/>
  <c r="BL52" i="12"/>
  <c r="BK52" i="12"/>
  <c r="BJ52" i="12"/>
  <c r="BI52" i="12"/>
  <c r="BH52" i="12"/>
  <c r="BG52" i="12"/>
  <c r="BF52" i="12"/>
  <c r="BE52" i="12"/>
  <c r="BD52" i="12"/>
  <c r="BC52" i="12"/>
  <c r="BB52" i="12"/>
  <c r="BA52" i="12"/>
  <c r="AZ52" i="12"/>
  <c r="AY52" i="12"/>
  <c r="AX52" i="12"/>
  <c r="AW52" i="12"/>
  <c r="AV52" i="12"/>
  <c r="AU52" i="12"/>
  <c r="AT52" i="12"/>
  <c r="AS52" i="12"/>
  <c r="AR52" i="12"/>
  <c r="AQ52" i="12"/>
  <c r="AP52" i="12"/>
  <c r="AO52" i="12"/>
  <c r="AN52" i="12"/>
  <c r="AM52" i="12"/>
  <c r="AL52" i="12"/>
  <c r="AK52" i="12"/>
  <c r="AJ52" i="12"/>
  <c r="AI52" i="12"/>
  <c r="AH52" i="12"/>
  <c r="AG52" i="12"/>
  <c r="AF52" i="12"/>
  <c r="AE52" i="12"/>
  <c r="AD52" i="12"/>
  <c r="AC52" i="12"/>
  <c r="AB52" i="12"/>
  <c r="AA52" i="12"/>
  <c r="Z52" i="12"/>
  <c r="Y52" i="12"/>
  <c r="X52" i="12"/>
  <c r="W52" i="12"/>
  <c r="V52" i="12"/>
  <c r="U52" i="12"/>
  <c r="T52" i="12"/>
  <c r="S52" i="12"/>
  <c r="R52" i="12"/>
  <c r="HC51" i="12"/>
  <c r="HB51" i="12"/>
  <c r="HA51" i="12"/>
  <c r="GZ51" i="12"/>
  <c r="GY51" i="12"/>
  <c r="GX51" i="12"/>
  <c r="GW51" i="12"/>
  <c r="GV51" i="12"/>
  <c r="GU51" i="12"/>
  <c r="GT51" i="12"/>
  <c r="GS51" i="12"/>
  <c r="GR51" i="12"/>
  <c r="GQ51" i="12"/>
  <c r="GP51" i="12"/>
  <c r="GO51" i="12"/>
  <c r="GN51" i="12"/>
  <c r="GM51" i="12"/>
  <c r="GL51" i="12"/>
  <c r="GK51" i="12"/>
  <c r="GJ51" i="12"/>
  <c r="GI51" i="12"/>
  <c r="GH51" i="12"/>
  <c r="GG51" i="12"/>
  <c r="GF51" i="12"/>
  <c r="GE51" i="12"/>
  <c r="GD51" i="12"/>
  <c r="GC51" i="12"/>
  <c r="GB51" i="12"/>
  <c r="GA51" i="12"/>
  <c r="FZ51" i="12"/>
  <c r="FY51" i="12"/>
  <c r="FX51" i="12"/>
  <c r="FW51" i="12"/>
  <c r="FV51" i="12"/>
  <c r="FU51" i="12"/>
  <c r="FT51" i="12"/>
  <c r="FS51" i="12"/>
  <c r="FR51" i="12"/>
  <c r="FQ51" i="12"/>
  <c r="FP51" i="12"/>
  <c r="FO51" i="12"/>
  <c r="FN51" i="12"/>
  <c r="FM51" i="12"/>
  <c r="FL51" i="12"/>
  <c r="FK51" i="12"/>
  <c r="FJ51" i="12"/>
  <c r="FI51" i="12"/>
  <c r="FH51" i="12"/>
  <c r="FG51" i="12"/>
  <c r="FF51" i="12"/>
  <c r="FE51" i="12"/>
  <c r="FD51" i="12"/>
  <c r="FC51" i="12"/>
  <c r="FB51" i="12"/>
  <c r="FA51" i="12"/>
  <c r="EZ51" i="12"/>
  <c r="EY51" i="12"/>
  <c r="EX51" i="12"/>
  <c r="EW51" i="12"/>
  <c r="EV51" i="12"/>
  <c r="EU51" i="12"/>
  <c r="ET51" i="12"/>
  <c r="ES51" i="12"/>
  <c r="ER51" i="12"/>
  <c r="EQ51" i="12"/>
  <c r="EP51" i="12"/>
  <c r="EO51" i="12"/>
  <c r="EN51" i="12"/>
  <c r="EM51" i="12"/>
  <c r="EL51" i="12"/>
  <c r="EK51" i="12"/>
  <c r="EJ51" i="12"/>
  <c r="EI51" i="12"/>
  <c r="EH51" i="12"/>
  <c r="EG51" i="12"/>
  <c r="EF51" i="12"/>
  <c r="EE51" i="12"/>
  <c r="ED51" i="12"/>
  <c r="EC51" i="12"/>
  <c r="EB51" i="12"/>
  <c r="EA51" i="12"/>
  <c r="DZ51" i="12"/>
  <c r="DY51" i="12"/>
  <c r="DX51" i="12"/>
  <c r="DW51" i="12"/>
  <c r="DV51" i="12"/>
  <c r="DU51" i="12"/>
  <c r="DT51" i="12"/>
  <c r="DS51" i="12"/>
  <c r="DR51" i="12"/>
  <c r="DQ51" i="12"/>
  <c r="DP51" i="12"/>
  <c r="DO51" i="12"/>
  <c r="DN51" i="12"/>
  <c r="DM51" i="12"/>
  <c r="DL51" i="12"/>
  <c r="DK51" i="12"/>
  <c r="DJ51" i="12"/>
  <c r="DI51" i="12"/>
  <c r="DH51" i="12"/>
  <c r="DG51" i="12"/>
  <c r="DF51" i="12"/>
  <c r="DE51" i="12"/>
  <c r="DD51" i="12"/>
  <c r="DC51" i="12"/>
  <c r="DB51" i="12"/>
  <c r="DA51" i="12"/>
  <c r="CZ51" i="12"/>
  <c r="CY51" i="12"/>
  <c r="CX51" i="12"/>
  <c r="CW51" i="12"/>
  <c r="CV51" i="12"/>
  <c r="CU51" i="12"/>
  <c r="CT51" i="12"/>
  <c r="CS51" i="12"/>
  <c r="CR51" i="12"/>
  <c r="CQ51" i="12"/>
  <c r="CP51" i="12"/>
  <c r="CO51" i="12"/>
  <c r="CN51" i="12"/>
  <c r="CM51" i="12"/>
  <c r="CL51" i="12"/>
  <c r="CK51" i="12"/>
  <c r="CJ51" i="12"/>
  <c r="CI51" i="12"/>
  <c r="CH51" i="12"/>
  <c r="CG51" i="12"/>
  <c r="CF51" i="12"/>
  <c r="CE51" i="12"/>
  <c r="CD51" i="12"/>
  <c r="CC51" i="12"/>
  <c r="CB51" i="12"/>
  <c r="CA51" i="12"/>
  <c r="BZ51" i="12"/>
  <c r="BY51" i="12"/>
  <c r="BX51" i="12"/>
  <c r="BW51" i="12"/>
  <c r="BV51" i="12"/>
  <c r="BU51" i="12"/>
  <c r="BT51" i="12"/>
  <c r="BS51" i="12"/>
  <c r="BR51" i="12"/>
  <c r="BQ51" i="12"/>
  <c r="BP51" i="12"/>
  <c r="BO51" i="12"/>
  <c r="BN51" i="12"/>
  <c r="BM51" i="12"/>
  <c r="BL51" i="12"/>
  <c r="BK51" i="12"/>
  <c r="BJ51" i="12"/>
  <c r="BI51" i="12"/>
  <c r="BH51" i="12"/>
  <c r="BG51" i="12"/>
  <c r="BF51" i="12"/>
  <c r="BE51" i="12"/>
  <c r="BD51" i="12"/>
  <c r="BC51" i="12"/>
  <c r="BB51" i="12"/>
  <c r="BA51" i="12"/>
  <c r="AZ51" i="12"/>
  <c r="AY51" i="12"/>
  <c r="AX51" i="12"/>
  <c r="AW51" i="12"/>
  <c r="AV51" i="12"/>
  <c r="AU51" i="12"/>
  <c r="AT51" i="12"/>
  <c r="AS51" i="12"/>
  <c r="AR51" i="12"/>
  <c r="AQ51" i="12"/>
  <c r="AP51" i="12"/>
  <c r="AO51" i="12"/>
  <c r="AN51" i="12"/>
  <c r="AM51" i="12"/>
  <c r="AL51" i="12"/>
  <c r="AK51" i="12"/>
  <c r="AJ51" i="12"/>
  <c r="AI51" i="12"/>
  <c r="AH51" i="12"/>
  <c r="AG51" i="12"/>
  <c r="AF51" i="12"/>
  <c r="AE51" i="12"/>
  <c r="AD51" i="12"/>
  <c r="AC51" i="12"/>
  <c r="AB51" i="12"/>
  <c r="AA51" i="12"/>
  <c r="Z51" i="12"/>
  <c r="Y51" i="12"/>
  <c r="X51" i="12"/>
  <c r="W51" i="12"/>
  <c r="V51" i="12"/>
  <c r="U51" i="12"/>
  <c r="T51" i="12"/>
  <c r="S51" i="12"/>
  <c r="R51" i="12"/>
  <c r="HC50" i="12"/>
  <c r="HB50" i="12"/>
  <c r="HA50" i="12"/>
  <c r="GZ50" i="12"/>
  <c r="GY50" i="12"/>
  <c r="GX50" i="12"/>
  <c r="GW50" i="12"/>
  <c r="GV50" i="12"/>
  <c r="GU50" i="12"/>
  <c r="GT50" i="12"/>
  <c r="GS50" i="12"/>
  <c r="GR50" i="12"/>
  <c r="GQ50" i="12"/>
  <c r="GP50" i="12"/>
  <c r="GO50" i="12"/>
  <c r="GN50" i="12"/>
  <c r="GM50" i="12"/>
  <c r="GL50" i="12"/>
  <c r="GK50" i="12"/>
  <c r="GJ50" i="12"/>
  <c r="GI50" i="12"/>
  <c r="GH50" i="12"/>
  <c r="GG50" i="12"/>
  <c r="GF50" i="12"/>
  <c r="GE50" i="12"/>
  <c r="GD50" i="12"/>
  <c r="GC50" i="12"/>
  <c r="GB50" i="12"/>
  <c r="GA50" i="12"/>
  <c r="FZ50" i="12"/>
  <c r="FY50" i="12"/>
  <c r="FX50" i="12"/>
  <c r="FW50" i="12"/>
  <c r="FV50" i="12"/>
  <c r="FU50" i="12"/>
  <c r="FT50" i="12"/>
  <c r="FS50" i="12"/>
  <c r="FR50" i="12"/>
  <c r="FQ50" i="12"/>
  <c r="FP50" i="12"/>
  <c r="FO50" i="12"/>
  <c r="FN50" i="12"/>
  <c r="FM50" i="12"/>
  <c r="FL50" i="12"/>
  <c r="FK50" i="12"/>
  <c r="FJ50" i="12"/>
  <c r="FI50" i="12"/>
  <c r="FH50" i="12"/>
  <c r="FG50" i="12"/>
  <c r="FF50" i="12"/>
  <c r="FE50" i="12"/>
  <c r="FD50" i="12"/>
  <c r="FC50" i="12"/>
  <c r="FB50" i="12"/>
  <c r="FA50" i="12"/>
  <c r="EZ50" i="12"/>
  <c r="EY50" i="12"/>
  <c r="EX50" i="12"/>
  <c r="EW50" i="12"/>
  <c r="EU50" i="12"/>
  <c r="ET50" i="12"/>
  <c r="ES50" i="12"/>
  <c r="ER50" i="12"/>
  <c r="EQ50" i="12"/>
  <c r="EP50" i="12"/>
  <c r="EO50" i="12"/>
  <c r="EN50" i="12"/>
  <c r="EM50" i="12"/>
  <c r="EL50" i="12"/>
  <c r="EK50" i="12"/>
  <c r="EJ50" i="12"/>
  <c r="EI50" i="12"/>
  <c r="EH50" i="12"/>
  <c r="EG50" i="12"/>
  <c r="EF50" i="12"/>
  <c r="EE50" i="12"/>
  <c r="ED50" i="12"/>
  <c r="EC50" i="12"/>
  <c r="EB50" i="12"/>
  <c r="EA50" i="12"/>
  <c r="DZ50" i="12"/>
  <c r="DY50" i="12"/>
  <c r="DX50" i="12"/>
  <c r="DW50" i="12"/>
  <c r="DV50" i="12"/>
  <c r="DU50" i="12"/>
  <c r="DT50" i="12"/>
  <c r="DS50" i="12"/>
  <c r="DR50" i="12"/>
  <c r="DQ50" i="12"/>
  <c r="DP50" i="12"/>
  <c r="DO50" i="12"/>
  <c r="DN50" i="12"/>
  <c r="DM50" i="12"/>
  <c r="DL50" i="12"/>
  <c r="DK50" i="12"/>
  <c r="DJ50" i="12"/>
  <c r="DI50" i="12"/>
  <c r="DH50" i="12"/>
  <c r="DG50" i="12"/>
  <c r="DF50" i="12"/>
  <c r="DE50" i="12"/>
  <c r="DD50" i="12"/>
  <c r="DC50" i="12"/>
  <c r="DB50" i="12"/>
  <c r="DA50" i="12"/>
  <c r="CZ50" i="12"/>
  <c r="CY50" i="12"/>
  <c r="CX50" i="12"/>
  <c r="CW50" i="12"/>
  <c r="CV50" i="12"/>
  <c r="CU50" i="12"/>
  <c r="CT50" i="12"/>
  <c r="CS50" i="12"/>
  <c r="CR50" i="12"/>
  <c r="CQ50" i="12"/>
  <c r="CP50" i="12"/>
  <c r="CO50" i="12"/>
  <c r="CN50" i="12"/>
  <c r="CM50" i="12"/>
  <c r="CL50" i="12"/>
  <c r="CK50" i="12"/>
  <c r="CJ50" i="12"/>
  <c r="CI50" i="12"/>
  <c r="CH50" i="12"/>
  <c r="CG50" i="12"/>
  <c r="CF50" i="12"/>
  <c r="CE50" i="12"/>
  <c r="CD50" i="12"/>
  <c r="CC50" i="12"/>
  <c r="CB50" i="12"/>
  <c r="CA50" i="12"/>
  <c r="BZ50" i="12"/>
  <c r="BY50" i="12"/>
  <c r="BX50" i="12"/>
  <c r="BW50" i="12"/>
  <c r="BV50" i="12"/>
  <c r="BU50" i="12"/>
  <c r="BT50" i="12"/>
  <c r="BS50" i="12"/>
  <c r="BR50" i="12"/>
  <c r="BQ50" i="12"/>
  <c r="BP50" i="12"/>
  <c r="BO50" i="12"/>
  <c r="BN50" i="12"/>
  <c r="BM50" i="12"/>
  <c r="BL50" i="12"/>
  <c r="BK50" i="12"/>
  <c r="BJ50" i="12"/>
  <c r="BI50" i="12"/>
  <c r="BH50" i="12"/>
  <c r="BG50" i="12"/>
  <c r="BF50" i="12"/>
  <c r="BE50" i="12"/>
  <c r="BD50" i="12"/>
  <c r="BC50" i="12"/>
  <c r="BB50" i="12"/>
  <c r="BA50" i="12"/>
  <c r="AZ50" i="12"/>
  <c r="AY50" i="12"/>
  <c r="AX50" i="12"/>
  <c r="AW50" i="12"/>
  <c r="AV50" i="12"/>
  <c r="AU50" i="12"/>
  <c r="AT50" i="12"/>
  <c r="AS50" i="12"/>
  <c r="AR50" i="12"/>
  <c r="AQ50" i="12"/>
  <c r="AP50" i="12"/>
  <c r="AO50" i="12"/>
  <c r="AN50" i="12"/>
  <c r="AM50" i="12"/>
  <c r="AL50" i="12"/>
  <c r="AK50" i="12"/>
  <c r="AJ50" i="12"/>
  <c r="AI50" i="12"/>
  <c r="AH50" i="12"/>
  <c r="AG50" i="12"/>
  <c r="AF50" i="12"/>
  <c r="AE50" i="12"/>
  <c r="AD50" i="12"/>
  <c r="AC50" i="12"/>
  <c r="AB50" i="12"/>
  <c r="AA50" i="12"/>
  <c r="Z50" i="12"/>
  <c r="Y50" i="12"/>
  <c r="X50" i="12"/>
  <c r="W50" i="12"/>
  <c r="V50" i="12"/>
  <c r="U50" i="12"/>
  <c r="T50" i="12"/>
  <c r="S50" i="12"/>
  <c r="R50" i="12"/>
  <c r="HC48" i="12"/>
  <c r="HB48" i="12"/>
  <c r="HA48" i="12"/>
  <c r="GZ48" i="12"/>
  <c r="GY48" i="12"/>
  <c r="GX48" i="12"/>
  <c r="GW48" i="12"/>
  <c r="GV48" i="12"/>
  <c r="GU48" i="12"/>
  <c r="GT48" i="12"/>
  <c r="GS48" i="12"/>
  <c r="GR48" i="12"/>
  <c r="GQ48" i="12"/>
  <c r="GP48" i="12"/>
  <c r="GO48" i="12"/>
  <c r="GN48" i="12"/>
  <c r="GM48" i="12"/>
  <c r="GL48" i="12"/>
  <c r="GK48" i="12"/>
  <c r="GJ48" i="12"/>
  <c r="GI48" i="12"/>
  <c r="GH48" i="12"/>
  <c r="GG48" i="12"/>
  <c r="GF48" i="12"/>
  <c r="GE48" i="12"/>
  <c r="GD48" i="12"/>
  <c r="GC48" i="12"/>
  <c r="GB48" i="12"/>
  <c r="GA48" i="12"/>
  <c r="FZ48" i="12"/>
  <c r="FY48" i="12"/>
  <c r="FX48" i="12"/>
  <c r="FW48" i="12"/>
  <c r="FV48" i="12"/>
  <c r="FU48" i="12"/>
  <c r="FT48" i="12"/>
  <c r="FS48" i="12"/>
  <c r="FR48" i="12"/>
  <c r="FQ48" i="12"/>
  <c r="FP48" i="12"/>
  <c r="FO48" i="12"/>
  <c r="FN48" i="12"/>
  <c r="FM48" i="12"/>
  <c r="FL48" i="12"/>
  <c r="FK48" i="12"/>
  <c r="FJ48" i="12"/>
  <c r="FI48" i="12"/>
  <c r="FH48" i="12"/>
  <c r="FG48" i="12"/>
  <c r="FF48" i="12"/>
  <c r="FE48" i="12"/>
  <c r="FD48" i="12"/>
  <c r="FC48" i="12"/>
  <c r="FB48" i="12"/>
  <c r="FA48" i="12"/>
  <c r="EZ48" i="12"/>
  <c r="EY48" i="12"/>
  <c r="EX48" i="12"/>
  <c r="EW48" i="12"/>
  <c r="EV48" i="12"/>
  <c r="EU48" i="12"/>
  <c r="ET48" i="12"/>
  <c r="ES48" i="12"/>
  <c r="ER48" i="12"/>
  <c r="EQ48" i="12"/>
  <c r="EP48" i="12"/>
  <c r="EO48" i="12"/>
  <c r="EN48" i="12"/>
  <c r="EM48" i="12"/>
  <c r="EL48" i="12"/>
  <c r="EK48" i="12"/>
  <c r="EJ48" i="12"/>
  <c r="EI48" i="12"/>
  <c r="EH48" i="12"/>
  <c r="EG48" i="12"/>
  <c r="EF48" i="12"/>
  <c r="EE48" i="12"/>
  <c r="ED48" i="12"/>
  <c r="EC48" i="12"/>
  <c r="EB48" i="12"/>
  <c r="EA48" i="12"/>
  <c r="DZ48" i="12"/>
  <c r="DY48" i="12"/>
  <c r="DX48" i="12"/>
  <c r="DW48" i="12"/>
  <c r="DV48" i="12"/>
  <c r="DU48" i="12"/>
  <c r="DT48" i="12"/>
  <c r="DS48" i="12"/>
  <c r="DR48" i="12"/>
  <c r="DQ48" i="12"/>
  <c r="DP48" i="12"/>
  <c r="DO48" i="12"/>
  <c r="DN48" i="12"/>
  <c r="DM48" i="12"/>
  <c r="DL48" i="12"/>
  <c r="DK48" i="12"/>
  <c r="DJ48" i="12"/>
  <c r="DI48" i="12"/>
  <c r="DH48" i="12"/>
  <c r="DG48" i="12"/>
  <c r="DF48" i="12"/>
  <c r="DE48" i="12"/>
  <c r="DD48" i="12"/>
  <c r="DC48" i="12"/>
  <c r="DB48" i="12"/>
  <c r="DA48" i="12"/>
  <c r="CZ48" i="12"/>
  <c r="CY48" i="12"/>
  <c r="CX48" i="12"/>
  <c r="CW48" i="12"/>
  <c r="CV48" i="12"/>
  <c r="CU48" i="12"/>
  <c r="CT48" i="12"/>
  <c r="CS48" i="12"/>
  <c r="CR48" i="12"/>
  <c r="CQ48" i="12"/>
  <c r="CP48" i="12"/>
  <c r="CO48" i="12"/>
  <c r="CN48" i="12"/>
  <c r="CM48" i="12"/>
  <c r="CL48" i="12"/>
  <c r="CK48" i="12"/>
  <c r="CJ48" i="12"/>
  <c r="CI48" i="12"/>
  <c r="CH48" i="12"/>
  <c r="CG48" i="12"/>
  <c r="CF48" i="12"/>
  <c r="CE48" i="12"/>
  <c r="CD48" i="12"/>
  <c r="CC48" i="12"/>
  <c r="CB48" i="12"/>
  <c r="CA48" i="12"/>
  <c r="BZ48" i="12"/>
  <c r="BY48" i="12"/>
  <c r="BX48" i="12"/>
  <c r="BW48" i="12"/>
  <c r="BV48" i="12"/>
  <c r="BU48" i="12"/>
  <c r="BT48" i="12"/>
  <c r="BS48" i="12"/>
  <c r="BR48" i="12"/>
  <c r="BQ48" i="12"/>
  <c r="BP48" i="12"/>
  <c r="BO48" i="12"/>
  <c r="BN48" i="12"/>
  <c r="BM48" i="12"/>
  <c r="BL48" i="12"/>
  <c r="BK48" i="12"/>
  <c r="BJ48" i="12"/>
  <c r="BI48" i="12"/>
  <c r="BH48" i="12"/>
  <c r="BG48" i="12"/>
  <c r="BF48" i="12"/>
  <c r="BE48" i="12"/>
  <c r="BD48" i="12"/>
  <c r="BC48" i="12"/>
  <c r="BB48" i="12"/>
  <c r="BA48" i="12"/>
  <c r="AZ48" i="12"/>
  <c r="AY48" i="12"/>
  <c r="AX48" i="12"/>
  <c r="AW48" i="12"/>
  <c r="AV48" i="12"/>
  <c r="AU48" i="12"/>
  <c r="AT48" i="12"/>
  <c r="AS48" i="12"/>
  <c r="AR48" i="12"/>
  <c r="AQ48" i="12"/>
  <c r="AP48" i="12"/>
  <c r="AO48" i="12"/>
  <c r="AN48" i="12"/>
  <c r="AM48" i="12"/>
  <c r="AL48" i="12"/>
  <c r="AK48" i="12"/>
  <c r="AJ48" i="12"/>
  <c r="AI48" i="12"/>
  <c r="AH48" i="12"/>
  <c r="AG48" i="12"/>
  <c r="AF48" i="12"/>
  <c r="AE48" i="12"/>
  <c r="AD48" i="12"/>
  <c r="AC48" i="12"/>
  <c r="AB48" i="12"/>
  <c r="AA48" i="12"/>
  <c r="Z48" i="12"/>
  <c r="Y48" i="12"/>
  <c r="X48" i="12"/>
  <c r="W48" i="12"/>
  <c r="V48" i="12"/>
  <c r="U48" i="12"/>
  <c r="T48" i="12"/>
  <c r="S48" i="12"/>
  <c r="R48" i="12"/>
  <c r="HC42" i="12"/>
  <c r="HB42" i="12"/>
  <c r="HA42" i="12"/>
  <c r="GZ42" i="12"/>
  <c r="GY42" i="12"/>
  <c r="GX42" i="12"/>
  <c r="GW42" i="12"/>
  <c r="GV42" i="12"/>
  <c r="GU42" i="12"/>
  <c r="GT42" i="12"/>
  <c r="GS42" i="12"/>
  <c r="GR42" i="12"/>
  <c r="GQ42" i="12"/>
  <c r="GP42" i="12"/>
  <c r="GO42" i="12"/>
  <c r="GN42" i="12"/>
  <c r="GM42" i="12"/>
  <c r="GL42" i="12"/>
  <c r="GK42" i="12"/>
  <c r="GJ42" i="12"/>
  <c r="GI42" i="12"/>
  <c r="GH42" i="12"/>
  <c r="GG42" i="12"/>
  <c r="GF42" i="12"/>
  <c r="GE42" i="12"/>
  <c r="GD42" i="12"/>
  <c r="GC42" i="12"/>
  <c r="GB42" i="12"/>
  <c r="GA42" i="12"/>
  <c r="FZ42" i="12"/>
  <c r="FY42" i="12"/>
  <c r="FX42" i="12"/>
  <c r="FW42" i="12"/>
  <c r="FV42" i="12"/>
  <c r="FU42" i="12"/>
  <c r="FT42" i="12"/>
  <c r="FS42" i="12"/>
  <c r="FR42" i="12"/>
  <c r="FQ42" i="12"/>
  <c r="FP42" i="12"/>
  <c r="FO42" i="12"/>
  <c r="FN42" i="12"/>
  <c r="FM42" i="12"/>
  <c r="FL42" i="12"/>
  <c r="FK42" i="12"/>
  <c r="FJ42" i="12"/>
  <c r="FI42" i="12"/>
  <c r="FH42" i="12"/>
  <c r="FG42" i="12"/>
  <c r="FF42" i="12"/>
  <c r="FE42" i="12"/>
  <c r="FD42" i="12"/>
  <c r="FC42" i="12"/>
  <c r="FB42" i="12"/>
  <c r="FA42" i="12"/>
  <c r="EZ42" i="12"/>
  <c r="EY42" i="12"/>
  <c r="EX42" i="12"/>
  <c r="EW42" i="12"/>
  <c r="EV42" i="12"/>
  <c r="EU42" i="12"/>
  <c r="ET42" i="12"/>
  <c r="ES42" i="12"/>
  <c r="ER42" i="12"/>
  <c r="EQ42" i="12"/>
  <c r="EP42" i="12"/>
  <c r="EO42" i="12"/>
  <c r="EN42" i="12"/>
  <c r="EM42" i="12"/>
  <c r="EL42" i="12"/>
  <c r="EK42" i="12"/>
  <c r="EJ42" i="12"/>
  <c r="EI42" i="12"/>
  <c r="EH42" i="12"/>
  <c r="EG42" i="12"/>
  <c r="EF42" i="12"/>
  <c r="EE42" i="12"/>
  <c r="ED42" i="12"/>
  <c r="EC42" i="12"/>
  <c r="EB42" i="12"/>
  <c r="EA42" i="12"/>
  <c r="DZ42" i="12"/>
  <c r="DY42" i="12"/>
  <c r="DX42" i="12"/>
  <c r="DW42" i="12"/>
  <c r="DV42" i="12"/>
  <c r="DU42" i="12"/>
  <c r="DT42" i="12"/>
  <c r="DS42" i="12"/>
  <c r="DR42" i="12"/>
  <c r="DQ42" i="12"/>
  <c r="DP42" i="12"/>
  <c r="DO42" i="12"/>
  <c r="DN42" i="12"/>
  <c r="DM42" i="12"/>
  <c r="DL42" i="12"/>
  <c r="DK42" i="12"/>
  <c r="DJ42" i="12"/>
  <c r="DI42" i="12"/>
  <c r="DH42" i="12"/>
  <c r="DG42" i="12"/>
  <c r="DF42" i="12"/>
  <c r="DE42" i="12"/>
  <c r="DD42" i="12"/>
  <c r="DC42" i="12"/>
  <c r="DB42" i="12"/>
  <c r="DA42" i="12"/>
  <c r="CZ42" i="12"/>
  <c r="CY42" i="12"/>
  <c r="CX42" i="12"/>
  <c r="CW42" i="12"/>
  <c r="CV42" i="12"/>
  <c r="CU42" i="12"/>
  <c r="CT42" i="12"/>
  <c r="CS42" i="12"/>
  <c r="CR42" i="12"/>
  <c r="CQ42" i="12"/>
  <c r="CP42" i="12"/>
  <c r="CO42" i="12"/>
  <c r="CN42" i="12"/>
  <c r="CM42" i="12"/>
  <c r="CL42" i="12"/>
  <c r="CK42" i="12"/>
  <c r="CJ42" i="12"/>
  <c r="CI42" i="12"/>
  <c r="CH42" i="12"/>
  <c r="CG42" i="12"/>
  <c r="CF42" i="12"/>
  <c r="CE42" i="12"/>
  <c r="CD42" i="12"/>
  <c r="CC42" i="12"/>
  <c r="CB42" i="12"/>
  <c r="CA42" i="12"/>
  <c r="BZ42" i="12"/>
  <c r="BY42" i="12"/>
  <c r="BX42" i="12"/>
  <c r="BW42" i="12"/>
  <c r="BV42" i="12"/>
  <c r="BU42" i="12"/>
  <c r="BT42" i="12"/>
  <c r="BS42" i="12"/>
  <c r="BR42" i="12"/>
  <c r="BQ42" i="12"/>
  <c r="BP42" i="12"/>
  <c r="BO42" i="12"/>
  <c r="BN42" i="12"/>
  <c r="BM42" i="12"/>
  <c r="BL42" i="12"/>
  <c r="BK42" i="12"/>
  <c r="BJ42" i="12"/>
  <c r="BI42" i="12"/>
  <c r="BH42" i="12"/>
  <c r="BG42" i="12"/>
  <c r="BF42" i="12"/>
  <c r="BE42" i="12"/>
  <c r="BD42" i="12"/>
  <c r="BC42" i="12"/>
  <c r="BB42" i="12"/>
  <c r="BA42" i="12"/>
  <c r="AZ42" i="12"/>
  <c r="AY42" i="12"/>
  <c r="AX42" i="12"/>
  <c r="AW42" i="12"/>
  <c r="AV42" i="12"/>
  <c r="AU42" i="12"/>
  <c r="AT42" i="12"/>
  <c r="AS42" i="12"/>
  <c r="AR42" i="12"/>
  <c r="AQ42" i="12"/>
  <c r="AP42" i="12"/>
  <c r="AO42" i="12"/>
  <c r="AN42" i="12"/>
  <c r="AM42" i="12"/>
  <c r="AL42" i="12"/>
  <c r="AK42" i="12"/>
  <c r="AJ42" i="12"/>
  <c r="AI42" i="12"/>
  <c r="AH42" i="12"/>
  <c r="AG42" i="12"/>
  <c r="AF42" i="12"/>
  <c r="AE42" i="12"/>
  <c r="AD42" i="12"/>
  <c r="AC42" i="12"/>
  <c r="AB42" i="12"/>
  <c r="AA42" i="12"/>
  <c r="Z42" i="12"/>
  <c r="Y42" i="12"/>
  <c r="X42" i="12"/>
  <c r="W42" i="12"/>
  <c r="V42" i="12"/>
  <c r="U42" i="12"/>
  <c r="T42" i="12"/>
  <c r="S42" i="12"/>
  <c r="R42" i="12"/>
  <c r="HC39" i="12"/>
  <c r="HB39" i="12"/>
  <c r="HA39" i="12"/>
  <c r="GZ39" i="12"/>
  <c r="GY39" i="12"/>
  <c r="GX39" i="12"/>
  <c r="GW39" i="12"/>
  <c r="GV39" i="12"/>
  <c r="GU39" i="12"/>
  <c r="GT39" i="12"/>
  <c r="GS39" i="12"/>
  <c r="GR39" i="12"/>
  <c r="GQ39" i="12"/>
  <c r="GP39" i="12"/>
  <c r="GO39" i="12"/>
  <c r="GN39" i="12"/>
  <c r="GM39" i="12"/>
  <c r="GL39" i="12"/>
  <c r="GK39" i="12"/>
  <c r="GJ39" i="12"/>
  <c r="GI39" i="12"/>
  <c r="GH39" i="12"/>
  <c r="GG39" i="12"/>
  <c r="GF39" i="12"/>
  <c r="GE39" i="12"/>
  <c r="GD39" i="12"/>
  <c r="GC39" i="12"/>
  <c r="GB39" i="12"/>
  <c r="GA39" i="12"/>
  <c r="FZ39" i="12"/>
  <c r="FY39" i="12"/>
  <c r="FX39" i="12"/>
  <c r="FW39" i="12"/>
  <c r="FV39" i="12"/>
  <c r="FU39" i="12"/>
  <c r="FT39" i="12"/>
  <c r="FS39" i="12"/>
  <c r="FR39" i="12"/>
  <c r="FQ39" i="12"/>
  <c r="FP39" i="12"/>
  <c r="FO39" i="12"/>
  <c r="FN39" i="12"/>
  <c r="FM39" i="12"/>
  <c r="FL39" i="12"/>
  <c r="FK39" i="12"/>
  <c r="FJ39" i="12"/>
  <c r="FI39" i="12"/>
  <c r="FH39" i="12"/>
  <c r="FG39" i="12"/>
  <c r="FF39" i="12"/>
  <c r="FE39" i="12"/>
  <c r="FD39" i="12"/>
  <c r="FC39" i="12"/>
  <c r="FB39" i="12"/>
  <c r="FA39" i="12"/>
  <c r="EZ39" i="12"/>
  <c r="EY39" i="12"/>
  <c r="EX39" i="12"/>
  <c r="EW39" i="12"/>
  <c r="EV39" i="12"/>
  <c r="EU39" i="12"/>
  <c r="ET39" i="12"/>
  <c r="ES39" i="12"/>
  <c r="ER39" i="12"/>
  <c r="EQ39" i="12"/>
  <c r="EP39" i="12"/>
  <c r="EO39" i="12"/>
  <c r="EN39" i="12"/>
  <c r="EM39" i="12"/>
  <c r="EL39" i="12"/>
  <c r="EK39" i="12"/>
  <c r="EJ39" i="12"/>
  <c r="EI39" i="12"/>
  <c r="EH39" i="12"/>
  <c r="EG39" i="12"/>
  <c r="EF39" i="12"/>
  <c r="EE39" i="12"/>
  <c r="ED39" i="12"/>
  <c r="EC39" i="12"/>
  <c r="EB39" i="12"/>
  <c r="EA39" i="12"/>
  <c r="DZ39" i="12"/>
  <c r="DY39" i="12"/>
  <c r="DX39" i="12"/>
  <c r="DW39" i="12"/>
  <c r="DV39" i="12"/>
  <c r="DU39" i="12"/>
  <c r="DT39" i="12"/>
  <c r="DS39" i="12"/>
  <c r="DR39" i="12"/>
  <c r="DQ39" i="12"/>
  <c r="DP39" i="12"/>
  <c r="DO39" i="12"/>
  <c r="DN39" i="12"/>
  <c r="DM39" i="12"/>
  <c r="DL39" i="12"/>
  <c r="DK39" i="12"/>
  <c r="DJ39" i="12"/>
  <c r="DI39" i="12"/>
  <c r="DH39" i="12"/>
  <c r="DG39" i="12"/>
  <c r="DF39" i="12"/>
  <c r="DE39" i="12"/>
  <c r="DD39" i="12"/>
  <c r="DC39" i="12"/>
  <c r="DB39" i="12"/>
  <c r="DA39" i="12"/>
  <c r="CZ39" i="12"/>
  <c r="CY39" i="12"/>
  <c r="CX39" i="12"/>
  <c r="CW39" i="12"/>
  <c r="CV39" i="12"/>
  <c r="CU39" i="12"/>
  <c r="CT39" i="12"/>
  <c r="CS39" i="12"/>
  <c r="CR39" i="12"/>
  <c r="CQ39" i="12"/>
  <c r="CP39" i="12"/>
  <c r="CO39" i="12"/>
  <c r="CN39" i="12"/>
  <c r="CM39" i="12"/>
  <c r="CL39" i="12"/>
  <c r="CK39" i="12"/>
  <c r="CJ39" i="12"/>
  <c r="CI39" i="12"/>
  <c r="CH39" i="12"/>
  <c r="CG39" i="12"/>
  <c r="CF39" i="12"/>
  <c r="CE39" i="12"/>
  <c r="CD39" i="12"/>
  <c r="CC39" i="12"/>
  <c r="CB39" i="12"/>
  <c r="CA39" i="12"/>
  <c r="BZ39" i="12"/>
  <c r="BY39" i="12"/>
  <c r="BX39" i="12"/>
  <c r="BW39" i="12"/>
  <c r="BV39" i="12"/>
  <c r="BU39" i="12"/>
  <c r="BT39" i="12"/>
  <c r="BS39" i="12"/>
  <c r="BR39" i="12"/>
  <c r="BQ39" i="12"/>
  <c r="BP39" i="12"/>
  <c r="BO39" i="12"/>
  <c r="BN39" i="12"/>
  <c r="BM39" i="12"/>
  <c r="BL39" i="12"/>
  <c r="BK39" i="12"/>
  <c r="BJ39" i="12"/>
  <c r="BI39" i="12"/>
  <c r="BH39" i="12"/>
  <c r="BG39" i="12"/>
  <c r="BF39" i="12"/>
  <c r="BE39" i="12"/>
  <c r="BD39" i="12"/>
  <c r="BC39" i="12"/>
  <c r="BB39" i="12"/>
  <c r="BA39" i="12"/>
  <c r="AZ39" i="12"/>
  <c r="AY39" i="12"/>
  <c r="AX39" i="12"/>
  <c r="AW39" i="12"/>
  <c r="AV39" i="12"/>
  <c r="AU39" i="12"/>
  <c r="AT39" i="12"/>
  <c r="AS39" i="12"/>
  <c r="AR39" i="12"/>
  <c r="AQ39" i="12"/>
  <c r="AP39" i="12"/>
  <c r="AO39" i="12"/>
  <c r="AN39" i="12"/>
  <c r="AM39" i="12"/>
  <c r="AL39" i="12"/>
  <c r="AK39" i="12"/>
  <c r="AJ39" i="12"/>
  <c r="AI39" i="12"/>
  <c r="AH39" i="12"/>
  <c r="AG39" i="12"/>
  <c r="AF39" i="12"/>
  <c r="AE39" i="12"/>
  <c r="AD39" i="12"/>
  <c r="AC39" i="12"/>
  <c r="AB39" i="12"/>
  <c r="AA39" i="12"/>
  <c r="Z39" i="12"/>
  <c r="Y39" i="12"/>
  <c r="X39" i="12"/>
  <c r="W39" i="12"/>
  <c r="V39" i="12"/>
  <c r="U39" i="12"/>
  <c r="T39" i="12"/>
  <c r="S39" i="12"/>
  <c r="R39" i="12"/>
  <c r="HC36" i="12"/>
  <c r="HB36" i="12"/>
  <c r="HA36" i="12"/>
  <c r="GZ36" i="12"/>
  <c r="GY36" i="12"/>
  <c r="GX36" i="12"/>
  <c r="GW36" i="12"/>
  <c r="GV36" i="12"/>
  <c r="GU36" i="12"/>
  <c r="GT36" i="12"/>
  <c r="GS36" i="12"/>
  <c r="GR36" i="12"/>
  <c r="GQ36" i="12"/>
  <c r="GP36" i="12"/>
  <c r="GO36" i="12"/>
  <c r="GN36" i="12"/>
  <c r="GM36" i="12"/>
  <c r="GL36" i="12"/>
  <c r="GK36" i="12"/>
  <c r="GJ36" i="12"/>
  <c r="GI36" i="12"/>
  <c r="GH36" i="12"/>
  <c r="GG36" i="12"/>
  <c r="GF36" i="12"/>
  <c r="GE36" i="12"/>
  <c r="GD36" i="12"/>
  <c r="GC36" i="12"/>
  <c r="GB36" i="12"/>
  <c r="GA36" i="12"/>
  <c r="FZ36" i="12"/>
  <c r="FY36" i="12"/>
  <c r="FX36" i="12"/>
  <c r="FW36" i="12"/>
  <c r="FV36" i="12"/>
  <c r="FU36" i="12"/>
  <c r="FT36" i="12"/>
  <c r="FS36" i="12"/>
  <c r="FR36" i="12"/>
  <c r="FQ36" i="12"/>
  <c r="FP36" i="12"/>
  <c r="FO36" i="12"/>
  <c r="FN36" i="12"/>
  <c r="FM36" i="12"/>
  <c r="FL36" i="12"/>
  <c r="FK36" i="12"/>
  <c r="FJ36" i="12"/>
  <c r="FI36" i="12"/>
  <c r="FH36" i="12"/>
  <c r="FG36" i="12"/>
  <c r="FF36" i="12"/>
  <c r="FE36" i="12"/>
  <c r="FD36" i="12"/>
  <c r="FC36" i="12"/>
  <c r="FB36" i="12"/>
  <c r="FA36" i="12"/>
  <c r="EZ36" i="12"/>
  <c r="EY36" i="12"/>
  <c r="EX36" i="12"/>
  <c r="EW36" i="12"/>
  <c r="EV36" i="12"/>
  <c r="EU36" i="12"/>
  <c r="ET36" i="12"/>
  <c r="ES36" i="12"/>
  <c r="ER36" i="12"/>
  <c r="EQ36" i="12"/>
  <c r="EP36" i="12"/>
  <c r="EO36" i="12"/>
  <c r="EN36" i="12"/>
  <c r="EM36" i="12"/>
  <c r="EL36" i="12"/>
  <c r="EK36" i="12"/>
  <c r="EJ36" i="12"/>
  <c r="EI36" i="12"/>
  <c r="EH36" i="12"/>
  <c r="EG36" i="12"/>
  <c r="EF36" i="12"/>
  <c r="EE36" i="12"/>
  <c r="ED36" i="12"/>
  <c r="EC36" i="12"/>
  <c r="EB36" i="12"/>
  <c r="EA36" i="12"/>
  <c r="DZ36" i="12"/>
  <c r="DY36" i="12"/>
  <c r="DX36" i="12"/>
  <c r="DW36" i="12"/>
  <c r="DV36" i="12"/>
  <c r="DU36" i="12"/>
  <c r="DT36" i="12"/>
  <c r="DS36" i="12"/>
  <c r="DR36" i="12"/>
  <c r="DQ36" i="12"/>
  <c r="DP36" i="12"/>
  <c r="DO36" i="12"/>
  <c r="DN36" i="12"/>
  <c r="DM36" i="12"/>
  <c r="DL36" i="12"/>
  <c r="DK36" i="12"/>
  <c r="DJ36" i="12"/>
  <c r="DI36" i="12"/>
  <c r="DH36" i="12"/>
  <c r="DG36" i="12"/>
  <c r="DF36" i="12"/>
  <c r="DE36" i="12"/>
  <c r="DD36" i="12"/>
  <c r="DC36" i="12"/>
  <c r="DB36" i="12"/>
  <c r="DA36" i="12"/>
  <c r="CZ36" i="12"/>
  <c r="CY36" i="12"/>
  <c r="CX36" i="12"/>
  <c r="CW36" i="12"/>
  <c r="CV36" i="12"/>
  <c r="CU36" i="12"/>
  <c r="CT36" i="12"/>
  <c r="CS36" i="12"/>
  <c r="CR36" i="12"/>
  <c r="CQ36" i="12"/>
  <c r="CP36" i="12"/>
  <c r="CO36" i="12"/>
  <c r="CN36" i="12"/>
  <c r="CM36" i="12"/>
  <c r="CL36" i="12"/>
  <c r="CK36" i="12"/>
  <c r="CJ36" i="12"/>
  <c r="CI36" i="12"/>
  <c r="CH36" i="12"/>
  <c r="CG36" i="12"/>
  <c r="CF36" i="12"/>
  <c r="CE36" i="12"/>
  <c r="CD36" i="12"/>
  <c r="CC36" i="12"/>
  <c r="CB36" i="12"/>
  <c r="CA36" i="12"/>
  <c r="BZ36" i="12"/>
  <c r="BY36" i="12"/>
  <c r="BX36" i="12"/>
  <c r="BW36" i="12"/>
  <c r="BV36" i="12"/>
  <c r="BU36" i="12"/>
  <c r="BT36" i="12"/>
  <c r="BS36" i="12"/>
  <c r="BR36" i="12"/>
  <c r="BQ36" i="12"/>
  <c r="BP36" i="12"/>
  <c r="BO36" i="12"/>
  <c r="BN36" i="12"/>
  <c r="BM36" i="12"/>
  <c r="BL36" i="12"/>
  <c r="BK36" i="12"/>
  <c r="BJ36" i="12"/>
  <c r="BI36" i="12"/>
  <c r="BH36" i="12"/>
  <c r="BG36" i="12"/>
  <c r="BF36" i="12"/>
  <c r="BE36" i="12"/>
  <c r="BD36" i="12"/>
  <c r="BC36" i="12"/>
  <c r="BB36" i="12"/>
  <c r="BA36" i="12"/>
  <c r="AZ36" i="12"/>
  <c r="AY36" i="12"/>
  <c r="AX36" i="12"/>
  <c r="AW36" i="12"/>
  <c r="AV36" i="12"/>
  <c r="AU36" i="12"/>
  <c r="AT36" i="12"/>
  <c r="AS36" i="12"/>
  <c r="AR36" i="12"/>
  <c r="AQ36" i="12"/>
  <c r="AP36" i="12"/>
  <c r="AO36" i="12"/>
  <c r="AN36" i="12"/>
  <c r="AM36" i="12"/>
  <c r="AL36" i="12"/>
  <c r="AK36" i="12"/>
  <c r="AJ36" i="12"/>
  <c r="AI36" i="12"/>
  <c r="AH36" i="12"/>
  <c r="AG36" i="12"/>
  <c r="AF36" i="12"/>
  <c r="AE36" i="12"/>
  <c r="AD36" i="12"/>
  <c r="AC36" i="12"/>
  <c r="AB36" i="12"/>
  <c r="AA36" i="12"/>
  <c r="Z36" i="12"/>
  <c r="Y36" i="12"/>
  <c r="X36" i="12"/>
  <c r="W36" i="12"/>
  <c r="V36" i="12"/>
  <c r="U36" i="12"/>
  <c r="T36" i="12"/>
  <c r="S36" i="12"/>
  <c r="R36" i="12"/>
  <c r="HC33" i="12"/>
  <c r="HB33" i="12"/>
  <c r="HA33" i="12"/>
  <c r="GZ33" i="12"/>
  <c r="GY33" i="12"/>
  <c r="GX33" i="12"/>
  <c r="GW33" i="12"/>
  <c r="GV33" i="12"/>
  <c r="GU33" i="12"/>
  <c r="GT33" i="12"/>
  <c r="GS33" i="12"/>
  <c r="GR33" i="12"/>
  <c r="GQ33" i="12"/>
  <c r="GP33" i="12"/>
  <c r="GO33" i="12"/>
  <c r="GN33" i="12"/>
  <c r="GM33" i="12"/>
  <c r="GL33" i="12"/>
  <c r="GK33" i="12"/>
  <c r="GJ33" i="12"/>
  <c r="GI33" i="12"/>
  <c r="GH33" i="12"/>
  <c r="GG33" i="12"/>
  <c r="GF33" i="12"/>
  <c r="GE33" i="12"/>
  <c r="GD33" i="12"/>
  <c r="GC33" i="12"/>
  <c r="GB33" i="12"/>
  <c r="GA33" i="12"/>
  <c r="FZ33" i="12"/>
  <c r="FY33" i="12"/>
  <c r="FX33" i="12"/>
  <c r="FW33" i="12"/>
  <c r="FV33" i="12"/>
  <c r="FU33" i="12"/>
  <c r="FT33" i="12"/>
  <c r="FS33" i="12"/>
  <c r="FR33" i="12"/>
  <c r="FQ33" i="12"/>
  <c r="FP33" i="12"/>
  <c r="FO33" i="12"/>
  <c r="FN33" i="12"/>
  <c r="FM33" i="12"/>
  <c r="FL33" i="12"/>
  <c r="FK33" i="12"/>
  <c r="FJ33" i="12"/>
  <c r="FI33" i="12"/>
  <c r="FH33" i="12"/>
  <c r="FG33" i="12"/>
  <c r="FF33" i="12"/>
  <c r="FE33" i="12"/>
  <c r="FD33" i="12"/>
  <c r="FC33" i="12"/>
  <c r="FB33" i="12"/>
  <c r="FA33" i="12"/>
  <c r="EZ33" i="12"/>
  <c r="EY33" i="12"/>
  <c r="EX33" i="12"/>
  <c r="EW33" i="12"/>
  <c r="EV33" i="12"/>
  <c r="EU33" i="12"/>
  <c r="ET33" i="12"/>
  <c r="ES33" i="12"/>
  <c r="ER33" i="12"/>
  <c r="EQ33" i="12"/>
  <c r="EP33" i="12"/>
  <c r="EO33" i="12"/>
  <c r="EN33" i="12"/>
  <c r="EM33" i="12"/>
  <c r="EL33" i="12"/>
  <c r="EK33" i="12"/>
  <c r="EJ33" i="12"/>
  <c r="EI33" i="12"/>
  <c r="EH33" i="12"/>
  <c r="EG33" i="12"/>
  <c r="EF33" i="12"/>
  <c r="EE33" i="12"/>
  <c r="ED33" i="12"/>
  <c r="EC33" i="12"/>
  <c r="EB33" i="12"/>
  <c r="EA33" i="12"/>
  <c r="DZ33" i="12"/>
  <c r="DY33" i="12"/>
  <c r="DX33" i="12"/>
  <c r="DW33" i="12"/>
  <c r="DV33" i="12"/>
  <c r="DU33" i="12"/>
  <c r="DT33" i="12"/>
  <c r="DS33" i="12"/>
  <c r="DR33" i="12"/>
  <c r="DQ33" i="12"/>
  <c r="DP33" i="12"/>
  <c r="DO33" i="12"/>
  <c r="DN33" i="12"/>
  <c r="DM33" i="12"/>
  <c r="DL33" i="12"/>
  <c r="DK33" i="12"/>
  <c r="DJ33" i="12"/>
  <c r="DI33" i="12"/>
  <c r="DH33" i="12"/>
  <c r="DG33" i="12"/>
  <c r="DF33" i="12"/>
  <c r="DE33" i="12"/>
  <c r="DD33" i="12"/>
  <c r="DC33" i="12"/>
  <c r="DB33" i="12"/>
  <c r="DA33" i="12"/>
  <c r="CZ33" i="12"/>
  <c r="CY33" i="12"/>
  <c r="CX33" i="12"/>
  <c r="CW33" i="12"/>
  <c r="CV33" i="12"/>
  <c r="CU33" i="12"/>
  <c r="CT33" i="12"/>
  <c r="CS33" i="12"/>
  <c r="CR33" i="12"/>
  <c r="CQ33" i="12"/>
  <c r="CP33" i="12"/>
  <c r="CO33" i="12"/>
  <c r="CN33" i="12"/>
  <c r="CM33" i="12"/>
  <c r="CL33" i="12"/>
  <c r="CK33" i="12"/>
  <c r="CJ33" i="12"/>
  <c r="CI33" i="12"/>
  <c r="CH33" i="12"/>
  <c r="CG33" i="12"/>
  <c r="CF33" i="12"/>
  <c r="CE33" i="12"/>
  <c r="CD33" i="12"/>
  <c r="CC33" i="12"/>
  <c r="CB33" i="12"/>
  <c r="CA33" i="12"/>
  <c r="BZ33" i="12"/>
  <c r="BY33" i="12"/>
  <c r="BX33" i="12"/>
  <c r="BW33" i="12"/>
  <c r="BV33" i="12"/>
  <c r="BU33" i="12"/>
  <c r="BT33" i="12"/>
  <c r="BS33" i="12"/>
  <c r="BR33" i="12"/>
  <c r="BQ33" i="12"/>
  <c r="BP33" i="12"/>
  <c r="BO33" i="12"/>
  <c r="BN33" i="12"/>
  <c r="BM33" i="12"/>
  <c r="BL33" i="12"/>
  <c r="BK33" i="12"/>
  <c r="BJ33" i="12"/>
  <c r="BI33" i="12"/>
  <c r="BH33" i="12"/>
  <c r="BG33" i="12"/>
  <c r="BF33" i="12"/>
  <c r="BE33" i="12"/>
  <c r="BD33" i="12"/>
  <c r="BC33" i="12"/>
  <c r="BB33" i="12"/>
  <c r="BA33" i="12"/>
  <c r="AZ33" i="12"/>
  <c r="AY33" i="12"/>
  <c r="AX33" i="12"/>
  <c r="AW33" i="12"/>
  <c r="AV33" i="12"/>
  <c r="AU33" i="12"/>
  <c r="AT33" i="12"/>
  <c r="AS33" i="12"/>
  <c r="AR33" i="12"/>
  <c r="AQ33" i="12"/>
  <c r="AP33" i="12"/>
  <c r="AO33" i="12"/>
  <c r="AN33" i="12"/>
  <c r="AM33" i="12"/>
  <c r="AL33" i="12"/>
  <c r="AK33" i="12"/>
  <c r="AJ33" i="12"/>
  <c r="AI33" i="12"/>
  <c r="AH33" i="12"/>
  <c r="AG33" i="12"/>
  <c r="AF33" i="12"/>
  <c r="AE33" i="12"/>
  <c r="AD33" i="12"/>
  <c r="AC33" i="12"/>
  <c r="AB33" i="12"/>
  <c r="AA33" i="12"/>
  <c r="Z33" i="12"/>
  <c r="Y33" i="12"/>
  <c r="X33" i="12"/>
  <c r="W33" i="12"/>
  <c r="V33" i="12"/>
  <c r="U33" i="12"/>
  <c r="T33" i="12"/>
  <c r="S33" i="12"/>
  <c r="R33" i="12"/>
  <c r="HC30" i="12"/>
  <c r="HB30" i="12"/>
  <c r="HA30" i="12"/>
  <c r="GZ30" i="12"/>
  <c r="GY30" i="12"/>
  <c r="GX30" i="12"/>
  <c r="GW30" i="12"/>
  <c r="GV30" i="12"/>
  <c r="GU30" i="12"/>
  <c r="GT30" i="12"/>
  <c r="GS30" i="12"/>
  <c r="GR30" i="12"/>
  <c r="GQ30" i="12"/>
  <c r="GP30" i="12"/>
  <c r="GO30" i="12"/>
  <c r="GN30" i="12"/>
  <c r="GM30" i="12"/>
  <c r="GL30" i="12"/>
  <c r="GK30" i="12"/>
  <c r="GJ30" i="12"/>
  <c r="GI30" i="12"/>
  <c r="GH30" i="12"/>
  <c r="GG30" i="12"/>
  <c r="GF30" i="12"/>
  <c r="GE30" i="12"/>
  <c r="GD30" i="12"/>
  <c r="GC30" i="12"/>
  <c r="GB30" i="12"/>
  <c r="GA30" i="12"/>
  <c r="FZ30" i="12"/>
  <c r="FY30" i="12"/>
  <c r="FX30" i="12"/>
  <c r="FW30" i="12"/>
  <c r="FV30" i="12"/>
  <c r="FU30" i="12"/>
  <c r="FT30" i="12"/>
  <c r="FS30" i="12"/>
  <c r="FR30" i="12"/>
  <c r="FQ30" i="12"/>
  <c r="FP30" i="12"/>
  <c r="FO30" i="12"/>
  <c r="FN30" i="12"/>
  <c r="FM30" i="12"/>
  <c r="FL30" i="12"/>
  <c r="FK30" i="12"/>
  <c r="FJ30" i="12"/>
  <c r="FI30" i="12"/>
  <c r="FH30" i="12"/>
  <c r="FG30" i="12"/>
  <c r="FF30" i="12"/>
  <c r="FE30" i="12"/>
  <c r="FD30" i="12"/>
  <c r="FC30" i="12"/>
  <c r="FB30" i="12"/>
  <c r="FA30" i="12"/>
  <c r="EZ30" i="12"/>
  <c r="EY30" i="12"/>
  <c r="EX30" i="12"/>
  <c r="EW30" i="12"/>
  <c r="EV30" i="12"/>
  <c r="EU30" i="12"/>
  <c r="ET30" i="12"/>
  <c r="ES30" i="12"/>
  <c r="ER30" i="12"/>
  <c r="EQ30" i="12"/>
  <c r="EP30" i="12"/>
  <c r="EO30" i="12"/>
  <c r="EN30" i="12"/>
  <c r="EM30" i="12"/>
  <c r="EL30" i="12"/>
  <c r="EK30" i="12"/>
  <c r="EJ30" i="12"/>
  <c r="EI30" i="12"/>
  <c r="EH30" i="12"/>
  <c r="EG30" i="12"/>
  <c r="EF30" i="12"/>
  <c r="EE30" i="12"/>
  <c r="ED30" i="12"/>
  <c r="EC30" i="12"/>
  <c r="EB30" i="12"/>
  <c r="EA30" i="12"/>
  <c r="DZ30" i="12"/>
  <c r="DY30" i="12"/>
  <c r="DX30" i="12"/>
  <c r="DW30" i="12"/>
  <c r="DV30" i="12"/>
  <c r="DU30" i="12"/>
  <c r="DT30" i="12"/>
  <c r="DS30" i="12"/>
  <c r="DR30" i="12"/>
  <c r="DQ30" i="12"/>
  <c r="DP30" i="12"/>
  <c r="DO30" i="12"/>
  <c r="DN30" i="12"/>
  <c r="DM30" i="12"/>
  <c r="DL30" i="12"/>
  <c r="DK30" i="12"/>
  <c r="DJ30" i="12"/>
  <c r="DI30" i="12"/>
  <c r="DH30" i="12"/>
  <c r="DG30" i="12"/>
  <c r="DF30" i="12"/>
  <c r="DE30" i="12"/>
  <c r="DD30" i="12"/>
  <c r="DC30" i="12"/>
  <c r="DB30" i="12"/>
  <c r="DA30" i="12"/>
  <c r="CZ30" i="12"/>
  <c r="CY30" i="12"/>
  <c r="CX30" i="12"/>
  <c r="CW30" i="12"/>
  <c r="CV30" i="12"/>
  <c r="CU30" i="12"/>
  <c r="CT30" i="12"/>
  <c r="CS30" i="12"/>
  <c r="CR30" i="12"/>
  <c r="CQ30" i="12"/>
  <c r="CP30" i="12"/>
  <c r="CO30" i="12"/>
  <c r="CN30" i="12"/>
  <c r="CM30" i="12"/>
  <c r="CL30" i="12"/>
  <c r="CK30" i="12"/>
  <c r="CJ30" i="12"/>
  <c r="CI30" i="12"/>
  <c r="CH30" i="12"/>
  <c r="CG30" i="12"/>
  <c r="CF30" i="12"/>
  <c r="CE30" i="12"/>
  <c r="CD30" i="12"/>
  <c r="CC30" i="12"/>
  <c r="CB30" i="12"/>
  <c r="CA30" i="12"/>
  <c r="BZ30" i="12"/>
  <c r="BY30" i="12"/>
  <c r="BX30" i="12"/>
  <c r="BW30" i="12"/>
  <c r="BV30" i="12"/>
  <c r="BU30" i="12"/>
  <c r="BT30" i="12"/>
  <c r="BS30" i="12"/>
  <c r="BR30" i="12"/>
  <c r="BQ30" i="12"/>
  <c r="BP30" i="12"/>
  <c r="BO30" i="12"/>
  <c r="BN30" i="12"/>
  <c r="BM30" i="12"/>
  <c r="BL30" i="12"/>
  <c r="BK30" i="12"/>
  <c r="BJ30" i="12"/>
  <c r="BI30" i="12"/>
  <c r="BH30" i="12"/>
  <c r="BG30" i="12"/>
  <c r="BF30" i="12"/>
  <c r="BE30" i="12"/>
  <c r="BD30" i="12"/>
  <c r="BC30" i="12"/>
  <c r="BB30" i="12"/>
  <c r="BA30" i="12"/>
  <c r="AZ30" i="12"/>
  <c r="AY30" i="12"/>
  <c r="AX30" i="12"/>
  <c r="AW30" i="12"/>
  <c r="AV30" i="12"/>
  <c r="AU30" i="12"/>
  <c r="AT30" i="12"/>
  <c r="AS30" i="12"/>
  <c r="AR30" i="12"/>
  <c r="AQ30" i="12"/>
  <c r="AP30" i="12"/>
  <c r="AO30" i="12"/>
  <c r="AN30" i="12"/>
  <c r="AM30" i="12"/>
  <c r="AL30" i="12"/>
  <c r="AK30" i="12"/>
  <c r="AJ30" i="12"/>
  <c r="AI30" i="12"/>
  <c r="AH30" i="12"/>
  <c r="AG30" i="12"/>
  <c r="AF30" i="12"/>
  <c r="AE30" i="12"/>
  <c r="AD30" i="12"/>
  <c r="AC30" i="12"/>
  <c r="AB30" i="12"/>
  <c r="AA30" i="12"/>
  <c r="Z30" i="12"/>
  <c r="Y30" i="12"/>
  <c r="X30" i="12"/>
  <c r="W30" i="12"/>
  <c r="V30" i="12"/>
  <c r="U30" i="12"/>
  <c r="T30" i="12"/>
  <c r="S30" i="12"/>
  <c r="R30" i="12"/>
  <c r="HC24" i="12"/>
  <c r="HB24" i="12"/>
  <c r="HA24" i="12"/>
  <c r="GZ24" i="12"/>
  <c r="GY24" i="12"/>
  <c r="GX24" i="12"/>
  <c r="GW24" i="12"/>
  <c r="GV24" i="12"/>
  <c r="GU24" i="12"/>
  <c r="GT24" i="12"/>
  <c r="GS24" i="12"/>
  <c r="GR24" i="12"/>
  <c r="GQ24" i="12"/>
  <c r="GP24" i="12"/>
  <c r="GO24" i="12"/>
  <c r="GN24" i="12"/>
  <c r="GM24" i="12"/>
  <c r="GL24" i="12"/>
  <c r="GK24" i="12"/>
  <c r="GJ24" i="12"/>
  <c r="GI24" i="12"/>
  <c r="GH24" i="12"/>
  <c r="GG24" i="12"/>
  <c r="GF24" i="12"/>
  <c r="GE24" i="12"/>
  <c r="GD24" i="12"/>
  <c r="GC24" i="12"/>
  <c r="GB24" i="12"/>
  <c r="GA24" i="12"/>
  <c r="FZ24" i="12"/>
  <c r="FY24" i="12"/>
  <c r="FX24" i="12"/>
  <c r="FW24" i="12"/>
  <c r="FV24" i="12"/>
  <c r="FU24" i="12"/>
  <c r="FT24" i="12"/>
  <c r="FS24" i="12"/>
  <c r="FR24" i="12"/>
  <c r="FQ24" i="12"/>
  <c r="FP24" i="12"/>
  <c r="FO24" i="12"/>
  <c r="FN24" i="12"/>
  <c r="FM24" i="12"/>
  <c r="FL24" i="12"/>
  <c r="FK24" i="12"/>
  <c r="FJ24" i="12"/>
  <c r="FI24" i="12"/>
  <c r="FH24" i="12"/>
  <c r="FG24" i="12"/>
  <c r="FF24" i="12"/>
  <c r="FE24" i="12"/>
  <c r="FD24" i="12"/>
  <c r="FC24" i="12"/>
  <c r="FB24" i="12"/>
  <c r="FA24" i="12"/>
  <c r="EZ24" i="12"/>
  <c r="EY24" i="12"/>
  <c r="EX24" i="12"/>
  <c r="EW24" i="12"/>
  <c r="EV24" i="12"/>
  <c r="EU24" i="12"/>
  <c r="ET24" i="12"/>
  <c r="ES24" i="12"/>
  <c r="ER24" i="12"/>
  <c r="EQ24" i="12"/>
  <c r="EP24" i="12"/>
  <c r="EO24" i="12"/>
  <c r="EN24" i="12"/>
  <c r="EM24" i="12"/>
  <c r="EL24" i="12"/>
  <c r="EK24" i="12"/>
  <c r="EJ24" i="12"/>
  <c r="EI24" i="12"/>
  <c r="EH24" i="12"/>
  <c r="EG24" i="12"/>
  <c r="EF24" i="12"/>
  <c r="EE24" i="12"/>
  <c r="ED24" i="12"/>
  <c r="EC24" i="12"/>
  <c r="EB24" i="12"/>
  <c r="EA24" i="12"/>
  <c r="DZ24" i="12"/>
  <c r="DY24" i="12"/>
  <c r="DX24" i="12"/>
  <c r="DW24" i="12"/>
  <c r="DV24" i="12"/>
  <c r="DU24" i="12"/>
  <c r="DT24" i="12"/>
  <c r="DS24" i="12"/>
  <c r="DR24" i="12"/>
  <c r="DQ24" i="12"/>
  <c r="DP24" i="12"/>
  <c r="DO24" i="12"/>
  <c r="DN24" i="12"/>
  <c r="DM24" i="12"/>
  <c r="DL24" i="12"/>
  <c r="DK24" i="12"/>
  <c r="DJ24" i="12"/>
  <c r="DI24" i="12"/>
  <c r="DH24" i="12"/>
  <c r="DG24" i="12"/>
  <c r="DF24" i="12"/>
  <c r="DE24" i="12"/>
  <c r="DD24" i="12"/>
  <c r="DC24" i="12"/>
  <c r="DB24" i="12"/>
  <c r="DA24" i="12"/>
  <c r="CZ24" i="12"/>
  <c r="CY24" i="12"/>
  <c r="CX24" i="12"/>
  <c r="CW24" i="12"/>
  <c r="CV24" i="12"/>
  <c r="CU24" i="12"/>
  <c r="CT24" i="12"/>
  <c r="CS24" i="12"/>
  <c r="CR24" i="12"/>
  <c r="CQ24" i="12"/>
  <c r="CP24" i="12"/>
  <c r="CO24" i="12"/>
  <c r="CN24" i="12"/>
  <c r="CM24" i="12"/>
  <c r="CL24" i="12"/>
  <c r="CK24" i="12"/>
  <c r="CJ24" i="12"/>
  <c r="CI24" i="12"/>
  <c r="CH24" i="12"/>
  <c r="CG24" i="12"/>
  <c r="CF24" i="12"/>
  <c r="CE24" i="12"/>
  <c r="CD24" i="12"/>
  <c r="CC24" i="12"/>
  <c r="CB24" i="12"/>
  <c r="CA24" i="12"/>
  <c r="BZ24" i="12"/>
  <c r="BY24" i="12"/>
  <c r="BX24" i="12"/>
  <c r="BW24" i="12"/>
  <c r="BV24" i="12"/>
  <c r="BU24" i="12"/>
  <c r="BT24" i="12"/>
  <c r="BS24" i="12"/>
  <c r="BR24" i="12"/>
  <c r="BQ24" i="12"/>
  <c r="BP24" i="12"/>
  <c r="BO24" i="12"/>
  <c r="BN24" i="12"/>
  <c r="BM24" i="12"/>
  <c r="BL24" i="12"/>
  <c r="BK24" i="12"/>
  <c r="BJ24" i="12"/>
  <c r="BI24" i="12"/>
  <c r="BH24" i="12"/>
  <c r="BG24" i="12"/>
  <c r="BF24" i="12"/>
  <c r="BE24" i="12"/>
  <c r="BD24" i="12"/>
  <c r="BC24" i="12"/>
  <c r="BB24" i="12"/>
  <c r="BA24" i="12"/>
  <c r="AZ24" i="12"/>
  <c r="AY24" i="12"/>
  <c r="AX24" i="12"/>
  <c r="AW24" i="12"/>
  <c r="AV24" i="12"/>
  <c r="AU24" i="12"/>
  <c r="AT24" i="12"/>
  <c r="AS24" i="12"/>
  <c r="AR24" i="12"/>
  <c r="AQ24" i="12"/>
  <c r="AP24" i="12"/>
  <c r="AO24" i="12"/>
  <c r="AN24" i="12"/>
  <c r="AM24" i="12"/>
  <c r="AL24" i="12"/>
  <c r="AK24" i="12"/>
  <c r="AJ24" i="12"/>
  <c r="AI24" i="12"/>
  <c r="AH24" i="12"/>
  <c r="AG24" i="12"/>
  <c r="AF24" i="12"/>
  <c r="AE24" i="12"/>
  <c r="AD24" i="12"/>
  <c r="AC24" i="12"/>
  <c r="AB24" i="12"/>
  <c r="AA24" i="12"/>
  <c r="Z24" i="12"/>
  <c r="Y24" i="12"/>
  <c r="X24" i="12"/>
  <c r="W24" i="12"/>
  <c r="V24" i="12"/>
  <c r="U24" i="12"/>
  <c r="T24" i="12"/>
  <c r="S24" i="12"/>
  <c r="R24" i="12"/>
  <c r="HC19" i="12"/>
  <c r="HB19" i="12"/>
  <c r="HA19" i="12"/>
  <c r="GZ19" i="12"/>
  <c r="GY19" i="12"/>
  <c r="GX19" i="12"/>
  <c r="GW19" i="12"/>
  <c r="GV19" i="12"/>
  <c r="GU19" i="12"/>
  <c r="GT19" i="12"/>
  <c r="GS19" i="12"/>
  <c r="GR19" i="12"/>
  <c r="GQ19" i="12"/>
  <c r="GP19" i="12"/>
  <c r="GO19" i="12"/>
  <c r="GN19" i="12"/>
  <c r="GM19" i="12"/>
  <c r="GL19" i="12"/>
  <c r="GK19" i="12"/>
  <c r="GJ19" i="12"/>
  <c r="GI19" i="12"/>
  <c r="GH19" i="12"/>
  <c r="GG19" i="12"/>
  <c r="GF19" i="12"/>
  <c r="GE19" i="12"/>
  <c r="GD19" i="12"/>
  <c r="GC19" i="12"/>
  <c r="GB19" i="12"/>
  <c r="GA19" i="12"/>
  <c r="FZ19" i="12"/>
  <c r="FY19" i="12"/>
  <c r="FX19" i="12"/>
  <c r="FW19" i="12"/>
  <c r="FV19" i="12"/>
  <c r="FU19" i="12"/>
  <c r="FT19" i="12"/>
  <c r="FS19" i="12"/>
  <c r="FR19" i="12"/>
  <c r="FQ19" i="12"/>
  <c r="FP19" i="12"/>
  <c r="FO19" i="12"/>
  <c r="FN19" i="12"/>
  <c r="FM19" i="12"/>
  <c r="FL19" i="12"/>
  <c r="FK19" i="12"/>
  <c r="FJ19" i="12"/>
  <c r="FI19" i="12"/>
  <c r="FH19" i="12"/>
  <c r="FG19" i="12"/>
  <c r="FF19" i="12"/>
  <c r="FE19" i="12"/>
  <c r="FD19" i="12"/>
  <c r="FC19" i="12"/>
  <c r="FB19" i="12"/>
  <c r="FA19" i="12"/>
  <c r="EZ19" i="12"/>
  <c r="EY19" i="12"/>
  <c r="EX19" i="12"/>
  <c r="EW19" i="12"/>
  <c r="EV19" i="12"/>
  <c r="EU19" i="12"/>
  <c r="ET19" i="12"/>
  <c r="ES19" i="12"/>
  <c r="ER19" i="12"/>
  <c r="EQ19" i="12"/>
  <c r="EP19" i="12"/>
  <c r="EO19" i="12"/>
  <c r="EN19" i="12"/>
  <c r="EM19" i="12"/>
  <c r="EL19" i="12"/>
  <c r="EK19" i="12"/>
  <c r="EJ19" i="12"/>
  <c r="EI19" i="12"/>
  <c r="EH19" i="12"/>
  <c r="EG19" i="12"/>
  <c r="EF19" i="12"/>
  <c r="EE19" i="12"/>
  <c r="ED19" i="12"/>
  <c r="EC19" i="12"/>
  <c r="EB19" i="12"/>
  <c r="EA19" i="12"/>
  <c r="DZ19" i="12"/>
  <c r="DY19" i="12"/>
  <c r="DX19" i="12"/>
  <c r="DW19" i="12"/>
  <c r="DV19" i="12"/>
  <c r="DU19" i="12"/>
  <c r="DT19" i="12"/>
  <c r="DS19" i="12"/>
  <c r="DR19" i="12"/>
  <c r="DQ19" i="12"/>
  <c r="DP19" i="12"/>
  <c r="DO19" i="12"/>
  <c r="DN19" i="12"/>
  <c r="DM19" i="12"/>
  <c r="DL19" i="12"/>
  <c r="DK19" i="12"/>
  <c r="DJ19" i="12"/>
  <c r="DI19" i="12"/>
  <c r="DH19" i="12"/>
  <c r="DG19" i="12"/>
  <c r="DF19" i="12"/>
  <c r="DE19" i="12"/>
  <c r="DD19" i="12"/>
  <c r="DC19" i="12"/>
  <c r="DB19" i="12"/>
  <c r="DA19" i="12"/>
  <c r="CZ19" i="12"/>
  <c r="CY19" i="12"/>
  <c r="CX19" i="12"/>
  <c r="CW19" i="12"/>
  <c r="CV19" i="12"/>
  <c r="CU19" i="12"/>
  <c r="CT19" i="12"/>
  <c r="CS19" i="12"/>
  <c r="CR19" i="12"/>
  <c r="CQ19" i="12"/>
  <c r="CP19" i="12"/>
  <c r="CO19" i="12"/>
  <c r="CN19" i="12"/>
  <c r="CM19" i="12"/>
  <c r="CL19" i="12"/>
  <c r="CK19" i="12"/>
  <c r="CJ19" i="12"/>
  <c r="CI19" i="12"/>
  <c r="CH19" i="12"/>
  <c r="CG19" i="12"/>
  <c r="CF19" i="12"/>
  <c r="CE19" i="12"/>
  <c r="CD19" i="12"/>
  <c r="CC19" i="12"/>
  <c r="CB19" i="12"/>
  <c r="CA19" i="12"/>
  <c r="BZ19" i="12"/>
  <c r="BY19" i="12"/>
  <c r="BX19" i="12"/>
  <c r="BW19" i="12"/>
  <c r="BV19" i="12"/>
  <c r="BU19" i="12"/>
  <c r="BT19" i="12"/>
  <c r="BS19" i="12"/>
  <c r="BR19" i="12"/>
  <c r="BQ19" i="12"/>
  <c r="BP19" i="12"/>
  <c r="BO19" i="12"/>
  <c r="BN19" i="12"/>
  <c r="BM19" i="12"/>
  <c r="BL19" i="12"/>
  <c r="BK19" i="12"/>
  <c r="BJ19" i="12"/>
  <c r="BI19" i="12"/>
  <c r="BH19" i="12"/>
  <c r="BG19" i="12"/>
  <c r="BF19" i="12"/>
  <c r="BE19" i="12"/>
  <c r="BD19" i="12"/>
  <c r="BC19" i="12"/>
  <c r="BB19" i="12"/>
  <c r="BA19" i="12"/>
  <c r="AZ19" i="12"/>
  <c r="AY19" i="12"/>
  <c r="AX19" i="12"/>
  <c r="AW19" i="12"/>
  <c r="AV19" i="12"/>
  <c r="AU19" i="12"/>
  <c r="AT19" i="12"/>
  <c r="AS19" i="12"/>
  <c r="AR19" i="12"/>
  <c r="AQ19" i="12"/>
  <c r="AP19" i="12"/>
  <c r="AO19" i="12"/>
  <c r="AN19" i="12"/>
  <c r="AM19" i="12"/>
  <c r="AL19" i="12"/>
  <c r="AK19" i="12"/>
  <c r="AJ19" i="12"/>
  <c r="AI19" i="12"/>
  <c r="AH19" i="12"/>
  <c r="AG19" i="12"/>
  <c r="AF19" i="12"/>
  <c r="AE19" i="12"/>
  <c r="AD19" i="12"/>
  <c r="AC19" i="12"/>
  <c r="AB19" i="12"/>
  <c r="AA19" i="12"/>
  <c r="Z19" i="12"/>
  <c r="Y19" i="12"/>
  <c r="X19" i="12"/>
  <c r="W19" i="12"/>
  <c r="V19" i="12"/>
  <c r="U19" i="12"/>
  <c r="T19" i="12"/>
  <c r="S19" i="12"/>
  <c r="R19" i="12"/>
  <c r="HC15" i="12"/>
  <c r="HB15" i="12"/>
  <c r="HA15" i="12"/>
  <c r="GZ15" i="12"/>
  <c r="GY15" i="12"/>
  <c r="GX15" i="12"/>
  <c r="GW15" i="12"/>
  <c r="GV15" i="12"/>
  <c r="GU15" i="12"/>
  <c r="GT15" i="12"/>
  <c r="GS15" i="12"/>
  <c r="GR15" i="12"/>
  <c r="GQ15" i="12"/>
  <c r="GP15" i="12"/>
  <c r="GO15" i="12"/>
  <c r="GN15" i="12"/>
  <c r="GM15" i="12"/>
  <c r="GL15" i="12"/>
  <c r="GK15" i="12"/>
  <c r="GJ15" i="12"/>
  <c r="GI15" i="12"/>
  <c r="GH15" i="12"/>
  <c r="GG15" i="12"/>
  <c r="GF15" i="12"/>
  <c r="GE15" i="12"/>
  <c r="GD15" i="12"/>
  <c r="GC15" i="12"/>
  <c r="GB15" i="12"/>
  <c r="GA15" i="12"/>
  <c r="FZ15" i="12"/>
  <c r="FY15" i="12"/>
  <c r="FX15" i="12"/>
  <c r="FW15" i="12"/>
  <c r="FV15" i="12"/>
  <c r="FU15" i="12"/>
  <c r="FT15" i="12"/>
  <c r="FS15" i="12"/>
  <c r="FR15" i="12"/>
  <c r="FQ15" i="12"/>
  <c r="FP15" i="12"/>
  <c r="FO15" i="12"/>
  <c r="FN15" i="12"/>
  <c r="FM15" i="12"/>
  <c r="FL15" i="12"/>
  <c r="FK15" i="12"/>
  <c r="FJ15" i="12"/>
  <c r="FI15" i="12"/>
  <c r="FH15" i="12"/>
  <c r="FG15" i="12"/>
  <c r="FF15" i="12"/>
  <c r="FE15" i="12"/>
  <c r="FD15" i="12"/>
  <c r="FC15" i="12"/>
  <c r="FB15" i="12"/>
  <c r="FA15" i="12"/>
  <c r="EZ15" i="12"/>
  <c r="EY15" i="12"/>
  <c r="EX15" i="12"/>
  <c r="EW15" i="12"/>
  <c r="EV15" i="12"/>
  <c r="EU15" i="12"/>
  <c r="ET15" i="12"/>
  <c r="ES15" i="12"/>
  <c r="ER15" i="12"/>
  <c r="EQ15" i="12"/>
  <c r="EP15" i="12"/>
  <c r="EO15" i="12"/>
  <c r="EN15" i="12"/>
  <c r="EM15" i="12"/>
  <c r="EL15" i="12"/>
  <c r="EK15" i="12"/>
  <c r="EJ15" i="12"/>
  <c r="EI15" i="12"/>
  <c r="EH15" i="12"/>
  <c r="EG15" i="12"/>
  <c r="EF15" i="12"/>
  <c r="EE15" i="12"/>
  <c r="ED15" i="12"/>
  <c r="EC15" i="12"/>
  <c r="EB15" i="12"/>
  <c r="EA15" i="12"/>
  <c r="DZ15" i="12"/>
  <c r="DY15" i="12"/>
  <c r="DX15" i="12"/>
  <c r="DW15" i="12"/>
  <c r="DV15" i="12"/>
  <c r="DU15" i="12"/>
  <c r="DT15" i="12"/>
  <c r="DS15" i="12"/>
  <c r="DR15" i="12"/>
  <c r="DQ15" i="12"/>
  <c r="DP15" i="12"/>
  <c r="DO15" i="12"/>
  <c r="DN15" i="12"/>
  <c r="DM15" i="12"/>
  <c r="DL15" i="12"/>
  <c r="DK15" i="12"/>
  <c r="DJ15" i="12"/>
  <c r="DI15" i="12"/>
  <c r="DH15" i="12"/>
  <c r="DG15" i="12"/>
  <c r="DF15" i="12"/>
  <c r="DE15" i="12"/>
  <c r="DD15" i="12"/>
  <c r="DC15" i="12"/>
  <c r="DB15" i="12"/>
  <c r="DA15" i="12"/>
  <c r="CZ15" i="12"/>
  <c r="CY15" i="12"/>
  <c r="CX15" i="12"/>
  <c r="CW15" i="12"/>
  <c r="CV15" i="12"/>
  <c r="CU15" i="12"/>
  <c r="CT15" i="12"/>
  <c r="CS15" i="12"/>
  <c r="CR15" i="12"/>
  <c r="CQ15" i="12"/>
  <c r="CP15" i="12"/>
  <c r="CO15" i="12"/>
  <c r="CN15" i="12"/>
  <c r="CM15" i="12"/>
  <c r="CL15" i="12"/>
  <c r="CK15" i="12"/>
  <c r="CJ15" i="12"/>
  <c r="CI15" i="12"/>
  <c r="CH15" i="12"/>
  <c r="CG15" i="12"/>
  <c r="CF15" i="12"/>
  <c r="CE15" i="12"/>
  <c r="CD15" i="12"/>
  <c r="CC15" i="12"/>
  <c r="CB15" i="12"/>
  <c r="CA15" i="12"/>
  <c r="BZ15" i="12"/>
  <c r="BY15" i="12"/>
  <c r="BX15" i="12"/>
  <c r="BW15" i="12"/>
  <c r="BV15" i="12"/>
  <c r="BU15" i="12"/>
  <c r="BT15" i="12"/>
  <c r="BS15" i="12"/>
  <c r="BR15" i="12"/>
  <c r="BQ15" i="12"/>
  <c r="BP15" i="12"/>
  <c r="BO15" i="12"/>
  <c r="BN15" i="12"/>
  <c r="BM15" i="12"/>
  <c r="BL15" i="12"/>
  <c r="BK15" i="12"/>
  <c r="BJ15" i="12"/>
  <c r="BI15" i="12"/>
  <c r="BH15" i="12"/>
  <c r="BG15" i="12"/>
  <c r="BF15" i="12"/>
  <c r="BE15" i="12"/>
  <c r="BD15" i="12"/>
  <c r="BC15" i="12"/>
  <c r="BB15" i="12"/>
  <c r="BA15" i="12"/>
  <c r="AZ15" i="12"/>
  <c r="AY15" i="12"/>
  <c r="AX15" i="12"/>
  <c r="AW15" i="12"/>
  <c r="AV15" i="12"/>
  <c r="AU15" i="12"/>
  <c r="AT15" i="12"/>
  <c r="AS15" i="12"/>
  <c r="AR15" i="12"/>
  <c r="AQ15" i="12"/>
  <c r="AP15" i="12"/>
  <c r="AO15" i="12"/>
  <c r="AN15" i="12"/>
  <c r="AM15" i="12"/>
  <c r="AL15" i="12"/>
  <c r="AK15" i="12"/>
  <c r="AJ15" i="12"/>
  <c r="AI15" i="12"/>
  <c r="AH15" i="12"/>
  <c r="AG15" i="12"/>
  <c r="AF15" i="12"/>
  <c r="AE15" i="12"/>
  <c r="AD15" i="12"/>
  <c r="AC15" i="12"/>
  <c r="AB15" i="12"/>
  <c r="AA15" i="12"/>
  <c r="Z15" i="12"/>
  <c r="Y15" i="12"/>
  <c r="X15" i="12"/>
  <c r="W15" i="12"/>
  <c r="V15" i="12"/>
  <c r="U15" i="12"/>
  <c r="T15" i="12"/>
  <c r="S15" i="12"/>
  <c r="R15" i="12"/>
  <c r="HC11" i="12"/>
  <c r="HB11" i="12"/>
  <c r="HA11" i="12"/>
  <c r="GZ11" i="12"/>
  <c r="GY11" i="12"/>
  <c r="GX11" i="12"/>
  <c r="GW11" i="12"/>
  <c r="GV11" i="12"/>
  <c r="GU11" i="12"/>
  <c r="GT11" i="12"/>
  <c r="GS11" i="12"/>
  <c r="GR11" i="12"/>
  <c r="GQ11" i="12"/>
  <c r="GP11" i="12"/>
  <c r="GO11" i="12"/>
  <c r="GN11" i="12"/>
  <c r="GM11" i="12"/>
  <c r="GL11" i="12"/>
  <c r="GK11" i="12"/>
  <c r="GJ11" i="12"/>
  <c r="GI11" i="12"/>
  <c r="GH11" i="12"/>
  <c r="GG11" i="12"/>
  <c r="GF11" i="12"/>
  <c r="GE11" i="12"/>
  <c r="GD11" i="12"/>
  <c r="GC11" i="12"/>
  <c r="GB11" i="12"/>
  <c r="GA11" i="12"/>
  <c r="FZ11" i="12"/>
  <c r="FY11" i="12"/>
  <c r="FX11" i="12"/>
  <c r="FW11" i="12"/>
  <c r="FV11" i="12"/>
  <c r="FU11" i="12"/>
  <c r="FT11" i="12"/>
  <c r="FS11" i="12"/>
  <c r="FR11" i="12"/>
  <c r="FQ11" i="12"/>
  <c r="FP11" i="12"/>
  <c r="FO11" i="12"/>
  <c r="FN11" i="12"/>
  <c r="FM11" i="12"/>
  <c r="FL11" i="12"/>
  <c r="FK11" i="12"/>
  <c r="FJ11" i="12"/>
  <c r="FI11" i="12"/>
  <c r="FH11" i="12"/>
  <c r="FG11" i="12"/>
  <c r="FF11" i="12"/>
  <c r="FE11" i="12"/>
  <c r="FD11" i="12"/>
  <c r="FC11" i="12"/>
  <c r="FB11" i="12"/>
  <c r="FA11" i="12"/>
  <c r="EZ11" i="12"/>
  <c r="EY11" i="12"/>
  <c r="EX11" i="12"/>
  <c r="EW11" i="12"/>
  <c r="EV11" i="12"/>
  <c r="EU11" i="12"/>
  <c r="ET11" i="12"/>
  <c r="ES11" i="12"/>
  <c r="ER11" i="12"/>
  <c r="EQ11" i="12"/>
  <c r="EP11" i="12"/>
  <c r="EO11" i="12"/>
  <c r="EN11" i="12"/>
  <c r="EM11" i="12"/>
  <c r="EL11" i="12"/>
  <c r="EK11" i="12"/>
  <c r="EJ11" i="12"/>
  <c r="EI11" i="12"/>
  <c r="EH11" i="12"/>
  <c r="EG11" i="12"/>
  <c r="EF11" i="12"/>
  <c r="EE11" i="12"/>
  <c r="ED11" i="12"/>
  <c r="EC11" i="12"/>
  <c r="EB11" i="12"/>
  <c r="EA11" i="12"/>
  <c r="DZ11" i="12"/>
  <c r="DY11" i="12"/>
  <c r="DX11" i="12"/>
  <c r="DW11" i="12"/>
  <c r="DV11" i="12"/>
  <c r="DU11" i="12"/>
  <c r="DT11" i="12"/>
  <c r="DS11" i="12"/>
  <c r="DR11" i="12"/>
  <c r="DQ11" i="12"/>
  <c r="DP11" i="12"/>
  <c r="DO11" i="12"/>
  <c r="DN11" i="12"/>
  <c r="DM11" i="12"/>
  <c r="DL11" i="12"/>
  <c r="DK11" i="12"/>
  <c r="DJ11" i="12"/>
  <c r="DI11" i="12"/>
  <c r="DH11" i="12"/>
  <c r="DG11" i="12"/>
  <c r="DF11" i="12"/>
  <c r="DE11" i="12"/>
  <c r="DD11" i="12"/>
  <c r="DC11" i="12"/>
  <c r="DB11" i="12"/>
  <c r="DA11" i="12"/>
  <c r="CZ11" i="12"/>
  <c r="CY11" i="12"/>
  <c r="CX11" i="12"/>
  <c r="CW11" i="12"/>
  <c r="CV11" i="12"/>
  <c r="CU11" i="12"/>
  <c r="CT11" i="12"/>
  <c r="CS11" i="12"/>
  <c r="CR11" i="12"/>
  <c r="CQ11" i="12"/>
  <c r="CP11" i="12"/>
  <c r="CO11" i="12"/>
  <c r="CN11" i="12"/>
  <c r="CM11" i="12"/>
  <c r="CL11" i="12"/>
  <c r="CK11" i="12"/>
  <c r="CJ11" i="12"/>
  <c r="CI11" i="12"/>
  <c r="CH11" i="12"/>
  <c r="CG11" i="12"/>
  <c r="CF11" i="12"/>
  <c r="CE11" i="12"/>
  <c r="CD11" i="12"/>
  <c r="CC11" i="12"/>
  <c r="CB11" i="12"/>
  <c r="CA11" i="12"/>
  <c r="BZ11" i="12"/>
  <c r="BY11" i="12"/>
  <c r="BX11" i="12"/>
  <c r="BW11" i="12"/>
  <c r="BV11" i="12"/>
  <c r="BU11" i="12"/>
  <c r="BT11" i="12"/>
  <c r="BS11" i="12"/>
  <c r="BR11" i="12"/>
  <c r="BQ11" i="12"/>
  <c r="BP11" i="12"/>
  <c r="BO11" i="12"/>
  <c r="BN11" i="12"/>
  <c r="BM11" i="12"/>
  <c r="BL11" i="12"/>
  <c r="BK11" i="12"/>
  <c r="BJ11" i="12"/>
  <c r="BI11" i="12"/>
  <c r="BH11" i="12"/>
  <c r="BG11" i="12"/>
  <c r="BF11" i="12"/>
  <c r="BE11" i="12"/>
  <c r="BD11" i="12"/>
  <c r="BC11" i="12"/>
  <c r="BB11" i="12"/>
  <c r="BA11" i="12"/>
  <c r="AZ11" i="12"/>
  <c r="AY11" i="12"/>
  <c r="AX11" i="12"/>
  <c r="AW11" i="12"/>
  <c r="AV11" i="12"/>
  <c r="AU11" i="12"/>
  <c r="AT11" i="12"/>
  <c r="AS11" i="12"/>
  <c r="AR11" i="12"/>
  <c r="AQ11" i="12"/>
  <c r="AP11" i="12"/>
  <c r="AO11" i="12"/>
  <c r="AN11" i="12"/>
  <c r="AM11" i="12"/>
  <c r="AL11" i="12"/>
  <c r="AK11" i="12"/>
  <c r="AJ11" i="12"/>
  <c r="AI11" i="12"/>
  <c r="AH11" i="12"/>
  <c r="AG11" i="12"/>
  <c r="AF11" i="12"/>
  <c r="AE11" i="12"/>
  <c r="AD11" i="12"/>
  <c r="AC11" i="12"/>
  <c r="AB11" i="12"/>
  <c r="AA11" i="12"/>
  <c r="Z11" i="12"/>
  <c r="Y11" i="12"/>
  <c r="X11" i="12"/>
  <c r="W11" i="12"/>
  <c r="V11" i="12"/>
  <c r="U11" i="12"/>
  <c r="T11" i="12"/>
  <c r="S11" i="12"/>
  <c r="R11" i="12"/>
  <c r="HC8" i="12"/>
  <c r="HB8" i="12"/>
  <c r="HA8" i="12"/>
  <c r="GZ8" i="12"/>
  <c r="GY8" i="12"/>
  <c r="GX8" i="12"/>
  <c r="GW8" i="12"/>
  <c r="GV8" i="12"/>
  <c r="GU8" i="12"/>
  <c r="GT8" i="12"/>
  <c r="GS8" i="12"/>
  <c r="GR8" i="12"/>
  <c r="GQ8" i="12"/>
  <c r="GP8" i="12"/>
  <c r="GO8" i="12"/>
  <c r="GN8" i="12"/>
  <c r="GM8" i="12"/>
  <c r="GL8" i="12"/>
  <c r="GK8" i="12"/>
  <c r="GJ8" i="12"/>
  <c r="GI8" i="12"/>
  <c r="GH8" i="12"/>
  <c r="GG8" i="12"/>
  <c r="GF8" i="12"/>
  <c r="GE8" i="12"/>
  <c r="GD8" i="12"/>
  <c r="GC8" i="12"/>
  <c r="GB8" i="12"/>
  <c r="GA8" i="12"/>
  <c r="FZ8" i="12"/>
  <c r="FY8" i="12"/>
  <c r="FX8" i="12"/>
  <c r="FW8" i="12"/>
  <c r="FV8" i="12"/>
  <c r="FU8" i="12"/>
  <c r="FT8" i="12"/>
  <c r="FS8" i="12"/>
  <c r="FR8" i="12"/>
  <c r="FQ8" i="12"/>
  <c r="FP8" i="12"/>
  <c r="FO8" i="12"/>
  <c r="FN8" i="12"/>
  <c r="FM8" i="12"/>
  <c r="FL8" i="12"/>
  <c r="FK8" i="12"/>
  <c r="FJ8" i="12"/>
  <c r="FI8" i="12"/>
  <c r="FH8" i="12"/>
  <c r="FG8" i="12"/>
  <c r="FF8" i="12"/>
  <c r="FE8" i="12"/>
  <c r="FD8" i="12"/>
  <c r="FC8" i="12"/>
  <c r="FB8" i="12"/>
  <c r="FA8" i="12"/>
  <c r="EZ8" i="12"/>
  <c r="EY8" i="12"/>
  <c r="EX8" i="12"/>
  <c r="EW8" i="12"/>
  <c r="EV8" i="12"/>
  <c r="EU8" i="12"/>
  <c r="ET8" i="12"/>
  <c r="ES8" i="12"/>
  <c r="ER8" i="12"/>
  <c r="EQ8" i="12"/>
  <c r="EP8" i="12"/>
  <c r="EO8" i="12"/>
  <c r="EN8" i="12"/>
  <c r="EM8" i="12"/>
  <c r="EL8" i="12"/>
  <c r="EK8" i="12"/>
  <c r="EJ8" i="12"/>
  <c r="EI8" i="12"/>
  <c r="EH8" i="12"/>
  <c r="EG8" i="12"/>
  <c r="EF8" i="12"/>
  <c r="EE8" i="12"/>
  <c r="ED8" i="12"/>
  <c r="EC8" i="12"/>
  <c r="EB8" i="12"/>
  <c r="EA8" i="12"/>
  <c r="DZ8" i="12"/>
  <c r="DY8" i="12"/>
  <c r="DX8" i="12"/>
  <c r="DW8" i="12"/>
  <c r="DV8" i="12"/>
  <c r="DU8" i="12"/>
  <c r="DT8" i="12"/>
  <c r="DS8" i="12"/>
  <c r="DR8" i="12"/>
  <c r="DQ8" i="12"/>
  <c r="DP8" i="12"/>
  <c r="DO8" i="12"/>
  <c r="DN8" i="12"/>
  <c r="DM8" i="12"/>
  <c r="DL8" i="12"/>
  <c r="DK8" i="12"/>
  <c r="DJ8" i="12"/>
  <c r="DI8" i="12"/>
  <c r="DH8" i="12"/>
  <c r="DG8" i="12"/>
  <c r="DF8" i="12"/>
  <c r="DE8" i="12"/>
  <c r="DD8" i="12"/>
  <c r="DC8" i="12"/>
  <c r="DB8" i="12"/>
  <c r="DA8" i="12"/>
  <c r="CZ8" i="12"/>
  <c r="CY8" i="12"/>
  <c r="CX8" i="12"/>
  <c r="CW8" i="12"/>
  <c r="CV8" i="12"/>
  <c r="CU8" i="12"/>
  <c r="CT8" i="12"/>
  <c r="CS8" i="12"/>
  <c r="CR8" i="12"/>
  <c r="CQ8" i="12"/>
  <c r="CP8" i="12"/>
  <c r="CO8" i="12"/>
  <c r="CN8" i="12"/>
  <c r="CM8" i="12"/>
  <c r="CL8" i="12"/>
  <c r="CK8" i="12"/>
  <c r="CJ8" i="12"/>
  <c r="CI8" i="12"/>
  <c r="CH8" i="12"/>
  <c r="CG8" i="12"/>
  <c r="CF8" i="12"/>
  <c r="CE8" i="12"/>
  <c r="CD8" i="12"/>
  <c r="CC8" i="12"/>
  <c r="CB8" i="12"/>
  <c r="CA8" i="12"/>
  <c r="BZ8" i="12"/>
  <c r="BY8" i="12"/>
  <c r="BX8" i="12"/>
  <c r="BW8" i="12"/>
  <c r="BV8" i="12"/>
  <c r="BU8" i="12"/>
  <c r="BT8" i="12"/>
  <c r="BS8" i="12"/>
  <c r="BR8" i="12"/>
  <c r="BQ8" i="12"/>
  <c r="BP8" i="12"/>
  <c r="BO8" i="12"/>
  <c r="BN8" i="12"/>
  <c r="BM8" i="12"/>
  <c r="BL8" i="12"/>
  <c r="BK8" i="12"/>
  <c r="BJ8" i="12"/>
  <c r="BI8" i="12"/>
  <c r="BH8" i="12"/>
  <c r="BG8" i="12"/>
  <c r="BF8" i="12"/>
  <c r="BE8" i="12"/>
  <c r="BD8" i="12"/>
  <c r="BC8" i="12"/>
  <c r="BB8" i="12"/>
  <c r="BA8" i="12"/>
  <c r="AZ8" i="12"/>
  <c r="AY8" i="12"/>
  <c r="AX8" i="12"/>
  <c r="AW8" i="12"/>
  <c r="AV8" i="12"/>
  <c r="AU8" i="12"/>
  <c r="AT8" i="12"/>
  <c r="AS8" i="12"/>
  <c r="AR8" i="12"/>
  <c r="AQ8" i="12"/>
  <c r="AP8" i="12"/>
  <c r="AO8" i="12"/>
  <c r="AN8" i="12"/>
  <c r="AM8" i="12"/>
  <c r="AL8" i="12"/>
  <c r="AK8" i="12"/>
  <c r="AJ8" i="12"/>
  <c r="AI8" i="12"/>
  <c r="AH8" i="12"/>
  <c r="AG8" i="12"/>
  <c r="AF8" i="12"/>
  <c r="AE8" i="12"/>
  <c r="AD8" i="12"/>
  <c r="AC8" i="12"/>
  <c r="AB8" i="12"/>
  <c r="AA8" i="12"/>
  <c r="Z8" i="12"/>
  <c r="Y8" i="12"/>
  <c r="X8" i="12"/>
  <c r="W8" i="12"/>
  <c r="V8" i="12"/>
  <c r="U8" i="12"/>
  <c r="T8" i="12"/>
  <c r="S8" i="12"/>
  <c r="R8" i="12"/>
  <c r="HC6" i="12"/>
  <c r="HB6" i="12"/>
  <c r="HA6" i="12"/>
  <c r="GZ6" i="12"/>
  <c r="GY6" i="12"/>
  <c r="GX6" i="12"/>
  <c r="GW6" i="12"/>
  <c r="GV6" i="12"/>
  <c r="GU6" i="12"/>
  <c r="GT6" i="12"/>
  <c r="GS6" i="12"/>
  <c r="GR6" i="12"/>
  <c r="GQ6" i="12"/>
  <c r="GP6" i="12"/>
  <c r="GO6" i="12"/>
  <c r="GN6" i="12"/>
  <c r="GM6" i="12"/>
  <c r="GL6" i="12"/>
  <c r="GK6" i="12"/>
  <c r="GJ6" i="12"/>
  <c r="GI6" i="12"/>
  <c r="GH6" i="12"/>
  <c r="GG6" i="12"/>
  <c r="GF6" i="12"/>
  <c r="GE6" i="12"/>
  <c r="GD6" i="12"/>
  <c r="GC6" i="12"/>
  <c r="GB6" i="12"/>
  <c r="GA6" i="12"/>
  <c r="FZ6" i="12"/>
  <c r="FY6" i="12"/>
  <c r="FX6" i="12"/>
  <c r="FW6" i="12"/>
  <c r="FV6" i="12"/>
  <c r="FU6" i="12"/>
  <c r="FT6" i="12"/>
  <c r="FS6" i="12"/>
  <c r="FR6" i="12"/>
  <c r="FQ6" i="12"/>
  <c r="FP6" i="12"/>
  <c r="FO6" i="12"/>
  <c r="FN6" i="12"/>
  <c r="FM6" i="12"/>
  <c r="FL6" i="12"/>
  <c r="FK6" i="12"/>
  <c r="FJ6" i="12"/>
  <c r="FI6" i="12"/>
  <c r="FH6" i="12"/>
  <c r="FG6" i="12"/>
  <c r="FF6" i="12"/>
  <c r="FE6" i="12"/>
  <c r="FD6" i="12"/>
  <c r="FC6" i="12"/>
  <c r="FB6" i="12"/>
  <c r="FA6" i="12"/>
  <c r="EZ6" i="12"/>
  <c r="EY6" i="12"/>
  <c r="EX6" i="12"/>
  <c r="EW6" i="12"/>
  <c r="EV6" i="12"/>
  <c r="EU6" i="12"/>
  <c r="ET6" i="12"/>
  <c r="ES6" i="12"/>
  <c r="ER6" i="12"/>
  <c r="EQ6" i="12"/>
  <c r="EP6" i="12"/>
  <c r="EO6" i="12"/>
  <c r="EN6" i="12"/>
  <c r="EM6" i="12"/>
  <c r="EL6" i="12"/>
  <c r="EK6" i="12"/>
  <c r="EJ6" i="12"/>
  <c r="EI6" i="12"/>
  <c r="EH6" i="12"/>
  <c r="EG6" i="12"/>
  <c r="EF6" i="12"/>
  <c r="EE6" i="12"/>
  <c r="ED6" i="12"/>
  <c r="EC6" i="12"/>
  <c r="EB6" i="12"/>
  <c r="EA6" i="12"/>
  <c r="DZ6" i="12"/>
  <c r="DY6" i="12"/>
  <c r="DX6" i="12"/>
  <c r="DW6" i="12"/>
  <c r="DV6" i="12"/>
  <c r="DU6" i="12"/>
  <c r="DT6" i="12"/>
  <c r="DS6" i="12"/>
  <c r="DR6" i="12"/>
  <c r="DQ6" i="12"/>
  <c r="DP6" i="12"/>
  <c r="DO6" i="12"/>
  <c r="DN6" i="12"/>
  <c r="DM6" i="12"/>
  <c r="DL6" i="12"/>
  <c r="DK6" i="12"/>
  <c r="DJ6" i="12"/>
  <c r="DI6" i="12"/>
  <c r="DH6" i="12"/>
  <c r="DG6" i="12"/>
  <c r="DF6" i="12"/>
  <c r="DE6" i="12"/>
  <c r="DD6" i="12"/>
  <c r="DC6" i="12"/>
  <c r="DB6" i="12"/>
  <c r="DA6" i="12"/>
  <c r="CZ6" i="12"/>
  <c r="CY6" i="12"/>
  <c r="CX6" i="12"/>
  <c r="CW6" i="12"/>
  <c r="CV6" i="12"/>
  <c r="CU6" i="12"/>
  <c r="CT6" i="12"/>
  <c r="CS6" i="12"/>
  <c r="CR6" i="12"/>
  <c r="CQ6" i="12"/>
  <c r="CP6" i="12"/>
  <c r="CO6" i="12"/>
  <c r="CN6" i="12"/>
  <c r="CM6" i="12"/>
  <c r="CL6" i="12"/>
  <c r="CK6" i="12"/>
  <c r="CJ6" i="12"/>
  <c r="CI6" i="12"/>
  <c r="CH6" i="12"/>
  <c r="CG6" i="12"/>
  <c r="CF6" i="12"/>
  <c r="CE6" i="12"/>
  <c r="CD6" i="12"/>
  <c r="CC6" i="12"/>
  <c r="CB6" i="12"/>
  <c r="CA6" i="12"/>
  <c r="BZ6" i="12"/>
  <c r="BY6" i="12"/>
  <c r="BX6" i="12"/>
  <c r="BW6" i="12"/>
  <c r="BV6" i="12"/>
  <c r="BU6" i="12"/>
  <c r="BT6" i="12"/>
  <c r="BS6" i="12"/>
  <c r="BR6" i="12"/>
  <c r="BQ6" i="12"/>
  <c r="BP6" i="12"/>
  <c r="BO6" i="12"/>
  <c r="BN6" i="12"/>
  <c r="BM6" i="12"/>
  <c r="BL6" i="12"/>
  <c r="BK6" i="12"/>
  <c r="BJ6" i="12"/>
  <c r="BI6" i="12"/>
  <c r="BH6" i="12"/>
  <c r="BG6" i="12"/>
  <c r="BF6" i="12"/>
  <c r="BE6" i="12"/>
  <c r="BD6" i="12"/>
  <c r="BC6" i="12"/>
  <c r="BB6" i="12"/>
  <c r="BA6" i="12"/>
  <c r="AZ6" i="12"/>
  <c r="AY6" i="12"/>
  <c r="AX6" i="12"/>
  <c r="AW6" i="12"/>
  <c r="AV6" i="12"/>
  <c r="AU6" i="12"/>
  <c r="AT6" i="12"/>
  <c r="AS6" i="12"/>
  <c r="AR6" i="12"/>
  <c r="AQ6" i="12"/>
  <c r="AP6" i="12"/>
  <c r="AO6" i="12"/>
  <c r="AN6" i="12"/>
  <c r="AM6" i="12"/>
  <c r="AL6" i="12"/>
  <c r="AK6" i="12"/>
  <c r="AJ6" i="12"/>
  <c r="AI6" i="12"/>
  <c r="AH6" i="12"/>
  <c r="AG6" i="12"/>
  <c r="AF6" i="12"/>
  <c r="AE6" i="12"/>
  <c r="AD6" i="12"/>
  <c r="AC6" i="12"/>
  <c r="AB6" i="12"/>
  <c r="AA6" i="12"/>
  <c r="Z6" i="12"/>
  <c r="Y6" i="12"/>
  <c r="X6" i="12"/>
  <c r="W6" i="12"/>
  <c r="V6" i="12"/>
  <c r="U6" i="12"/>
  <c r="T6" i="12"/>
  <c r="S6" i="12"/>
  <c r="R6" i="12"/>
  <c r="N96" i="12"/>
  <c r="L96" i="12"/>
  <c r="I96" i="12"/>
  <c r="H96" i="12"/>
  <c r="GY95" i="12"/>
  <c r="GX95" i="12"/>
  <c r="GV95" i="12"/>
  <c r="GT95" i="12"/>
  <c r="GS95" i="12"/>
  <c r="GO95" i="12"/>
  <c r="GN95" i="12"/>
  <c r="GL95" i="12"/>
  <c r="GH95" i="12"/>
  <c r="GB95" i="12"/>
  <c r="FX95" i="12"/>
  <c r="FW95" i="12"/>
  <c r="FS95" i="12"/>
  <c r="FQ95" i="12"/>
  <c r="FK95" i="12"/>
  <c r="FE95" i="12"/>
  <c r="FA95" i="12"/>
  <c r="EU95" i="12"/>
  <c r="ES95" i="12"/>
  <c r="EL95" i="12"/>
  <c r="EJ95" i="12"/>
  <c r="EH95" i="12"/>
  <c r="EC95" i="12"/>
  <c r="EB95" i="12"/>
  <c r="DW95" i="12"/>
  <c r="DO95" i="12"/>
  <c r="DJ95" i="12"/>
  <c r="DI95" i="12"/>
  <c r="DA95" i="12"/>
  <c r="CW95" i="12"/>
  <c r="CU95" i="12"/>
  <c r="CP95" i="12"/>
  <c r="CO95" i="12"/>
  <c r="CM95" i="12"/>
  <c r="CJ95" i="12"/>
  <c r="CF95" i="12"/>
  <c r="CD95" i="12"/>
  <c r="CA95" i="12"/>
  <c r="BX95" i="12"/>
  <c r="BV95" i="12"/>
  <c r="BT95" i="12"/>
  <c r="BS95" i="12"/>
  <c r="BP95" i="12"/>
  <c r="BJ95" i="12"/>
  <c r="BI95" i="12"/>
  <c r="BG95" i="12"/>
  <c r="BE95" i="12"/>
  <c r="BC95" i="12"/>
  <c r="BB95" i="12"/>
  <c r="BA95" i="12"/>
  <c r="AW95" i="12"/>
  <c r="AT95" i="12"/>
  <c r="AO95" i="12"/>
  <c r="AL95" i="12"/>
  <c r="AK95" i="12"/>
  <c r="AH95" i="12"/>
  <c r="AE95" i="12"/>
  <c r="AC95" i="12"/>
  <c r="AB95" i="12"/>
  <c r="V95" i="12"/>
  <c r="U95" i="12"/>
  <c r="R95" i="12"/>
  <c r="HC81" i="12"/>
  <c r="HB81" i="12"/>
  <c r="HA81" i="12"/>
  <c r="GZ81" i="12"/>
  <c r="GY81" i="12"/>
  <c r="GX81" i="12"/>
  <c r="GW81" i="12"/>
  <c r="GV81" i="12"/>
  <c r="GU81" i="12"/>
  <c r="GT81" i="12"/>
  <c r="GS81" i="12"/>
  <c r="GR81" i="12"/>
  <c r="GQ81" i="12"/>
  <c r="GP81" i="12"/>
  <c r="GO81" i="12"/>
  <c r="GN81" i="12"/>
  <c r="GM81" i="12"/>
  <c r="GL81" i="12"/>
  <c r="GK81" i="12"/>
  <c r="GJ81" i="12"/>
  <c r="GI81" i="12"/>
  <c r="GH81" i="12"/>
  <c r="GG81" i="12"/>
  <c r="GF81" i="12"/>
  <c r="GE81" i="12"/>
  <c r="GD81" i="12"/>
  <c r="GC81" i="12"/>
  <c r="GB81" i="12"/>
  <c r="GA81" i="12"/>
  <c r="FZ81" i="12"/>
  <c r="FY81" i="12"/>
  <c r="FX81" i="12"/>
  <c r="FW81" i="12"/>
  <c r="FV81" i="12"/>
  <c r="FU81" i="12"/>
  <c r="FT81" i="12"/>
  <c r="FS81" i="12"/>
  <c r="FR81" i="12"/>
  <c r="FQ81" i="12"/>
  <c r="FP81" i="12"/>
  <c r="FO81" i="12"/>
  <c r="FN81" i="12"/>
  <c r="FM81" i="12"/>
  <c r="FL81" i="12"/>
  <c r="FK81" i="12"/>
  <c r="FJ81" i="12"/>
  <c r="FI81" i="12"/>
  <c r="FH81" i="12"/>
  <c r="FG81" i="12"/>
  <c r="FF81" i="12"/>
  <c r="FE81" i="12"/>
  <c r="FD81" i="12"/>
  <c r="FC81" i="12"/>
  <c r="FB81" i="12"/>
  <c r="FA81" i="12"/>
  <c r="EZ81" i="12"/>
  <c r="EY81" i="12"/>
  <c r="EX81" i="12"/>
  <c r="EW81" i="12"/>
  <c r="EV81" i="12"/>
  <c r="EU81" i="12"/>
  <c r="ET81" i="12"/>
  <c r="ES81" i="12"/>
  <c r="ER81" i="12"/>
  <c r="EQ81" i="12"/>
  <c r="EP81" i="12"/>
  <c r="EO81" i="12"/>
  <c r="EN81" i="12"/>
  <c r="EM81" i="12"/>
  <c r="EL81" i="12"/>
  <c r="EK81" i="12"/>
  <c r="EJ81" i="12"/>
  <c r="EI81" i="12"/>
  <c r="EH81" i="12"/>
  <c r="EG81" i="12"/>
  <c r="EF81" i="12"/>
  <c r="EE81" i="12"/>
  <c r="ED81" i="12"/>
  <c r="EC81" i="12"/>
  <c r="EB81" i="12"/>
  <c r="EA81" i="12"/>
  <c r="DZ81" i="12"/>
  <c r="DY81" i="12"/>
  <c r="DX81" i="12"/>
  <c r="DW81" i="12"/>
  <c r="DV81" i="12"/>
  <c r="DU81" i="12"/>
  <c r="DT81" i="12"/>
  <c r="DS81" i="12"/>
  <c r="DR81" i="12"/>
  <c r="DQ81" i="12"/>
  <c r="DP81" i="12"/>
  <c r="DO81" i="12"/>
  <c r="DN81" i="12"/>
  <c r="DM81" i="12"/>
  <c r="DL81" i="12"/>
  <c r="DK81" i="12"/>
  <c r="DJ81" i="12"/>
  <c r="DI81" i="12"/>
  <c r="DH81" i="12"/>
  <c r="DG81" i="12"/>
  <c r="DF81" i="12"/>
  <c r="DE81" i="12"/>
  <c r="DD81" i="12"/>
  <c r="DC81" i="12"/>
  <c r="DB81" i="12"/>
  <c r="DA81" i="12"/>
  <c r="CZ81" i="12"/>
  <c r="CY81" i="12"/>
  <c r="CX81" i="12"/>
  <c r="CW81" i="12"/>
  <c r="CV81" i="12"/>
  <c r="CU81" i="12"/>
  <c r="CT81" i="12"/>
  <c r="CS81" i="12"/>
  <c r="CR81" i="12"/>
  <c r="CQ81" i="12"/>
  <c r="CP81" i="12"/>
  <c r="CO81" i="12"/>
  <c r="CN81" i="12"/>
  <c r="CM81" i="12"/>
  <c r="CL81" i="12"/>
  <c r="CK81" i="12"/>
  <c r="CJ81" i="12"/>
  <c r="CI81" i="12"/>
  <c r="CH81" i="12"/>
  <c r="CG81" i="12"/>
  <c r="CF81" i="12"/>
  <c r="CE81" i="12"/>
  <c r="CD81" i="12"/>
  <c r="CC81" i="12"/>
  <c r="CB81" i="12"/>
  <c r="CA81" i="12"/>
  <c r="BZ81" i="12"/>
  <c r="BY81" i="12"/>
  <c r="BX81" i="12"/>
  <c r="BW81" i="12"/>
  <c r="BV81" i="12"/>
  <c r="BU81" i="12"/>
  <c r="BT81" i="12"/>
  <c r="BS81" i="12"/>
  <c r="BR81" i="12"/>
  <c r="BQ81" i="12"/>
  <c r="BP81" i="12"/>
  <c r="BO81" i="12"/>
  <c r="BN81" i="12"/>
  <c r="BM81" i="12"/>
  <c r="BL81" i="12"/>
  <c r="BK81" i="12"/>
  <c r="BJ81" i="12"/>
  <c r="BI81" i="12"/>
  <c r="BH81" i="12"/>
  <c r="BG81" i="12"/>
  <c r="BF81" i="12"/>
  <c r="BE81" i="12"/>
  <c r="BD81" i="12"/>
  <c r="BC81" i="12"/>
  <c r="BB81" i="12"/>
  <c r="BA81" i="12"/>
  <c r="AZ81" i="12"/>
  <c r="AY81" i="12"/>
  <c r="AX81" i="12"/>
  <c r="AW81" i="12"/>
  <c r="AV81" i="12"/>
  <c r="AU81" i="12"/>
  <c r="AT81" i="12"/>
  <c r="AS81" i="12"/>
  <c r="AR81" i="12"/>
  <c r="AQ81" i="12"/>
  <c r="AP81" i="12"/>
  <c r="AO81" i="12"/>
  <c r="AN81" i="12"/>
  <c r="AM81" i="12"/>
  <c r="AL81" i="12"/>
  <c r="AK81" i="12"/>
  <c r="AJ81" i="12"/>
  <c r="AI81" i="12"/>
  <c r="AH81" i="12"/>
  <c r="AG81" i="12"/>
  <c r="AF81" i="12"/>
  <c r="AE81" i="12"/>
  <c r="AD81" i="12"/>
  <c r="AC81" i="12"/>
  <c r="AB81" i="12"/>
  <c r="AA81" i="12"/>
  <c r="Z81" i="12"/>
  <c r="Y81" i="12"/>
  <c r="X81" i="12"/>
  <c r="W81" i="12"/>
  <c r="V81" i="12"/>
  <c r="U81" i="12"/>
  <c r="T81" i="12"/>
  <c r="S81" i="12"/>
  <c r="R81" i="12"/>
  <c r="HC78" i="12"/>
  <c r="HB78" i="12"/>
  <c r="HA78" i="12"/>
  <c r="GZ78" i="12"/>
  <c r="GY78" i="12"/>
  <c r="GX78" i="12"/>
  <c r="GW78" i="12"/>
  <c r="GV78" i="12"/>
  <c r="GU78" i="12"/>
  <c r="GT78" i="12"/>
  <c r="GS78" i="12"/>
  <c r="GR78" i="12"/>
  <c r="GQ78" i="12"/>
  <c r="GP78" i="12"/>
  <c r="GO78" i="12"/>
  <c r="GN78" i="12"/>
  <c r="GM78" i="12"/>
  <c r="GL78" i="12"/>
  <c r="GK78" i="12"/>
  <c r="GJ78" i="12"/>
  <c r="GI78" i="12"/>
  <c r="GH78" i="12"/>
  <c r="GG78" i="12"/>
  <c r="GF78" i="12"/>
  <c r="GE78" i="12"/>
  <c r="GD78" i="12"/>
  <c r="GC78" i="12"/>
  <c r="GB78" i="12"/>
  <c r="GA78" i="12"/>
  <c r="FZ78" i="12"/>
  <c r="FY78" i="12"/>
  <c r="FX78" i="12"/>
  <c r="FW78" i="12"/>
  <c r="FV78" i="12"/>
  <c r="FU78" i="12"/>
  <c r="FT78" i="12"/>
  <c r="FS78" i="12"/>
  <c r="FR78" i="12"/>
  <c r="FQ78" i="12"/>
  <c r="FP78" i="12"/>
  <c r="FO78" i="12"/>
  <c r="FN78" i="12"/>
  <c r="FM78" i="12"/>
  <c r="FL78" i="12"/>
  <c r="FK78" i="12"/>
  <c r="FJ78" i="12"/>
  <c r="FI78" i="12"/>
  <c r="FH78" i="12"/>
  <c r="FG78" i="12"/>
  <c r="FF78" i="12"/>
  <c r="FE78" i="12"/>
  <c r="FD78" i="12"/>
  <c r="FC78" i="12"/>
  <c r="FB78" i="12"/>
  <c r="FA78" i="12"/>
  <c r="EZ78" i="12"/>
  <c r="EY78" i="12"/>
  <c r="EX78" i="12"/>
  <c r="EW78" i="12"/>
  <c r="EV78" i="12"/>
  <c r="EU78" i="12"/>
  <c r="ET78" i="12"/>
  <c r="ES78" i="12"/>
  <c r="ER78" i="12"/>
  <c r="EQ78" i="12"/>
  <c r="EP78" i="12"/>
  <c r="EO78" i="12"/>
  <c r="EN78" i="12"/>
  <c r="EM78" i="12"/>
  <c r="EL78" i="12"/>
  <c r="EK78" i="12"/>
  <c r="EJ78" i="12"/>
  <c r="EI78" i="12"/>
  <c r="EH78" i="12"/>
  <c r="EG78" i="12"/>
  <c r="EF78" i="12"/>
  <c r="EE78" i="12"/>
  <c r="ED78" i="12"/>
  <c r="EC78" i="12"/>
  <c r="EB78" i="12"/>
  <c r="EA78" i="12"/>
  <c r="DZ78" i="12"/>
  <c r="DY78" i="12"/>
  <c r="DX78" i="12"/>
  <c r="DW78" i="12"/>
  <c r="DV78" i="12"/>
  <c r="DU78" i="12"/>
  <c r="DT78" i="12"/>
  <c r="DS78" i="12"/>
  <c r="DR78" i="12"/>
  <c r="DQ78" i="12"/>
  <c r="DP78" i="12"/>
  <c r="DO78" i="12"/>
  <c r="DN78" i="12"/>
  <c r="DM78" i="12"/>
  <c r="DL78" i="12"/>
  <c r="DK78" i="12"/>
  <c r="DJ78" i="12"/>
  <c r="DI78" i="12"/>
  <c r="DH78" i="12"/>
  <c r="DG78" i="12"/>
  <c r="DF78" i="12"/>
  <c r="DE78" i="12"/>
  <c r="DD78" i="12"/>
  <c r="DC78" i="12"/>
  <c r="DB78" i="12"/>
  <c r="DA78" i="12"/>
  <c r="CZ78" i="12"/>
  <c r="CY78" i="12"/>
  <c r="CX78" i="12"/>
  <c r="CW78" i="12"/>
  <c r="CV78" i="12"/>
  <c r="CU78" i="12"/>
  <c r="CT78" i="12"/>
  <c r="CS78" i="12"/>
  <c r="CR78" i="12"/>
  <c r="CQ78" i="12"/>
  <c r="CP78" i="12"/>
  <c r="CO78" i="12"/>
  <c r="CN78" i="12"/>
  <c r="CM78" i="12"/>
  <c r="CL78" i="12"/>
  <c r="CK78" i="12"/>
  <c r="CJ78" i="12"/>
  <c r="CI78" i="12"/>
  <c r="CH78" i="12"/>
  <c r="CG78" i="12"/>
  <c r="CF78" i="12"/>
  <c r="CE78" i="12"/>
  <c r="CD78" i="12"/>
  <c r="CC78" i="12"/>
  <c r="CB78" i="12"/>
  <c r="CA78" i="12"/>
  <c r="BZ78" i="12"/>
  <c r="BY78" i="12"/>
  <c r="BX78" i="12"/>
  <c r="BW78" i="12"/>
  <c r="BV78" i="12"/>
  <c r="BU78" i="12"/>
  <c r="BT78" i="12"/>
  <c r="BS78" i="12"/>
  <c r="BR78" i="12"/>
  <c r="BQ78" i="12"/>
  <c r="BP78" i="12"/>
  <c r="BO78" i="12"/>
  <c r="BN78" i="12"/>
  <c r="BM78" i="12"/>
  <c r="BL78" i="12"/>
  <c r="BK78" i="12"/>
  <c r="BJ78" i="12"/>
  <c r="BI78" i="12"/>
  <c r="BH78" i="12"/>
  <c r="BG78" i="12"/>
  <c r="BF78" i="12"/>
  <c r="BE78" i="12"/>
  <c r="BD78" i="12"/>
  <c r="BC78" i="12"/>
  <c r="BB78" i="12"/>
  <c r="BA78" i="12"/>
  <c r="AZ78" i="12"/>
  <c r="AY78" i="12"/>
  <c r="AX78" i="12"/>
  <c r="AW78" i="12"/>
  <c r="AV78" i="12"/>
  <c r="AU78" i="12"/>
  <c r="AT78" i="12"/>
  <c r="AS78" i="12"/>
  <c r="AR78" i="12"/>
  <c r="AQ78" i="12"/>
  <c r="AP78" i="12"/>
  <c r="AO78" i="12"/>
  <c r="AN78" i="12"/>
  <c r="AM78" i="12"/>
  <c r="AL78" i="12"/>
  <c r="AK78" i="12"/>
  <c r="AJ78" i="12"/>
  <c r="AI78" i="12"/>
  <c r="AH78" i="12"/>
  <c r="AG78" i="12"/>
  <c r="AF78" i="12"/>
  <c r="AE78" i="12"/>
  <c r="AD78" i="12"/>
  <c r="AC78" i="12"/>
  <c r="AB78" i="12"/>
  <c r="AA78" i="12"/>
  <c r="Z78" i="12"/>
  <c r="Y78" i="12"/>
  <c r="X78" i="12"/>
  <c r="W78" i="12"/>
  <c r="V78" i="12"/>
  <c r="U78" i="12"/>
  <c r="T78" i="12"/>
  <c r="S78" i="12"/>
  <c r="R78" i="12"/>
  <c r="HC72" i="12"/>
  <c r="HB72" i="12"/>
  <c r="HA72" i="12"/>
  <c r="GZ72" i="12"/>
  <c r="GY72" i="12"/>
  <c r="GX72" i="12"/>
  <c r="GW72" i="12"/>
  <c r="GV72" i="12"/>
  <c r="GU72" i="12"/>
  <c r="GT72" i="12"/>
  <c r="GS72" i="12"/>
  <c r="GR72" i="12"/>
  <c r="GQ72" i="12"/>
  <c r="GP72" i="12"/>
  <c r="GO72" i="12"/>
  <c r="GN72" i="12"/>
  <c r="GM72" i="12"/>
  <c r="GL72" i="12"/>
  <c r="GK72" i="12"/>
  <c r="GJ72" i="12"/>
  <c r="GI72" i="12"/>
  <c r="GH72" i="12"/>
  <c r="GG72" i="12"/>
  <c r="GF72" i="12"/>
  <c r="GE72" i="12"/>
  <c r="GD72" i="12"/>
  <c r="GC72" i="12"/>
  <c r="GB72" i="12"/>
  <c r="GA72" i="12"/>
  <c r="FZ72" i="12"/>
  <c r="FY72" i="12"/>
  <c r="FX72" i="12"/>
  <c r="FW72" i="12"/>
  <c r="FV72" i="12"/>
  <c r="FU72" i="12"/>
  <c r="FT72" i="12"/>
  <c r="FS72" i="12"/>
  <c r="FR72" i="12"/>
  <c r="FQ72" i="12"/>
  <c r="FP72" i="12"/>
  <c r="FO72" i="12"/>
  <c r="FN72" i="12"/>
  <c r="FM72" i="12"/>
  <c r="FL72" i="12"/>
  <c r="FK72" i="12"/>
  <c r="FJ72" i="12"/>
  <c r="FI72" i="12"/>
  <c r="FH72" i="12"/>
  <c r="FG72" i="12"/>
  <c r="FF72" i="12"/>
  <c r="FE72" i="12"/>
  <c r="FD72" i="12"/>
  <c r="FC72" i="12"/>
  <c r="FB72" i="12"/>
  <c r="FA72" i="12"/>
  <c r="EZ72" i="12"/>
  <c r="EY72" i="12"/>
  <c r="EX72" i="12"/>
  <c r="EW72" i="12"/>
  <c r="EV72" i="12"/>
  <c r="EU72" i="12"/>
  <c r="ET72" i="12"/>
  <c r="ES72" i="12"/>
  <c r="ER72" i="12"/>
  <c r="EQ72" i="12"/>
  <c r="EP72" i="12"/>
  <c r="EO72" i="12"/>
  <c r="EN72" i="12"/>
  <c r="EM72" i="12"/>
  <c r="EL72" i="12"/>
  <c r="EK72" i="12"/>
  <c r="EJ72" i="12"/>
  <c r="EI72" i="12"/>
  <c r="EH72" i="12"/>
  <c r="EG72" i="12"/>
  <c r="EF72" i="12"/>
  <c r="EE72" i="12"/>
  <c r="ED72" i="12"/>
  <c r="EC72" i="12"/>
  <c r="EB72" i="12"/>
  <c r="EA72" i="12"/>
  <c r="DZ72" i="12"/>
  <c r="DX72" i="12"/>
  <c r="DW72" i="12"/>
  <c r="DV72" i="12"/>
  <c r="DU72" i="12"/>
  <c r="DT72" i="12"/>
  <c r="DS72" i="12"/>
  <c r="DR72" i="12"/>
  <c r="DQ72" i="12"/>
  <c r="DP72" i="12"/>
  <c r="DO72" i="12"/>
  <c r="DN72" i="12"/>
  <c r="DM72" i="12"/>
  <c r="DL72" i="12"/>
  <c r="DK72" i="12"/>
  <c r="DJ72" i="12"/>
  <c r="DI72" i="12"/>
  <c r="DH72" i="12"/>
  <c r="DG72" i="12"/>
  <c r="DF72" i="12"/>
  <c r="DE72" i="12"/>
  <c r="DD72" i="12"/>
  <c r="DC72" i="12"/>
  <c r="DB72" i="12"/>
  <c r="DA72" i="12"/>
  <c r="CZ72" i="12"/>
  <c r="CY72" i="12"/>
  <c r="CX72" i="12"/>
  <c r="CW72" i="12"/>
  <c r="CV72" i="12"/>
  <c r="CU72" i="12"/>
  <c r="CT72" i="12"/>
  <c r="CS72" i="12"/>
  <c r="CR72" i="12"/>
  <c r="CQ72" i="12"/>
  <c r="CP72" i="12"/>
  <c r="CO72" i="12"/>
  <c r="CN72" i="12"/>
  <c r="CM72" i="12"/>
  <c r="CL72" i="12"/>
  <c r="CK72" i="12"/>
  <c r="CJ72" i="12"/>
  <c r="CI72" i="12"/>
  <c r="CH72" i="12"/>
  <c r="CG72" i="12"/>
  <c r="CF72" i="12"/>
  <c r="CE72" i="12"/>
  <c r="CD72" i="12"/>
  <c r="CC72" i="12"/>
  <c r="CB72" i="12"/>
  <c r="CA72" i="12"/>
  <c r="BZ72" i="12"/>
  <c r="BY72" i="12"/>
  <c r="BX72" i="12"/>
  <c r="BW72" i="12"/>
  <c r="BV72" i="12"/>
  <c r="BU72" i="12"/>
  <c r="BT72" i="12"/>
  <c r="BS72" i="12"/>
  <c r="BR72" i="12"/>
  <c r="BQ72" i="12"/>
  <c r="BP72" i="12"/>
  <c r="BO72" i="12"/>
  <c r="BN72" i="12"/>
  <c r="BM72" i="12"/>
  <c r="BL72" i="12"/>
  <c r="BJ72" i="12"/>
  <c r="BI72" i="12"/>
  <c r="BH72" i="12"/>
  <c r="BG72" i="12"/>
  <c r="BF72" i="12"/>
  <c r="BE72" i="12"/>
  <c r="BD72" i="12"/>
  <c r="BC72" i="12"/>
  <c r="BB72" i="12"/>
  <c r="BA72" i="12"/>
  <c r="AZ72" i="12"/>
  <c r="AY72" i="12"/>
  <c r="AX72" i="12"/>
  <c r="AW72" i="12"/>
  <c r="AV72" i="12"/>
  <c r="AU72" i="12"/>
  <c r="AT72" i="12"/>
  <c r="AS72" i="12"/>
  <c r="AR72" i="12"/>
  <c r="AQ72" i="12"/>
  <c r="AP72" i="12"/>
  <c r="AO72" i="12"/>
  <c r="AN72" i="12"/>
  <c r="AM72" i="12"/>
  <c r="AL72" i="12"/>
  <c r="AK72" i="12"/>
  <c r="AJ72" i="12"/>
  <c r="AI72" i="12"/>
  <c r="AH72" i="12"/>
  <c r="AG72" i="12"/>
  <c r="AF72" i="12"/>
  <c r="AE72" i="12"/>
  <c r="AD72" i="12"/>
  <c r="AC72" i="12"/>
  <c r="AB72" i="12"/>
  <c r="AA72" i="12"/>
  <c r="Z72" i="12"/>
  <c r="Y72" i="12"/>
  <c r="X72" i="12"/>
  <c r="W72" i="12"/>
  <c r="V72" i="12"/>
  <c r="U72" i="12"/>
  <c r="T72" i="12"/>
  <c r="S72" i="12"/>
  <c r="R72" i="12"/>
  <c r="HC69" i="12"/>
  <c r="HB69" i="12"/>
  <c r="HA69" i="12"/>
  <c r="GZ69" i="12"/>
  <c r="GY69" i="12"/>
  <c r="GX69" i="12"/>
  <c r="GW69" i="12"/>
  <c r="GV69" i="12"/>
  <c r="GU69" i="12"/>
  <c r="GT69" i="12"/>
  <c r="GS69" i="12"/>
  <c r="GR69" i="12"/>
  <c r="GQ69" i="12"/>
  <c r="GP69" i="12"/>
  <c r="GO69" i="12"/>
  <c r="GN69" i="12"/>
  <c r="GM69" i="12"/>
  <c r="GL69" i="12"/>
  <c r="GK69" i="12"/>
  <c r="GJ69" i="12"/>
  <c r="GI69" i="12"/>
  <c r="GH69" i="12"/>
  <c r="GG69" i="12"/>
  <c r="GF69" i="12"/>
  <c r="GE69" i="12"/>
  <c r="GD69" i="12"/>
  <c r="GC69" i="12"/>
  <c r="GB69" i="12"/>
  <c r="GA69" i="12"/>
  <c r="FZ69" i="12"/>
  <c r="FY69" i="12"/>
  <c r="FX69" i="12"/>
  <c r="FW69" i="12"/>
  <c r="FV69" i="12"/>
  <c r="FU69" i="12"/>
  <c r="FT69" i="12"/>
  <c r="FS69" i="12"/>
  <c r="FR69" i="12"/>
  <c r="FQ69" i="12"/>
  <c r="FP69" i="12"/>
  <c r="FO69" i="12"/>
  <c r="FN69" i="12"/>
  <c r="FM69" i="12"/>
  <c r="FL69" i="12"/>
  <c r="FK69" i="12"/>
  <c r="FJ69" i="12"/>
  <c r="FI69" i="12"/>
  <c r="FH69" i="12"/>
  <c r="FG69" i="12"/>
  <c r="FF69" i="12"/>
  <c r="FE69" i="12"/>
  <c r="FD69" i="12"/>
  <c r="FC69" i="12"/>
  <c r="FB69" i="12"/>
  <c r="FA69" i="12"/>
  <c r="EZ69" i="12"/>
  <c r="EY69" i="12"/>
  <c r="EX69" i="12"/>
  <c r="EW69" i="12"/>
  <c r="EV69" i="12"/>
  <c r="EU69" i="12"/>
  <c r="ET69" i="12"/>
  <c r="ES69" i="12"/>
  <c r="ER69" i="12"/>
  <c r="EQ69" i="12"/>
  <c r="EP69" i="12"/>
  <c r="EO69" i="12"/>
  <c r="EN69" i="12"/>
  <c r="EM69" i="12"/>
  <c r="EL69" i="12"/>
  <c r="EK69" i="12"/>
  <c r="EJ69" i="12"/>
  <c r="EI69" i="12"/>
  <c r="EH69" i="12"/>
  <c r="EG69" i="12"/>
  <c r="EF69" i="12"/>
  <c r="EE69" i="12"/>
  <c r="ED69" i="12"/>
  <c r="EC69" i="12"/>
  <c r="EB69" i="12"/>
  <c r="EA69" i="12"/>
  <c r="DZ69" i="12"/>
  <c r="DY69" i="12"/>
  <c r="DX69" i="12"/>
  <c r="DW69" i="12"/>
  <c r="DV69" i="12"/>
  <c r="DU69" i="12"/>
  <c r="DT69" i="12"/>
  <c r="DS69" i="12"/>
  <c r="DR69" i="12"/>
  <c r="DQ69" i="12"/>
  <c r="DP69" i="12"/>
  <c r="DO69" i="12"/>
  <c r="DN69" i="12"/>
  <c r="DM69" i="12"/>
  <c r="DL69" i="12"/>
  <c r="DK69" i="12"/>
  <c r="DJ69" i="12"/>
  <c r="DI69" i="12"/>
  <c r="DH69" i="12"/>
  <c r="DG69" i="12"/>
  <c r="DF69" i="12"/>
  <c r="DE69" i="12"/>
  <c r="DD69" i="12"/>
  <c r="DC69" i="12"/>
  <c r="DB69" i="12"/>
  <c r="DA69" i="12"/>
  <c r="CZ69" i="12"/>
  <c r="CY69" i="12"/>
  <c r="CX69" i="12"/>
  <c r="CW69" i="12"/>
  <c r="CV69" i="12"/>
  <c r="CU69" i="12"/>
  <c r="CT69" i="12"/>
  <c r="CS69" i="12"/>
  <c r="CR69" i="12"/>
  <c r="CQ69" i="12"/>
  <c r="CP69" i="12"/>
  <c r="CO69" i="12"/>
  <c r="CN69" i="12"/>
  <c r="CM69" i="12"/>
  <c r="CL69" i="12"/>
  <c r="CK69" i="12"/>
  <c r="CJ69" i="12"/>
  <c r="CI69" i="12"/>
  <c r="CH69" i="12"/>
  <c r="CG69" i="12"/>
  <c r="CF69" i="12"/>
  <c r="CE69" i="12"/>
  <c r="CD69" i="12"/>
  <c r="CC69" i="12"/>
  <c r="CB69" i="12"/>
  <c r="CA69" i="12"/>
  <c r="BZ69" i="12"/>
  <c r="BY69" i="12"/>
  <c r="BX69" i="12"/>
  <c r="BW69" i="12"/>
  <c r="BV69" i="12"/>
  <c r="BU69" i="12"/>
  <c r="BT69" i="12"/>
  <c r="BS69" i="12"/>
  <c r="BR69" i="12"/>
  <c r="BQ69" i="12"/>
  <c r="BP69" i="12"/>
  <c r="BO69" i="12"/>
  <c r="BN69" i="12"/>
  <c r="BM69" i="12"/>
  <c r="BL69" i="12"/>
  <c r="BK69" i="12"/>
  <c r="BJ69" i="12"/>
  <c r="BI69" i="12"/>
  <c r="BH69" i="12"/>
  <c r="BG69" i="12"/>
  <c r="BF69" i="12"/>
  <c r="BE69" i="12"/>
  <c r="BD69" i="12"/>
  <c r="BC69" i="12"/>
  <c r="BB69" i="12"/>
  <c r="BA69" i="12"/>
  <c r="AZ69" i="12"/>
  <c r="AY69" i="12"/>
  <c r="AX69" i="12"/>
  <c r="AW69" i="12"/>
  <c r="AV69" i="12"/>
  <c r="AU69" i="12"/>
  <c r="AT69" i="12"/>
  <c r="AS69" i="12"/>
  <c r="AR69" i="12"/>
  <c r="AQ69" i="12"/>
  <c r="AP69" i="12"/>
  <c r="AO69" i="12"/>
  <c r="AN69" i="12"/>
  <c r="AM69" i="12"/>
  <c r="AL69" i="12"/>
  <c r="AK69" i="12"/>
  <c r="AJ69" i="12"/>
  <c r="AI69" i="12"/>
  <c r="AH69" i="12"/>
  <c r="AG69" i="12"/>
  <c r="AF69" i="12"/>
  <c r="AE69" i="12"/>
  <c r="AD69" i="12"/>
  <c r="AC69" i="12"/>
  <c r="AB69" i="12"/>
  <c r="AA69" i="12"/>
  <c r="Z69" i="12"/>
  <c r="Y69" i="12"/>
  <c r="X69" i="12"/>
  <c r="W69" i="12"/>
  <c r="V69" i="12"/>
  <c r="U69" i="12"/>
  <c r="T69" i="12"/>
  <c r="S69" i="12"/>
  <c r="R69" i="12"/>
  <c r="HC67" i="12"/>
  <c r="HB67" i="12"/>
  <c r="HA67" i="12"/>
  <c r="GZ67" i="12"/>
  <c r="GY67" i="12"/>
  <c r="GX67" i="12"/>
  <c r="GW67" i="12"/>
  <c r="GV67" i="12"/>
  <c r="GU67" i="12"/>
  <c r="GT67" i="12"/>
  <c r="GS67" i="12"/>
  <c r="GR67" i="12"/>
  <c r="GQ67" i="12"/>
  <c r="GP67" i="12"/>
  <c r="GO67" i="12"/>
  <c r="GN67" i="12"/>
  <c r="GM67" i="12"/>
  <c r="GL67" i="12"/>
  <c r="GK67" i="12"/>
  <c r="GJ67" i="12"/>
  <c r="GI67" i="12"/>
  <c r="GH67" i="12"/>
  <c r="GG67" i="12"/>
  <c r="GF67" i="12"/>
  <c r="GE67" i="12"/>
  <c r="GD67" i="12"/>
  <c r="GC67" i="12"/>
  <c r="GB67" i="12"/>
  <c r="GA67" i="12"/>
  <c r="FZ67" i="12"/>
  <c r="FY67" i="12"/>
  <c r="FX67" i="12"/>
  <c r="FW67" i="12"/>
  <c r="FV67" i="12"/>
  <c r="FU67" i="12"/>
  <c r="FT67" i="12"/>
  <c r="FS67" i="12"/>
  <c r="FR67" i="12"/>
  <c r="FQ67" i="12"/>
  <c r="FP67" i="12"/>
  <c r="FO67" i="12"/>
  <c r="FN67" i="12"/>
  <c r="FM67" i="12"/>
  <c r="FL67" i="12"/>
  <c r="FK67" i="12"/>
  <c r="FJ67" i="12"/>
  <c r="FI67" i="12"/>
  <c r="FH67" i="12"/>
  <c r="FG67" i="12"/>
  <c r="FF67" i="12"/>
  <c r="FE67" i="12"/>
  <c r="FD67" i="12"/>
  <c r="FC67" i="12"/>
  <c r="FB67" i="12"/>
  <c r="FA67" i="12"/>
  <c r="EZ67" i="12"/>
  <c r="EY67" i="12"/>
  <c r="EX67" i="12"/>
  <c r="EW67" i="12"/>
  <c r="EV67" i="12"/>
  <c r="EU67" i="12"/>
  <c r="ET67" i="12"/>
  <c r="ES67" i="12"/>
  <c r="ER67" i="12"/>
  <c r="EQ67" i="12"/>
  <c r="EP67" i="12"/>
  <c r="EO67" i="12"/>
  <c r="EN67" i="12"/>
  <c r="EM67" i="12"/>
  <c r="EL67" i="12"/>
  <c r="EK67" i="12"/>
  <c r="EJ67" i="12"/>
  <c r="EI67" i="12"/>
  <c r="EH67" i="12"/>
  <c r="EG67" i="12"/>
  <c r="EF67" i="12"/>
  <c r="EE67" i="12"/>
  <c r="ED67" i="12"/>
  <c r="EC67" i="12"/>
  <c r="EB67" i="12"/>
  <c r="EA67" i="12"/>
  <c r="DZ67" i="12"/>
  <c r="DY67" i="12"/>
  <c r="DX67" i="12"/>
  <c r="DW67" i="12"/>
  <c r="DV67" i="12"/>
  <c r="DU67" i="12"/>
  <c r="DT67" i="12"/>
  <c r="DS67" i="12"/>
  <c r="DR67" i="12"/>
  <c r="DQ67" i="12"/>
  <c r="DP67" i="12"/>
  <c r="DO67" i="12"/>
  <c r="DN67" i="12"/>
  <c r="DM67" i="12"/>
  <c r="DL67" i="12"/>
  <c r="DK67" i="12"/>
  <c r="DJ67" i="12"/>
  <c r="DI67" i="12"/>
  <c r="DH67" i="12"/>
  <c r="DG67" i="12"/>
  <c r="DF67" i="12"/>
  <c r="DE67" i="12"/>
  <c r="DD67" i="12"/>
  <c r="DC67" i="12"/>
  <c r="DB67" i="12"/>
  <c r="DA67" i="12"/>
  <c r="CZ67" i="12"/>
  <c r="CY67" i="12"/>
  <c r="CX67" i="12"/>
  <c r="CW67" i="12"/>
  <c r="CV67" i="12"/>
  <c r="CU67" i="12"/>
  <c r="CT67" i="12"/>
  <c r="CS67" i="12"/>
  <c r="CR67" i="12"/>
  <c r="CQ67" i="12"/>
  <c r="CP67" i="12"/>
  <c r="CO67" i="12"/>
  <c r="CN67" i="12"/>
  <c r="CM67" i="12"/>
  <c r="CL67" i="12"/>
  <c r="CK67" i="12"/>
  <c r="CJ67" i="12"/>
  <c r="CI67" i="12"/>
  <c r="CH67" i="12"/>
  <c r="CG67" i="12"/>
  <c r="CF67" i="12"/>
  <c r="CE67" i="12"/>
  <c r="CD67" i="12"/>
  <c r="CC67" i="12"/>
  <c r="CB67" i="12"/>
  <c r="CA67" i="12"/>
  <c r="BZ67" i="12"/>
  <c r="BY67" i="12"/>
  <c r="BX67" i="12"/>
  <c r="BW67" i="12"/>
  <c r="BV67" i="12"/>
  <c r="BU67" i="12"/>
  <c r="BT67" i="12"/>
  <c r="BS67" i="12"/>
  <c r="BR67" i="12"/>
  <c r="BQ67" i="12"/>
  <c r="BP67" i="12"/>
  <c r="BO67" i="12"/>
  <c r="BN67" i="12"/>
  <c r="BM67" i="12"/>
  <c r="BL67" i="12"/>
  <c r="BK67" i="12"/>
  <c r="BJ67" i="12"/>
  <c r="BI67" i="12"/>
  <c r="BH67" i="12"/>
  <c r="BG67" i="12"/>
  <c r="BF67" i="12"/>
  <c r="BE67" i="12"/>
  <c r="BD67" i="12"/>
  <c r="BC67" i="12"/>
  <c r="BB67" i="12"/>
  <c r="BA67" i="12"/>
  <c r="AZ67" i="12"/>
  <c r="AY67" i="12"/>
  <c r="AX67" i="12"/>
  <c r="AW67" i="12"/>
  <c r="AV67" i="12"/>
  <c r="AU67" i="12"/>
  <c r="AT67" i="12"/>
  <c r="AS67" i="12"/>
  <c r="AR67" i="12"/>
  <c r="AQ67" i="12"/>
  <c r="AP67" i="12"/>
  <c r="AO67" i="12"/>
  <c r="AN67" i="12"/>
  <c r="AM67" i="12"/>
  <c r="AL67" i="12"/>
  <c r="AK67" i="12"/>
  <c r="AJ67" i="12"/>
  <c r="AI67" i="12"/>
  <c r="AH67" i="12"/>
  <c r="AG67" i="12"/>
  <c r="AF67" i="12"/>
  <c r="AE67" i="12"/>
  <c r="AD67" i="12"/>
  <c r="AC67" i="12"/>
  <c r="AB67" i="12"/>
  <c r="AA67" i="12"/>
  <c r="Z67" i="12"/>
  <c r="Y67" i="12"/>
  <c r="X67" i="12"/>
  <c r="W67" i="12"/>
  <c r="V67" i="12"/>
  <c r="U67" i="12"/>
  <c r="T67" i="12"/>
  <c r="S67" i="12"/>
  <c r="R67" i="12"/>
  <c r="HC63" i="12"/>
  <c r="HB63" i="12"/>
  <c r="HA63" i="12"/>
  <c r="GZ63" i="12"/>
  <c r="GY63" i="12"/>
  <c r="GX63" i="12"/>
  <c r="GW63" i="12"/>
  <c r="GV63" i="12"/>
  <c r="GU63" i="12"/>
  <c r="GT63" i="12"/>
  <c r="GS63" i="12"/>
  <c r="GR63" i="12"/>
  <c r="GQ63" i="12"/>
  <c r="GP63" i="12"/>
  <c r="GO63" i="12"/>
  <c r="GN63" i="12"/>
  <c r="GM63" i="12"/>
  <c r="GL63" i="12"/>
  <c r="GK63" i="12"/>
  <c r="GJ63" i="12"/>
  <c r="GI63" i="12"/>
  <c r="GH63" i="12"/>
  <c r="GG63" i="12"/>
  <c r="GF63" i="12"/>
  <c r="GE63" i="12"/>
  <c r="GD63" i="12"/>
  <c r="GC63" i="12"/>
  <c r="GB63" i="12"/>
  <c r="GA63" i="12"/>
  <c r="FZ63" i="12"/>
  <c r="FY63" i="12"/>
  <c r="FX63" i="12"/>
  <c r="FW63" i="12"/>
  <c r="FV63" i="12"/>
  <c r="FU63" i="12"/>
  <c r="FT63" i="12"/>
  <c r="FS63" i="12"/>
  <c r="FR63" i="12"/>
  <c r="FQ63" i="12"/>
  <c r="FP63" i="12"/>
  <c r="FO63" i="12"/>
  <c r="FN63" i="12"/>
  <c r="FM63" i="12"/>
  <c r="FL63" i="12"/>
  <c r="FK63" i="12"/>
  <c r="FJ63" i="12"/>
  <c r="FI63" i="12"/>
  <c r="FH63" i="12"/>
  <c r="FG63" i="12"/>
  <c r="FF63" i="12"/>
  <c r="FE63" i="12"/>
  <c r="FD63" i="12"/>
  <c r="FC63" i="12"/>
  <c r="FB63" i="12"/>
  <c r="FA63" i="12"/>
  <c r="EZ63" i="12"/>
  <c r="EY63" i="12"/>
  <c r="EX63" i="12"/>
  <c r="EW63" i="12"/>
  <c r="EV63" i="12"/>
  <c r="EU63" i="12"/>
  <c r="ET63" i="12"/>
  <c r="ES63" i="12"/>
  <c r="ER63" i="12"/>
  <c r="EQ63" i="12"/>
  <c r="EP63" i="12"/>
  <c r="EO63" i="12"/>
  <c r="EN63" i="12"/>
  <c r="EM63" i="12"/>
  <c r="EL63" i="12"/>
  <c r="EK63" i="12"/>
  <c r="EJ63" i="12"/>
  <c r="EI63" i="12"/>
  <c r="EH63" i="12"/>
  <c r="EG63" i="12"/>
  <c r="EF63" i="12"/>
  <c r="EE63" i="12"/>
  <c r="ED63" i="12"/>
  <c r="EC63" i="12"/>
  <c r="EB63" i="12"/>
  <c r="EA63" i="12"/>
  <c r="DZ63" i="12"/>
  <c r="DY63" i="12"/>
  <c r="DX63" i="12"/>
  <c r="DW63" i="12"/>
  <c r="DV63" i="12"/>
  <c r="DU63" i="12"/>
  <c r="DT63" i="12"/>
  <c r="DS63" i="12"/>
  <c r="DR63" i="12"/>
  <c r="DQ63" i="12"/>
  <c r="DP63" i="12"/>
  <c r="DO63" i="12"/>
  <c r="DN63" i="12"/>
  <c r="DM63" i="12"/>
  <c r="DL63" i="12"/>
  <c r="DK63" i="12"/>
  <c r="DJ63" i="12"/>
  <c r="DI63" i="12"/>
  <c r="DH63" i="12"/>
  <c r="DG63" i="12"/>
  <c r="DF63" i="12"/>
  <c r="DE63" i="12"/>
  <c r="DD63" i="12"/>
  <c r="DC63" i="12"/>
  <c r="DB63" i="12"/>
  <c r="DA63" i="12"/>
  <c r="CZ63" i="12"/>
  <c r="CY63" i="12"/>
  <c r="CX63" i="12"/>
  <c r="CW63" i="12"/>
  <c r="CV63" i="12"/>
  <c r="CU63" i="12"/>
  <c r="CT63" i="12"/>
  <c r="CS63" i="12"/>
  <c r="CR63" i="12"/>
  <c r="CQ63" i="12"/>
  <c r="CP63" i="12"/>
  <c r="CO63" i="12"/>
  <c r="CN63" i="12"/>
  <c r="CM63" i="12"/>
  <c r="CL63" i="12"/>
  <c r="CK63" i="12"/>
  <c r="CJ63" i="12"/>
  <c r="CI63" i="12"/>
  <c r="CH63" i="12"/>
  <c r="CG63" i="12"/>
  <c r="CF63" i="12"/>
  <c r="CE63" i="12"/>
  <c r="CD63" i="12"/>
  <c r="CC63" i="12"/>
  <c r="CB63" i="12"/>
  <c r="CA63" i="12"/>
  <c r="BZ63" i="12"/>
  <c r="BY63" i="12"/>
  <c r="BX63" i="12"/>
  <c r="BW63" i="12"/>
  <c r="BV63" i="12"/>
  <c r="BU63" i="12"/>
  <c r="BT63" i="12"/>
  <c r="BS63" i="12"/>
  <c r="BR63" i="12"/>
  <c r="BQ63" i="12"/>
  <c r="BP63" i="12"/>
  <c r="BO63" i="12"/>
  <c r="BN63" i="12"/>
  <c r="BM63" i="12"/>
  <c r="BL63" i="12"/>
  <c r="BK63" i="12"/>
  <c r="BJ63" i="12"/>
  <c r="BI63" i="12"/>
  <c r="BH63" i="12"/>
  <c r="BG63" i="12"/>
  <c r="BF63" i="12"/>
  <c r="BE63" i="12"/>
  <c r="BD63" i="12"/>
  <c r="BC63" i="12"/>
  <c r="BB63" i="12"/>
  <c r="BA63" i="12"/>
  <c r="AZ63" i="12"/>
  <c r="AY63" i="12"/>
  <c r="AX63" i="12"/>
  <c r="AW63" i="12"/>
  <c r="AV63" i="12"/>
  <c r="AU63" i="12"/>
  <c r="AT63" i="12"/>
  <c r="AS63" i="12"/>
  <c r="AR63" i="12"/>
  <c r="AQ63" i="12"/>
  <c r="AP63" i="12"/>
  <c r="AO63" i="12"/>
  <c r="AN63" i="12"/>
  <c r="AM63" i="12"/>
  <c r="AL63" i="12"/>
  <c r="AK63" i="12"/>
  <c r="AJ63" i="12"/>
  <c r="AI63" i="12"/>
  <c r="AH63" i="12"/>
  <c r="AG63" i="12"/>
  <c r="AF63" i="12"/>
  <c r="AE63" i="12"/>
  <c r="AD63" i="12"/>
  <c r="AC63" i="12"/>
  <c r="AB63" i="12"/>
  <c r="AA63" i="12"/>
  <c r="Z63" i="12"/>
  <c r="Y63" i="12"/>
  <c r="X63" i="12"/>
  <c r="W63" i="12"/>
  <c r="V63" i="12"/>
  <c r="U63" i="12"/>
  <c r="T63" i="12"/>
  <c r="S63" i="12"/>
  <c r="R63" i="12"/>
  <c r="HC59" i="12"/>
  <c r="HB59" i="12"/>
  <c r="HA59" i="12"/>
  <c r="GZ59" i="12"/>
  <c r="GY59" i="12"/>
  <c r="GX59" i="12"/>
  <c r="GW59" i="12"/>
  <c r="GV59" i="12"/>
  <c r="GU59" i="12"/>
  <c r="GT59" i="12"/>
  <c r="GS59" i="12"/>
  <c r="GR59" i="12"/>
  <c r="GQ59" i="12"/>
  <c r="GP59" i="12"/>
  <c r="GO59" i="12"/>
  <c r="GN59" i="12"/>
  <c r="GM59" i="12"/>
  <c r="GL59" i="12"/>
  <c r="GK59" i="12"/>
  <c r="GJ59" i="12"/>
  <c r="GI59" i="12"/>
  <c r="GH59" i="12"/>
  <c r="GG59" i="12"/>
  <c r="GF59" i="12"/>
  <c r="GE59" i="12"/>
  <c r="GD59" i="12"/>
  <c r="GC59" i="12"/>
  <c r="GB59" i="12"/>
  <c r="GA59" i="12"/>
  <c r="FZ59" i="12"/>
  <c r="FY59" i="12"/>
  <c r="FX59" i="12"/>
  <c r="FW59" i="12"/>
  <c r="FV59" i="12"/>
  <c r="FU59" i="12"/>
  <c r="FT59" i="12"/>
  <c r="FS59" i="12"/>
  <c r="FR59" i="12"/>
  <c r="FQ59" i="12"/>
  <c r="FP59" i="12"/>
  <c r="FO59" i="12"/>
  <c r="FN59" i="12"/>
  <c r="FM59" i="12"/>
  <c r="FL59" i="12"/>
  <c r="FK59" i="12"/>
  <c r="FJ59" i="12"/>
  <c r="FI59" i="12"/>
  <c r="FH59" i="12"/>
  <c r="FG59" i="12"/>
  <c r="FF59" i="12"/>
  <c r="FE59" i="12"/>
  <c r="FD59" i="12"/>
  <c r="FC59" i="12"/>
  <c r="FB59" i="12"/>
  <c r="FA59" i="12"/>
  <c r="EZ59" i="12"/>
  <c r="EY59" i="12"/>
  <c r="EX59" i="12"/>
  <c r="EW59" i="12"/>
  <c r="EV59" i="12"/>
  <c r="EU59" i="12"/>
  <c r="ET59" i="12"/>
  <c r="ES59" i="12"/>
  <c r="ER59" i="12"/>
  <c r="EQ59" i="12"/>
  <c r="EP59" i="12"/>
  <c r="EO59" i="12"/>
  <c r="EN59" i="12"/>
  <c r="EM59" i="12"/>
  <c r="EL59" i="12"/>
  <c r="EK59" i="12"/>
  <c r="EJ59" i="12"/>
  <c r="EI59" i="12"/>
  <c r="EH59" i="12"/>
  <c r="EG59" i="12"/>
  <c r="EF59" i="12"/>
  <c r="EE59" i="12"/>
  <c r="ED59" i="12"/>
  <c r="EC59" i="12"/>
  <c r="EB59" i="12"/>
  <c r="EA59" i="12"/>
  <c r="DZ59" i="12"/>
  <c r="DY59" i="12"/>
  <c r="DX59" i="12"/>
  <c r="DW59" i="12"/>
  <c r="DV59" i="12"/>
  <c r="DU59" i="12"/>
  <c r="DT59" i="12"/>
  <c r="DS59" i="12"/>
  <c r="DR59" i="12"/>
  <c r="DQ59" i="12"/>
  <c r="DP59" i="12"/>
  <c r="DO59" i="12"/>
  <c r="DN59" i="12"/>
  <c r="DM59" i="12"/>
  <c r="DL59" i="12"/>
  <c r="DK59" i="12"/>
  <c r="DJ59" i="12"/>
  <c r="DI59" i="12"/>
  <c r="DH59" i="12"/>
  <c r="DG59" i="12"/>
  <c r="DF59" i="12"/>
  <c r="DE59" i="12"/>
  <c r="DD59" i="12"/>
  <c r="DC59" i="12"/>
  <c r="DB59" i="12"/>
  <c r="DA59" i="12"/>
  <c r="CZ59" i="12"/>
  <c r="CY59" i="12"/>
  <c r="CX59" i="12"/>
  <c r="CW59" i="12"/>
  <c r="CV59" i="12"/>
  <c r="CU59" i="12"/>
  <c r="CT59" i="12"/>
  <c r="CS59" i="12"/>
  <c r="CR59" i="12"/>
  <c r="CQ59" i="12"/>
  <c r="CP59" i="12"/>
  <c r="CO59" i="12"/>
  <c r="CN59" i="12"/>
  <c r="CM59" i="12"/>
  <c r="CL59" i="12"/>
  <c r="CK59" i="12"/>
  <c r="CJ59" i="12"/>
  <c r="CI59" i="12"/>
  <c r="CH59" i="12"/>
  <c r="CG59" i="12"/>
  <c r="CF59" i="12"/>
  <c r="CE59" i="12"/>
  <c r="CD59" i="12"/>
  <c r="CC59" i="12"/>
  <c r="CB59" i="12"/>
  <c r="CA59" i="12"/>
  <c r="BZ59" i="12"/>
  <c r="BY59" i="12"/>
  <c r="BX59" i="12"/>
  <c r="BW59" i="12"/>
  <c r="BV59" i="12"/>
  <c r="BU59" i="12"/>
  <c r="BT59" i="12"/>
  <c r="BS59" i="12"/>
  <c r="BR59" i="12"/>
  <c r="BQ59" i="12"/>
  <c r="BP59" i="12"/>
  <c r="BO59" i="12"/>
  <c r="BN59" i="12"/>
  <c r="BM59" i="12"/>
  <c r="BL59" i="12"/>
  <c r="BK59" i="12"/>
  <c r="BJ59" i="12"/>
  <c r="BI59" i="12"/>
  <c r="BH59" i="12"/>
  <c r="BG59" i="12"/>
  <c r="BF59" i="12"/>
  <c r="BE59" i="12"/>
  <c r="BD59" i="12"/>
  <c r="BC59" i="12"/>
  <c r="BB59" i="12"/>
  <c r="BA59" i="12"/>
  <c r="AZ59" i="12"/>
  <c r="AY59" i="12"/>
  <c r="AX59" i="12"/>
  <c r="AW59" i="12"/>
  <c r="AV59" i="12"/>
  <c r="AU59" i="12"/>
  <c r="AT59" i="12"/>
  <c r="AS59" i="12"/>
  <c r="AR59" i="12"/>
  <c r="AQ59" i="12"/>
  <c r="AP59" i="12"/>
  <c r="AO59" i="12"/>
  <c r="AN59" i="12"/>
  <c r="AM59" i="12"/>
  <c r="AL59" i="12"/>
  <c r="AK59" i="12"/>
  <c r="AJ59" i="12"/>
  <c r="AI59" i="12"/>
  <c r="AH59" i="12"/>
  <c r="AG59" i="12"/>
  <c r="AF59" i="12"/>
  <c r="AE59" i="12"/>
  <c r="AD59" i="12"/>
  <c r="AC59" i="12"/>
  <c r="AB59" i="12"/>
  <c r="AA59" i="12"/>
  <c r="Z59" i="12"/>
  <c r="Y59" i="12"/>
  <c r="X59" i="12"/>
  <c r="W59" i="12"/>
  <c r="V59" i="12"/>
  <c r="U59" i="12"/>
  <c r="T59" i="12"/>
  <c r="S59" i="12"/>
  <c r="R59" i="12"/>
  <c r="HC55" i="12"/>
  <c r="HB55" i="12"/>
  <c r="HA55" i="12"/>
  <c r="GZ55" i="12"/>
  <c r="GY55" i="12"/>
  <c r="GX55" i="12"/>
  <c r="GW55" i="12"/>
  <c r="GV55" i="12"/>
  <c r="GU55" i="12"/>
  <c r="GT55" i="12"/>
  <c r="GS55" i="12"/>
  <c r="GR55" i="12"/>
  <c r="GQ55" i="12"/>
  <c r="GP55" i="12"/>
  <c r="GO55" i="12"/>
  <c r="GN55" i="12"/>
  <c r="GM55" i="12"/>
  <c r="GL55" i="12"/>
  <c r="GK55" i="12"/>
  <c r="GJ55" i="12"/>
  <c r="GI55" i="12"/>
  <c r="GH55" i="12"/>
  <c r="GG55" i="12"/>
  <c r="GF55" i="12"/>
  <c r="GE55" i="12"/>
  <c r="GD55" i="12"/>
  <c r="GC55" i="12"/>
  <c r="GB55" i="12"/>
  <c r="GA55" i="12"/>
  <c r="FZ55" i="12"/>
  <c r="FY55" i="12"/>
  <c r="FX55" i="12"/>
  <c r="FW55" i="12"/>
  <c r="FV55" i="12"/>
  <c r="FU55" i="12"/>
  <c r="FT55" i="12"/>
  <c r="FS55" i="12"/>
  <c r="FR55" i="12"/>
  <c r="FQ55" i="12"/>
  <c r="FP55" i="12"/>
  <c r="FO55" i="12"/>
  <c r="FN55" i="12"/>
  <c r="FM55" i="12"/>
  <c r="FK55" i="12"/>
  <c r="FJ55" i="12"/>
  <c r="FI55" i="12"/>
  <c r="FH55" i="12"/>
  <c r="FG55" i="12"/>
  <c r="FF55" i="12"/>
  <c r="FE55" i="12"/>
  <c r="FD55" i="12"/>
  <c r="FC55" i="12"/>
  <c r="FB55" i="12"/>
  <c r="FA55" i="12"/>
  <c r="EZ55" i="12"/>
  <c r="EY55" i="12"/>
  <c r="EX55" i="12"/>
  <c r="EW55" i="12"/>
  <c r="EV55" i="12"/>
  <c r="EU55" i="12"/>
  <c r="ET55" i="12"/>
  <c r="ES55" i="12"/>
  <c r="ER55" i="12"/>
  <c r="EQ55" i="12"/>
  <c r="EP55" i="12"/>
  <c r="EO55" i="12"/>
  <c r="EN55" i="12"/>
  <c r="EM55" i="12"/>
  <c r="EL55" i="12"/>
  <c r="EK55" i="12"/>
  <c r="EJ55" i="12"/>
  <c r="EI55" i="12"/>
  <c r="EH55" i="12"/>
  <c r="EG55" i="12"/>
  <c r="EF55" i="12"/>
  <c r="EE55" i="12"/>
  <c r="ED55" i="12"/>
  <c r="EC55" i="12"/>
  <c r="EB55" i="12"/>
  <c r="EA55" i="12"/>
  <c r="DZ55" i="12"/>
  <c r="DY55" i="12"/>
  <c r="DX55" i="12"/>
  <c r="DW55" i="12"/>
  <c r="DV55" i="12"/>
  <c r="DU55" i="12"/>
  <c r="DT55" i="12"/>
  <c r="DS55" i="12"/>
  <c r="DR55" i="12"/>
  <c r="DQ55" i="12"/>
  <c r="DP55" i="12"/>
  <c r="DO55" i="12"/>
  <c r="DN55" i="12"/>
  <c r="DM55" i="12"/>
  <c r="DL55" i="12"/>
  <c r="DK55" i="12"/>
  <c r="DJ55" i="12"/>
  <c r="DI55" i="12"/>
  <c r="DH55" i="12"/>
  <c r="DG55" i="12"/>
  <c r="DF55" i="12"/>
  <c r="DE55" i="12"/>
  <c r="DD55" i="12"/>
  <c r="DC55" i="12"/>
  <c r="DB55" i="12"/>
  <c r="DA55" i="12"/>
  <c r="CZ55" i="12"/>
  <c r="CY55" i="12"/>
  <c r="CX55" i="12"/>
  <c r="CW55" i="12"/>
  <c r="CV55" i="12"/>
  <c r="CU55" i="12"/>
  <c r="CT55" i="12"/>
  <c r="CS55" i="12"/>
  <c r="CR55" i="12"/>
  <c r="CQ55" i="12"/>
  <c r="CP55" i="12"/>
  <c r="CO55" i="12"/>
  <c r="CN55" i="12"/>
  <c r="CM55" i="12"/>
  <c r="CL55" i="12"/>
  <c r="CK55" i="12"/>
  <c r="CJ55" i="12"/>
  <c r="CI55" i="12"/>
  <c r="CH55" i="12"/>
  <c r="CG55" i="12"/>
  <c r="CF55" i="12"/>
  <c r="CE55" i="12"/>
  <c r="CD55" i="12"/>
  <c r="CC55" i="12"/>
  <c r="CB55" i="12"/>
  <c r="CA55" i="12"/>
  <c r="BZ55" i="12"/>
  <c r="BY55" i="12"/>
  <c r="BX55" i="12"/>
  <c r="BW55" i="12"/>
  <c r="BV55" i="12"/>
  <c r="BU55" i="12"/>
  <c r="BT55" i="12"/>
  <c r="BS55" i="12"/>
  <c r="BR55" i="12"/>
  <c r="BQ55" i="12"/>
  <c r="BP55" i="12"/>
  <c r="BO55" i="12"/>
  <c r="BN55" i="12"/>
  <c r="BM55" i="12"/>
  <c r="BL55" i="12"/>
  <c r="BK55" i="12"/>
  <c r="BJ55" i="12"/>
  <c r="BI55" i="12"/>
  <c r="BH55" i="12"/>
  <c r="BG55" i="12"/>
  <c r="BF55" i="12"/>
  <c r="BE55" i="12"/>
  <c r="BD55" i="12"/>
  <c r="BC55" i="12"/>
  <c r="BB55" i="12"/>
  <c r="BA55" i="12"/>
  <c r="AZ55" i="12"/>
  <c r="AY55" i="12"/>
  <c r="AX55" i="12"/>
  <c r="AW55" i="12"/>
  <c r="AV55" i="12"/>
  <c r="AU55" i="12"/>
  <c r="AT55" i="12"/>
  <c r="AS55" i="12"/>
  <c r="AR55" i="12"/>
  <c r="AQ55" i="12"/>
  <c r="AP55" i="12"/>
  <c r="AO55" i="12"/>
  <c r="AN55" i="12"/>
  <c r="AM55" i="12"/>
  <c r="AL55" i="12"/>
  <c r="AK55" i="12"/>
  <c r="AJ55" i="12"/>
  <c r="AI55" i="12"/>
  <c r="AH55" i="12"/>
  <c r="AG55" i="12"/>
  <c r="AF55" i="12"/>
  <c r="AE55" i="12"/>
  <c r="AD55" i="12"/>
  <c r="AC55" i="12"/>
  <c r="AB55" i="12"/>
  <c r="AA55" i="12"/>
  <c r="Z55" i="12"/>
  <c r="Y55" i="12"/>
  <c r="X55" i="12"/>
  <c r="W55" i="12"/>
  <c r="V55" i="12"/>
  <c r="U55" i="12"/>
  <c r="T55" i="12"/>
  <c r="S55" i="12"/>
  <c r="R55" i="12"/>
  <c r="HC49" i="12"/>
  <c r="HB49" i="12"/>
  <c r="HA49" i="12"/>
  <c r="GZ49" i="12"/>
  <c r="GY49" i="12"/>
  <c r="GX49" i="12"/>
  <c r="GW49" i="12"/>
  <c r="GV49" i="12"/>
  <c r="GU49" i="12"/>
  <c r="GT49" i="12"/>
  <c r="GS49" i="12"/>
  <c r="GR49" i="12"/>
  <c r="GQ49" i="12"/>
  <c r="GP49" i="12"/>
  <c r="GO49" i="12"/>
  <c r="GN49" i="12"/>
  <c r="GM49" i="12"/>
  <c r="GL49" i="12"/>
  <c r="GK49" i="12"/>
  <c r="GJ49" i="12"/>
  <c r="GI49" i="12"/>
  <c r="GH49" i="12"/>
  <c r="GG49" i="12"/>
  <c r="GF49" i="12"/>
  <c r="GE49" i="12"/>
  <c r="GD49" i="12"/>
  <c r="GC49" i="12"/>
  <c r="GB49" i="12"/>
  <c r="GA49" i="12"/>
  <c r="FZ49" i="12"/>
  <c r="FY49" i="12"/>
  <c r="FX49" i="12"/>
  <c r="FW49" i="12"/>
  <c r="FV49" i="12"/>
  <c r="FU49" i="12"/>
  <c r="FT49" i="12"/>
  <c r="FS49" i="12"/>
  <c r="FR49" i="12"/>
  <c r="FQ49" i="12"/>
  <c r="FP49" i="12"/>
  <c r="FO49" i="12"/>
  <c r="FN49" i="12"/>
  <c r="FM49" i="12"/>
  <c r="FL49" i="12"/>
  <c r="FK49" i="12"/>
  <c r="FJ49" i="12"/>
  <c r="FI49" i="12"/>
  <c r="FH49" i="12"/>
  <c r="FG49" i="12"/>
  <c r="FF49" i="12"/>
  <c r="FE49" i="12"/>
  <c r="FD49" i="12"/>
  <c r="FC49" i="12"/>
  <c r="FB49" i="12"/>
  <c r="FA49" i="12"/>
  <c r="EZ49" i="12"/>
  <c r="EY49" i="12"/>
  <c r="EX49" i="12"/>
  <c r="EW49" i="12"/>
  <c r="EV49" i="12"/>
  <c r="EU49" i="12"/>
  <c r="ET49" i="12"/>
  <c r="ES49" i="12"/>
  <c r="ER49" i="12"/>
  <c r="EQ49" i="12"/>
  <c r="EP49" i="12"/>
  <c r="EO49" i="12"/>
  <c r="EN49" i="12"/>
  <c r="EM49" i="12"/>
  <c r="EL49" i="12"/>
  <c r="EK49" i="12"/>
  <c r="EJ49" i="12"/>
  <c r="EI49" i="12"/>
  <c r="EH49" i="12"/>
  <c r="EG49" i="12"/>
  <c r="EF49" i="12"/>
  <c r="EE49" i="12"/>
  <c r="ED49" i="12"/>
  <c r="EC49" i="12"/>
  <c r="EB49" i="12"/>
  <c r="EA49" i="12"/>
  <c r="DZ49" i="12"/>
  <c r="DY49" i="12"/>
  <c r="DX49" i="12"/>
  <c r="DW49" i="12"/>
  <c r="DV49" i="12"/>
  <c r="DT49" i="12"/>
  <c r="DS49" i="12"/>
  <c r="DR49" i="12"/>
  <c r="DQ49" i="12"/>
  <c r="DP49" i="12"/>
  <c r="DO49" i="12"/>
  <c r="DN49" i="12"/>
  <c r="DM49" i="12"/>
  <c r="DL49" i="12"/>
  <c r="DK49" i="12"/>
  <c r="DJ49" i="12"/>
  <c r="DI49" i="12"/>
  <c r="DH49" i="12"/>
  <c r="DG49" i="12"/>
  <c r="DF49" i="12"/>
  <c r="DE49" i="12"/>
  <c r="DD49" i="12"/>
  <c r="DC49" i="12"/>
  <c r="DB49" i="12"/>
  <c r="DA49" i="12"/>
  <c r="CZ49" i="12"/>
  <c r="CY49" i="12"/>
  <c r="CX49" i="12"/>
  <c r="CW49" i="12"/>
  <c r="CV49" i="12"/>
  <c r="CU49" i="12"/>
  <c r="CT49" i="12"/>
  <c r="CS49" i="12"/>
  <c r="CR49" i="12"/>
  <c r="CQ49" i="12"/>
  <c r="CP49" i="12"/>
  <c r="CO49" i="12"/>
  <c r="CN49" i="12"/>
  <c r="CM49" i="12"/>
  <c r="CL49" i="12"/>
  <c r="CK49" i="12"/>
  <c r="CJ49" i="12"/>
  <c r="CI49" i="12"/>
  <c r="CH49" i="12"/>
  <c r="CG49" i="12"/>
  <c r="CF49" i="12"/>
  <c r="CE49" i="12"/>
  <c r="CD49" i="12"/>
  <c r="CC49" i="12"/>
  <c r="CB49" i="12"/>
  <c r="CA49" i="12"/>
  <c r="BZ49" i="12"/>
  <c r="BY49" i="12"/>
  <c r="BX49" i="12"/>
  <c r="BW49" i="12"/>
  <c r="BV49" i="12"/>
  <c r="BU49" i="12"/>
  <c r="BT49" i="12"/>
  <c r="BS49" i="12"/>
  <c r="BR49" i="12"/>
  <c r="BQ49" i="12"/>
  <c r="BP49" i="12"/>
  <c r="BO49" i="12"/>
  <c r="BN49" i="12"/>
  <c r="BM49" i="12"/>
  <c r="BL49" i="12"/>
  <c r="BK49" i="12"/>
  <c r="BJ49" i="12"/>
  <c r="BI49" i="12"/>
  <c r="BH49" i="12"/>
  <c r="BG49" i="12"/>
  <c r="BF49" i="12"/>
  <c r="BE49" i="12"/>
  <c r="BD49" i="12"/>
  <c r="BC49" i="12"/>
  <c r="BB49" i="12"/>
  <c r="BA49" i="12"/>
  <c r="AZ49" i="12"/>
  <c r="AY49" i="12"/>
  <c r="AX49" i="12"/>
  <c r="AW49" i="12"/>
  <c r="AV49" i="12"/>
  <c r="AU49" i="12"/>
  <c r="AT49" i="12"/>
  <c r="AS49" i="12"/>
  <c r="AR49" i="12"/>
  <c r="AQ49" i="12"/>
  <c r="AP49" i="12"/>
  <c r="AO49" i="12"/>
  <c r="AN49" i="12"/>
  <c r="AM49" i="12"/>
  <c r="AL49" i="12"/>
  <c r="AK49" i="12"/>
  <c r="AJ49" i="12"/>
  <c r="AI49" i="12"/>
  <c r="AH49" i="12"/>
  <c r="AG49" i="12"/>
  <c r="AF49" i="12"/>
  <c r="AE49" i="12"/>
  <c r="AD49" i="12"/>
  <c r="AC49" i="12"/>
  <c r="AB49" i="12"/>
  <c r="AA49" i="12"/>
  <c r="Z49" i="12"/>
  <c r="Y49" i="12"/>
  <c r="X49" i="12"/>
  <c r="W49" i="12"/>
  <c r="V49" i="12"/>
  <c r="U49" i="12"/>
  <c r="T49" i="12"/>
  <c r="S49" i="12"/>
  <c r="R49" i="12"/>
  <c r="HC47" i="12"/>
  <c r="HB47" i="12"/>
  <c r="HA47" i="12"/>
  <c r="GZ47" i="12"/>
  <c r="GY47" i="12"/>
  <c r="GX47" i="12"/>
  <c r="GW47" i="12"/>
  <c r="GV47" i="12"/>
  <c r="GU47" i="12"/>
  <c r="GT47" i="12"/>
  <c r="GS47" i="12"/>
  <c r="GR47" i="12"/>
  <c r="GQ47" i="12"/>
  <c r="GP47" i="12"/>
  <c r="GO47" i="12"/>
  <c r="GN47" i="12"/>
  <c r="GM47" i="12"/>
  <c r="GL47" i="12"/>
  <c r="GK47" i="12"/>
  <c r="GJ47" i="12"/>
  <c r="GI47" i="12"/>
  <c r="GH47" i="12"/>
  <c r="GG47" i="12"/>
  <c r="GF47" i="12"/>
  <c r="GE47" i="12"/>
  <c r="GD47" i="12"/>
  <c r="GC47" i="12"/>
  <c r="GB47" i="12"/>
  <c r="GA47" i="12"/>
  <c r="FZ47" i="12"/>
  <c r="FY47" i="12"/>
  <c r="FX47" i="12"/>
  <c r="FW47" i="12"/>
  <c r="FV47" i="12"/>
  <c r="FU47" i="12"/>
  <c r="FT47" i="12"/>
  <c r="FS47" i="12"/>
  <c r="FR47" i="12"/>
  <c r="FQ47" i="12"/>
  <c r="FP47" i="12"/>
  <c r="FO47" i="12"/>
  <c r="FN47" i="12"/>
  <c r="FM47" i="12"/>
  <c r="FL47" i="12"/>
  <c r="FK47" i="12"/>
  <c r="FJ47" i="12"/>
  <c r="FI47" i="12"/>
  <c r="FH47" i="12"/>
  <c r="FG47" i="12"/>
  <c r="FF47" i="12"/>
  <c r="FE47" i="12"/>
  <c r="FD47" i="12"/>
  <c r="FC47" i="12"/>
  <c r="FB47" i="12"/>
  <c r="FA47" i="12"/>
  <c r="EZ47" i="12"/>
  <c r="EY47" i="12"/>
  <c r="EX47" i="12"/>
  <c r="EW47" i="12"/>
  <c r="EV47" i="12"/>
  <c r="EU47" i="12"/>
  <c r="ET47" i="12"/>
  <c r="ES47" i="12"/>
  <c r="ER47" i="12"/>
  <c r="EQ47" i="12"/>
  <c r="EP47" i="12"/>
  <c r="EO47" i="12"/>
  <c r="EN47" i="12"/>
  <c r="EM47" i="12"/>
  <c r="EL47" i="12"/>
  <c r="EK47" i="12"/>
  <c r="EJ47" i="12"/>
  <c r="EI47" i="12"/>
  <c r="EH47" i="12"/>
  <c r="EG47" i="12"/>
  <c r="EF47" i="12"/>
  <c r="EE47" i="12"/>
  <c r="ED47" i="12"/>
  <c r="EC47" i="12"/>
  <c r="EB47" i="12"/>
  <c r="EA47" i="12"/>
  <c r="DZ47" i="12"/>
  <c r="DY47" i="12"/>
  <c r="DX47" i="12"/>
  <c r="DW47" i="12"/>
  <c r="DV47" i="12"/>
  <c r="DU47" i="12"/>
  <c r="DT47" i="12"/>
  <c r="DS47" i="12"/>
  <c r="DR47" i="12"/>
  <c r="DQ47" i="12"/>
  <c r="DP47" i="12"/>
  <c r="DO47" i="12"/>
  <c r="DN47" i="12"/>
  <c r="DM47" i="12"/>
  <c r="DL47" i="12"/>
  <c r="DK47" i="12"/>
  <c r="DJ47" i="12"/>
  <c r="DI47" i="12"/>
  <c r="DH47" i="12"/>
  <c r="DG47" i="12"/>
  <c r="DF47" i="12"/>
  <c r="DE47" i="12"/>
  <c r="DD47" i="12"/>
  <c r="DC47" i="12"/>
  <c r="DB47" i="12"/>
  <c r="DA47" i="12"/>
  <c r="CZ47" i="12"/>
  <c r="CY47" i="12"/>
  <c r="CX47" i="12"/>
  <c r="CW47" i="12"/>
  <c r="CV47" i="12"/>
  <c r="CU47" i="12"/>
  <c r="CT47" i="12"/>
  <c r="CS47" i="12"/>
  <c r="CR47" i="12"/>
  <c r="CQ47" i="12"/>
  <c r="CP47" i="12"/>
  <c r="CO47" i="12"/>
  <c r="CN47" i="12"/>
  <c r="CM47" i="12"/>
  <c r="CL47" i="12"/>
  <c r="CK47" i="12"/>
  <c r="CJ47" i="12"/>
  <c r="CI47" i="12"/>
  <c r="CH47" i="12"/>
  <c r="CG47" i="12"/>
  <c r="CF47" i="12"/>
  <c r="CE47" i="12"/>
  <c r="CD47" i="12"/>
  <c r="CC47" i="12"/>
  <c r="CB47" i="12"/>
  <c r="CA47" i="12"/>
  <c r="BZ47" i="12"/>
  <c r="BY47" i="12"/>
  <c r="BX47" i="12"/>
  <c r="BW47" i="12"/>
  <c r="BV47" i="12"/>
  <c r="BU47" i="12"/>
  <c r="BT47" i="12"/>
  <c r="BS47" i="12"/>
  <c r="BR47" i="12"/>
  <c r="BP47" i="12"/>
  <c r="BO47" i="12"/>
  <c r="BN47" i="12"/>
  <c r="BM47" i="12"/>
  <c r="BL47" i="12"/>
  <c r="BK47" i="12"/>
  <c r="BJ47" i="12"/>
  <c r="BI47" i="12"/>
  <c r="BH47" i="12"/>
  <c r="BG47" i="12"/>
  <c r="BF47" i="12"/>
  <c r="BE47" i="12"/>
  <c r="BD47" i="12"/>
  <c r="BC47" i="12"/>
  <c r="BB47" i="12"/>
  <c r="BA47" i="12"/>
  <c r="AZ47" i="12"/>
  <c r="AY47" i="12"/>
  <c r="AX47" i="12"/>
  <c r="AW47" i="12"/>
  <c r="AV47" i="12"/>
  <c r="AU47" i="12"/>
  <c r="AT47" i="12"/>
  <c r="AS47" i="12"/>
  <c r="AR47" i="12"/>
  <c r="AQ47" i="12"/>
  <c r="AP47" i="12"/>
  <c r="AO47" i="12"/>
  <c r="AN47" i="12"/>
  <c r="AM47" i="12"/>
  <c r="AL47" i="12"/>
  <c r="AK47" i="12"/>
  <c r="AJ47" i="12"/>
  <c r="AI47" i="12"/>
  <c r="AH47" i="12"/>
  <c r="AG47" i="12"/>
  <c r="AF47" i="12"/>
  <c r="AE47" i="12"/>
  <c r="AD47" i="12"/>
  <c r="AC47" i="12"/>
  <c r="AB47" i="12"/>
  <c r="AA47" i="12"/>
  <c r="Z47" i="12"/>
  <c r="Y47" i="12"/>
  <c r="X47" i="12"/>
  <c r="W47" i="12"/>
  <c r="V47" i="12"/>
  <c r="U47" i="12"/>
  <c r="T47" i="12"/>
  <c r="S47" i="12"/>
  <c r="R47" i="12"/>
  <c r="HC45" i="12"/>
  <c r="HB45" i="12"/>
  <c r="HA45" i="12"/>
  <c r="GZ45" i="12"/>
  <c r="GY45" i="12"/>
  <c r="GX45" i="12"/>
  <c r="GW45" i="12"/>
  <c r="GV45" i="12"/>
  <c r="GU45" i="12"/>
  <c r="GT45" i="12"/>
  <c r="GS45" i="12"/>
  <c r="GR45" i="12"/>
  <c r="GQ45" i="12"/>
  <c r="GP45" i="12"/>
  <c r="GO45" i="12"/>
  <c r="GN45" i="12"/>
  <c r="GM45" i="12"/>
  <c r="GL45" i="12"/>
  <c r="GK45" i="12"/>
  <c r="GJ45" i="12"/>
  <c r="GI45" i="12"/>
  <c r="GH45" i="12"/>
  <c r="GG45" i="12"/>
  <c r="GF45" i="12"/>
  <c r="GE45" i="12"/>
  <c r="GD45" i="12"/>
  <c r="GC45" i="12"/>
  <c r="GB45" i="12"/>
  <c r="GA45" i="12"/>
  <c r="FZ45" i="12"/>
  <c r="FY45" i="12"/>
  <c r="FX45" i="12"/>
  <c r="FW45" i="12"/>
  <c r="FV45" i="12"/>
  <c r="FU45" i="12"/>
  <c r="FT45" i="12"/>
  <c r="FS45" i="12"/>
  <c r="FR45" i="12"/>
  <c r="FQ45" i="12"/>
  <c r="FP45" i="12"/>
  <c r="FO45" i="12"/>
  <c r="FN45" i="12"/>
  <c r="FM45" i="12"/>
  <c r="FL45" i="12"/>
  <c r="FK45" i="12"/>
  <c r="FJ45" i="12"/>
  <c r="FI45" i="12"/>
  <c r="FH45" i="12"/>
  <c r="FG45" i="12"/>
  <c r="FF45" i="12"/>
  <c r="FE45" i="12"/>
  <c r="FD45" i="12"/>
  <c r="FC45" i="12"/>
  <c r="FB45" i="12"/>
  <c r="FA45" i="12"/>
  <c r="EZ45" i="12"/>
  <c r="EY45" i="12"/>
  <c r="EX45" i="12"/>
  <c r="EW45" i="12"/>
  <c r="EV45" i="12"/>
  <c r="EU45" i="12"/>
  <c r="ET45" i="12"/>
  <c r="ES45" i="12"/>
  <c r="ER45" i="12"/>
  <c r="EQ45" i="12"/>
  <c r="EP45" i="12"/>
  <c r="EO45" i="12"/>
  <c r="EN45" i="12"/>
  <c r="EM45" i="12"/>
  <c r="EL45" i="12"/>
  <c r="EK45" i="12"/>
  <c r="EJ45" i="12"/>
  <c r="EI45" i="12"/>
  <c r="EH45" i="12"/>
  <c r="EG45" i="12"/>
  <c r="EF45" i="12"/>
  <c r="EE45" i="12"/>
  <c r="ED45" i="12"/>
  <c r="EC45" i="12"/>
  <c r="EB45" i="12"/>
  <c r="EA45" i="12"/>
  <c r="DZ45" i="12"/>
  <c r="DY45" i="12"/>
  <c r="DX45" i="12"/>
  <c r="DW45" i="12"/>
  <c r="DV45" i="12"/>
  <c r="DU45" i="12"/>
  <c r="DT45" i="12"/>
  <c r="DS45" i="12"/>
  <c r="DR45" i="12"/>
  <c r="DQ45" i="12"/>
  <c r="DP45" i="12"/>
  <c r="DO45" i="12"/>
  <c r="DN45" i="12"/>
  <c r="DM45" i="12"/>
  <c r="DL45" i="12"/>
  <c r="DK45" i="12"/>
  <c r="DJ45" i="12"/>
  <c r="DI45" i="12"/>
  <c r="DH45" i="12"/>
  <c r="DG45" i="12"/>
  <c r="DF45" i="12"/>
  <c r="DE45" i="12"/>
  <c r="DD45" i="12"/>
  <c r="DC45" i="12"/>
  <c r="DB45" i="12"/>
  <c r="DA45" i="12"/>
  <c r="CZ45" i="12"/>
  <c r="CY45" i="12"/>
  <c r="CX45" i="12"/>
  <c r="CW45" i="12"/>
  <c r="CV45" i="12"/>
  <c r="CU45" i="12"/>
  <c r="CT45" i="12"/>
  <c r="CS45" i="12"/>
  <c r="CR45" i="12"/>
  <c r="CQ45" i="12"/>
  <c r="CP45" i="12"/>
  <c r="CO45" i="12"/>
  <c r="CN45" i="12"/>
  <c r="CM45" i="12"/>
  <c r="CL45" i="12"/>
  <c r="CK45" i="12"/>
  <c r="CJ45" i="12"/>
  <c r="CI45" i="12"/>
  <c r="CH45" i="12"/>
  <c r="CG45" i="12"/>
  <c r="CF45" i="12"/>
  <c r="CE45" i="12"/>
  <c r="CD45" i="12"/>
  <c r="CC45" i="12"/>
  <c r="CB45" i="12"/>
  <c r="CA45" i="12"/>
  <c r="BZ45" i="12"/>
  <c r="BY45" i="12"/>
  <c r="BX45" i="12"/>
  <c r="BW45" i="12"/>
  <c r="BV45" i="12"/>
  <c r="BU45" i="12"/>
  <c r="BT45" i="12"/>
  <c r="BS45" i="12"/>
  <c r="BR45" i="12"/>
  <c r="BQ45" i="12"/>
  <c r="BP45" i="12"/>
  <c r="BO45" i="12"/>
  <c r="BN45" i="12"/>
  <c r="BM45" i="12"/>
  <c r="BL45" i="12"/>
  <c r="BK45" i="12"/>
  <c r="BJ45" i="12"/>
  <c r="BI45" i="12"/>
  <c r="BH45" i="12"/>
  <c r="BG45" i="12"/>
  <c r="BF45" i="12"/>
  <c r="BE45" i="12"/>
  <c r="BD45" i="12"/>
  <c r="BC45" i="12"/>
  <c r="BB45" i="12"/>
  <c r="BA45" i="12"/>
  <c r="AZ45" i="12"/>
  <c r="AY45" i="12"/>
  <c r="AX45" i="12"/>
  <c r="AW45" i="12"/>
  <c r="AV45" i="12"/>
  <c r="AU45" i="12"/>
  <c r="AT45" i="12"/>
  <c r="AS45" i="12"/>
  <c r="AR45" i="12"/>
  <c r="AQ45" i="12"/>
  <c r="AP45" i="12"/>
  <c r="AO45" i="12"/>
  <c r="AN45" i="12"/>
  <c r="AM45" i="12"/>
  <c r="AL45" i="12"/>
  <c r="AK45" i="12"/>
  <c r="AJ45" i="12"/>
  <c r="AI45" i="12"/>
  <c r="AH45" i="12"/>
  <c r="AG45" i="12"/>
  <c r="AF45" i="12"/>
  <c r="AE45" i="12"/>
  <c r="AD45" i="12"/>
  <c r="AC45" i="12"/>
  <c r="AB45" i="12"/>
  <c r="AA45" i="12"/>
  <c r="Z45" i="12"/>
  <c r="Y45" i="12"/>
  <c r="X45" i="12"/>
  <c r="W45" i="12"/>
  <c r="V45" i="12"/>
  <c r="U45" i="12"/>
  <c r="T45" i="12"/>
  <c r="S45" i="12"/>
  <c r="R45" i="12"/>
  <c r="HC41" i="12"/>
  <c r="HB41" i="12"/>
  <c r="HA41" i="12"/>
  <c r="GZ41" i="12"/>
  <c r="GY41" i="12"/>
  <c r="GX41" i="12"/>
  <c r="GW41" i="12"/>
  <c r="GV41" i="12"/>
  <c r="GU41" i="12"/>
  <c r="GT41" i="12"/>
  <c r="GS41" i="12"/>
  <c r="GR41" i="12"/>
  <c r="GQ41" i="12"/>
  <c r="GP41" i="12"/>
  <c r="GO41" i="12"/>
  <c r="GN41" i="12"/>
  <c r="GM41" i="12"/>
  <c r="GL41" i="12"/>
  <c r="GK41" i="12"/>
  <c r="GJ41" i="12"/>
  <c r="GI41" i="12"/>
  <c r="GH41" i="12"/>
  <c r="GG41" i="12"/>
  <c r="GF41" i="12"/>
  <c r="GE41" i="12"/>
  <c r="GD41" i="12"/>
  <c r="GC41" i="12"/>
  <c r="GB41" i="12"/>
  <c r="GA41" i="12"/>
  <c r="FZ41" i="12"/>
  <c r="FY41" i="12"/>
  <c r="FX41" i="12"/>
  <c r="FW41" i="12"/>
  <c r="FV41" i="12"/>
  <c r="FU41" i="12"/>
  <c r="FT41" i="12"/>
  <c r="FS41" i="12"/>
  <c r="FR41" i="12"/>
  <c r="FQ41" i="12"/>
  <c r="FP41" i="12"/>
  <c r="FO41" i="12"/>
  <c r="FN41" i="12"/>
  <c r="FM41" i="12"/>
  <c r="FL41" i="12"/>
  <c r="FK41" i="12"/>
  <c r="FJ41" i="12"/>
  <c r="FI41" i="12"/>
  <c r="FH41" i="12"/>
  <c r="FG41" i="12"/>
  <c r="FF41" i="12"/>
  <c r="FE41" i="12"/>
  <c r="FD41" i="12"/>
  <c r="FC41" i="12"/>
  <c r="FB41" i="12"/>
  <c r="FA41" i="12"/>
  <c r="EZ41" i="12"/>
  <c r="EY41" i="12"/>
  <c r="EX41" i="12"/>
  <c r="EW41" i="12"/>
  <c r="EV41" i="12"/>
  <c r="EU41" i="12"/>
  <c r="ET41" i="12"/>
  <c r="ES41" i="12"/>
  <c r="ER41" i="12"/>
  <c r="EQ41" i="12"/>
  <c r="EP41" i="12"/>
  <c r="EO41" i="12"/>
  <c r="EN41" i="12"/>
  <c r="EM41" i="12"/>
  <c r="EL41" i="12"/>
  <c r="EK41" i="12"/>
  <c r="EJ41" i="12"/>
  <c r="EI41" i="12"/>
  <c r="EH41" i="12"/>
  <c r="EG41" i="12"/>
  <c r="EF41" i="12"/>
  <c r="EE41" i="12"/>
  <c r="ED41" i="12"/>
  <c r="EC41" i="12"/>
  <c r="EB41" i="12"/>
  <c r="EA41" i="12"/>
  <c r="DZ41" i="12"/>
  <c r="DY41" i="12"/>
  <c r="DX41" i="12"/>
  <c r="DW41" i="12"/>
  <c r="DV41" i="12"/>
  <c r="DU41" i="12"/>
  <c r="DT41" i="12"/>
  <c r="DS41" i="12"/>
  <c r="DR41" i="12"/>
  <c r="DQ41" i="12"/>
  <c r="DP41" i="12"/>
  <c r="DO41" i="12"/>
  <c r="DN41" i="12"/>
  <c r="DM41" i="12"/>
  <c r="DL41" i="12"/>
  <c r="DK41" i="12"/>
  <c r="DJ41" i="12"/>
  <c r="DI41" i="12"/>
  <c r="DH41" i="12"/>
  <c r="DG41" i="12"/>
  <c r="DF41" i="12"/>
  <c r="DE41" i="12"/>
  <c r="DD41" i="12"/>
  <c r="DC41" i="12"/>
  <c r="DB41" i="12"/>
  <c r="DA41" i="12"/>
  <c r="CZ41" i="12"/>
  <c r="CY41" i="12"/>
  <c r="CX41" i="12"/>
  <c r="CW41" i="12"/>
  <c r="CV41" i="12"/>
  <c r="CU41" i="12"/>
  <c r="CT41" i="12"/>
  <c r="CS41" i="12"/>
  <c r="CR41" i="12"/>
  <c r="CQ41" i="12"/>
  <c r="CP41" i="12"/>
  <c r="CO41" i="12"/>
  <c r="CN41" i="12"/>
  <c r="CM41" i="12"/>
  <c r="CL41" i="12"/>
  <c r="CK41" i="12"/>
  <c r="CJ41" i="12"/>
  <c r="CI41" i="12"/>
  <c r="CH41" i="12"/>
  <c r="CG41" i="12"/>
  <c r="CF41" i="12"/>
  <c r="CE41" i="12"/>
  <c r="CD41" i="12"/>
  <c r="CC41" i="12"/>
  <c r="CB41" i="12"/>
  <c r="CA41" i="12"/>
  <c r="BZ41" i="12"/>
  <c r="BY41" i="12"/>
  <c r="BX41" i="12"/>
  <c r="BV41" i="12"/>
  <c r="BU41" i="12"/>
  <c r="BT41" i="12"/>
  <c r="BS41" i="12"/>
  <c r="BR41" i="12"/>
  <c r="BQ41" i="12"/>
  <c r="BP41" i="12"/>
  <c r="BO41" i="12"/>
  <c r="BN41" i="12"/>
  <c r="BM41" i="12"/>
  <c r="BL41" i="12"/>
  <c r="BK41" i="12"/>
  <c r="BJ41" i="12"/>
  <c r="BI41" i="12"/>
  <c r="BH41" i="12"/>
  <c r="BG41" i="12"/>
  <c r="BF41" i="12"/>
  <c r="BE41" i="12"/>
  <c r="BD41" i="12"/>
  <c r="BC41" i="12"/>
  <c r="BB41" i="12"/>
  <c r="BA41" i="12"/>
  <c r="AZ41" i="12"/>
  <c r="AY41" i="12"/>
  <c r="AX41" i="12"/>
  <c r="AW41" i="12"/>
  <c r="AV41" i="12"/>
  <c r="AU41" i="12"/>
  <c r="AT41" i="12"/>
  <c r="AS41" i="12"/>
  <c r="AR41" i="12"/>
  <c r="AQ41" i="12"/>
  <c r="AP41" i="12"/>
  <c r="AO41" i="12"/>
  <c r="AN41" i="12"/>
  <c r="AM41" i="12"/>
  <c r="AL41" i="12"/>
  <c r="AK41" i="12"/>
  <c r="AJ41" i="12"/>
  <c r="AI41" i="12"/>
  <c r="AH41" i="12"/>
  <c r="AG41" i="12"/>
  <c r="AF41" i="12"/>
  <c r="AE41" i="12"/>
  <c r="AD41" i="12"/>
  <c r="AC41" i="12"/>
  <c r="AB41" i="12"/>
  <c r="AA41" i="12"/>
  <c r="Z41" i="12"/>
  <c r="Y41" i="12"/>
  <c r="X41" i="12"/>
  <c r="W41" i="12"/>
  <c r="V41" i="12"/>
  <c r="U41" i="12"/>
  <c r="T41" i="12"/>
  <c r="S41" i="12"/>
  <c r="R41" i="12"/>
  <c r="HC38" i="12"/>
  <c r="HB38" i="12"/>
  <c r="HA38" i="12"/>
  <c r="GZ38" i="12"/>
  <c r="GY38" i="12"/>
  <c r="GX38" i="12"/>
  <c r="GW38" i="12"/>
  <c r="GV38" i="12"/>
  <c r="GU38" i="12"/>
  <c r="GT38" i="12"/>
  <c r="GS38" i="12"/>
  <c r="GR38" i="12"/>
  <c r="GQ38" i="12"/>
  <c r="GP38" i="12"/>
  <c r="GO38" i="12"/>
  <c r="GN38" i="12"/>
  <c r="GM38" i="12"/>
  <c r="GL38" i="12"/>
  <c r="GK38" i="12"/>
  <c r="GJ38" i="12"/>
  <c r="GI38" i="12"/>
  <c r="GH38" i="12"/>
  <c r="GG38" i="12"/>
  <c r="GF38" i="12"/>
  <c r="GE38" i="12"/>
  <c r="GD38" i="12"/>
  <c r="GC38" i="12"/>
  <c r="GB38" i="12"/>
  <c r="GA38" i="12"/>
  <c r="FZ38" i="12"/>
  <c r="FY38" i="12"/>
  <c r="FX38" i="12"/>
  <c r="FW38" i="12"/>
  <c r="FV38" i="12"/>
  <c r="FU38" i="12"/>
  <c r="FT38" i="12"/>
  <c r="FS38" i="12"/>
  <c r="FR38" i="12"/>
  <c r="FQ38" i="12"/>
  <c r="FP38" i="12"/>
  <c r="FO38" i="12"/>
  <c r="FN38" i="12"/>
  <c r="FM38" i="12"/>
  <c r="FL38" i="12"/>
  <c r="FK38" i="12"/>
  <c r="FJ38" i="12"/>
  <c r="FI38" i="12"/>
  <c r="FH38" i="12"/>
  <c r="FG38" i="12"/>
  <c r="FF38" i="12"/>
  <c r="FE38" i="12"/>
  <c r="FD38" i="12"/>
  <c r="FC38" i="12"/>
  <c r="FB38" i="12"/>
  <c r="FA38" i="12"/>
  <c r="EZ38" i="12"/>
  <c r="EY38" i="12"/>
  <c r="EX38" i="12"/>
  <c r="EW38" i="12"/>
  <c r="EV38" i="12"/>
  <c r="EU38" i="12"/>
  <c r="ET38" i="12"/>
  <c r="ES38" i="12"/>
  <c r="ER38" i="12"/>
  <c r="EQ38" i="12"/>
  <c r="EP38" i="12"/>
  <c r="EO38" i="12"/>
  <c r="EN38" i="12"/>
  <c r="EM38" i="12"/>
  <c r="EL38" i="12"/>
  <c r="EK38" i="12"/>
  <c r="EJ38" i="12"/>
  <c r="EI38" i="12"/>
  <c r="EH38" i="12"/>
  <c r="EG38" i="12"/>
  <c r="EF38" i="12"/>
  <c r="EE38" i="12"/>
  <c r="ED38" i="12"/>
  <c r="EC38" i="12"/>
  <c r="EB38" i="12"/>
  <c r="EA38" i="12"/>
  <c r="DZ38" i="12"/>
  <c r="DY38" i="12"/>
  <c r="DX38" i="12"/>
  <c r="DW38" i="12"/>
  <c r="DV38" i="12"/>
  <c r="DU38" i="12"/>
  <c r="DT38" i="12"/>
  <c r="DS38" i="12"/>
  <c r="DR38" i="12"/>
  <c r="DQ38" i="12"/>
  <c r="DP38" i="12"/>
  <c r="DO38" i="12"/>
  <c r="DN38" i="12"/>
  <c r="DM38" i="12"/>
  <c r="DL38" i="12"/>
  <c r="DK38" i="12"/>
  <c r="DJ38" i="12"/>
  <c r="DI38" i="12"/>
  <c r="DH38" i="12"/>
  <c r="DG38" i="12"/>
  <c r="DF38" i="12"/>
  <c r="DE38" i="12"/>
  <c r="DD38" i="12"/>
  <c r="DC38" i="12"/>
  <c r="DB38" i="12"/>
  <c r="DA38" i="12"/>
  <c r="CZ38" i="12"/>
  <c r="CY38" i="12"/>
  <c r="CX38" i="12"/>
  <c r="CW38" i="12"/>
  <c r="CV38" i="12"/>
  <c r="CU38" i="12"/>
  <c r="CT38" i="12"/>
  <c r="CS38" i="12"/>
  <c r="CR38" i="12"/>
  <c r="CQ38" i="12"/>
  <c r="CP38" i="12"/>
  <c r="CO38" i="12"/>
  <c r="CN38" i="12"/>
  <c r="CM38" i="12"/>
  <c r="CL38" i="12"/>
  <c r="CK38" i="12"/>
  <c r="CJ38" i="12"/>
  <c r="CI38" i="12"/>
  <c r="CH38" i="12"/>
  <c r="CG38" i="12"/>
  <c r="CF38" i="12"/>
  <c r="CE38" i="12"/>
  <c r="CD38" i="12"/>
  <c r="CC38" i="12"/>
  <c r="CB38" i="12"/>
  <c r="CA38" i="12"/>
  <c r="BZ38" i="12"/>
  <c r="BY38" i="12"/>
  <c r="BX38" i="12"/>
  <c r="BW38" i="12"/>
  <c r="BV38" i="12"/>
  <c r="BU38" i="12"/>
  <c r="BT38" i="12"/>
  <c r="BS38" i="12"/>
  <c r="BR38" i="12"/>
  <c r="BQ38" i="12"/>
  <c r="BP38" i="12"/>
  <c r="BO38" i="12"/>
  <c r="BN38" i="12"/>
  <c r="BM38" i="12"/>
  <c r="BL38" i="12"/>
  <c r="BK38" i="12"/>
  <c r="BJ38" i="12"/>
  <c r="BI38" i="12"/>
  <c r="BH38" i="12"/>
  <c r="BG38" i="12"/>
  <c r="BF38" i="12"/>
  <c r="BE38" i="12"/>
  <c r="BD38" i="12"/>
  <c r="BC38" i="12"/>
  <c r="BB38" i="12"/>
  <c r="BA38" i="12"/>
  <c r="AZ38" i="12"/>
  <c r="AY38" i="12"/>
  <c r="AX38" i="12"/>
  <c r="AW38" i="12"/>
  <c r="AV38" i="12"/>
  <c r="AU38" i="12"/>
  <c r="AT38" i="12"/>
  <c r="AS38" i="12"/>
  <c r="AR38" i="12"/>
  <c r="AQ38" i="12"/>
  <c r="AP38" i="12"/>
  <c r="AO38" i="12"/>
  <c r="AN38" i="12"/>
  <c r="AM38" i="12"/>
  <c r="AL38" i="12"/>
  <c r="AK38" i="12"/>
  <c r="AJ38" i="12"/>
  <c r="AI38" i="12"/>
  <c r="AH38" i="12"/>
  <c r="AG38" i="12"/>
  <c r="AF38" i="12"/>
  <c r="AE38" i="12"/>
  <c r="AD38" i="12"/>
  <c r="AC38" i="12"/>
  <c r="AB38" i="12"/>
  <c r="AA38" i="12"/>
  <c r="Z38" i="12"/>
  <c r="Y38" i="12"/>
  <c r="X38" i="12"/>
  <c r="W38" i="12"/>
  <c r="V38" i="12"/>
  <c r="U38" i="12"/>
  <c r="T38" i="12"/>
  <c r="S38" i="12"/>
  <c r="R38" i="12"/>
  <c r="HC35" i="12"/>
  <c r="HB35" i="12"/>
  <c r="HA35" i="12"/>
  <c r="GZ35" i="12"/>
  <c r="GY35" i="12"/>
  <c r="GX35" i="12"/>
  <c r="GW35" i="12"/>
  <c r="GV35" i="12"/>
  <c r="GU35" i="12"/>
  <c r="GT35" i="12"/>
  <c r="GS35" i="12"/>
  <c r="GR35" i="12"/>
  <c r="GQ35" i="12"/>
  <c r="GP35" i="12"/>
  <c r="GO35" i="12"/>
  <c r="GN35" i="12"/>
  <c r="GM35" i="12"/>
  <c r="GL35" i="12"/>
  <c r="GK35" i="12"/>
  <c r="GJ35" i="12"/>
  <c r="GI35" i="12"/>
  <c r="GH35" i="12"/>
  <c r="GG35" i="12"/>
  <c r="GF35" i="12"/>
  <c r="GE35" i="12"/>
  <c r="GD35" i="12"/>
  <c r="GC35" i="12"/>
  <c r="GB35" i="12"/>
  <c r="GA35" i="12"/>
  <c r="FZ35" i="12"/>
  <c r="FY35" i="12"/>
  <c r="FX35" i="12"/>
  <c r="FW35" i="12"/>
  <c r="FV35" i="12"/>
  <c r="FU35" i="12"/>
  <c r="FT35" i="12"/>
  <c r="FS35" i="12"/>
  <c r="FR35" i="12"/>
  <c r="FQ35" i="12"/>
  <c r="FP35" i="12"/>
  <c r="FO35" i="12"/>
  <c r="FN35" i="12"/>
  <c r="FM35" i="12"/>
  <c r="FL35" i="12"/>
  <c r="FK35" i="12"/>
  <c r="FJ35" i="12"/>
  <c r="FI35" i="12"/>
  <c r="FH35" i="12"/>
  <c r="FG35" i="12"/>
  <c r="FF35" i="12"/>
  <c r="FE35" i="12"/>
  <c r="FD35" i="12"/>
  <c r="FC35" i="12"/>
  <c r="FB35" i="12"/>
  <c r="FA35" i="12"/>
  <c r="EZ35" i="12"/>
  <c r="EY35" i="12"/>
  <c r="EX35" i="12"/>
  <c r="EW35" i="12"/>
  <c r="EV35" i="12"/>
  <c r="EU35" i="12"/>
  <c r="ET35" i="12"/>
  <c r="ES35" i="12"/>
  <c r="ER35" i="12"/>
  <c r="EQ35" i="12"/>
  <c r="EP35" i="12"/>
  <c r="EO35" i="12"/>
  <c r="EN35" i="12"/>
  <c r="EM35" i="12"/>
  <c r="EL35" i="12"/>
  <c r="EK35" i="12"/>
  <c r="EJ35" i="12"/>
  <c r="EI35" i="12"/>
  <c r="EH35" i="12"/>
  <c r="EG35" i="12"/>
  <c r="EF35" i="12"/>
  <c r="EE35" i="12"/>
  <c r="ED35" i="12"/>
  <c r="EC35" i="12"/>
  <c r="EB35" i="12"/>
  <c r="EA35" i="12"/>
  <c r="DZ35" i="12"/>
  <c r="DY35" i="12"/>
  <c r="DX35" i="12"/>
  <c r="DW35" i="12"/>
  <c r="DV35" i="12"/>
  <c r="DU35" i="12"/>
  <c r="DT35" i="12"/>
  <c r="DS35" i="12"/>
  <c r="DR35" i="12"/>
  <c r="DQ35" i="12"/>
  <c r="DP35" i="12"/>
  <c r="DO35" i="12"/>
  <c r="DN35" i="12"/>
  <c r="DM35" i="12"/>
  <c r="DL35" i="12"/>
  <c r="DK35" i="12"/>
  <c r="DJ35" i="12"/>
  <c r="DI35" i="12"/>
  <c r="DH35" i="12"/>
  <c r="DG35" i="12"/>
  <c r="DF35" i="12"/>
  <c r="DE35" i="12"/>
  <c r="DD35" i="12"/>
  <c r="DC35" i="12"/>
  <c r="DB35" i="12"/>
  <c r="DA35" i="12"/>
  <c r="CZ35" i="12"/>
  <c r="CY35" i="12"/>
  <c r="CX35" i="12"/>
  <c r="CW35" i="12"/>
  <c r="CV35" i="12"/>
  <c r="CU35" i="12"/>
  <c r="CT35" i="12"/>
  <c r="CS35" i="12"/>
  <c r="CR35" i="12"/>
  <c r="CQ35" i="12"/>
  <c r="CP35" i="12"/>
  <c r="CO35" i="12"/>
  <c r="CN35" i="12"/>
  <c r="CM35" i="12"/>
  <c r="CL35" i="12"/>
  <c r="CK35" i="12"/>
  <c r="CJ35" i="12"/>
  <c r="CI35" i="12"/>
  <c r="CH35" i="12"/>
  <c r="CG35" i="12"/>
  <c r="CF35" i="12"/>
  <c r="CE35" i="12"/>
  <c r="CD35" i="12"/>
  <c r="CC35" i="12"/>
  <c r="CB35" i="12"/>
  <c r="CA35" i="12"/>
  <c r="BZ35" i="12"/>
  <c r="BY35" i="12"/>
  <c r="BX35" i="12"/>
  <c r="BW35" i="12"/>
  <c r="BV35" i="12"/>
  <c r="BU35" i="12"/>
  <c r="BT35" i="12"/>
  <c r="BS35" i="12"/>
  <c r="BR35" i="12"/>
  <c r="BQ35" i="12"/>
  <c r="BP35" i="12"/>
  <c r="BO35" i="12"/>
  <c r="BN35" i="12"/>
  <c r="BM35" i="12"/>
  <c r="BL35" i="12"/>
  <c r="BK35" i="12"/>
  <c r="BJ35" i="12"/>
  <c r="BI35" i="12"/>
  <c r="BH35" i="12"/>
  <c r="BG35" i="12"/>
  <c r="BF35" i="12"/>
  <c r="BE35" i="12"/>
  <c r="BD35" i="12"/>
  <c r="BC35" i="12"/>
  <c r="BB35" i="12"/>
  <c r="BA35" i="12"/>
  <c r="AZ35" i="12"/>
  <c r="AY35" i="12"/>
  <c r="AX35" i="12"/>
  <c r="AW35" i="12"/>
  <c r="AV35" i="12"/>
  <c r="AU35" i="12"/>
  <c r="AT35" i="12"/>
  <c r="AS35" i="12"/>
  <c r="AR35" i="12"/>
  <c r="AQ35" i="12"/>
  <c r="AP35" i="12"/>
  <c r="AO35" i="12"/>
  <c r="AN35" i="12"/>
  <c r="AM35" i="12"/>
  <c r="AL35" i="12"/>
  <c r="AK35" i="12"/>
  <c r="AJ35" i="12"/>
  <c r="AI35" i="12"/>
  <c r="AH35" i="12"/>
  <c r="AG35" i="12"/>
  <c r="AF35" i="12"/>
  <c r="AE35" i="12"/>
  <c r="AD35" i="12"/>
  <c r="AC35" i="12"/>
  <c r="AB35" i="12"/>
  <c r="AA35" i="12"/>
  <c r="Z35" i="12"/>
  <c r="Y35" i="12"/>
  <c r="X35" i="12"/>
  <c r="W35" i="12"/>
  <c r="V35" i="12"/>
  <c r="U35" i="12"/>
  <c r="T35" i="12"/>
  <c r="S35" i="12"/>
  <c r="R35" i="12"/>
  <c r="HC32" i="12"/>
  <c r="HB32" i="12"/>
  <c r="HA32" i="12"/>
  <c r="GZ32" i="12"/>
  <c r="GY32" i="12"/>
  <c r="GX32" i="12"/>
  <c r="GW32" i="12"/>
  <c r="GV32" i="12"/>
  <c r="GU32" i="12"/>
  <c r="GT32" i="12"/>
  <c r="GS32" i="12"/>
  <c r="GR32" i="12"/>
  <c r="GQ32" i="12"/>
  <c r="GP32" i="12"/>
  <c r="GO32" i="12"/>
  <c r="GN32" i="12"/>
  <c r="GM32" i="12"/>
  <c r="GL32" i="12"/>
  <c r="GK32" i="12"/>
  <c r="GJ32" i="12"/>
  <c r="GI32" i="12"/>
  <c r="GH32" i="12"/>
  <c r="GG32" i="12"/>
  <c r="GF32" i="12"/>
  <c r="GE32" i="12"/>
  <c r="GD32" i="12"/>
  <c r="GC32" i="12"/>
  <c r="GB32" i="12"/>
  <c r="GA32" i="12"/>
  <c r="FZ32" i="12"/>
  <c r="FY32" i="12"/>
  <c r="FX32" i="12"/>
  <c r="FW32" i="12"/>
  <c r="FV32" i="12"/>
  <c r="FU32" i="12"/>
  <c r="FT32" i="12"/>
  <c r="FS32" i="12"/>
  <c r="FR32" i="12"/>
  <c r="FQ32" i="12"/>
  <c r="FP32" i="12"/>
  <c r="FO32" i="12"/>
  <c r="FN32" i="12"/>
  <c r="FM32" i="12"/>
  <c r="FL32" i="12"/>
  <c r="FK32" i="12"/>
  <c r="FJ32" i="12"/>
  <c r="FI32" i="12"/>
  <c r="FH32" i="12"/>
  <c r="FG32" i="12"/>
  <c r="FF32" i="12"/>
  <c r="FE32" i="12"/>
  <c r="FD32" i="12"/>
  <c r="FC32" i="12"/>
  <c r="FB32" i="12"/>
  <c r="FA32" i="12"/>
  <c r="EZ32" i="12"/>
  <c r="EY32" i="12"/>
  <c r="EX32" i="12"/>
  <c r="EW32" i="12"/>
  <c r="EV32" i="12"/>
  <c r="EU32" i="12"/>
  <c r="ET32" i="12"/>
  <c r="ES32" i="12"/>
  <c r="ER32" i="12"/>
  <c r="EQ32" i="12"/>
  <c r="EP32" i="12"/>
  <c r="EO32" i="12"/>
  <c r="EN32" i="12"/>
  <c r="EM32" i="12"/>
  <c r="EL32" i="12"/>
  <c r="EK32" i="12"/>
  <c r="EJ32" i="12"/>
  <c r="EI32" i="12"/>
  <c r="EH32" i="12"/>
  <c r="EG32" i="12"/>
  <c r="EF32" i="12"/>
  <c r="EE32" i="12"/>
  <c r="ED32" i="12"/>
  <c r="EC32" i="12"/>
  <c r="EB32" i="12"/>
  <c r="EA32" i="12"/>
  <c r="DZ32" i="12"/>
  <c r="DY32" i="12"/>
  <c r="DX32" i="12"/>
  <c r="DW32" i="12"/>
  <c r="DV32" i="12"/>
  <c r="DU32" i="12"/>
  <c r="DT32" i="12"/>
  <c r="DS32" i="12"/>
  <c r="DR32" i="12"/>
  <c r="DQ32" i="12"/>
  <c r="DP32" i="12"/>
  <c r="DO32" i="12"/>
  <c r="DN32" i="12"/>
  <c r="DM32" i="12"/>
  <c r="DL32" i="12"/>
  <c r="DK32" i="12"/>
  <c r="DJ32" i="12"/>
  <c r="DI32" i="12"/>
  <c r="DH32" i="12"/>
  <c r="DG32" i="12"/>
  <c r="DF32" i="12"/>
  <c r="DE32" i="12"/>
  <c r="DD32" i="12"/>
  <c r="DC32" i="12"/>
  <c r="DB32" i="12"/>
  <c r="DA32" i="12"/>
  <c r="CZ32" i="12"/>
  <c r="CY32" i="12"/>
  <c r="CX32" i="12"/>
  <c r="CW32" i="12"/>
  <c r="CV32" i="12"/>
  <c r="CU32" i="12"/>
  <c r="CT32" i="12"/>
  <c r="CS32" i="12"/>
  <c r="CR32" i="12"/>
  <c r="CQ32" i="12"/>
  <c r="CP32" i="12"/>
  <c r="CO32" i="12"/>
  <c r="CN32" i="12"/>
  <c r="CM32" i="12"/>
  <c r="CL32" i="12"/>
  <c r="CK32" i="12"/>
  <c r="CJ32" i="12"/>
  <c r="CI32" i="12"/>
  <c r="CH32" i="12"/>
  <c r="CG32" i="12"/>
  <c r="CF32" i="12"/>
  <c r="CE32" i="12"/>
  <c r="CD32" i="12"/>
  <c r="CC32" i="12"/>
  <c r="CB32" i="12"/>
  <c r="CA32" i="12"/>
  <c r="BZ32" i="12"/>
  <c r="BY32" i="12"/>
  <c r="BX32" i="12"/>
  <c r="BW32" i="12"/>
  <c r="BV32" i="12"/>
  <c r="BU32" i="12"/>
  <c r="BT32" i="12"/>
  <c r="BS32" i="12"/>
  <c r="BR32" i="12"/>
  <c r="BQ32" i="12"/>
  <c r="BP32" i="12"/>
  <c r="BO32" i="12"/>
  <c r="BN32" i="12"/>
  <c r="BM32" i="12"/>
  <c r="BL32" i="12"/>
  <c r="BK32" i="12"/>
  <c r="BJ32" i="12"/>
  <c r="BI32" i="12"/>
  <c r="BH32" i="12"/>
  <c r="BG32" i="12"/>
  <c r="BF32" i="12"/>
  <c r="BE32" i="12"/>
  <c r="BD32" i="12"/>
  <c r="BC32" i="12"/>
  <c r="BB32" i="12"/>
  <c r="BA32" i="12"/>
  <c r="AZ32" i="12"/>
  <c r="AY32" i="12"/>
  <c r="AX32" i="12"/>
  <c r="AW32" i="12"/>
  <c r="AV32" i="12"/>
  <c r="AU32" i="12"/>
  <c r="AT32" i="12"/>
  <c r="AS32" i="12"/>
  <c r="AR32" i="12"/>
  <c r="AQ32" i="12"/>
  <c r="AP32" i="12"/>
  <c r="AO32" i="12"/>
  <c r="AN32" i="12"/>
  <c r="AM32" i="12"/>
  <c r="AL32" i="12"/>
  <c r="AK32" i="12"/>
  <c r="AJ32" i="12"/>
  <c r="AI32" i="12"/>
  <c r="AH32" i="12"/>
  <c r="AG32" i="12"/>
  <c r="AF32" i="12"/>
  <c r="AE32" i="12"/>
  <c r="AD32" i="12"/>
  <c r="AC32" i="12"/>
  <c r="AB32" i="12"/>
  <c r="AA32" i="12"/>
  <c r="Z32" i="12"/>
  <c r="Y32" i="12"/>
  <c r="X32" i="12"/>
  <c r="W32" i="12"/>
  <c r="V32" i="12"/>
  <c r="U32" i="12"/>
  <c r="T32" i="12"/>
  <c r="S32" i="12"/>
  <c r="R32" i="12"/>
  <c r="HC29" i="12"/>
  <c r="HB29" i="12"/>
  <c r="HA29" i="12"/>
  <c r="GZ29" i="12"/>
  <c r="GY29" i="12"/>
  <c r="GX29" i="12"/>
  <c r="GW29" i="12"/>
  <c r="GV29" i="12"/>
  <c r="GU29" i="12"/>
  <c r="GT29" i="12"/>
  <c r="GS29" i="12"/>
  <c r="GR29" i="12"/>
  <c r="GQ29" i="12"/>
  <c r="GP29" i="12"/>
  <c r="GO29" i="12"/>
  <c r="GN29" i="12"/>
  <c r="GM29" i="12"/>
  <c r="GL29" i="12"/>
  <c r="GK29" i="12"/>
  <c r="GJ29" i="12"/>
  <c r="GI29" i="12"/>
  <c r="GH29" i="12"/>
  <c r="GG29" i="12"/>
  <c r="GF29" i="12"/>
  <c r="GE29" i="12"/>
  <c r="GD29" i="12"/>
  <c r="GC29" i="12"/>
  <c r="GB29" i="12"/>
  <c r="GA29" i="12"/>
  <c r="FZ29" i="12"/>
  <c r="FY29" i="12"/>
  <c r="FX29" i="12"/>
  <c r="FW29" i="12"/>
  <c r="FV29" i="12"/>
  <c r="FU29" i="12"/>
  <c r="FT29" i="12"/>
  <c r="FS29" i="12"/>
  <c r="FR29" i="12"/>
  <c r="FQ29" i="12"/>
  <c r="FP29" i="12"/>
  <c r="FO29" i="12"/>
  <c r="FN29" i="12"/>
  <c r="FM29" i="12"/>
  <c r="FL29" i="12"/>
  <c r="FK29" i="12"/>
  <c r="FJ29" i="12"/>
  <c r="FI29" i="12"/>
  <c r="FH29" i="12"/>
  <c r="FG29" i="12"/>
  <c r="FF29" i="12"/>
  <c r="FE29" i="12"/>
  <c r="FD29" i="12"/>
  <c r="FC29" i="12"/>
  <c r="FB29" i="12"/>
  <c r="FA29" i="12"/>
  <c r="EZ29" i="12"/>
  <c r="EY29" i="12"/>
  <c r="EX29" i="12"/>
  <c r="EW29" i="12"/>
  <c r="EV29" i="12"/>
  <c r="EU29" i="12"/>
  <c r="ET29" i="12"/>
  <c r="ES29" i="12"/>
  <c r="ER29" i="12"/>
  <c r="EQ29" i="12"/>
  <c r="EP29" i="12"/>
  <c r="EO29" i="12"/>
  <c r="EN29" i="12"/>
  <c r="EM29" i="12"/>
  <c r="EL29" i="12"/>
  <c r="EK29" i="12"/>
  <c r="EJ29" i="12"/>
  <c r="EI29" i="12"/>
  <c r="EH29" i="12"/>
  <c r="EG29" i="12"/>
  <c r="EF29" i="12"/>
  <c r="EE29" i="12"/>
  <c r="ED29" i="12"/>
  <c r="EC29" i="12"/>
  <c r="EB29" i="12"/>
  <c r="EA29" i="12"/>
  <c r="DZ29" i="12"/>
  <c r="DY29" i="12"/>
  <c r="DX29" i="12"/>
  <c r="DW29" i="12"/>
  <c r="DV29" i="12"/>
  <c r="DU29" i="12"/>
  <c r="DT29" i="12"/>
  <c r="DS29" i="12"/>
  <c r="DR29" i="12"/>
  <c r="DQ29" i="12"/>
  <c r="DP29" i="12"/>
  <c r="DO29" i="12"/>
  <c r="DN29" i="12"/>
  <c r="DM29" i="12"/>
  <c r="DL29" i="12"/>
  <c r="DK29" i="12"/>
  <c r="DJ29" i="12"/>
  <c r="DI29" i="12"/>
  <c r="DH29" i="12"/>
  <c r="DG29" i="12"/>
  <c r="DF29" i="12"/>
  <c r="DE29" i="12"/>
  <c r="DD29" i="12"/>
  <c r="DC29" i="12"/>
  <c r="DB29" i="12"/>
  <c r="DA29" i="12"/>
  <c r="CZ29" i="12"/>
  <c r="CY29" i="12"/>
  <c r="CX29" i="12"/>
  <c r="CW29" i="12"/>
  <c r="CV29" i="12"/>
  <c r="CU29" i="12"/>
  <c r="CT29" i="12"/>
  <c r="CS29" i="12"/>
  <c r="CR29" i="12"/>
  <c r="CQ29" i="12"/>
  <c r="CP29" i="12"/>
  <c r="CO29" i="12"/>
  <c r="CN29" i="12"/>
  <c r="CM29" i="12"/>
  <c r="CL29" i="12"/>
  <c r="CK29" i="12"/>
  <c r="CJ29" i="12"/>
  <c r="CI29" i="12"/>
  <c r="CH29" i="12"/>
  <c r="CG29" i="12"/>
  <c r="CF29" i="12"/>
  <c r="CE29" i="12"/>
  <c r="CD29" i="12"/>
  <c r="CC29" i="12"/>
  <c r="CB29" i="12"/>
  <c r="CA29" i="12"/>
  <c r="BZ29" i="12"/>
  <c r="BY29" i="12"/>
  <c r="BX29" i="12"/>
  <c r="BW29" i="12"/>
  <c r="BV29" i="12"/>
  <c r="BU29" i="12"/>
  <c r="BT29" i="12"/>
  <c r="BS29" i="12"/>
  <c r="BR29" i="12"/>
  <c r="BQ29" i="12"/>
  <c r="BP29" i="12"/>
  <c r="BO29" i="12"/>
  <c r="BN29" i="12"/>
  <c r="BM29" i="12"/>
  <c r="BL29" i="12"/>
  <c r="BK29" i="12"/>
  <c r="BJ29" i="12"/>
  <c r="BI29" i="12"/>
  <c r="BH29" i="12"/>
  <c r="BG29" i="12"/>
  <c r="BF29" i="12"/>
  <c r="BE29" i="12"/>
  <c r="BD29" i="12"/>
  <c r="BC29" i="12"/>
  <c r="BB29" i="12"/>
  <c r="BA29" i="12"/>
  <c r="AZ29" i="12"/>
  <c r="AY29" i="12"/>
  <c r="AX29" i="12"/>
  <c r="AW29" i="12"/>
  <c r="AV29" i="12"/>
  <c r="AU29" i="12"/>
  <c r="AT29" i="12"/>
  <c r="AS29" i="12"/>
  <c r="AR29" i="12"/>
  <c r="AQ29" i="12"/>
  <c r="AP29" i="12"/>
  <c r="AO29" i="12"/>
  <c r="AN29" i="12"/>
  <c r="AM29" i="12"/>
  <c r="AL29" i="12"/>
  <c r="AK29" i="12"/>
  <c r="AJ29" i="12"/>
  <c r="AI29" i="12"/>
  <c r="AH29" i="12"/>
  <c r="AG29" i="12"/>
  <c r="AF29" i="12"/>
  <c r="AE29" i="12"/>
  <c r="AD29" i="12"/>
  <c r="AC29" i="12"/>
  <c r="AB29" i="12"/>
  <c r="AA29" i="12"/>
  <c r="Z29" i="12"/>
  <c r="Y29" i="12"/>
  <c r="X29" i="12"/>
  <c r="W29" i="12"/>
  <c r="V29" i="12"/>
  <c r="U29" i="12"/>
  <c r="T29" i="12"/>
  <c r="S29" i="12"/>
  <c r="R29" i="12"/>
  <c r="HC27" i="12"/>
  <c r="HB27" i="12"/>
  <c r="HA27" i="12"/>
  <c r="GZ27" i="12"/>
  <c r="GY27" i="12"/>
  <c r="GX27" i="12"/>
  <c r="GW27" i="12"/>
  <c r="GV27" i="12"/>
  <c r="GU27" i="12"/>
  <c r="GT27" i="12"/>
  <c r="GS27" i="12"/>
  <c r="GR27" i="12"/>
  <c r="GQ27" i="12"/>
  <c r="GP27" i="12"/>
  <c r="GO27" i="12"/>
  <c r="GN27" i="12"/>
  <c r="GM27" i="12"/>
  <c r="GL27" i="12"/>
  <c r="GK27" i="12"/>
  <c r="GJ27" i="12"/>
  <c r="GI27" i="12"/>
  <c r="GH27" i="12"/>
  <c r="GG27" i="12"/>
  <c r="GF27" i="12"/>
  <c r="GE27" i="12"/>
  <c r="GD27" i="12"/>
  <c r="GC27" i="12"/>
  <c r="GB27" i="12"/>
  <c r="GA27" i="12"/>
  <c r="FZ27" i="12"/>
  <c r="FY27" i="12"/>
  <c r="FX27" i="12"/>
  <c r="FW27" i="12"/>
  <c r="FV27" i="12"/>
  <c r="FU27" i="12"/>
  <c r="FT27" i="12"/>
  <c r="FS27" i="12"/>
  <c r="FR27" i="12"/>
  <c r="FQ27" i="12"/>
  <c r="FP27" i="12"/>
  <c r="FO27" i="12"/>
  <c r="FN27" i="12"/>
  <c r="FM27" i="12"/>
  <c r="FL27" i="12"/>
  <c r="FK27" i="12"/>
  <c r="FJ27" i="12"/>
  <c r="FI27" i="12"/>
  <c r="FH27" i="12"/>
  <c r="FG27" i="12"/>
  <c r="FF27" i="12"/>
  <c r="FE27" i="12"/>
  <c r="FD27" i="12"/>
  <c r="FC27" i="12"/>
  <c r="FB27" i="12"/>
  <c r="FA27" i="12"/>
  <c r="EZ27" i="12"/>
  <c r="EY27" i="12"/>
  <c r="EX27" i="12"/>
  <c r="EW27" i="12"/>
  <c r="EV27" i="12"/>
  <c r="EU27" i="12"/>
  <c r="ET27" i="12"/>
  <c r="ES27" i="12"/>
  <c r="ER27" i="12"/>
  <c r="EQ27" i="12"/>
  <c r="EP27" i="12"/>
  <c r="EO27" i="12"/>
  <c r="EN27" i="12"/>
  <c r="EM27" i="12"/>
  <c r="EL27" i="12"/>
  <c r="EK27" i="12"/>
  <c r="EJ27" i="12"/>
  <c r="EI27" i="12"/>
  <c r="EH27" i="12"/>
  <c r="EG27" i="12"/>
  <c r="EF27" i="12"/>
  <c r="EE27" i="12"/>
  <c r="ED27" i="12"/>
  <c r="EC27" i="12"/>
  <c r="EB27" i="12"/>
  <c r="EA27" i="12"/>
  <c r="DZ27" i="12"/>
  <c r="DY27" i="12"/>
  <c r="DX27" i="12"/>
  <c r="DW27" i="12"/>
  <c r="DV27" i="12"/>
  <c r="DU27" i="12"/>
  <c r="DT27" i="12"/>
  <c r="DS27" i="12"/>
  <c r="DR27" i="12"/>
  <c r="DQ27" i="12"/>
  <c r="DP27" i="12"/>
  <c r="DO27" i="12"/>
  <c r="DN27" i="12"/>
  <c r="DM27" i="12"/>
  <c r="DL27" i="12"/>
  <c r="DK27" i="12"/>
  <c r="DJ27" i="12"/>
  <c r="DI27" i="12"/>
  <c r="DH27" i="12"/>
  <c r="DG27" i="12"/>
  <c r="DF27" i="12"/>
  <c r="DE27" i="12"/>
  <c r="DD27" i="12"/>
  <c r="DC27" i="12"/>
  <c r="DB27" i="12"/>
  <c r="DA27" i="12"/>
  <c r="CZ27" i="12"/>
  <c r="CY27" i="12"/>
  <c r="CX27" i="12"/>
  <c r="CW27" i="12"/>
  <c r="CV27" i="12"/>
  <c r="CU27" i="12"/>
  <c r="CT27" i="12"/>
  <c r="CS27" i="12"/>
  <c r="CR27" i="12"/>
  <c r="CQ27" i="12"/>
  <c r="CP27" i="12"/>
  <c r="CO27" i="12"/>
  <c r="CN27" i="12"/>
  <c r="CM27" i="12"/>
  <c r="CL27" i="12"/>
  <c r="CK27" i="12"/>
  <c r="CJ27" i="12"/>
  <c r="CI27" i="12"/>
  <c r="CH27" i="12"/>
  <c r="CG27" i="12"/>
  <c r="CF27" i="12"/>
  <c r="CE27" i="12"/>
  <c r="CD27" i="12"/>
  <c r="CC27" i="12"/>
  <c r="CB27" i="12"/>
  <c r="CA27" i="12"/>
  <c r="BZ27" i="12"/>
  <c r="BY27" i="12"/>
  <c r="BX27" i="12"/>
  <c r="BW27" i="12"/>
  <c r="BV27" i="12"/>
  <c r="BU27" i="12"/>
  <c r="BT27" i="12"/>
  <c r="BS27" i="12"/>
  <c r="BR27" i="12"/>
  <c r="BQ27" i="12"/>
  <c r="BP27" i="12"/>
  <c r="BO27" i="12"/>
  <c r="BN27" i="12"/>
  <c r="BM27" i="12"/>
  <c r="BL27" i="12"/>
  <c r="BK27" i="12"/>
  <c r="BJ27" i="12"/>
  <c r="BI27" i="12"/>
  <c r="BH27" i="12"/>
  <c r="BG27" i="12"/>
  <c r="BF27" i="12"/>
  <c r="BE27" i="12"/>
  <c r="BD27" i="12"/>
  <c r="BC27" i="12"/>
  <c r="BB27" i="12"/>
  <c r="BA27" i="12"/>
  <c r="AZ27" i="12"/>
  <c r="AY27" i="12"/>
  <c r="AX27" i="12"/>
  <c r="AW27" i="12"/>
  <c r="AV27" i="12"/>
  <c r="AU27" i="12"/>
  <c r="AT27" i="12"/>
  <c r="AS27" i="12"/>
  <c r="AR27" i="12"/>
  <c r="AQ27" i="12"/>
  <c r="AP27" i="12"/>
  <c r="AO27" i="12"/>
  <c r="AN27" i="12"/>
  <c r="AM27" i="12"/>
  <c r="AL27" i="12"/>
  <c r="AK27" i="12"/>
  <c r="AJ27" i="12"/>
  <c r="AI27" i="12"/>
  <c r="AH27" i="12"/>
  <c r="AG27" i="12"/>
  <c r="AF27" i="12"/>
  <c r="AE27" i="12"/>
  <c r="AD27" i="12"/>
  <c r="AC27" i="12"/>
  <c r="AB27" i="12"/>
  <c r="AA27" i="12"/>
  <c r="Z27" i="12"/>
  <c r="Y27" i="12"/>
  <c r="X27" i="12"/>
  <c r="W27" i="12"/>
  <c r="V27" i="12"/>
  <c r="U27" i="12"/>
  <c r="T27" i="12"/>
  <c r="S27" i="12"/>
  <c r="R27" i="12"/>
  <c r="HC23" i="12"/>
  <c r="HB23" i="12"/>
  <c r="HA23" i="12"/>
  <c r="GZ23" i="12"/>
  <c r="GY23" i="12"/>
  <c r="GX23" i="12"/>
  <c r="GW23" i="12"/>
  <c r="GV23" i="12"/>
  <c r="GU23" i="12"/>
  <c r="GT23" i="12"/>
  <c r="GS23" i="12"/>
  <c r="GR23" i="12"/>
  <c r="GQ23" i="12"/>
  <c r="GP23" i="12"/>
  <c r="GO23" i="12"/>
  <c r="GN23" i="12"/>
  <c r="GM23" i="12"/>
  <c r="GL23" i="12"/>
  <c r="GK23" i="12"/>
  <c r="GJ23" i="12"/>
  <c r="GI23" i="12"/>
  <c r="GH23" i="12"/>
  <c r="GG23" i="12"/>
  <c r="GF23" i="12"/>
  <c r="GE23" i="12"/>
  <c r="GD23" i="12"/>
  <c r="GC23" i="12"/>
  <c r="GB23" i="12"/>
  <c r="GA23" i="12"/>
  <c r="FZ23" i="12"/>
  <c r="FY23" i="12"/>
  <c r="FX23" i="12"/>
  <c r="FW23" i="12"/>
  <c r="FV23" i="12"/>
  <c r="FU23" i="12"/>
  <c r="FT23" i="12"/>
  <c r="FS23" i="12"/>
  <c r="FR23" i="12"/>
  <c r="FQ23" i="12"/>
  <c r="FP23" i="12"/>
  <c r="FO23" i="12"/>
  <c r="FN23" i="12"/>
  <c r="FM23" i="12"/>
  <c r="FL23" i="12"/>
  <c r="FK23" i="12"/>
  <c r="FJ23" i="12"/>
  <c r="FI23" i="12"/>
  <c r="FH23" i="12"/>
  <c r="FG23" i="12"/>
  <c r="FF23" i="12"/>
  <c r="FE23" i="12"/>
  <c r="FD23" i="12"/>
  <c r="FC23" i="12"/>
  <c r="FB23" i="12"/>
  <c r="FA23" i="12"/>
  <c r="EZ23" i="12"/>
  <c r="EY23" i="12"/>
  <c r="EX23" i="12"/>
  <c r="EW23" i="12"/>
  <c r="EV23" i="12"/>
  <c r="EU23" i="12"/>
  <c r="ET23" i="12"/>
  <c r="ES23" i="12"/>
  <c r="ER23" i="12"/>
  <c r="EQ23" i="12"/>
  <c r="EP23" i="12"/>
  <c r="EO23" i="12"/>
  <c r="EN23" i="12"/>
  <c r="EM23" i="12"/>
  <c r="EL23" i="12"/>
  <c r="EK23" i="12"/>
  <c r="EJ23" i="12"/>
  <c r="EI23" i="12"/>
  <c r="EH23" i="12"/>
  <c r="EG23" i="12"/>
  <c r="EF23" i="12"/>
  <c r="EE23" i="12"/>
  <c r="ED23" i="12"/>
  <c r="EC23" i="12"/>
  <c r="EB23" i="12"/>
  <c r="EA23" i="12"/>
  <c r="DZ23" i="12"/>
  <c r="DY23" i="12"/>
  <c r="DX23" i="12"/>
  <c r="DW23" i="12"/>
  <c r="DV23" i="12"/>
  <c r="DU23" i="12"/>
  <c r="DT23" i="12"/>
  <c r="DS23" i="12"/>
  <c r="DR23" i="12"/>
  <c r="DQ23" i="12"/>
  <c r="DP23" i="12"/>
  <c r="DO23" i="12"/>
  <c r="DN23" i="12"/>
  <c r="DM23" i="12"/>
  <c r="DL23" i="12"/>
  <c r="DK23" i="12"/>
  <c r="DJ23" i="12"/>
  <c r="DI23" i="12"/>
  <c r="DH23" i="12"/>
  <c r="DG23" i="12"/>
  <c r="DF23" i="12"/>
  <c r="DE23" i="12"/>
  <c r="DD23" i="12"/>
  <c r="DC23" i="12"/>
  <c r="DB23" i="12"/>
  <c r="DA23" i="12"/>
  <c r="CZ23" i="12"/>
  <c r="CY23" i="12"/>
  <c r="CX23" i="12"/>
  <c r="CW23" i="12"/>
  <c r="CV23" i="12"/>
  <c r="CU23" i="12"/>
  <c r="CT23" i="12"/>
  <c r="CS23" i="12"/>
  <c r="CR23" i="12"/>
  <c r="CQ23" i="12"/>
  <c r="CP23" i="12"/>
  <c r="CO23" i="12"/>
  <c r="CN23" i="12"/>
  <c r="CM23" i="12"/>
  <c r="CL23" i="12"/>
  <c r="CK23" i="12"/>
  <c r="CJ23" i="12"/>
  <c r="CI23" i="12"/>
  <c r="CH23" i="12"/>
  <c r="CG23" i="12"/>
  <c r="CF23" i="12"/>
  <c r="CE23" i="12"/>
  <c r="CD23" i="12"/>
  <c r="CC23" i="12"/>
  <c r="CB23" i="12"/>
  <c r="CA23" i="12"/>
  <c r="BZ23" i="12"/>
  <c r="BY23" i="12"/>
  <c r="BX23" i="12"/>
  <c r="BW23" i="12"/>
  <c r="BV23" i="12"/>
  <c r="BU23" i="12"/>
  <c r="BT23" i="12"/>
  <c r="BS23" i="12"/>
  <c r="BR23" i="12"/>
  <c r="BQ23" i="12"/>
  <c r="BP23" i="12"/>
  <c r="BO23" i="12"/>
  <c r="BN23" i="12"/>
  <c r="BM23" i="12"/>
  <c r="BL23" i="12"/>
  <c r="BK23" i="12"/>
  <c r="BJ23" i="12"/>
  <c r="BI23" i="12"/>
  <c r="BH23" i="12"/>
  <c r="BG23" i="12"/>
  <c r="BF23" i="12"/>
  <c r="BE23" i="12"/>
  <c r="BD23" i="12"/>
  <c r="BC23" i="12"/>
  <c r="BB23" i="12"/>
  <c r="BA23" i="12"/>
  <c r="AZ23" i="12"/>
  <c r="AY23" i="12"/>
  <c r="AX23" i="12"/>
  <c r="AW23" i="12"/>
  <c r="AV23" i="12"/>
  <c r="AU23" i="12"/>
  <c r="AT23" i="12"/>
  <c r="AS23" i="12"/>
  <c r="AR23" i="12"/>
  <c r="AQ23" i="12"/>
  <c r="AP23" i="12"/>
  <c r="AO23" i="12"/>
  <c r="AN23" i="12"/>
  <c r="AM23" i="12"/>
  <c r="AL23" i="12"/>
  <c r="AK23" i="12"/>
  <c r="AJ23" i="12"/>
  <c r="AI23" i="12"/>
  <c r="AH23" i="12"/>
  <c r="AG23" i="12"/>
  <c r="AF23" i="12"/>
  <c r="AE23" i="12"/>
  <c r="AD23" i="12"/>
  <c r="AC23" i="12"/>
  <c r="AB23" i="12"/>
  <c r="AA23" i="12"/>
  <c r="Z23" i="12"/>
  <c r="Y23" i="12"/>
  <c r="X23" i="12"/>
  <c r="W23" i="12"/>
  <c r="V23" i="12"/>
  <c r="U23" i="12"/>
  <c r="T23" i="12"/>
  <c r="S23" i="12"/>
  <c r="R23" i="12"/>
  <c r="HC18" i="12"/>
  <c r="HB18" i="12"/>
  <c r="HA18" i="12"/>
  <c r="GZ18" i="12"/>
  <c r="GY18" i="12"/>
  <c r="GX18" i="12"/>
  <c r="GW18" i="12"/>
  <c r="GV18" i="12"/>
  <c r="GU18" i="12"/>
  <c r="GT18" i="12"/>
  <c r="GS18" i="12"/>
  <c r="GR18" i="12"/>
  <c r="GQ18" i="12"/>
  <c r="GP18" i="12"/>
  <c r="GO18" i="12"/>
  <c r="GN18" i="12"/>
  <c r="GM18" i="12"/>
  <c r="GL18" i="12"/>
  <c r="GK18" i="12"/>
  <c r="GJ18" i="12"/>
  <c r="GI18" i="12"/>
  <c r="GH18" i="12"/>
  <c r="GG18" i="12"/>
  <c r="GF18" i="12"/>
  <c r="GE18" i="12"/>
  <c r="GD18" i="12"/>
  <c r="GC18" i="12"/>
  <c r="GB18" i="12"/>
  <c r="GA18" i="12"/>
  <c r="FZ18" i="12"/>
  <c r="FY18" i="12"/>
  <c r="FX18" i="12"/>
  <c r="FW18" i="12"/>
  <c r="FV18" i="12"/>
  <c r="FU18" i="12"/>
  <c r="FT18" i="12"/>
  <c r="FS18" i="12"/>
  <c r="FR18" i="12"/>
  <c r="FQ18" i="12"/>
  <c r="FP18" i="12"/>
  <c r="FO18" i="12"/>
  <c r="FN18" i="12"/>
  <c r="FM18" i="12"/>
  <c r="FL18" i="12"/>
  <c r="FK18" i="12"/>
  <c r="FJ18" i="12"/>
  <c r="FI18" i="12"/>
  <c r="FH18" i="12"/>
  <c r="FG18" i="12"/>
  <c r="FF18" i="12"/>
  <c r="FE18" i="12"/>
  <c r="FD18" i="12"/>
  <c r="FC18" i="12"/>
  <c r="FB18" i="12"/>
  <c r="FA18" i="12"/>
  <c r="EZ18" i="12"/>
  <c r="EY18" i="12"/>
  <c r="EX18" i="12"/>
  <c r="EW18" i="12"/>
  <c r="EV18" i="12"/>
  <c r="EU18" i="12"/>
  <c r="ET18" i="12"/>
  <c r="ES18" i="12"/>
  <c r="ER18" i="12"/>
  <c r="EQ18" i="12"/>
  <c r="EP18" i="12"/>
  <c r="EO18" i="12"/>
  <c r="EN18" i="12"/>
  <c r="EM18" i="12"/>
  <c r="EL18" i="12"/>
  <c r="EK18" i="12"/>
  <c r="EJ18" i="12"/>
  <c r="EI18" i="12"/>
  <c r="EH18" i="12"/>
  <c r="EG18" i="12"/>
  <c r="EF18" i="12"/>
  <c r="EE18" i="12"/>
  <c r="ED18" i="12"/>
  <c r="EC18" i="12"/>
  <c r="EB18" i="12"/>
  <c r="EA18" i="12"/>
  <c r="DZ18" i="12"/>
  <c r="DY18" i="12"/>
  <c r="DX18" i="12"/>
  <c r="DW18" i="12"/>
  <c r="DV18" i="12"/>
  <c r="DU18" i="12"/>
  <c r="DT18" i="12"/>
  <c r="DS18" i="12"/>
  <c r="DR18" i="12"/>
  <c r="DQ18" i="12"/>
  <c r="DP18" i="12"/>
  <c r="DO18" i="12"/>
  <c r="DN18" i="12"/>
  <c r="DM18" i="12"/>
  <c r="DL18" i="12"/>
  <c r="DK18" i="12"/>
  <c r="DJ18" i="12"/>
  <c r="DI18" i="12"/>
  <c r="DH18" i="12"/>
  <c r="DG18" i="12"/>
  <c r="DF18" i="12"/>
  <c r="DE18" i="12"/>
  <c r="DD18" i="12"/>
  <c r="DC18" i="12"/>
  <c r="DB18" i="12"/>
  <c r="DA18" i="12"/>
  <c r="CZ18" i="12"/>
  <c r="CY18" i="12"/>
  <c r="CX18" i="12"/>
  <c r="CW18" i="12"/>
  <c r="CV18" i="12"/>
  <c r="CU18" i="12"/>
  <c r="CT18" i="12"/>
  <c r="CS18" i="12"/>
  <c r="CR18" i="12"/>
  <c r="CQ18" i="12"/>
  <c r="CP18" i="12"/>
  <c r="CO18" i="12"/>
  <c r="CN18" i="12"/>
  <c r="CM18" i="12"/>
  <c r="CL18" i="12"/>
  <c r="CK18" i="12"/>
  <c r="CJ18" i="12"/>
  <c r="CI18" i="12"/>
  <c r="CH18" i="12"/>
  <c r="CG18" i="12"/>
  <c r="CF18" i="12"/>
  <c r="CE18" i="12"/>
  <c r="CD18" i="12"/>
  <c r="CC18" i="12"/>
  <c r="CB18" i="12"/>
  <c r="CA18" i="12"/>
  <c r="BZ18" i="12"/>
  <c r="BY18" i="12"/>
  <c r="BX18" i="12"/>
  <c r="BW18" i="12"/>
  <c r="BV18" i="12"/>
  <c r="BU18" i="12"/>
  <c r="BT18" i="12"/>
  <c r="BS18" i="12"/>
  <c r="BR18" i="12"/>
  <c r="BQ18" i="12"/>
  <c r="BP18" i="12"/>
  <c r="BO18" i="12"/>
  <c r="BN18" i="12"/>
  <c r="BM18" i="12"/>
  <c r="BL18" i="12"/>
  <c r="BK18" i="12"/>
  <c r="BJ18" i="12"/>
  <c r="BI18" i="12"/>
  <c r="BH18" i="12"/>
  <c r="BG18" i="12"/>
  <c r="BF18" i="12"/>
  <c r="BE18" i="12"/>
  <c r="BD18" i="12"/>
  <c r="BC18" i="12"/>
  <c r="BB18" i="12"/>
  <c r="BA18" i="12"/>
  <c r="AZ18" i="12"/>
  <c r="AY18" i="12"/>
  <c r="AX18" i="12"/>
  <c r="AW18" i="12"/>
  <c r="AV18" i="12"/>
  <c r="AU18" i="12"/>
  <c r="AT18" i="12"/>
  <c r="AS18" i="12"/>
  <c r="AR18" i="12"/>
  <c r="AQ18" i="12"/>
  <c r="AP18" i="12"/>
  <c r="AO18" i="12"/>
  <c r="AN18" i="12"/>
  <c r="AM18" i="12"/>
  <c r="AL18" i="12"/>
  <c r="AK18" i="12"/>
  <c r="AJ18" i="12"/>
  <c r="AI18" i="12"/>
  <c r="AH18" i="12"/>
  <c r="AG18" i="12"/>
  <c r="AF18" i="12"/>
  <c r="AE18" i="12"/>
  <c r="AD18" i="12"/>
  <c r="AC18" i="12"/>
  <c r="AB18" i="12"/>
  <c r="AA18" i="12"/>
  <c r="Z18" i="12"/>
  <c r="Y18" i="12"/>
  <c r="X18" i="12"/>
  <c r="W18" i="12"/>
  <c r="V18" i="12"/>
  <c r="U18" i="12"/>
  <c r="T18" i="12"/>
  <c r="S18" i="12"/>
  <c r="R18" i="12"/>
  <c r="HC14" i="12"/>
  <c r="HB14" i="12"/>
  <c r="HA14" i="12"/>
  <c r="GZ14" i="12"/>
  <c r="GY14" i="12"/>
  <c r="GX14" i="12"/>
  <c r="GW14" i="12"/>
  <c r="GV14" i="12"/>
  <c r="GU14" i="12"/>
  <c r="GT14" i="12"/>
  <c r="GS14" i="12"/>
  <c r="GR14" i="12"/>
  <c r="GQ14" i="12"/>
  <c r="GP14" i="12"/>
  <c r="GO14" i="12"/>
  <c r="GN14" i="12"/>
  <c r="GM14" i="12"/>
  <c r="GL14" i="12"/>
  <c r="GK14" i="12"/>
  <c r="GJ14" i="12"/>
  <c r="GI14" i="12"/>
  <c r="GH14" i="12"/>
  <c r="GG14" i="12"/>
  <c r="GF14" i="12"/>
  <c r="GE14" i="12"/>
  <c r="GD14" i="12"/>
  <c r="GC14" i="12"/>
  <c r="GB14" i="12"/>
  <c r="GA14" i="12"/>
  <c r="FZ14" i="12"/>
  <c r="FY14" i="12"/>
  <c r="FX14" i="12"/>
  <c r="FW14" i="12"/>
  <c r="FV14" i="12"/>
  <c r="FU14" i="12"/>
  <c r="FT14" i="12"/>
  <c r="FS14" i="12"/>
  <c r="FR14" i="12"/>
  <c r="FQ14" i="12"/>
  <c r="FP14" i="12"/>
  <c r="FO14" i="12"/>
  <c r="FN14" i="12"/>
  <c r="FM14" i="12"/>
  <c r="FL14" i="12"/>
  <c r="FK14" i="12"/>
  <c r="FJ14" i="12"/>
  <c r="FI14" i="12"/>
  <c r="FH14" i="12"/>
  <c r="FG14" i="12"/>
  <c r="FF14" i="12"/>
  <c r="FE14" i="12"/>
  <c r="FD14" i="12"/>
  <c r="FC14" i="12"/>
  <c r="FB14" i="12"/>
  <c r="FA14" i="12"/>
  <c r="EZ14" i="12"/>
  <c r="EY14" i="12"/>
  <c r="EX14" i="12"/>
  <c r="EW14" i="12"/>
  <c r="EV14" i="12"/>
  <c r="EU14" i="12"/>
  <c r="ET14" i="12"/>
  <c r="ES14" i="12"/>
  <c r="ER14" i="12"/>
  <c r="EQ14" i="12"/>
  <c r="EP14" i="12"/>
  <c r="EO14" i="12"/>
  <c r="EN14" i="12"/>
  <c r="EM14" i="12"/>
  <c r="EL14" i="12"/>
  <c r="EK14" i="12"/>
  <c r="EJ14" i="12"/>
  <c r="EI14" i="12"/>
  <c r="EH14" i="12"/>
  <c r="EG14" i="12"/>
  <c r="EF14" i="12"/>
  <c r="EE14" i="12"/>
  <c r="ED14" i="12"/>
  <c r="EC14" i="12"/>
  <c r="EB14" i="12"/>
  <c r="EA14" i="12"/>
  <c r="DZ14" i="12"/>
  <c r="DY14" i="12"/>
  <c r="DX14" i="12"/>
  <c r="DW14" i="12"/>
  <c r="DV14" i="12"/>
  <c r="DU14" i="12"/>
  <c r="DT14" i="12"/>
  <c r="DS14" i="12"/>
  <c r="DR14" i="12"/>
  <c r="DQ14" i="12"/>
  <c r="DP14" i="12"/>
  <c r="DO14" i="12"/>
  <c r="DN14" i="12"/>
  <c r="DM14" i="12"/>
  <c r="DL14" i="12"/>
  <c r="DK14" i="12"/>
  <c r="DJ14" i="12"/>
  <c r="DI14" i="12"/>
  <c r="DH14" i="12"/>
  <c r="DG14" i="12"/>
  <c r="DF14" i="12"/>
  <c r="DE14" i="12"/>
  <c r="DD14" i="12"/>
  <c r="DC14" i="12"/>
  <c r="DB14" i="12"/>
  <c r="DA14" i="12"/>
  <c r="CZ14" i="12"/>
  <c r="CY14" i="12"/>
  <c r="CX14" i="12"/>
  <c r="CW14" i="12"/>
  <c r="CV14" i="12"/>
  <c r="CU14" i="12"/>
  <c r="CT14" i="12"/>
  <c r="CS14" i="12"/>
  <c r="CR14" i="12"/>
  <c r="CQ14" i="12"/>
  <c r="CP14" i="12"/>
  <c r="CO14" i="12"/>
  <c r="CN14" i="12"/>
  <c r="CM14" i="12"/>
  <c r="CL14" i="12"/>
  <c r="CK14" i="12"/>
  <c r="CJ14" i="12"/>
  <c r="CI14" i="12"/>
  <c r="CH14" i="12"/>
  <c r="CG14" i="12"/>
  <c r="CF14" i="12"/>
  <c r="CE14" i="12"/>
  <c r="CD14" i="12"/>
  <c r="CC14" i="12"/>
  <c r="CB14" i="12"/>
  <c r="CA14" i="12"/>
  <c r="BZ14" i="12"/>
  <c r="BY14" i="12"/>
  <c r="BX14" i="12"/>
  <c r="BW14" i="12"/>
  <c r="BV14" i="12"/>
  <c r="BU14" i="12"/>
  <c r="BT14" i="12"/>
  <c r="BS14" i="12"/>
  <c r="BR14" i="12"/>
  <c r="BQ14" i="12"/>
  <c r="BP14" i="12"/>
  <c r="BO14" i="12"/>
  <c r="BN14" i="12"/>
  <c r="BM14" i="12"/>
  <c r="BL14" i="12"/>
  <c r="BK14" i="12"/>
  <c r="BJ14" i="12"/>
  <c r="BI14" i="12"/>
  <c r="BH14" i="12"/>
  <c r="BG14" i="12"/>
  <c r="BF14" i="12"/>
  <c r="BE14" i="12"/>
  <c r="BD14" i="12"/>
  <c r="BC14" i="12"/>
  <c r="BB14" i="12"/>
  <c r="BA14" i="12"/>
  <c r="AZ14" i="12"/>
  <c r="AY14" i="12"/>
  <c r="AX14" i="12"/>
  <c r="AW14" i="12"/>
  <c r="AV14" i="12"/>
  <c r="AU14" i="12"/>
  <c r="AT14" i="12"/>
  <c r="AS14" i="12"/>
  <c r="AR14" i="12"/>
  <c r="AQ14" i="12"/>
  <c r="AP14" i="12"/>
  <c r="AO14" i="12"/>
  <c r="AN14" i="12"/>
  <c r="AM14" i="12"/>
  <c r="AL14" i="12"/>
  <c r="AK14" i="12"/>
  <c r="AJ14" i="12"/>
  <c r="AI14" i="12"/>
  <c r="AH14" i="12"/>
  <c r="AG14" i="12"/>
  <c r="AF14" i="12"/>
  <c r="AE14" i="12"/>
  <c r="AD14" i="12"/>
  <c r="AC14" i="12"/>
  <c r="AB14" i="12"/>
  <c r="AA14" i="12"/>
  <c r="Z14" i="12"/>
  <c r="Y14" i="12"/>
  <c r="X14" i="12"/>
  <c r="W14" i="12"/>
  <c r="V14" i="12"/>
  <c r="U14" i="12"/>
  <c r="T14" i="12"/>
  <c r="S14" i="12"/>
  <c r="R14" i="12"/>
  <c r="HC10" i="12"/>
  <c r="HB10" i="12"/>
  <c r="HA10" i="12"/>
  <c r="GZ10" i="12"/>
  <c r="GY10" i="12"/>
  <c r="GX10" i="12"/>
  <c r="GW10" i="12"/>
  <c r="GV10" i="12"/>
  <c r="GU10" i="12"/>
  <c r="GT10" i="12"/>
  <c r="GS10" i="12"/>
  <c r="GR10" i="12"/>
  <c r="GQ10" i="12"/>
  <c r="GP10" i="12"/>
  <c r="GO10" i="12"/>
  <c r="GN10" i="12"/>
  <c r="GM10" i="12"/>
  <c r="GL10" i="12"/>
  <c r="GK10" i="12"/>
  <c r="GJ10" i="12"/>
  <c r="GI10" i="12"/>
  <c r="GH10" i="12"/>
  <c r="GG10" i="12"/>
  <c r="GF10" i="12"/>
  <c r="GE10" i="12"/>
  <c r="GD10" i="12"/>
  <c r="GC10" i="12"/>
  <c r="GB10" i="12"/>
  <c r="GA10" i="12"/>
  <c r="FZ10" i="12"/>
  <c r="FY10" i="12"/>
  <c r="FX10" i="12"/>
  <c r="FW10" i="12"/>
  <c r="FV10" i="12"/>
  <c r="FU10" i="12"/>
  <c r="FT10" i="12"/>
  <c r="FS10" i="12"/>
  <c r="FR10" i="12"/>
  <c r="FQ10" i="12"/>
  <c r="FP10" i="12"/>
  <c r="FO10" i="12"/>
  <c r="FN10" i="12"/>
  <c r="FM10" i="12"/>
  <c r="FL10" i="12"/>
  <c r="FK10" i="12"/>
  <c r="FJ10" i="12"/>
  <c r="FI10" i="12"/>
  <c r="FH10" i="12"/>
  <c r="FG10" i="12"/>
  <c r="FF10" i="12"/>
  <c r="FE10" i="12"/>
  <c r="FD10" i="12"/>
  <c r="FC10" i="12"/>
  <c r="FB10" i="12"/>
  <c r="FA10" i="12"/>
  <c r="EZ10" i="12"/>
  <c r="EY10" i="12"/>
  <c r="EX10" i="12"/>
  <c r="EW10" i="12"/>
  <c r="EV10" i="12"/>
  <c r="EU10" i="12"/>
  <c r="ET10" i="12"/>
  <c r="ES10" i="12"/>
  <c r="ER10" i="12"/>
  <c r="EQ10" i="12"/>
  <c r="EP10" i="12"/>
  <c r="EO10" i="12"/>
  <c r="EN10" i="12"/>
  <c r="EM10" i="12"/>
  <c r="EL10" i="12"/>
  <c r="EK10" i="12"/>
  <c r="EJ10" i="12"/>
  <c r="EI10" i="12"/>
  <c r="EH10" i="12"/>
  <c r="EG10" i="12"/>
  <c r="EF10" i="12"/>
  <c r="EE10" i="12"/>
  <c r="ED10" i="12"/>
  <c r="EC10" i="12"/>
  <c r="EB10" i="12"/>
  <c r="EA10" i="12"/>
  <c r="DZ10" i="12"/>
  <c r="DY10" i="12"/>
  <c r="DX10" i="12"/>
  <c r="DW10" i="12"/>
  <c r="DV10" i="12"/>
  <c r="DU10" i="12"/>
  <c r="DT10" i="12"/>
  <c r="DS10" i="12"/>
  <c r="DR10" i="12"/>
  <c r="DQ10" i="12"/>
  <c r="DP10" i="12"/>
  <c r="DO10" i="12"/>
  <c r="DN10" i="12"/>
  <c r="DM10" i="12"/>
  <c r="DL10" i="12"/>
  <c r="DK10" i="12"/>
  <c r="DJ10" i="12"/>
  <c r="DI10" i="12"/>
  <c r="DH10" i="12"/>
  <c r="DG10" i="12"/>
  <c r="DF10" i="12"/>
  <c r="DE10" i="12"/>
  <c r="DD10" i="12"/>
  <c r="DC10" i="12"/>
  <c r="DB10" i="12"/>
  <c r="DA10" i="12"/>
  <c r="CZ10" i="12"/>
  <c r="CY10" i="12"/>
  <c r="CX10" i="12"/>
  <c r="CW10" i="12"/>
  <c r="CV10" i="12"/>
  <c r="CU10" i="12"/>
  <c r="CT10" i="12"/>
  <c r="CS10" i="12"/>
  <c r="CR10" i="12"/>
  <c r="CQ10" i="12"/>
  <c r="CP10" i="12"/>
  <c r="CO10" i="12"/>
  <c r="CN10" i="12"/>
  <c r="CM10" i="12"/>
  <c r="CL10" i="12"/>
  <c r="CK10" i="12"/>
  <c r="CJ10" i="12"/>
  <c r="CI10" i="12"/>
  <c r="CH10" i="12"/>
  <c r="CG10" i="12"/>
  <c r="CF10" i="12"/>
  <c r="CE10" i="12"/>
  <c r="CD10" i="12"/>
  <c r="CC10" i="12"/>
  <c r="CB10" i="12"/>
  <c r="CA10" i="12"/>
  <c r="BZ10" i="12"/>
  <c r="BY10" i="12"/>
  <c r="BX10" i="12"/>
  <c r="BW10" i="12"/>
  <c r="BV10" i="12"/>
  <c r="BU10" i="12"/>
  <c r="BT10" i="12"/>
  <c r="BS10" i="12"/>
  <c r="BR10" i="12"/>
  <c r="BQ10" i="12"/>
  <c r="BP10" i="12"/>
  <c r="BO10" i="12"/>
  <c r="BN10" i="12"/>
  <c r="BM10" i="12"/>
  <c r="BL10" i="12"/>
  <c r="BK10" i="12"/>
  <c r="BJ10" i="12"/>
  <c r="BI10" i="12"/>
  <c r="BH10" i="12"/>
  <c r="BG10" i="12"/>
  <c r="BF10" i="12"/>
  <c r="BE10" i="12"/>
  <c r="BD10" i="12"/>
  <c r="BC10" i="12"/>
  <c r="BB10" i="12"/>
  <c r="BA10" i="12"/>
  <c r="AZ10" i="12"/>
  <c r="AY10" i="12"/>
  <c r="AX10" i="12"/>
  <c r="AW10" i="12"/>
  <c r="AV10" i="12"/>
  <c r="AU10" i="12"/>
  <c r="AT10" i="12"/>
  <c r="AS10" i="12"/>
  <c r="AR10" i="12"/>
  <c r="AQ10" i="12"/>
  <c r="AP10" i="12"/>
  <c r="AO10" i="12"/>
  <c r="AN10" i="12"/>
  <c r="AM10" i="12"/>
  <c r="AL10" i="12"/>
  <c r="AK10" i="12"/>
  <c r="AJ10" i="12"/>
  <c r="AI10" i="12"/>
  <c r="AH10" i="12"/>
  <c r="AG10" i="12"/>
  <c r="AF10" i="12"/>
  <c r="AE10" i="12"/>
  <c r="AD10" i="12"/>
  <c r="AC10" i="12"/>
  <c r="AB10" i="12"/>
  <c r="AA10" i="12"/>
  <c r="Z10" i="12"/>
  <c r="Y10" i="12"/>
  <c r="X10" i="12"/>
  <c r="W10" i="12"/>
  <c r="V10" i="12"/>
  <c r="U10" i="12"/>
  <c r="T10" i="12"/>
  <c r="S10" i="12"/>
  <c r="R10" i="12"/>
  <c r="HC5" i="12"/>
  <c r="HB5" i="12"/>
  <c r="HA5" i="12"/>
  <c r="GZ5" i="12"/>
  <c r="GY5" i="12"/>
  <c r="GX5" i="12"/>
  <c r="GW5" i="12"/>
  <c r="GV5" i="12"/>
  <c r="GU5" i="12"/>
  <c r="GT5" i="12"/>
  <c r="GS5" i="12"/>
  <c r="GR5" i="12"/>
  <c r="GQ5" i="12"/>
  <c r="GP5" i="12"/>
  <c r="GO5" i="12"/>
  <c r="GN5" i="12"/>
  <c r="GM5" i="12"/>
  <c r="GL5" i="12"/>
  <c r="GK5" i="12"/>
  <c r="GJ5" i="12"/>
  <c r="GI5" i="12"/>
  <c r="GH5" i="12"/>
  <c r="GG5" i="12"/>
  <c r="GF5" i="12"/>
  <c r="GE5" i="12"/>
  <c r="GD5" i="12"/>
  <c r="GC5" i="12"/>
  <c r="GB5" i="12"/>
  <c r="GA5" i="12"/>
  <c r="FZ5" i="12"/>
  <c r="FY5" i="12"/>
  <c r="FX5" i="12"/>
  <c r="FW5" i="12"/>
  <c r="FV5" i="12"/>
  <c r="FU5" i="12"/>
  <c r="FT5" i="12"/>
  <c r="FS5" i="12"/>
  <c r="FR5" i="12"/>
  <c r="FQ5" i="12"/>
  <c r="FP5" i="12"/>
  <c r="FO5" i="12"/>
  <c r="FN5" i="12"/>
  <c r="FM5" i="12"/>
  <c r="FL5" i="12"/>
  <c r="FK5" i="12"/>
  <c r="FJ5" i="12"/>
  <c r="FI5" i="12"/>
  <c r="FH5" i="12"/>
  <c r="FG5" i="12"/>
  <c r="FF5" i="12"/>
  <c r="FE5" i="12"/>
  <c r="FD5" i="12"/>
  <c r="FC5" i="12"/>
  <c r="FB5" i="12"/>
  <c r="FA5" i="12"/>
  <c r="EZ5" i="12"/>
  <c r="EY5" i="12"/>
  <c r="EX5" i="12"/>
  <c r="EW5" i="12"/>
  <c r="EV5" i="12"/>
  <c r="EU5" i="12"/>
  <c r="ET5" i="12"/>
  <c r="ES5" i="12"/>
  <c r="ER5" i="12"/>
  <c r="EQ5" i="12"/>
  <c r="EP5" i="12"/>
  <c r="EO5" i="12"/>
  <c r="EN5" i="12"/>
  <c r="EM5" i="12"/>
  <c r="EL5" i="12"/>
  <c r="EK5" i="12"/>
  <c r="EJ5" i="12"/>
  <c r="EI5" i="12"/>
  <c r="EH5" i="12"/>
  <c r="EG5" i="12"/>
  <c r="EF5" i="12"/>
  <c r="EE5" i="12"/>
  <c r="ED5" i="12"/>
  <c r="EC5" i="12"/>
  <c r="EB5" i="12"/>
  <c r="EA5" i="12"/>
  <c r="DZ5" i="12"/>
  <c r="DY5" i="12"/>
  <c r="DX5" i="12"/>
  <c r="DW5" i="12"/>
  <c r="DV5" i="12"/>
  <c r="DU5" i="12"/>
  <c r="DT5" i="12"/>
  <c r="DS5" i="12"/>
  <c r="DR5" i="12"/>
  <c r="DQ5" i="12"/>
  <c r="DP5" i="12"/>
  <c r="DO5" i="12"/>
  <c r="DN5" i="12"/>
  <c r="DM5" i="12"/>
  <c r="DL5" i="12"/>
  <c r="DK5" i="12"/>
  <c r="DJ5" i="12"/>
  <c r="DI5" i="12"/>
  <c r="DH5" i="12"/>
  <c r="DG5" i="12"/>
  <c r="DF5" i="12"/>
  <c r="DE5" i="12"/>
  <c r="DD5" i="12"/>
  <c r="DC5" i="12"/>
  <c r="DB5" i="12"/>
  <c r="DA5" i="12"/>
  <c r="CZ5" i="12"/>
  <c r="CY5" i="12"/>
  <c r="CX5" i="12"/>
  <c r="CW5" i="12"/>
  <c r="CV5" i="12"/>
  <c r="CU5" i="12"/>
  <c r="CT5" i="12"/>
  <c r="CS5" i="12"/>
  <c r="CR5" i="12"/>
  <c r="CQ5" i="12"/>
  <c r="CP5" i="12"/>
  <c r="CO5" i="12"/>
  <c r="CN5" i="12"/>
  <c r="CM5" i="12"/>
  <c r="CL5" i="12"/>
  <c r="CK5" i="12"/>
  <c r="CJ5" i="12"/>
  <c r="CI5" i="12"/>
  <c r="CH5" i="12"/>
  <c r="CG5" i="12"/>
  <c r="CF5" i="12"/>
  <c r="CE5" i="12"/>
  <c r="CD5" i="12"/>
  <c r="CC5" i="12"/>
  <c r="CB5" i="12"/>
  <c r="CA5" i="12"/>
  <c r="BZ5" i="12"/>
  <c r="BY5" i="12"/>
  <c r="BX5" i="12"/>
  <c r="BW5" i="12"/>
  <c r="BV5" i="12"/>
  <c r="BU5" i="12"/>
  <c r="BT5" i="12"/>
  <c r="BS5" i="12"/>
  <c r="BR5" i="12"/>
  <c r="BQ5" i="12"/>
  <c r="BP5" i="12"/>
  <c r="BO5" i="12"/>
  <c r="BN5" i="12"/>
  <c r="BM5" i="12"/>
  <c r="BL5" i="12"/>
  <c r="BK5" i="12"/>
  <c r="BJ5" i="12"/>
  <c r="BI5" i="12"/>
  <c r="BH5" i="12"/>
  <c r="BG5" i="12"/>
  <c r="BF5" i="12"/>
  <c r="BE5" i="12"/>
  <c r="BD5" i="12"/>
  <c r="BC5" i="12"/>
  <c r="BB5" i="12"/>
  <c r="BA5" i="12"/>
  <c r="AZ5" i="12"/>
  <c r="AY5" i="12"/>
  <c r="AX5" i="12"/>
  <c r="AW5" i="12"/>
  <c r="AV5" i="12"/>
  <c r="AU5" i="12"/>
  <c r="AT5" i="12"/>
  <c r="AS5" i="12"/>
  <c r="AR5" i="12"/>
  <c r="AQ5" i="12"/>
  <c r="AP5" i="12"/>
  <c r="AO5" i="12"/>
  <c r="AN5" i="12"/>
  <c r="AM5" i="12"/>
  <c r="AL5" i="12"/>
  <c r="AK5" i="12"/>
  <c r="AJ5" i="12"/>
  <c r="AI5" i="12"/>
  <c r="AH5" i="12"/>
  <c r="AG5" i="12"/>
  <c r="AF5" i="12"/>
  <c r="AE5" i="12"/>
  <c r="AD5" i="12"/>
  <c r="AC5" i="12"/>
  <c r="AB5" i="12"/>
  <c r="AA5" i="12"/>
  <c r="Z5" i="12"/>
  <c r="Y5" i="12"/>
  <c r="X5" i="12"/>
  <c r="W5" i="12"/>
  <c r="V5" i="12"/>
  <c r="U5" i="12"/>
  <c r="T5" i="12"/>
  <c r="S5" i="12"/>
  <c r="R5" i="12"/>
  <c r="HC4" i="12"/>
  <c r="HB4" i="12"/>
  <c r="HA4" i="12"/>
  <c r="GZ4" i="12"/>
  <c r="GY4" i="12"/>
  <c r="GX4" i="12"/>
  <c r="GW4" i="12"/>
  <c r="GV4" i="12"/>
  <c r="GU4" i="12"/>
  <c r="GT4" i="12"/>
  <c r="GS4" i="12"/>
  <c r="GR4" i="12"/>
  <c r="GQ4" i="12"/>
  <c r="GP4" i="12"/>
  <c r="GO4" i="12"/>
  <c r="GN4" i="12"/>
  <c r="GM4" i="12"/>
  <c r="GL4" i="12"/>
  <c r="GK4" i="12"/>
  <c r="GJ4" i="12"/>
  <c r="GI4" i="12"/>
  <c r="GH4" i="12"/>
  <c r="GG4" i="12"/>
  <c r="GF4" i="12"/>
  <c r="GE4" i="12"/>
  <c r="GD4" i="12"/>
  <c r="GC4" i="12"/>
  <c r="GB4" i="12"/>
  <c r="GA4" i="12"/>
  <c r="FZ4" i="12"/>
  <c r="FY4" i="12"/>
  <c r="FX4" i="12"/>
  <c r="FW4" i="12"/>
  <c r="FV4" i="12"/>
  <c r="FU4" i="12"/>
  <c r="FT4" i="12"/>
  <c r="FS4" i="12"/>
  <c r="FR4" i="12"/>
  <c r="FQ4" i="12"/>
  <c r="FP4" i="12"/>
  <c r="FO4" i="12"/>
  <c r="FN4" i="12"/>
  <c r="FM4" i="12"/>
  <c r="FL4" i="12"/>
  <c r="FK4" i="12"/>
  <c r="FJ4" i="12"/>
  <c r="FI4" i="12"/>
  <c r="FH4" i="12"/>
  <c r="FG4" i="12"/>
  <c r="FF4" i="12"/>
  <c r="FE4" i="12"/>
  <c r="FD4" i="12"/>
  <c r="FC4" i="12"/>
  <c r="FB4" i="12"/>
  <c r="FA4" i="12"/>
  <c r="EZ4" i="12"/>
  <c r="EY4" i="12"/>
  <c r="EX4" i="12"/>
  <c r="EW4" i="12"/>
  <c r="EV4" i="12"/>
  <c r="EU4" i="12"/>
  <c r="ET4" i="12"/>
  <c r="ES4" i="12"/>
  <c r="ER4" i="12"/>
  <c r="EQ4" i="12"/>
  <c r="EP4" i="12"/>
  <c r="EO4" i="12"/>
  <c r="EN4" i="12"/>
  <c r="EM4" i="12"/>
  <c r="EL4" i="12"/>
  <c r="EK4" i="12"/>
  <c r="EJ4" i="12"/>
  <c r="EI4" i="12"/>
  <c r="EH4" i="12"/>
  <c r="EG4" i="12"/>
  <c r="EF4" i="12"/>
  <c r="EE4" i="12"/>
  <c r="ED4" i="12"/>
  <c r="EC4" i="12"/>
  <c r="EB4" i="12"/>
  <c r="EA4" i="12"/>
  <c r="DZ4" i="12"/>
  <c r="DY4" i="12"/>
  <c r="DX4" i="12"/>
  <c r="DW4" i="12"/>
  <c r="DV4" i="12"/>
  <c r="DU4" i="12"/>
  <c r="DT4" i="12"/>
  <c r="DS4" i="12"/>
  <c r="DR4" i="12"/>
  <c r="DQ4" i="12"/>
  <c r="DP4" i="12"/>
  <c r="DO4" i="12"/>
  <c r="DN4" i="12"/>
  <c r="DM4" i="12"/>
  <c r="DL4" i="12"/>
  <c r="DK4" i="12"/>
  <c r="DJ4" i="12"/>
  <c r="DI4" i="12"/>
  <c r="DH4" i="12"/>
  <c r="DG4" i="12"/>
  <c r="DF4" i="12"/>
  <c r="DE4" i="12"/>
  <c r="DD4" i="12"/>
  <c r="DC4" i="12"/>
  <c r="DB4" i="12"/>
  <c r="DA4" i="12"/>
  <c r="CZ4" i="12"/>
  <c r="CY4" i="12"/>
  <c r="CX4" i="12"/>
  <c r="CW4" i="12"/>
  <c r="CV4" i="12"/>
  <c r="CU4" i="12"/>
  <c r="CT4" i="12"/>
  <c r="CS4" i="12"/>
  <c r="CR4" i="12"/>
  <c r="CQ4" i="12"/>
  <c r="CP4" i="12"/>
  <c r="CO4" i="12"/>
  <c r="CN4" i="12"/>
  <c r="CM4" i="12"/>
  <c r="CL4" i="12"/>
  <c r="CK4" i="12"/>
  <c r="CJ4" i="12"/>
  <c r="CI4" i="12"/>
  <c r="CH4" i="12"/>
  <c r="CG4" i="12"/>
  <c r="CF4" i="12"/>
  <c r="CE4" i="12"/>
  <c r="CD4" i="12"/>
  <c r="CC4" i="12"/>
  <c r="CB4" i="12"/>
  <c r="CA4" i="12"/>
  <c r="BZ4" i="12"/>
  <c r="BY4" i="12"/>
  <c r="BX4" i="12"/>
  <c r="BW4" i="12"/>
  <c r="BV4" i="12"/>
  <c r="BU4" i="12"/>
  <c r="BT4" i="12"/>
  <c r="BS4" i="12"/>
  <c r="BR4" i="12"/>
  <c r="BQ4" i="12"/>
  <c r="BP4" i="12"/>
  <c r="BO4" i="12"/>
  <c r="BN4" i="12"/>
  <c r="BM4" i="12"/>
  <c r="BL4" i="12"/>
  <c r="BK4" i="12"/>
  <c r="BJ4" i="12"/>
  <c r="BI4" i="12"/>
  <c r="BH4" i="12"/>
  <c r="BG4" i="12"/>
  <c r="BF4" i="12"/>
  <c r="BE4" i="12"/>
  <c r="BD4" i="12"/>
  <c r="BC4" i="12"/>
  <c r="BB4" i="12"/>
  <c r="BA4" i="12"/>
  <c r="AZ4" i="12"/>
  <c r="AY4" i="12"/>
  <c r="AX4" i="12"/>
  <c r="AW4" i="12"/>
  <c r="AV4" i="12"/>
  <c r="AU4" i="12"/>
  <c r="AT4" i="12"/>
  <c r="AS4" i="12"/>
  <c r="AR4" i="12"/>
  <c r="AQ4" i="12"/>
  <c r="AP4" i="12"/>
  <c r="AO4" i="12"/>
  <c r="AN4" i="12"/>
  <c r="AM4" i="12"/>
  <c r="AL4" i="12"/>
  <c r="AK4" i="12"/>
  <c r="AJ4" i="12"/>
  <c r="AI4" i="12"/>
  <c r="AH4" i="12"/>
  <c r="AG4" i="12"/>
  <c r="AF4" i="12"/>
  <c r="AE4" i="12"/>
  <c r="AD4" i="12"/>
  <c r="AC4" i="12"/>
  <c r="AB4" i="12"/>
  <c r="AA4" i="12"/>
  <c r="Z4" i="12"/>
  <c r="Y4" i="12"/>
  <c r="X4" i="12"/>
  <c r="W4" i="12"/>
  <c r="V4" i="12"/>
  <c r="U4" i="12"/>
  <c r="T4" i="12"/>
  <c r="S4" i="12"/>
  <c r="R4" i="12"/>
  <c r="N95" i="12"/>
  <c r="M95" i="12"/>
  <c r="L95" i="12"/>
  <c r="J95" i="12"/>
  <c r="I95" i="12"/>
  <c r="H95" i="12"/>
  <c r="HB94" i="12"/>
  <c r="GY94" i="12"/>
  <c r="GX94" i="12"/>
  <c r="GT94" i="12"/>
  <c r="GO94" i="12"/>
  <c r="GB94" i="12"/>
  <c r="FY94" i="12"/>
  <c r="FX94" i="12"/>
  <c r="FW94" i="12"/>
  <c r="FR94" i="12"/>
  <c r="FE94" i="12"/>
  <c r="FC94" i="12"/>
  <c r="FA94" i="12"/>
  <c r="EL94" i="12"/>
  <c r="EK94" i="12"/>
  <c r="EH94" i="12"/>
  <c r="EF94" i="12"/>
  <c r="EC94" i="12"/>
  <c r="DW94" i="12"/>
  <c r="DO94" i="12"/>
  <c r="DK94" i="12"/>
  <c r="DJ94" i="12"/>
  <c r="DI94" i="12"/>
  <c r="CU94" i="12"/>
  <c r="CQ94" i="12"/>
  <c r="CF94" i="12"/>
  <c r="CA94" i="12"/>
  <c r="BX94" i="12"/>
  <c r="BV94" i="12"/>
  <c r="BT94" i="12"/>
  <c r="BH94" i="12"/>
  <c r="BG94" i="12"/>
  <c r="AO94" i="12"/>
  <c r="AH94" i="12"/>
  <c r="AB94" i="12"/>
  <c r="V94" i="12"/>
  <c r="U94" i="12"/>
  <c r="HC92" i="12"/>
  <c r="HB92" i="12"/>
  <c r="HA92" i="12"/>
  <c r="GZ92" i="12"/>
  <c r="GY92" i="12"/>
  <c r="GX92" i="12"/>
  <c r="GW92" i="12"/>
  <c r="GV92" i="12"/>
  <c r="GU92" i="12"/>
  <c r="GT92" i="12"/>
  <c r="GS92" i="12"/>
  <c r="GR92" i="12"/>
  <c r="GQ92" i="12"/>
  <c r="GP92" i="12"/>
  <c r="GO92" i="12"/>
  <c r="GN92" i="12"/>
  <c r="GM92" i="12"/>
  <c r="GL92" i="12"/>
  <c r="GK92" i="12"/>
  <c r="GJ92" i="12"/>
  <c r="GI92" i="12"/>
  <c r="GH92" i="12"/>
  <c r="GG92" i="12"/>
  <c r="GF92" i="12"/>
  <c r="GE92" i="12"/>
  <c r="GD92" i="12"/>
  <c r="GC92" i="12"/>
  <c r="GB92" i="12"/>
  <c r="GA92" i="12"/>
  <c r="FZ92" i="12"/>
  <c r="FY92" i="12"/>
  <c r="FX92" i="12"/>
  <c r="FW92" i="12"/>
  <c r="FV92" i="12"/>
  <c r="FU92" i="12"/>
  <c r="FT92" i="12"/>
  <c r="FS92" i="12"/>
  <c r="FR92" i="12"/>
  <c r="FQ92" i="12"/>
  <c r="FP92" i="12"/>
  <c r="FO92" i="12"/>
  <c r="FN92" i="12"/>
  <c r="FM92" i="12"/>
  <c r="FL92" i="12"/>
  <c r="FK92" i="12"/>
  <c r="FJ92" i="12"/>
  <c r="FI92" i="12"/>
  <c r="FH92" i="12"/>
  <c r="FG92" i="12"/>
  <c r="FF92" i="12"/>
  <c r="FE92" i="12"/>
  <c r="FD92" i="12"/>
  <c r="FC92" i="12"/>
  <c r="FB92" i="12"/>
  <c r="FA92" i="12"/>
  <c r="EZ92" i="12"/>
  <c r="EY92" i="12"/>
  <c r="EX92" i="12"/>
  <c r="EW92" i="12"/>
  <c r="EV92" i="12"/>
  <c r="EU92" i="12"/>
  <c r="ET92" i="12"/>
  <c r="ES92" i="12"/>
  <c r="ER92" i="12"/>
  <c r="EQ92" i="12"/>
  <c r="EP92" i="12"/>
  <c r="EO92" i="12"/>
  <c r="EN92" i="12"/>
  <c r="EM92" i="12"/>
  <c r="EL92" i="12"/>
  <c r="EK92" i="12"/>
  <c r="EJ92" i="12"/>
  <c r="EI92" i="12"/>
  <c r="EH92" i="12"/>
  <c r="EG92" i="12"/>
  <c r="EF92" i="12"/>
  <c r="EE92" i="12"/>
  <c r="ED92" i="12"/>
  <c r="EC92" i="12"/>
  <c r="EB92" i="12"/>
  <c r="EA92" i="12"/>
  <c r="DZ92" i="12"/>
  <c r="DY92" i="12"/>
  <c r="DX92" i="12"/>
  <c r="DW92" i="12"/>
  <c r="DV92" i="12"/>
  <c r="DU92" i="12"/>
  <c r="DT92" i="12"/>
  <c r="DS92" i="12"/>
  <c r="DR92" i="12"/>
  <c r="DQ92" i="12"/>
  <c r="DP92" i="12"/>
  <c r="DO92" i="12"/>
  <c r="DN92" i="12"/>
  <c r="DM92" i="12"/>
  <c r="DL92" i="12"/>
  <c r="DK92" i="12"/>
  <c r="DJ92" i="12"/>
  <c r="DI92" i="12"/>
  <c r="DH92" i="12"/>
  <c r="DG92" i="12"/>
  <c r="DF92" i="12"/>
  <c r="DE92" i="12"/>
  <c r="DD92" i="12"/>
  <c r="DC92" i="12"/>
  <c r="DB92" i="12"/>
  <c r="DA92" i="12"/>
  <c r="CZ92" i="12"/>
  <c r="CY92" i="12"/>
  <c r="CX92" i="12"/>
  <c r="CW92" i="12"/>
  <c r="CV92" i="12"/>
  <c r="CU92" i="12"/>
  <c r="CT92" i="12"/>
  <c r="CS92" i="12"/>
  <c r="CR92" i="12"/>
  <c r="CQ92" i="12"/>
  <c r="CP92" i="12"/>
  <c r="CO92" i="12"/>
  <c r="CN92" i="12"/>
  <c r="CM92" i="12"/>
  <c r="CL92" i="12"/>
  <c r="CK92" i="12"/>
  <c r="CJ92" i="12"/>
  <c r="CI92" i="12"/>
  <c r="CH92" i="12"/>
  <c r="CG92" i="12"/>
  <c r="CF92" i="12"/>
  <c r="CE92" i="12"/>
  <c r="CD92" i="12"/>
  <c r="CC92" i="12"/>
  <c r="CB92" i="12"/>
  <c r="CA92" i="12"/>
  <c r="BZ92" i="12"/>
  <c r="BY92" i="12"/>
  <c r="BX92" i="12"/>
  <c r="BW92" i="12"/>
  <c r="BV92" i="12"/>
  <c r="BU92" i="12"/>
  <c r="BT92" i="12"/>
  <c r="BS92" i="12"/>
  <c r="BR92" i="12"/>
  <c r="BQ92" i="12"/>
  <c r="BP92" i="12"/>
  <c r="BO92" i="12"/>
  <c r="BN92" i="12"/>
  <c r="BM92" i="12"/>
  <c r="BL92" i="12"/>
  <c r="BK92" i="12"/>
  <c r="BJ92" i="12"/>
  <c r="BI92" i="12"/>
  <c r="BH92" i="12"/>
  <c r="BG92" i="12"/>
  <c r="BF92" i="12"/>
  <c r="BE92" i="12"/>
  <c r="BD92" i="12"/>
  <c r="BC92" i="12"/>
  <c r="BB92" i="12"/>
  <c r="BA92" i="12"/>
  <c r="AZ92" i="12"/>
  <c r="AY92" i="12"/>
  <c r="AX92" i="12"/>
  <c r="AW92" i="12"/>
  <c r="AV92" i="12"/>
  <c r="AU92" i="12"/>
  <c r="AT92" i="12"/>
  <c r="AS92" i="12"/>
  <c r="AR92" i="12"/>
  <c r="AQ92" i="12"/>
  <c r="AP92" i="12"/>
  <c r="AO92" i="12"/>
  <c r="AN92" i="12"/>
  <c r="AM92" i="12"/>
  <c r="AL92" i="12"/>
  <c r="AK92" i="12"/>
  <c r="AJ92" i="12"/>
  <c r="AI92" i="12"/>
  <c r="AH92" i="12"/>
  <c r="AG92" i="12"/>
  <c r="AF92" i="12"/>
  <c r="AE92" i="12"/>
  <c r="AD92" i="12"/>
  <c r="AC92" i="12"/>
  <c r="AB92" i="12"/>
  <c r="AA92" i="12"/>
  <c r="Z92" i="12"/>
  <c r="Y92" i="12"/>
  <c r="X92" i="12"/>
  <c r="W92" i="12"/>
  <c r="V92" i="12"/>
  <c r="U92" i="12"/>
  <c r="T92" i="12"/>
  <c r="S92" i="12"/>
  <c r="R92" i="12"/>
  <c r="HC80" i="12"/>
  <c r="HB80" i="12"/>
  <c r="HA80" i="12"/>
  <c r="GZ80" i="12"/>
  <c r="GY80" i="12"/>
  <c r="GX80" i="12"/>
  <c r="GW80" i="12"/>
  <c r="GV80" i="12"/>
  <c r="GU80" i="12"/>
  <c r="GT80" i="12"/>
  <c r="GS80" i="12"/>
  <c r="GR80" i="12"/>
  <c r="GQ80" i="12"/>
  <c r="GP80" i="12"/>
  <c r="GO80" i="12"/>
  <c r="GN80" i="12"/>
  <c r="GM80" i="12"/>
  <c r="GL80" i="12"/>
  <c r="GK80" i="12"/>
  <c r="GJ80" i="12"/>
  <c r="GI80" i="12"/>
  <c r="GH80" i="12"/>
  <c r="GG80" i="12"/>
  <c r="GF80" i="12"/>
  <c r="GE80" i="12"/>
  <c r="GD80" i="12"/>
  <c r="GC80" i="12"/>
  <c r="GB80" i="12"/>
  <c r="GA80" i="12"/>
  <c r="FZ80" i="12"/>
  <c r="FY80" i="12"/>
  <c r="FX80" i="12"/>
  <c r="FW80" i="12"/>
  <c r="FV80" i="12"/>
  <c r="FU80" i="12"/>
  <c r="FT80" i="12"/>
  <c r="FS80" i="12"/>
  <c r="FR80" i="12"/>
  <c r="FQ80" i="12"/>
  <c r="FP80" i="12"/>
  <c r="FO80" i="12"/>
  <c r="FN80" i="12"/>
  <c r="FM80" i="12"/>
  <c r="FL80" i="12"/>
  <c r="FK80" i="12"/>
  <c r="FJ80" i="12"/>
  <c r="FI80" i="12"/>
  <c r="FH80" i="12"/>
  <c r="FG80" i="12"/>
  <c r="FF80" i="12"/>
  <c r="FE80" i="12"/>
  <c r="FD80" i="12"/>
  <c r="FC80" i="12"/>
  <c r="FB80" i="12"/>
  <c r="FA80" i="12"/>
  <c r="EZ80" i="12"/>
  <c r="EY80" i="12"/>
  <c r="EX80" i="12"/>
  <c r="EW80" i="12"/>
  <c r="EV80" i="12"/>
  <c r="EU80" i="12"/>
  <c r="ET80" i="12"/>
  <c r="ES80" i="12"/>
  <c r="ER80" i="12"/>
  <c r="EQ80" i="12"/>
  <c r="EP80" i="12"/>
  <c r="EO80" i="12"/>
  <c r="EN80" i="12"/>
  <c r="EM80" i="12"/>
  <c r="EL80" i="12"/>
  <c r="EK80" i="12"/>
  <c r="EJ80" i="12"/>
  <c r="EI80" i="12"/>
  <c r="EH80" i="12"/>
  <c r="EG80" i="12"/>
  <c r="EF80" i="12"/>
  <c r="EE80" i="12"/>
  <c r="ED80" i="12"/>
  <c r="EC80" i="12"/>
  <c r="EB80" i="12"/>
  <c r="EA80" i="12"/>
  <c r="DZ80" i="12"/>
  <c r="DY80" i="12"/>
  <c r="DX80" i="12"/>
  <c r="DW80" i="12"/>
  <c r="DV80" i="12"/>
  <c r="DU80" i="12"/>
  <c r="DT80" i="12"/>
  <c r="DS80" i="12"/>
  <c r="DR80" i="12"/>
  <c r="DQ80" i="12"/>
  <c r="DP80" i="12"/>
  <c r="DO80" i="12"/>
  <c r="DN80" i="12"/>
  <c r="DM80" i="12"/>
  <c r="DL80" i="12"/>
  <c r="DK80" i="12"/>
  <c r="DJ80" i="12"/>
  <c r="DI80" i="12"/>
  <c r="DH80" i="12"/>
  <c r="DG80" i="12"/>
  <c r="DF80" i="12"/>
  <c r="DE80" i="12"/>
  <c r="DD80" i="12"/>
  <c r="DC80" i="12"/>
  <c r="DB80" i="12"/>
  <c r="DA80" i="12"/>
  <c r="CZ80" i="12"/>
  <c r="CY80" i="12"/>
  <c r="CX80" i="12"/>
  <c r="CW80" i="12"/>
  <c r="CV80" i="12"/>
  <c r="CU80" i="12"/>
  <c r="CT80" i="12"/>
  <c r="CS80" i="12"/>
  <c r="CR80" i="12"/>
  <c r="CQ80" i="12"/>
  <c r="CP80" i="12"/>
  <c r="CO80" i="12"/>
  <c r="CN80" i="12"/>
  <c r="CM80" i="12"/>
  <c r="CL80" i="12"/>
  <c r="CK80" i="12"/>
  <c r="CJ80" i="12"/>
  <c r="CI80" i="12"/>
  <c r="CH80" i="12"/>
  <c r="CG80" i="12"/>
  <c r="CF80" i="12"/>
  <c r="CE80" i="12"/>
  <c r="CD80" i="12"/>
  <c r="CC80" i="12"/>
  <c r="CB80" i="12"/>
  <c r="CA80" i="12"/>
  <c r="BZ80" i="12"/>
  <c r="BY80" i="12"/>
  <c r="BX80" i="12"/>
  <c r="BW80" i="12"/>
  <c r="BV80" i="12"/>
  <c r="BU80" i="12"/>
  <c r="BT80" i="12"/>
  <c r="BS80" i="12"/>
  <c r="BR80" i="12"/>
  <c r="BQ80" i="12"/>
  <c r="BP80" i="12"/>
  <c r="BO80" i="12"/>
  <c r="BN80" i="12"/>
  <c r="BM80" i="12"/>
  <c r="BL80" i="12"/>
  <c r="BK80" i="12"/>
  <c r="BJ80" i="12"/>
  <c r="BI80" i="12"/>
  <c r="BH80" i="12"/>
  <c r="BG80" i="12"/>
  <c r="BF80" i="12"/>
  <c r="BE80" i="12"/>
  <c r="BD80" i="12"/>
  <c r="BC80" i="12"/>
  <c r="BB80" i="12"/>
  <c r="BA80" i="12"/>
  <c r="AZ80" i="12"/>
  <c r="AY80" i="12"/>
  <c r="AX80" i="12"/>
  <c r="AW80" i="12"/>
  <c r="AV80" i="12"/>
  <c r="AU80" i="12"/>
  <c r="AT80" i="12"/>
  <c r="AS80" i="12"/>
  <c r="AR80" i="12"/>
  <c r="AQ80" i="12"/>
  <c r="AP80" i="12"/>
  <c r="AO80" i="12"/>
  <c r="AN80" i="12"/>
  <c r="AM80" i="12"/>
  <c r="AL80" i="12"/>
  <c r="AK80" i="12"/>
  <c r="AJ80" i="12"/>
  <c r="AI80" i="12"/>
  <c r="AH80" i="12"/>
  <c r="AG80" i="12"/>
  <c r="AF80" i="12"/>
  <c r="AE80" i="12"/>
  <c r="AD80" i="12"/>
  <c r="AC80" i="12"/>
  <c r="AB80" i="12"/>
  <c r="AA80" i="12"/>
  <c r="Z80" i="12"/>
  <c r="Y80" i="12"/>
  <c r="X80" i="12"/>
  <c r="W80" i="12"/>
  <c r="V80" i="12"/>
  <c r="U80" i="12"/>
  <c r="T80" i="12"/>
  <c r="S80" i="12"/>
  <c r="R80" i="12"/>
  <c r="HC77" i="12"/>
  <c r="HB77" i="12"/>
  <c r="HA77" i="12"/>
  <c r="GZ77" i="12"/>
  <c r="GY77" i="12"/>
  <c r="GX77" i="12"/>
  <c r="GW77" i="12"/>
  <c r="GV77" i="12"/>
  <c r="GU77" i="12"/>
  <c r="GT77" i="12"/>
  <c r="GS77" i="12"/>
  <c r="GR77" i="12"/>
  <c r="GQ77" i="12"/>
  <c r="GP77" i="12"/>
  <c r="GO77" i="12"/>
  <c r="GN77" i="12"/>
  <c r="GM77" i="12"/>
  <c r="GL77" i="12"/>
  <c r="GK77" i="12"/>
  <c r="GJ77" i="12"/>
  <c r="GI77" i="12"/>
  <c r="GH77" i="12"/>
  <c r="GG77" i="12"/>
  <c r="GF77" i="12"/>
  <c r="GE77" i="12"/>
  <c r="GD77" i="12"/>
  <c r="GC77" i="12"/>
  <c r="GB77" i="12"/>
  <c r="GA77" i="12"/>
  <c r="FZ77" i="12"/>
  <c r="FY77" i="12"/>
  <c r="FX77" i="12"/>
  <c r="FW77" i="12"/>
  <c r="FV77" i="12"/>
  <c r="FU77" i="12"/>
  <c r="FT77" i="12"/>
  <c r="FS77" i="12"/>
  <c r="FR77" i="12"/>
  <c r="FQ77" i="12"/>
  <c r="FP77" i="12"/>
  <c r="FO77" i="12"/>
  <c r="FN77" i="12"/>
  <c r="FM77" i="12"/>
  <c r="FL77" i="12"/>
  <c r="FK77" i="12"/>
  <c r="FJ77" i="12"/>
  <c r="FI77" i="12"/>
  <c r="FH77" i="12"/>
  <c r="FG77" i="12"/>
  <c r="FF77" i="12"/>
  <c r="FE77" i="12"/>
  <c r="FD77" i="12"/>
  <c r="FC77" i="12"/>
  <c r="FB77" i="12"/>
  <c r="FA77" i="12"/>
  <c r="EZ77" i="12"/>
  <c r="EY77" i="12"/>
  <c r="EX77" i="12"/>
  <c r="EW77" i="12"/>
  <c r="EV77" i="12"/>
  <c r="EU77" i="12"/>
  <c r="ET77" i="12"/>
  <c r="ES77" i="12"/>
  <c r="ER77" i="12"/>
  <c r="EQ77" i="12"/>
  <c r="EP77" i="12"/>
  <c r="EO77" i="12"/>
  <c r="EN77" i="12"/>
  <c r="EM77" i="12"/>
  <c r="EL77" i="12"/>
  <c r="EK77" i="12"/>
  <c r="EJ77" i="12"/>
  <c r="EI77" i="12"/>
  <c r="EH77" i="12"/>
  <c r="EG77" i="12"/>
  <c r="EF77" i="12"/>
  <c r="EE77" i="12"/>
  <c r="ED77" i="12"/>
  <c r="EC77" i="12"/>
  <c r="EB77" i="12"/>
  <c r="EA77" i="12"/>
  <c r="DZ77" i="12"/>
  <c r="DY77" i="12"/>
  <c r="DX77" i="12"/>
  <c r="DW77" i="12"/>
  <c r="DV77" i="12"/>
  <c r="DU77" i="12"/>
  <c r="DT77" i="12"/>
  <c r="DS77" i="12"/>
  <c r="DR77" i="12"/>
  <c r="DQ77" i="12"/>
  <c r="DP77" i="12"/>
  <c r="DO77" i="12"/>
  <c r="DN77" i="12"/>
  <c r="DM77" i="12"/>
  <c r="DL77" i="12"/>
  <c r="DK77" i="12"/>
  <c r="DJ77" i="12"/>
  <c r="DI77" i="12"/>
  <c r="DH77" i="12"/>
  <c r="DG77" i="12"/>
  <c r="DF77" i="12"/>
  <c r="DE77" i="12"/>
  <c r="DD77" i="12"/>
  <c r="DC77" i="12"/>
  <c r="DB77" i="12"/>
  <c r="DA77" i="12"/>
  <c r="CZ77" i="12"/>
  <c r="CY77" i="12"/>
  <c r="CX77" i="12"/>
  <c r="CW77" i="12"/>
  <c r="CV77" i="12"/>
  <c r="CU77" i="12"/>
  <c r="CT77" i="12"/>
  <c r="CS77" i="12"/>
  <c r="CR77" i="12"/>
  <c r="CQ77" i="12"/>
  <c r="CP77" i="12"/>
  <c r="CO77" i="12"/>
  <c r="CN77" i="12"/>
  <c r="CM77" i="12"/>
  <c r="CL77" i="12"/>
  <c r="CK77" i="12"/>
  <c r="CJ77" i="12"/>
  <c r="CI77" i="12"/>
  <c r="CH77" i="12"/>
  <c r="CG77" i="12"/>
  <c r="CF77" i="12"/>
  <c r="CE77" i="12"/>
  <c r="CD77" i="12"/>
  <c r="CC77" i="12"/>
  <c r="CB77" i="12"/>
  <c r="CA77" i="12"/>
  <c r="BZ77" i="12"/>
  <c r="BY77" i="12"/>
  <c r="BX77" i="12"/>
  <c r="BW77" i="12"/>
  <c r="BV77" i="12"/>
  <c r="BU77" i="12"/>
  <c r="BT77" i="12"/>
  <c r="BS77" i="12"/>
  <c r="BR77" i="12"/>
  <c r="BQ77" i="12"/>
  <c r="BP77" i="12"/>
  <c r="BO77" i="12"/>
  <c r="BN77" i="12"/>
  <c r="BM77" i="12"/>
  <c r="BL77" i="12"/>
  <c r="BK77" i="12"/>
  <c r="BJ77" i="12"/>
  <c r="BI77" i="12"/>
  <c r="BH77" i="12"/>
  <c r="BG77" i="12"/>
  <c r="BF77" i="12"/>
  <c r="BE77" i="12"/>
  <c r="BD77" i="12"/>
  <c r="BC77" i="12"/>
  <c r="BB77" i="12"/>
  <c r="BA77" i="12"/>
  <c r="AZ77" i="12"/>
  <c r="AY77" i="12"/>
  <c r="AX77" i="12"/>
  <c r="AW77" i="12"/>
  <c r="AV77" i="12"/>
  <c r="AU77" i="12"/>
  <c r="AT77" i="12"/>
  <c r="AS77" i="12"/>
  <c r="AR77" i="12"/>
  <c r="AQ77" i="12"/>
  <c r="AP77" i="12"/>
  <c r="AO77" i="12"/>
  <c r="AN77" i="12"/>
  <c r="AM77" i="12"/>
  <c r="AL77" i="12"/>
  <c r="AK77" i="12"/>
  <c r="AJ77" i="12"/>
  <c r="AI77" i="12"/>
  <c r="AH77" i="12"/>
  <c r="AG77" i="12"/>
  <c r="AF77" i="12"/>
  <c r="AE77" i="12"/>
  <c r="AD77" i="12"/>
  <c r="AC77" i="12"/>
  <c r="AB77" i="12"/>
  <c r="AA77" i="12"/>
  <c r="Z77" i="12"/>
  <c r="Y77" i="12"/>
  <c r="X77" i="12"/>
  <c r="W77" i="12"/>
  <c r="V77" i="12"/>
  <c r="U77" i="12"/>
  <c r="T77" i="12"/>
  <c r="S77" i="12"/>
  <c r="R77" i="12"/>
  <c r="HC74" i="12"/>
  <c r="HB74" i="12"/>
  <c r="HA74" i="12"/>
  <c r="GZ74" i="12"/>
  <c r="GY74" i="12"/>
  <c r="GX74" i="12"/>
  <c r="GW74" i="12"/>
  <c r="GV74" i="12"/>
  <c r="GU74" i="12"/>
  <c r="GT74" i="12"/>
  <c r="GS74" i="12"/>
  <c r="GR74" i="12"/>
  <c r="GQ74" i="12"/>
  <c r="GP74" i="12"/>
  <c r="GO74" i="12"/>
  <c r="GN74" i="12"/>
  <c r="GM74" i="12"/>
  <c r="GL74" i="12"/>
  <c r="GK74" i="12"/>
  <c r="GJ74" i="12"/>
  <c r="GI74" i="12"/>
  <c r="GH74" i="12"/>
  <c r="GG74" i="12"/>
  <c r="GF74" i="12"/>
  <c r="GE74" i="12"/>
  <c r="GD74" i="12"/>
  <c r="GC74" i="12"/>
  <c r="GB74" i="12"/>
  <c r="GA74" i="12"/>
  <c r="FZ74" i="12"/>
  <c r="FY74" i="12"/>
  <c r="FX74" i="12"/>
  <c r="FW74" i="12"/>
  <c r="FV74" i="12"/>
  <c r="FU74" i="12"/>
  <c r="FT74" i="12"/>
  <c r="FS74" i="12"/>
  <c r="FR74" i="12"/>
  <c r="FQ74" i="12"/>
  <c r="FP74" i="12"/>
  <c r="FO74" i="12"/>
  <c r="FN74" i="12"/>
  <c r="FM74" i="12"/>
  <c r="FL74" i="12"/>
  <c r="FK74" i="12"/>
  <c r="FJ74" i="12"/>
  <c r="FI74" i="12"/>
  <c r="FH74" i="12"/>
  <c r="FG74" i="12"/>
  <c r="FF74" i="12"/>
  <c r="FE74" i="12"/>
  <c r="FD74" i="12"/>
  <c r="FC74" i="12"/>
  <c r="FB74" i="12"/>
  <c r="FA74" i="12"/>
  <c r="EZ74" i="12"/>
  <c r="EY74" i="12"/>
  <c r="EX74" i="12"/>
  <c r="EW74" i="12"/>
  <c r="EV74" i="12"/>
  <c r="EU74" i="12"/>
  <c r="ET74" i="12"/>
  <c r="ES74" i="12"/>
  <c r="ER74" i="12"/>
  <c r="EQ74" i="12"/>
  <c r="EP74" i="12"/>
  <c r="EO74" i="12"/>
  <c r="EN74" i="12"/>
  <c r="EM74" i="12"/>
  <c r="EL74" i="12"/>
  <c r="EK74" i="12"/>
  <c r="EJ74" i="12"/>
  <c r="EI74" i="12"/>
  <c r="EH74" i="12"/>
  <c r="EG74" i="12"/>
  <c r="EF74" i="12"/>
  <c r="EE74" i="12"/>
  <c r="ED74" i="12"/>
  <c r="EC74" i="12"/>
  <c r="EB74" i="12"/>
  <c r="EA74" i="12"/>
  <c r="DZ74" i="12"/>
  <c r="DY74" i="12"/>
  <c r="DX74" i="12"/>
  <c r="DW74" i="12"/>
  <c r="DV74" i="12"/>
  <c r="DU74" i="12"/>
  <c r="DT74" i="12"/>
  <c r="DS74" i="12"/>
  <c r="DR74" i="12"/>
  <c r="DQ74" i="12"/>
  <c r="DP74" i="12"/>
  <c r="DO74" i="12"/>
  <c r="DN74" i="12"/>
  <c r="DM74" i="12"/>
  <c r="DL74" i="12"/>
  <c r="DK74" i="12"/>
  <c r="DJ74" i="12"/>
  <c r="DI74" i="12"/>
  <c r="DH74" i="12"/>
  <c r="DG74" i="12"/>
  <c r="DF74" i="12"/>
  <c r="DE74" i="12"/>
  <c r="DD74" i="12"/>
  <c r="DC74" i="12"/>
  <c r="DB74" i="12"/>
  <c r="DA74" i="12"/>
  <c r="CZ74" i="12"/>
  <c r="CY74" i="12"/>
  <c r="CX74" i="12"/>
  <c r="CW74" i="12"/>
  <c r="CV74" i="12"/>
  <c r="CU74" i="12"/>
  <c r="CT74" i="12"/>
  <c r="CS74" i="12"/>
  <c r="CR74" i="12"/>
  <c r="CQ74" i="12"/>
  <c r="CP74" i="12"/>
  <c r="CO74" i="12"/>
  <c r="CN74" i="12"/>
  <c r="CM74" i="12"/>
  <c r="CL74" i="12"/>
  <c r="CK74" i="12"/>
  <c r="CJ74" i="12"/>
  <c r="CI74" i="12"/>
  <c r="CH74" i="12"/>
  <c r="CG74" i="12"/>
  <c r="CF74" i="12"/>
  <c r="CE74" i="12"/>
  <c r="CD74" i="12"/>
  <c r="CC74" i="12"/>
  <c r="CB74" i="12"/>
  <c r="CA74" i="12"/>
  <c r="BZ74" i="12"/>
  <c r="BY74" i="12"/>
  <c r="BX74" i="12"/>
  <c r="BW74" i="12"/>
  <c r="BV74" i="12"/>
  <c r="BU74" i="12"/>
  <c r="BT74" i="12"/>
  <c r="BS74" i="12"/>
  <c r="BR74" i="12"/>
  <c r="BQ74" i="12"/>
  <c r="BP74" i="12"/>
  <c r="BO74" i="12"/>
  <c r="BN74" i="12"/>
  <c r="BM74" i="12"/>
  <c r="BL74" i="12"/>
  <c r="BK74" i="12"/>
  <c r="BJ74" i="12"/>
  <c r="BI74" i="12"/>
  <c r="BH74" i="12"/>
  <c r="BG74" i="12"/>
  <c r="BF74" i="12"/>
  <c r="BE74" i="12"/>
  <c r="BD74" i="12"/>
  <c r="BC74" i="12"/>
  <c r="BB74" i="12"/>
  <c r="BA74" i="12"/>
  <c r="AZ74" i="12"/>
  <c r="AY74" i="12"/>
  <c r="AX74" i="12"/>
  <c r="AW74" i="12"/>
  <c r="AV74" i="12"/>
  <c r="AU74" i="12"/>
  <c r="AT74" i="12"/>
  <c r="AS74" i="12"/>
  <c r="AR74" i="12"/>
  <c r="AQ74" i="12"/>
  <c r="AP74" i="12"/>
  <c r="AO74" i="12"/>
  <c r="AN74" i="12"/>
  <c r="AM74" i="12"/>
  <c r="AL74" i="12"/>
  <c r="AK74" i="12"/>
  <c r="AJ74" i="12"/>
  <c r="AI74" i="12"/>
  <c r="AH74" i="12"/>
  <c r="AG74" i="12"/>
  <c r="AF74" i="12"/>
  <c r="AE74" i="12"/>
  <c r="AD74" i="12"/>
  <c r="AC74" i="12"/>
  <c r="AB74" i="12"/>
  <c r="AA74" i="12"/>
  <c r="Z74" i="12"/>
  <c r="Y74" i="12"/>
  <c r="X74" i="12"/>
  <c r="W74" i="12"/>
  <c r="V74" i="12"/>
  <c r="U74" i="12"/>
  <c r="T74" i="12"/>
  <c r="S74" i="12"/>
  <c r="R74" i="12"/>
  <c r="HC71" i="12"/>
  <c r="HB71" i="12"/>
  <c r="HA71" i="12"/>
  <c r="GZ71" i="12"/>
  <c r="GY71" i="12"/>
  <c r="GX71" i="12"/>
  <c r="GW71" i="12"/>
  <c r="GV71" i="12"/>
  <c r="GU71" i="12"/>
  <c r="GT71" i="12"/>
  <c r="GS71" i="12"/>
  <c r="GR71" i="12"/>
  <c r="GQ71" i="12"/>
  <c r="GP71" i="12"/>
  <c r="GO71" i="12"/>
  <c r="GN71" i="12"/>
  <c r="GM71" i="12"/>
  <c r="GL71" i="12"/>
  <c r="GK71" i="12"/>
  <c r="GJ71" i="12"/>
  <c r="GI71" i="12"/>
  <c r="GH71" i="12"/>
  <c r="GG71" i="12"/>
  <c r="GF71" i="12"/>
  <c r="GE71" i="12"/>
  <c r="GD71" i="12"/>
  <c r="GC71" i="12"/>
  <c r="GB71" i="12"/>
  <c r="GA71" i="12"/>
  <c r="FZ71" i="12"/>
  <c r="FY71" i="12"/>
  <c r="FX71" i="12"/>
  <c r="FW71" i="12"/>
  <c r="FV71" i="12"/>
  <c r="FU71" i="12"/>
  <c r="FT71" i="12"/>
  <c r="FS71" i="12"/>
  <c r="FR71" i="12"/>
  <c r="FQ71" i="12"/>
  <c r="FP71" i="12"/>
  <c r="FO71" i="12"/>
  <c r="FN71" i="12"/>
  <c r="FM71" i="12"/>
  <c r="FL71" i="12"/>
  <c r="FK71" i="12"/>
  <c r="FJ71" i="12"/>
  <c r="FI71" i="12"/>
  <c r="FH71" i="12"/>
  <c r="FG71" i="12"/>
  <c r="FF71" i="12"/>
  <c r="FE71" i="12"/>
  <c r="FD71" i="12"/>
  <c r="FC71" i="12"/>
  <c r="FB71" i="12"/>
  <c r="FA71" i="12"/>
  <c r="EZ71" i="12"/>
  <c r="EY71" i="12"/>
  <c r="EX71" i="12"/>
  <c r="EW71" i="12"/>
  <c r="EV71" i="12"/>
  <c r="EU71" i="12"/>
  <c r="ET71" i="12"/>
  <c r="ES71" i="12"/>
  <c r="ER71" i="12"/>
  <c r="EQ71" i="12"/>
  <c r="EP71" i="12"/>
  <c r="EO71" i="12"/>
  <c r="EN71" i="12"/>
  <c r="EM71" i="12"/>
  <c r="EL71" i="12"/>
  <c r="EK71" i="12"/>
  <c r="EJ71" i="12"/>
  <c r="EI71" i="12"/>
  <c r="EH71" i="12"/>
  <c r="EG71" i="12"/>
  <c r="EF71" i="12"/>
  <c r="EE71" i="12"/>
  <c r="ED71" i="12"/>
  <c r="EC71" i="12"/>
  <c r="EB71" i="12"/>
  <c r="EA71" i="12"/>
  <c r="DZ71" i="12"/>
  <c r="DX71" i="12"/>
  <c r="DW71" i="12"/>
  <c r="DV71" i="12"/>
  <c r="DU71" i="12"/>
  <c r="DT71" i="12"/>
  <c r="DS71" i="12"/>
  <c r="DR71" i="12"/>
  <c r="DQ71" i="12"/>
  <c r="DP71" i="12"/>
  <c r="DO71" i="12"/>
  <c r="DN71" i="12"/>
  <c r="DM71" i="12"/>
  <c r="DL71" i="12"/>
  <c r="DK71" i="12"/>
  <c r="DJ71" i="12"/>
  <c r="DI71" i="12"/>
  <c r="DH71" i="12"/>
  <c r="DG71" i="12"/>
  <c r="DF71" i="12"/>
  <c r="DE71" i="12"/>
  <c r="DD71" i="12"/>
  <c r="DC71" i="12"/>
  <c r="DB71" i="12"/>
  <c r="DA71" i="12"/>
  <c r="CZ71" i="12"/>
  <c r="CY71" i="12"/>
  <c r="CX71" i="12"/>
  <c r="CW71" i="12"/>
  <c r="CV71" i="12"/>
  <c r="CU71" i="12"/>
  <c r="CT71" i="12"/>
  <c r="CS71" i="12"/>
  <c r="CR71" i="12"/>
  <c r="CQ71" i="12"/>
  <c r="CP71" i="12"/>
  <c r="CO71" i="12"/>
  <c r="CN71" i="12"/>
  <c r="CM71" i="12"/>
  <c r="CL71" i="12"/>
  <c r="CK71" i="12"/>
  <c r="CJ71" i="12"/>
  <c r="CI71" i="12"/>
  <c r="CH71" i="12"/>
  <c r="CG71" i="12"/>
  <c r="CF71" i="12"/>
  <c r="CE71" i="12"/>
  <c r="CD71" i="12"/>
  <c r="CC71" i="12"/>
  <c r="CB71" i="12"/>
  <c r="CA71" i="12"/>
  <c r="BZ71" i="12"/>
  <c r="BY71" i="12"/>
  <c r="BX71" i="12"/>
  <c r="BW71" i="12"/>
  <c r="BV71" i="12"/>
  <c r="BU71" i="12"/>
  <c r="BT71" i="12"/>
  <c r="BS71" i="12"/>
  <c r="BR71" i="12"/>
  <c r="BQ71" i="12"/>
  <c r="BP71" i="12"/>
  <c r="BO71" i="12"/>
  <c r="BN71" i="12"/>
  <c r="BM71" i="12"/>
  <c r="BL71" i="12"/>
  <c r="BJ71" i="12"/>
  <c r="BI71" i="12"/>
  <c r="BH71" i="12"/>
  <c r="BG71" i="12"/>
  <c r="BF71" i="12"/>
  <c r="BE71" i="12"/>
  <c r="BD71" i="12"/>
  <c r="BC71" i="12"/>
  <c r="BB71" i="12"/>
  <c r="BA71" i="12"/>
  <c r="AZ71" i="12"/>
  <c r="AY71" i="12"/>
  <c r="AX71" i="12"/>
  <c r="AW71" i="12"/>
  <c r="AV71" i="12"/>
  <c r="AU71" i="12"/>
  <c r="AT71" i="12"/>
  <c r="AS71" i="12"/>
  <c r="AR71" i="12"/>
  <c r="AQ71" i="12"/>
  <c r="AP71" i="12"/>
  <c r="AO71" i="12"/>
  <c r="AN71" i="12"/>
  <c r="AM71" i="12"/>
  <c r="AL71" i="12"/>
  <c r="AK71" i="12"/>
  <c r="AJ71" i="12"/>
  <c r="AI71" i="12"/>
  <c r="AH71" i="12"/>
  <c r="AG71" i="12"/>
  <c r="AF71" i="12"/>
  <c r="AE71" i="12"/>
  <c r="AD71" i="12"/>
  <c r="AC71" i="12"/>
  <c r="AB71" i="12"/>
  <c r="AA71" i="12"/>
  <c r="Z71" i="12"/>
  <c r="Y71" i="12"/>
  <c r="X71" i="12"/>
  <c r="W71" i="12"/>
  <c r="V71" i="12"/>
  <c r="U71" i="12"/>
  <c r="T71" i="12"/>
  <c r="S71" i="12"/>
  <c r="R71" i="12"/>
  <c r="HC68" i="12"/>
  <c r="HB68" i="12"/>
  <c r="HA68" i="12"/>
  <c r="GZ68" i="12"/>
  <c r="GY68" i="12"/>
  <c r="GX68" i="12"/>
  <c r="GW68" i="12"/>
  <c r="GV68" i="12"/>
  <c r="GU68" i="12"/>
  <c r="GT68" i="12"/>
  <c r="GS68" i="12"/>
  <c r="GR68" i="12"/>
  <c r="GQ68" i="12"/>
  <c r="GP68" i="12"/>
  <c r="GO68" i="12"/>
  <c r="GN68" i="12"/>
  <c r="GM68" i="12"/>
  <c r="GL68" i="12"/>
  <c r="GK68" i="12"/>
  <c r="GJ68" i="12"/>
  <c r="GI68" i="12"/>
  <c r="GH68" i="12"/>
  <c r="GG68" i="12"/>
  <c r="GF68" i="12"/>
  <c r="GE68" i="12"/>
  <c r="GD68" i="12"/>
  <c r="GC68" i="12"/>
  <c r="GB68" i="12"/>
  <c r="GA68" i="12"/>
  <c r="FZ68" i="12"/>
  <c r="FY68" i="12"/>
  <c r="FX68" i="12"/>
  <c r="FW68" i="12"/>
  <c r="FV68" i="12"/>
  <c r="FU68" i="12"/>
  <c r="FT68" i="12"/>
  <c r="FS68" i="12"/>
  <c r="FR68" i="12"/>
  <c r="FQ68" i="12"/>
  <c r="FP68" i="12"/>
  <c r="FO68" i="12"/>
  <c r="FN68" i="12"/>
  <c r="FM68" i="12"/>
  <c r="FL68" i="12"/>
  <c r="FK68" i="12"/>
  <c r="FJ68" i="12"/>
  <c r="FI68" i="12"/>
  <c r="FH68" i="12"/>
  <c r="FG68" i="12"/>
  <c r="FF68" i="12"/>
  <c r="FE68" i="12"/>
  <c r="FD68" i="12"/>
  <c r="FC68" i="12"/>
  <c r="FB68" i="12"/>
  <c r="FA68" i="12"/>
  <c r="EZ68" i="12"/>
  <c r="EY68" i="12"/>
  <c r="EX68" i="12"/>
  <c r="EW68" i="12"/>
  <c r="EV68" i="12"/>
  <c r="EU68" i="12"/>
  <c r="ET68" i="12"/>
  <c r="ES68" i="12"/>
  <c r="ER68" i="12"/>
  <c r="EQ68" i="12"/>
  <c r="EP68" i="12"/>
  <c r="EO68" i="12"/>
  <c r="EN68" i="12"/>
  <c r="EM68" i="12"/>
  <c r="EL68" i="12"/>
  <c r="EK68" i="12"/>
  <c r="EJ68" i="12"/>
  <c r="EI68" i="12"/>
  <c r="EH68" i="12"/>
  <c r="EG68" i="12"/>
  <c r="EF68" i="12"/>
  <c r="EE68" i="12"/>
  <c r="ED68" i="12"/>
  <c r="EC68" i="12"/>
  <c r="EB68" i="12"/>
  <c r="EA68" i="12"/>
  <c r="DZ68" i="12"/>
  <c r="DY68" i="12"/>
  <c r="DX68" i="12"/>
  <c r="DW68" i="12"/>
  <c r="DV68" i="12"/>
  <c r="DU68" i="12"/>
  <c r="DT68" i="12"/>
  <c r="DS68" i="12"/>
  <c r="DR68" i="12"/>
  <c r="DQ68" i="12"/>
  <c r="DP68" i="12"/>
  <c r="DO68" i="12"/>
  <c r="DN68" i="12"/>
  <c r="DM68" i="12"/>
  <c r="DL68" i="12"/>
  <c r="DK68" i="12"/>
  <c r="DJ68" i="12"/>
  <c r="DI68" i="12"/>
  <c r="DH68" i="12"/>
  <c r="DG68" i="12"/>
  <c r="DF68" i="12"/>
  <c r="DE68" i="12"/>
  <c r="DD68" i="12"/>
  <c r="DC68" i="12"/>
  <c r="DB68" i="12"/>
  <c r="DA68" i="12"/>
  <c r="CZ68" i="12"/>
  <c r="CY68" i="12"/>
  <c r="CX68" i="12"/>
  <c r="CW68" i="12"/>
  <c r="CV68" i="12"/>
  <c r="CU68" i="12"/>
  <c r="CT68" i="12"/>
  <c r="CS68" i="12"/>
  <c r="CR68" i="12"/>
  <c r="CQ68" i="12"/>
  <c r="CP68" i="12"/>
  <c r="CO68" i="12"/>
  <c r="CN68" i="12"/>
  <c r="CM68" i="12"/>
  <c r="CL68" i="12"/>
  <c r="CK68" i="12"/>
  <c r="CJ68" i="12"/>
  <c r="CI68" i="12"/>
  <c r="CH68" i="12"/>
  <c r="CG68" i="12"/>
  <c r="CF68" i="12"/>
  <c r="CE68" i="12"/>
  <c r="CD68" i="12"/>
  <c r="CC68" i="12"/>
  <c r="CB68" i="12"/>
  <c r="CA68" i="12"/>
  <c r="BZ68" i="12"/>
  <c r="BY68" i="12"/>
  <c r="BX68" i="12"/>
  <c r="BW68" i="12"/>
  <c r="BV68" i="12"/>
  <c r="BU68" i="12"/>
  <c r="BT68" i="12"/>
  <c r="BS68" i="12"/>
  <c r="BR68" i="12"/>
  <c r="BQ68" i="12"/>
  <c r="BP68" i="12"/>
  <c r="BO68" i="12"/>
  <c r="BN68" i="12"/>
  <c r="BM68" i="12"/>
  <c r="BL68" i="12"/>
  <c r="BK68" i="12"/>
  <c r="BJ68" i="12"/>
  <c r="BI68" i="12"/>
  <c r="BH68" i="12"/>
  <c r="BG68" i="12"/>
  <c r="BF68" i="12"/>
  <c r="BE68" i="12"/>
  <c r="BD68" i="12"/>
  <c r="BC68" i="12"/>
  <c r="BB68" i="12"/>
  <c r="BA68" i="12"/>
  <c r="AZ68" i="12"/>
  <c r="AY68" i="12"/>
  <c r="AX68" i="12"/>
  <c r="AW68" i="12"/>
  <c r="AV68" i="12"/>
  <c r="AU68" i="12"/>
  <c r="AT68" i="12"/>
  <c r="AS68" i="12"/>
  <c r="AR68" i="12"/>
  <c r="AQ68" i="12"/>
  <c r="AP68" i="12"/>
  <c r="AO68" i="12"/>
  <c r="AN68" i="12"/>
  <c r="AM68" i="12"/>
  <c r="AL68" i="12"/>
  <c r="AK68" i="12"/>
  <c r="AJ68" i="12"/>
  <c r="AI68" i="12"/>
  <c r="AH68" i="12"/>
  <c r="AG68" i="12"/>
  <c r="AF68" i="12"/>
  <c r="AE68" i="12"/>
  <c r="AD68" i="12"/>
  <c r="AC68" i="12"/>
  <c r="AB68" i="12"/>
  <c r="AA68" i="12"/>
  <c r="Z68" i="12"/>
  <c r="Y68" i="12"/>
  <c r="X68" i="12"/>
  <c r="W68" i="12"/>
  <c r="V68" i="12"/>
  <c r="U68" i="12"/>
  <c r="T68" i="12"/>
  <c r="S68" i="12"/>
  <c r="R68" i="12"/>
  <c r="HC66" i="12"/>
  <c r="HB66" i="12"/>
  <c r="HA66" i="12"/>
  <c r="GZ66" i="12"/>
  <c r="GY66" i="12"/>
  <c r="GX66" i="12"/>
  <c r="GW66" i="12"/>
  <c r="GV66" i="12"/>
  <c r="GU66" i="12"/>
  <c r="GT66" i="12"/>
  <c r="GS66" i="12"/>
  <c r="GR66" i="12"/>
  <c r="GQ66" i="12"/>
  <c r="GP66" i="12"/>
  <c r="GO66" i="12"/>
  <c r="GN66" i="12"/>
  <c r="GM66" i="12"/>
  <c r="GL66" i="12"/>
  <c r="GK66" i="12"/>
  <c r="GJ66" i="12"/>
  <c r="GI66" i="12"/>
  <c r="GH66" i="12"/>
  <c r="GG66" i="12"/>
  <c r="GF66" i="12"/>
  <c r="GE66" i="12"/>
  <c r="GD66" i="12"/>
  <c r="GC66" i="12"/>
  <c r="GB66" i="12"/>
  <c r="GA66" i="12"/>
  <c r="FZ66" i="12"/>
  <c r="FY66" i="12"/>
  <c r="FX66" i="12"/>
  <c r="FW66" i="12"/>
  <c r="FV66" i="12"/>
  <c r="FU66" i="12"/>
  <c r="FT66" i="12"/>
  <c r="FS66" i="12"/>
  <c r="FR66" i="12"/>
  <c r="FQ66" i="12"/>
  <c r="FP66" i="12"/>
  <c r="FO66" i="12"/>
  <c r="FN66" i="12"/>
  <c r="FM66" i="12"/>
  <c r="FL66" i="12"/>
  <c r="FK66" i="12"/>
  <c r="FJ66" i="12"/>
  <c r="FI66" i="12"/>
  <c r="FH66" i="12"/>
  <c r="FG66" i="12"/>
  <c r="FF66" i="12"/>
  <c r="FE66" i="12"/>
  <c r="FD66" i="12"/>
  <c r="FC66" i="12"/>
  <c r="FB66" i="12"/>
  <c r="FA66" i="12"/>
  <c r="EZ66" i="12"/>
  <c r="EY66" i="12"/>
  <c r="EX66" i="12"/>
  <c r="EW66" i="12"/>
  <c r="EV66" i="12"/>
  <c r="EU66" i="12"/>
  <c r="ET66" i="12"/>
  <c r="ES66" i="12"/>
  <c r="ER66" i="12"/>
  <c r="EQ66" i="12"/>
  <c r="EP66" i="12"/>
  <c r="EO66" i="12"/>
  <c r="EN66" i="12"/>
  <c r="EM66" i="12"/>
  <c r="EL66" i="12"/>
  <c r="EK66" i="12"/>
  <c r="EJ66" i="12"/>
  <c r="EI66" i="12"/>
  <c r="EH66" i="12"/>
  <c r="EG66" i="12"/>
  <c r="EF66" i="12"/>
  <c r="EE66" i="12"/>
  <c r="ED66" i="12"/>
  <c r="EC66" i="12"/>
  <c r="EB66" i="12"/>
  <c r="EA66" i="12"/>
  <c r="DZ66" i="12"/>
  <c r="DY66" i="12"/>
  <c r="DX66" i="12"/>
  <c r="DW66" i="12"/>
  <c r="DV66" i="12"/>
  <c r="DU66" i="12"/>
  <c r="DT66" i="12"/>
  <c r="DS66" i="12"/>
  <c r="DR66" i="12"/>
  <c r="DQ66" i="12"/>
  <c r="DP66" i="12"/>
  <c r="DO66" i="12"/>
  <c r="DN66" i="12"/>
  <c r="DM66" i="12"/>
  <c r="DL66" i="12"/>
  <c r="DK66" i="12"/>
  <c r="DJ66" i="12"/>
  <c r="DI66" i="12"/>
  <c r="DH66" i="12"/>
  <c r="DG66" i="12"/>
  <c r="DF66" i="12"/>
  <c r="DE66" i="12"/>
  <c r="DD66" i="12"/>
  <c r="DC66" i="12"/>
  <c r="DB66" i="12"/>
  <c r="DA66" i="12"/>
  <c r="CZ66" i="12"/>
  <c r="CY66" i="12"/>
  <c r="CX66" i="12"/>
  <c r="CW66" i="12"/>
  <c r="CV66" i="12"/>
  <c r="CU66" i="12"/>
  <c r="CT66" i="12"/>
  <c r="CS66" i="12"/>
  <c r="CR66" i="12"/>
  <c r="CQ66" i="12"/>
  <c r="CP66" i="12"/>
  <c r="CO66" i="12"/>
  <c r="CN66" i="12"/>
  <c r="CM66" i="12"/>
  <c r="CL66" i="12"/>
  <c r="CK66" i="12"/>
  <c r="CJ66" i="12"/>
  <c r="CI66" i="12"/>
  <c r="CH66" i="12"/>
  <c r="CG66" i="12"/>
  <c r="CF66" i="12"/>
  <c r="CE66" i="12"/>
  <c r="CD66" i="12"/>
  <c r="CC66" i="12"/>
  <c r="CB66" i="12"/>
  <c r="CA66" i="12"/>
  <c r="BZ66" i="12"/>
  <c r="BY66" i="12"/>
  <c r="BX66" i="12"/>
  <c r="BW66" i="12"/>
  <c r="BV66" i="12"/>
  <c r="BU66" i="12"/>
  <c r="BT66" i="12"/>
  <c r="BS66" i="12"/>
  <c r="BR66" i="12"/>
  <c r="BQ66" i="12"/>
  <c r="BP66" i="12"/>
  <c r="BO66" i="12"/>
  <c r="BN66" i="12"/>
  <c r="BM66" i="12"/>
  <c r="BL66" i="12"/>
  <c r="BK66" i="12"/>
  <c r="BJ66" i="12"/>
  <c r="BI66" i="12"/>
  <c r="BH66" i="12"/>
  <c r="BG66" i="12"/>
  <c r="BF66" i="12"/>
  <c r="BE66" i="12"/>
  <c r="BD66" i="12"/>
  <c r="BC66" i="12"/>
  <c r="BB66" i="12"/>
  <c r="BA66" i="12"/>
  <c r="AZ66" i="12"/>
  <c r="AY66" i="12"/>
  <c r="AX66" i="12"/>
  <c r="AW66" i="12"/>
  <c r="AV66" i="12"/>
  <c r="AU66" i="12"/>
  <c r="AT66" i="12"/>
  <c r="AS66" i="12"/>
  <c r="AR66" i="12"/>
  <c r="AQ66" i="12"/>
  <c r="AP66" i="12"/>
  <c r="AO66" i="12"/>
  <c r="AN66" i="12"/>
  <c r="AM66" i="12"/>
  <c r="AL66" i="12"/>
  <c r="AK66" i="12"/>
  <c r="AJ66" i="12"/>
  <c r="AI66" i="12"/>
  <c r="AH66" i="12"/>
  <c r="AG66" i="12"/>
  <c r="AF66" i="12"/>
  <c r="AE66" i="12"/>
  <c r="AD66" i="12"/>
  <c r="AC66" i="12"/>
  <c r="AB66" i="12"/>
  <c r="AA66" i="12"/>
  <c r="Z66" i="12"/>
  <c r="Y66" i="12"/>
  <c r="X66" i="12"/>
  <c r="W66" i="12"/>
  <c r="V66" i="12"/>
  <c r="U66" i="12"/>
  <c r="T66" i="12"/>
  <c r="S66" i="12"/>
  <c r="R66" i="12"/>
  <c r="HC62" i="12"/>
  <c r="HB62" i="12"/>
  <c r="HA62" i="12"/>
  <c r="GZ62" i="12"/>
  <c r="GY62" i="12"/>
  <c r="GX62" i="12"/>
  <c r="GW62" i="12"/>
  <c r="GV62" i="12"/>
  <c r="GU62" i="12"/>
  <c r="GT62" i="12"/>
  <c r="GS62" i="12"/>
  <c r="GR62" i="12"/>
  <c r="GQ62" i="12"/>
  <c r="GP62" i="12"/>
  <c r="GO62" i="12"/>
  <c r="GN62" i="12"/>
  <c r="GM62" i="12"/>
  <c r="GL62" i="12"/>
  <c r="GK62" i="12"/>
  <c r="GJ62" i="12"/>
  <c r="GI62" i="12"/>
  <c r="GH62" i="12"/>
  <c r="GG62" i="12"/>
  <c r="GF62" i="12"/>
  <c r="GE62" i="12"/>
  <c r="GD62" i="12"/>
  <c r="GC62" i="12"/>
  <c r="GB62" i="12"/>
  <c r="GA62" i="12"/>
  <c r="FZ62" i="12"/>
  <c r="FY62" i="12"/>
  <c r="FX62" i="12"/>
  <c r="FW62" i="12"/>
  <c r="FV62" i="12"/>
  <c r="FU62" i="12"/>
  <c r="FT62" i="12"/>
  <c r="FS62" i="12"/>
  <c r="FR62" i="12"/>
  <c r="FQ62" i="12"/>
  <c r="FP62" i="12"/>
  <c r="FO62" i="12"/>
  <c r="FN62" i="12"/>
  <c r="FM62" i="12"/>
  <c r="FL62" i="12"/>
  <c r="FK62" i="12"/>
  <c r="FJ62" i="12"/>
  <c r="FI62" i="12"/>
  <c r="FH62" i="12"/>
  <c r="FG62" i="12"/>
  <c r="FF62" i="12"/>
  <c r="FE62" i="12"/>
  <c r="FD62" i="12"/>
  <c r="FC62" i="12"/>
  <c r="FB62" i="12"/>
  <c r="FA62" i="12"/>
  <c r="EZ62" i="12"/>
  <c r="EY62" i="12"/>
  <c r="EX62" i="12"/>
  <c r="EW62" i="12"/>
  <c r="EV62" i="12"/>
  <c r="EU62" i="12"/>
  <c r="ET62" i="12"/>
  <c r="ES62" i="12"/>
  <c r="ER62" i="12"/>
  <c r="EQ62" i="12"/>
  <c r="EP62" i="12"/>
  <c r="EO62" i="12"/>
  <c r="EN62" i="12"/>
  <c r="EM62" i="12"/>
  <c r="EL62" i="12"/>
  <c r="EK62" i="12"/>
  <c r="EJ62" i="12"/>
  <c r="EI62" i="12"/>
  <c r="EH62" i="12"/>
  <c r="EG62" i="12"/>
  <c r="EF62" i="12"/>
  <c r="EE62" i="12"/>
  <c r="ED62" i="12"/>
  <c r="EC62" i="12"/>
  <c r="EB62" i="12"/>
  <c r="EA62" i="12"/>
  <c r="DZ62" i="12"/>
  <c r="DY62" i="12"/>
  <c r="DX62" i="12"/>
  <c r="DW62" i="12"/>
  <c r="DV62" i="12"/>
  <c r="DU62" i="12"/>
  <c r="DT62" i="12"/>
  <c r="DS62" i="12"/>
  <c r="DR62" i="12"/>
  <c r="DQ62" i="12"/>
  <c r="DP62" i="12"/>
  <c r="DO62" i="12"/>
  <c r="DN62" i="12"/>
  <c r="DM62" i="12"/>
  <c r="DL62" i="12"/>
  <c r="DK62" i="12"/>
  <c r="DJ62" i="12"/>
  <c r="DI62" i="12"/>
  <c r="DH62" i="12"/>
  <c r="DG62" i="12"/>
  <c r="DF62" i="12"/>
  <c r="DE62" i="12"/>
  <c r="DD62" i="12"/>
  <c r="DC62" i="12"/>
  <c r="DB62" i="12"/>
  <c r="DA62" i="12"/>
  <c r="CZ62" i="12"/>
  <c r="CY62" i="12"/>
  <c r="CX62" i="12"/>
  <c r="CW62" i="12"/>
  <c r="CV62" i="12"/>
  <c r="CU62" i="12"/>
  <c r="CT62" i="12"/>
  <c r="CS62" i="12"/>
  <c r="CR62" i="12"/>
  <c r="CQ62" i="12"/>
  <c r="CP62" i="12"/>
  <c r="CO62" i="12"/>
  <c r="CN62" i="12"/>
  <c r="CM62" i="12"/>
  <c r="CL62" i="12"/>
  <c r="CK62" i="12"/>
  <c r="CJ62" i="12"/>
  <c r="CI62" i="12"/>
  <c r="CH62" i="12"/>
  <c r="CG62" i="12"/>
  <c r="CF62" i="12"/>
  <c r="CE62" i="12"/>
  <c r="CD62" i="12"/>
  <c r="CC62" i="12"/>
  <c r="CB62" i="12"/>
  <c r="CA62" i="12"/>
  <c r="BZ62" i="12"/>
  <c r="BY62" i="12"/>
  <c r="BX62" i="12"/>
  <c r="BW62" i="12"/>
  <c r="BV62" i="12"/>
  <c r="BU62" i="12"/>
  <c r="BT62" i="12"/>
  <c r="BS62" i="12"/>
  <c r="BR62" i="12"/>
  <c r="BQ62" i="12"/>
  <c r="BP62" i="12"/>
  <c r="BO62" i="12"/>
  <c r="BN62" i="12"/>
  <c r="BM62" i="12"/>
  <c r="BL62" i="12"/>
  <c r="BK62" i="12"/>
  <c r="BJ62" i="12"/>
  <c r="BI62" i="12"/>
  <c r="BH62" i="12"/>
  <c r="BG62" i="12"/>
  <c r="BF62" i="12"/>
  <c r="BE62" i="12"/>
  <c r="BD62" i="12"/>
  <c r="BC62" i="12"/>
  <c r="BB62" i="12"/>
  <c r="BA62" i="12"/>
  <c r="AZ62" i="12"/>
  <c r="AY62" i="12"/>
  <c r="AX62" i="12"/>
  <c r="AW62" i="12"/>
  <c r="AV62" i="12"/>
  <c r="AU62" i="12"/>
  <c r="AT62" i="12"/>
  <c r="AS62" i="12"/>
  <c r="AR62" i="12"/>
  <c r="AQ62" i="12"/>
  <c r="AP62" i="12"/>
  <c r="AO62" i="12"/>
  <c r="AN62" i="12"/>
  <c r="AM62" i="12"/>
  <c r="AL62" i="12"/>
  <c r="AK62" i="12"/>
  <c r="AJ62" i="12"/>
  <c r="AI62" i="12"/>
  <c r="AH62" i="12"/>
  <c r="AG62" i="12"/>
  <c r="AF62" i="12"/>
  <c r="AE62" i="12"/>
  <c r="AD62" i="12"/>
  <c r="AC62" i="12"/>
  <c r="AB62" i="12"/>
  <c r="AA62" i="12"/>
  <c r="Z62" i="12"/>
  <c r="Y62" i="12"/>
  <c r="X62" i="12"/>
  <c r="W62" i="12"/>
  <c r="V62" i="12"/>
  <c r="U62" i="12"/>
  <c r="T62" i="12"/>
  <c r="S62" i="12"/>
  <c r="R62" i="12"/>
  <c r="HC58" i="12"/>
  <c r="HB58" i="12"/>
  <c r="HA58" i="12"/>
  <c r="GZ58" i="12"/>
  <c r="GY58" i="12"/>
  <c r="GX58" i="12"/>
  <c r="GW58" i="12"/>
  <c r="GV58" i="12"/>
  <c r="GU58" i="12"/>
  <c r="GT58" i="12"/>
  <c r="GS58" i="12"/>
  <c r="GR58" i="12"/>
  <c r="GQ58" i="12"/>
  <c r="GP58" i="12"/>
  <c r="GO58" i="12"/>
  <c r="GN58" i="12"/>
  <c r="GM58" i="12"/>
  <c r="GL58" i="12"/>
  <c r="GK58" i="12"/>
  <c r="GJ58" i="12"/>
  <c r="GI58" i="12"/>
  <c r="GH58" i="12"/>
  <c r="GG58" i="12"/>
  <c r="GF58" i="12"/>
  <c r="GE58" i="12"/>
  <c r="GD58" i="12"/>
  <c r="GC58" i="12"/>
  <c r="GB58" i="12"/>
  <c r="GA58" i="12"/>
  <c r="FZ58" i="12"/>
  <c r="FY58" i="12"/>
  <c r="FX58" i="12"/>
  <c r="FW58" i="12"/>
  <c r="FV58" i="12"/>
  <c r="FU58" i="12"/>
  <c r="FT58" i="12"/>
  <c r="FS58" i="12"/>
  <c r="FR58" i="12"/>
  <c r="FQ58" i="12"/>
  <c r="FP58" i="12"/>
  <c r="FO58" i="12"/>
  <c r="FN58" i="12"/>
  <c r="FM58" i="12"/>
  <c r="FL58" i="12"/>
  <c r="FK58" i="12"/>
  <c r="FJ58" i="12"/>
  <c r="FI58" i="12"/>
  <c r="FH58" i="12"/>
  <c r="FG58" i="12"/>
  <c r="FF58" i="12"/>
  <c r="FE58" i="12"/>
  <c r="FD58" i="12"/>
  <c r="FC58" i="12"/>
  <c r="FB58" i="12"/>
  <c r="FA58" i="12"/>
  <c r="EZ58" i="12"/>
  <c r="EY58" i="12"/>
  <c r="EX58" i="12"/>
  <c r="EW58" i="12"/>
  <c r="EV58" i="12"/>
  <c r="EU58" i="12"/>
  <c r="ET58" i="12"/>
  <c r="ES58" i="12"/>
  <c r="ER58" i="12"/>
  <c r="EQ58" i="12"/>
  <c r="EP58" i="12"/>
  <c r="EO58" i="12"/>
  <c r="EN58" i="12"/>
  <c r="EM58" i="12"/>
  <c r="EL58" i="12"/>
  <c r="EK58" i="12"/>
  <c r="EJ58" i="12"/>
  <c r="EI58" i="12"/>
  <c r="EH58" i="12"/>
  <c r="EG58" i="12"/>
  <c r="EF58" i="12"/>
  <c r="EE58" i="12"/>
  <c r="ED58" i="12"/>
  <c r="EC58" i="12"/>
  <c r="EB58" i="12"/>
  <c r="EA58" i="12"/>
  <c r="DZ58" i="12"/>
  <c r="DY58" i="12"/>
  <c r="DX58" i="12"/>
  <c r="DW58" i="12"/>
  <c r="DV58" i="12"/>
  <c r="DU58" i="12"/>
  <c r="DT58" i="12"/>
  <c r="DS58" i="12"/>
  <c r="DR58" i="12"/>
  <c r="DQ58" i="12"/>
  <c r="DP58" i="12"/>
  <c r="DO58" i="12"/>
  <c r="DN58" i="12"/>
  <c r="DM58" i="12"/>
  <c r="DL58" i="12"/>
  <c r="DK58" i="12"/>
  <c r="DJ58" i="12"/>
  <c r="DI58" i="12"/>
  <c r="DH58" i="12"/>
  <c r="DG58" i="12"/>
  <c r="DF58" i="12"/>
  <c r="DE58" i="12"/>
  <c r="DD58" i="12"/>
  <c r="DC58" i="12"/>
  <c r="DB58" i="12"/>
  <c r="DA58" i="12"/>
  <c r="CZ58" i="12"/>
  <c r="CY58" i="12"/>
  <c r="CX58" i="12"/>
  <c r="CW58" i="12"/>
  <c r="CV58" i="12"/>
  <c r="CU58" i="12"/>
  <c r="CT58" i="12"/>
  <c r="CS58" i="12"/>
  <c r="CR58" i="12"/>
  <c r="CQ58" i="12"/>
  <c r="CP58" i="12"/>
  <c r="CO58" i="12"/>
  <c r="CN58" i="12"/>
  <c r="CM58" i="12"/>
  <c r="CL58" i="12"/>
  <c r="CK58" i="12"/>
  <c r="CJ58" i="12"/>
  <c r="CI58" i="12"/>
  <c r="CH58" i="12"/>
  <c r="CG58" i="12"/>
  <c r="CF58" i="12"/>
  <c r="CE58" i="12"/>
  <c r="CD58" i="12"/>
  <c r="CC58" i="12"/>
  <c r="CB58" i="12"/>
  <c r="CA58" i="12"/>
  <c r="BZ58" i="12"/>
  <c r="BY58" i="12"/>
  <c r="BX58" i="12"/>
  <c r="BW58" i="12"/>
  <c r="BV58" i="12"/>
  <c r="BU58" i="12"/>
  <c r="BT58" i="12"/>
  <c r="BS58" i="12"/>
  <c r="BR58" i="12"/>
  <c r="BQ58" i="12"/>
  <c r="BP58" i="12"/>
  <c r="BO58" i="12"/>
  <c r="BN58" i="12"/>
  <c r="BM58" i="12"/>
  <c r="BL58" i="12"/>
  <c r="BK58" i="12"/>
  <c r="BJ58" i="12"/>
  <c r="BI58" i="12"/>
  <c r="BH58" i="12"/>
  <c r="BG58" i="12"/>
  <c r="BF58" i="12"/>
  <c r="BE58" i="12"/>
  <c r="BD58" i="12"/>
  <c r="BC58" i="12"/>
  <c r="BB58" i="12"/>
  <c r="BA58" i="12"/>
  <c r="AZ58" i="12"/>
  <c r="AY58" i="12"/>
  <c r="AX58" i="12"/>
  <c r="AW58" i="12"/>
  <c r="AV58" i="12"/>
  <c r="AU58" i="12"/>
  <c r="AT58" i="12"/>
  <c r="AS58" i="12"/>
  <c r="AR58" i="12"/>
  <c r="AQ58" i="12"/>
  <c r="AP58" i="12"/>
  <c r="AO58" i="12"/>
  <c r="AN58" i="12"/>
  <c r="AM58" i="12"/>
  <c r="AL58" i="12"/>
  <c r="AK58" i="12"/>
  <c r="AJ58" i="12"/>
  <c r="AI58" i="12"/>
  <c r="AH58" i="12"/>
  <c r="AG58" i="12"/>
  <c r="AF58" i="12"/>
  <c r="AE58" i="12"/>
  <c r="AD58" i="12"/>
  <c r="AC58" i="12"/>
  <c r="AB58" i="12"/>
  <c r="AA58" i="12"/>
  <c r="Z58" i="12"/>
  <c r="Y58" i="12"/>
  <c r="X58" i="12"/>
  <c r="W58" i="12"/>
  <c r="V58" i="12"/>
  <c r="U58" i="12"/>
  <c r="T58" i="12"/>
  <c r="S58" i="12"/>
  <c r="R58" i="12"/>
  <c r="HC54" i="12"/>
  <c r="HB54" i="12"/>
  <c r="HA54" i="12"/>
  <c r="GZ54" i="12"/>
  <c r="GY54" i="12"/>
  <c r="GX54" i="12"/>
  <c r="GW54" i="12"/>
  <c r="GV54" i="12"/>
  <c r="GU54" i="12"/>
  <c r="GT54" i="12"/>
  <c r="GS54" i="12"/>
  <c r="GR54" i="12"/>
  <c r="GQ54" i="12"/>
  <c r="GP54" i="12"/>
  <c r="GO54" i="12"/>
  <c r="GN54" i="12"/>
  <c r="GM54" i="12"/>
  <c r="GL54" i="12"/>
  <c r="GK54" i="12"/>
  <c r="GJ54" i="12"/>
  <c r="GI54" i="12"/>
  <c r="GH54" i="12"/>
  <c r="GG54" i="12"/>
  <c r="GF54" i="12"/>
  <c r="GE54" i="12"/>
  <c r="GD54" i="12"/>
  <c r="GC54" i="12"/>
  <c r="GB54" i="12"/>
  <c r="GA54" i="12"/>
  <c r="FZ54" i="12"/>
  <c r="FY54" i="12"/>
  <c r="FX54" i="12"/>
  <c r="FW54" i="12"/>
  <c r="FV54" i="12"/>
  <c r="FU54" i="12"/>
  <c r="FT54" i="12"/>
  <c r="FS54" i="12"/>
  <c r="FR54" i="12"/>
  <c r="FQ54" i="12"/>
  <c r="FP54" i="12"/>
  <c r="FO54" i="12"/>
  <c r="FN54" i="12"/>
  <c r="FM54" i="12"/>
  <c r="FK54" i="12"/>
  <c r="FJ54" i="12"/>
  <c r="FI54" i="12"/>
  <c r="FH54" i="12"/>
  <c r="FG54" i="12"/>
  <c r="FF54" i="12"/>
  <c r="FE54" i="12"/>
  <c r="FD54" i="12"/>
  <c r="FC54" i="12"/>
  <c r="FB54" i="12"/>
  <c r="FA54" i="12"/>
  <c r="EZ54" i="12"/>
  <c r="EY54" i="12"/>
  <c r="EX54" i="12"/>
  <c r="EW54" i="12"/>
  <c r="EV54" i="12"/>
  <c r="EU54" i="12"/>
  <c r="ET54" i="12"/>
  <c r="ES54" i="12"/>
  <c r="ER54" i="12"/>
  <c r="EQ54" i="12"/>
  <c r="EP54" i="12"/>
  <c r="EO54" i="12"/>
  <c r="EN54" i="12"/>
  <c r="EM54" i="12"/>
  <c r="EL54" i="12"/>
  <c r="EK54" i="12"/>
  <c r="EJ54" i="12"/>
  <c r="EI54" i="12"/>
  <c r="EH54" i="12"/>
  <c r="EG54" i="12"/>
  <c r="EF54" i="12"/>
  <c r="EE54" i="12"/>
  <c r="ED54" i="12"/>
  <c r="EC54" i="12"/>
  <c r="EB54" i="12"/>
  <c r="EA54" i="12"/>
  <c r="DZ54" i="12"/>
  <c r="DY54" i="12"/>
  <c r="DX54" i="12"/>
  <c r="DW54" i="12"/>
  <c r="DV54" i="12"/>
  <c r="DU54" i="12"/>
  <c r="DT54" i="12"/>
  <c r="DS54" i="12"/>
  <c r="DR54" i="12"/>
  <c r="DQ54" i="12"/>
  <c r="DP54" i="12"/>
  <c r="DO54" i="12"/>
  <c r="DN54" i="12"/>
  <c r="DM54" i="12"/>
  <c r="DL54" i="12"/>
  <c r="DK54" i="12"/>
  <c r="DJ54" i="12"/>
  <c r="DI54" i="12"/>
  <c r="DH54" i="12"/>
  <c r="DG54" i="12"/>
  <c r="DF54" i="12"/>
  <c r="DE54" i="12"/>
  <c r="DD54" i="12"/>
  <c r="DC54" i="12"/>
  <c r="DB54" i="12"/>
  <c r="DA54" i="12"/>
  <c r="CZ54" i="12"/>
  <c r="CY54" i="12"/>
  <c r="CX54" i="12"/>
  <c r="CW54" i="12"/>
  <c r="CV54" i="12"/>
  <c r="CU54" i="12"/>
  <c r="CT54" i="12"/>
  <c r="CS54" i="12"/>
  <c r="CR54" i="12"/>
  <c r="CQ54" i="12"/>
  <c r="CP54" i="12"/>
  <c r="CO54" i="12"/>
  <c r="CN54" i="12"/>
  <c r="CM54" i="12"/>
  <c r="CL54" i="12"/>
  <c r="CK54" i="12"/>
  <c r="CJ54" i="12"/>
  <c r="CI54" i="12"/>
  <c r="CH54" i="12"/>
  <c r="CG54" i="12"/>
  <c r="CF54" i="12"/>
  <c r="CE54" i="12"/>
  <c r="CD54" i="12"/>
  <c r="CC54" i="12"/>
  <c r="CB54" i="12"/>
  <c r="CA54" i="12"/>
  <c r="BZ54" i="12"/>
  <c r="BY54" i="12"/>
  <c r="BX54" i="12"/>
  <c r="BW54" i="12"/>
  <c r="BV54" i="12"/>
  <c r="BU54" i="12"/>
  <c r="BT54" i="12"/>
  <c r="BS54" i="12"/>
  <c r="BR54" i="12"/>
  <c r="BQ54" i="12"/>
  <c r="BP54" i="12"/>
  <c r="BO54" i="12"/>
  <c r="BN54" i="12"/>
  <c r="BM54" i="12"/>
  <c r="BL54" i="12"/>
  <c r="BK54" i="12"/>
  <c r="BJ54" i="12"/>
  <c r="BI54" i="12"/>
  <c r="BH54" i="12"/>
  <c r="BG54" i="12"/>
  <c r="BF54" i="12"/>
  <c r="BE54" i="12"/>
  <c r="BD54" i="12"/>
  <c r="BC54" i="12"/>
  <c r="BB54" i="12"/>
  <c r="BA54" i="12"/>
  <c r="AZ54" i="12"/>
  <c r="AY54" i="12"/>
  <c r="AX54" i="12"/>
  <c r="AW54" i="12"/>
  <c r="AV54" i="12"/>
  <c r="AU54" i="12"/>
  <c r="AT54" i="12"/>
  <c r="AS54" i="12"/>
  <c r="AR54" i="12"/>
  <c r="AQ54" i="12"/>
  <c r="AP54" i="12"/>
  <c r="AO54" i="12"/>
  <c r="AN54" i="12"/>
  <c r="AM54" i="12"/>
  <c r="AL54" i="12"/>
  <c r="AK54" i="12"/>
  <c r="AJ54" i="12"/>
  <c r="AI54" i="12"/>
  <c r="AH54" i="12"/>
  <c r="AG54" i="12"/>
  <c r="AF54" i="12"/>
  <c r="AE54" i="12"/>
  <c r="AD54" i="12"/>
  <c r="AC54" i="12"/>
  <c r="AB54" i="12"/>
  <c r="AA54" i="12"/>
  <c r="Z54" i="12"/>
  <c r="Y54" i="12"/>
  <c r="X54" i="12"/>
  <c r="W54" i="12"/>
  <c r="V54" i="12"/>
  <c r="U54" i="12"/>
  <c r="T54" i="12"/>
  <c r="S54" i="12"/>
  <c r="R54" i="12"/>
  <c r="HC44" i="12"/>
  <c r="HB44" i="12"/>
  <c r="HA44" i="12"/>
  <c r="GZ44" i="12"/>
  <c r="GY44" i="12"/>
  <c r="GX44" i="12"/>
  <c r="GW44" i="12"/>
  <c r="GV44" i="12"/>
  <c r="GU44" i="12"/>
  <c r="GT44" i="12"/>
  <c r="GS44" i="12"/>
  <c r="GR44" i="12"/>
  <c r="GQ44" i="12"/>
  <c r="GP44" i="12"/>
  <c r="GO44" i="12"/>
  <c r="GN44" i="12"/>
  <c r="GM44" i="12"/>
  <c r="GL44" i="12"/>
  <c r="GK44" i="12"/>
  <c r="GJ44" i="12"/>
  <c r="GI44" i="12"/>
  <c r="GH44" i="12"/>
  <c r="GG44" i="12"/>
  <c r="GF44" i="12"/>
  <c r="GE44" i="12"/>
  <c r="GD44" i="12"/>
  <c r="GC44" i="12"/>
  <c r="GB44" i="12"/>
  <c r="GA44" i="12"/>
  <c r="FZ44" i="12"/>
  <c r="FY44" i="12"/>
  <c r="FX44" i="12"/>
  <c r="FW44" i="12"/>
  <c r="FV44" i="12"/>
  <c r="FU44" i="12"/>
  <c r="FT44" i="12"/>
  <c r="FS44" i="12"/>
  <c r="FR44" i="12"/>
  <c r="FQ44" i="12"/>
  <c r="FP44" i="12"/>
  <c r="FO44" i="12"/>
  <c r="FN44" i="12"/>
  <c r="FM44" i="12"/>
  <c r="FL44" i="12"/>
  <c r="FK44" i="12"/>
  <c r="FJ44" i="12"/>
  <c r="FI44" i="12"/>
  <c r="FH44" i="12"/>
  <c r="FG44" i="12"/>
  <c r="FF44" i="12"/>
  <c r="FE44" i="12"/>
  <c r="FD44" i="12"/>
  <c r="FC44" i="12"/>
  <c r="FB44" i="12"/>
  <c r="FA44" i="12"/>
  <c r="EZ44" i="12"/>
  <c r="EY44" i="12"/>
  <c r="EX44" i="12"/>
  <c r="EW44" i="12"/>
  <c r="EV44" i="12"/>
  <c r="EU44" i="12"/>
  <c r="ET44" i="12"/>
  <c r="ES44" i="12"/>
  <c r="ER44" i="12"/>
  <c r="EQ44" i="12"/>
  <c r="EP44" i="12"/>
  <c r="EO44" i="12"/>
  <c r="EN44" i="12"/>
  <c r="EM44" i="12"/>
  <c r="EL44" i="12"/>
  <c r="EK44" i="12"/>
  <c r="EJ44" i="12"/>
  <c r="EI44" i="12"/>
  <c r="EH44" i="12"/>
  <c r="EG44" i="12"/>
  <c r="EF44" i="12"/>
  <c r="EE44" i="12"/>
  <c r="ED44" i="12"/>
  <c r="EC44" i="12"/>
  <c r="EB44" i="12"/>
  <c r="EA44" i="12"/>
  <c r="DZ44" i="12"/>
  <c r="DY44" i="12"/>
  <c r="DX44" i="12"/>
  <c r="DW44" i="12"/>
  <c r="DV44" i="12"/>
  <c r="DU44" i="12"/>
  <c r="DT44" i="12"/>
  <c r="DS44" i="12"/>
  <c r="DR44" i="12"/>
  <c r="DQ44" i="12"/>
  <c r="DP44" i="12"/>
  <c r="DO44" i="12"/>
  <c r="DN44" i="12"/>
  <c r="DM44" i="12"/>
  <c r="DL44" i="12"/>
  <c r="DK44" i="12"/>
  <c r="DJ44" i="12"/>
  <c r="DI44" i="12"/>
  <c r="DH44" i="12"/>
  <c r="DG44" i="12"/>
  <c r="DF44" i="12"/>
  <c r="DE44" i="12"/>
  <c r="DD44" i="12"/>
  <c r="DC44" i="12"/>
  <c r="DB44" i="12"/>
  <c r="DA44" i="12"/>
  <c r="CZ44" i="12"/>
  <c r="CY44" i="12"/>
  <c r="CX44" i="12"/>
  <c r="CW44" i="12"/>
  <c r="CV44" i="12"/>
  <c r="CU44" i="12"/>
  <c r="CT44" i="12"/>
  <c r="CS44" i="12"/>
  <c r="CR44" i="12"/>
  <c r="CQ44" i="12"/>
  <c r="CP44" i="12"/>
  <c r="CO44" i="12"/>
  <c r="CN44" i="12"/>
  <c r="CM44" i="12"/>
  <c r="CL44" i="12"/>
  <c r="CK44" i="12"/>
  <c r="CJ44" i="12"/>
  <c r="CI44" i="12"/>
  <c r="CH44" i="12"/>
  <c r="CG44" i="12"/>
  <c r="CF44" i="12"/>
  <c r="CE44" i="12"/>
  <c r="CD44" i="12"/>
  <c r="CC44" i="12"/>
  <c r="CB44" i="12"/>
  <c r="CA44" i="12"/>
  <c r="BZ44" i="12"/>
  <c r="BY44" i="12"/>
  <c r="BX44" i="12"/>
  <c r="BW44" i="12"/>
  <c r="BV44" i="12"/>
  <c r="BU44" i="12"/>
  <c r="BT44" i="12"/>
  <c r="BS44" i="12"/>
  <c r="BR44" i="12"/>
  <c r="BQ44" i="12"/>
  <c r="BP44" i="12"/>
  <c r="BO44" i="12"/>
  <c r="BN44" i="12"/>
  <c r="BM44" i="12"/>
  <c r="BL44" i="12"/>
  <c r="BK44" i="12"/>
  <c r="BJ44" i="12"/>
  <c r="BI44" i="12"/>
  <c r="BH44" i="12"/>
  <c r="BG44" i="12"/>
  <c r="BF44" i="12"/>
  <c r="BE44" i="12"/>
  <c r="BD44" i="12"/>
  <c r="BC44" i="12"/>
  <c r="BB44" i="12"/>
  <c r="BA44" i="12"/>
  <c r="AZ44" i="12"/>
  <c r="AY44" i="12"/>
  <c r="AX44" i="12"/>
  <c r="AW44" i="12"/>
  <c r="AV44" i="12"/>
  <c r="AU44" i="12"/>
  <c r="AT44" i="12"/>
  <c r="AS44" i="12"/>
  <c r="AR44" i="12"/>
  <c r="AQ44" i="12"/>
  <c r="AP44" i="12"/>
  <c r="AO44" i="12"/>
  <c r="AN44" i="12"/>
  <c r="AM44" i="12"/>
  <c r="AL44" i="12"/>
  <c r="AK44" i="12"/>
  <c r="AJ44" i="12"/>
  <c r="AI44" i="12"/>
  <c r="AH44" i="12"/>
  <c r="AG44" i="12"/>
  <c r="AF44" i="12"/>
  <c r="AE44" i="12"/>
  <c r="AD44" i="12"/>
  <c r="AC44" i="12"/>
  <c r="AB44" i="12"/>
  <c r="AA44" i="12"/>
  <c r="Z44" i="12"/>
  <c r="Y44" i="12"/>
  <c r="X44" i="12"/>
  <c r="W44" i="12"/>
  <c r="V44" i="12"/>
  <c r="U44" i="12"/>
  <c r="T44" i="12"/>
  <c r="S44" i="12"/>
  <c r="R44" i="12"/>
  <c r="HC26" i="12"/>
  <c r="HB26" i="12"/>
  <c r="HA26" i="12"/>
  <c r="GZ26" i="12"/>
  <c r="GY26" i="12"/>
  <c r="GX26" i="12"/>
  <c r="GW26" i="12"/>
  <c r="GV26" i="12"/>
  <c r="GU26" i="12"/>
  <c r="GT26" i="12"/>
  <c r="GS26" i="12"/>
  <c r="GR26" i="12"/>
  <c r="GQ26" i="12"/>
  <c r="GP26" i="12"/>
  <c r="GO26" i="12"/>
  <c r="GN26" i="12"/>
  <c r="GM26" i="12"/>
  <c r="GL26" i="12"/>
  <c r="GK26" i="12"/>
  <c r="GJ26" i="12"/>
  <c r="GI26" i="12"/>
  <c r="GH26" i="12"/>
  <c r="GG26" i="12"/>
  <c r="GF26" i="12"/>
  <c r="GE26" i="12"/>
  <c r="GD26" i="12"/>
  <c r="GC26" i="12"/>
  <c r="GB26" i="12"/>
  <c r="GA26" i="12"/>
  <c r="FZ26" i="12"/>
  <c r="FY26" i="12"/>
  <c r="FX26" i="12"/>
  <c r="FW26" i="12"/>
  <c r="FV26" i="12"/>
  <c r="FU26" i="12"/>
  <c r="FT26" i="12"/>
  <c r="FS26" i="12"/>
  <c r="FR26" i="12"/>
  <c r="FQ26" i="12"/>
  <c r="FP26" i="12"/>
  <c r="FO26" i="12"/>
  <c r="FN26" i="12"/>
  <c r="FM26" i="12"/>
  <c r="FL26" i="12"/>
  <c r="FK26" i="12"/>
  <c r="FJ26" i="12"/>
  <c r="FI26" i="12"/>
  <c r="FH26" i="12"/>
  <c r="FG26" i="12"/>
  <c r="FF26" i="12"/>
  <c r="FE26" i="12"/>
  <c r="FD26" i="12"/>
  <c r="FC26" i="12"/>
  <c r="FB26" i="12"/>
  <c r="FA26" i="12"/>
  <c r="EZ26" i="12"/>
  <c r="EY26" i="12"/>
  <c r="EX26" i="12"/>
  <c r="EW26" i="12"/>
  <c r="EV26" i="12"/>
  <c r="EU26" i="12"/>
  <c r="ET26" i="12"/>
  <c r="ES26" i="12"/>
  <c r="ER26" i="12"/>
  <c r="EQ26" i="12"/>
  <c r="EP26" i="12"/>
  <c r="EO26" i="12"/>
  <c r="EN26" i="12"/>
  <c r="EM26" i="12"/>
  <c r="EL26" i="12"/>
  <c r="EK26" i="12"/>
  <c r="EJ26" i="12"/>
  <c r="EI26" i="12"/>
  <c r="EH26" i="12"/>
  <c r="EG26" i="12"/>
  <c r="EF26" i="12"/>
  <c r="EE26" i="12"/>
  <c r="ED26" i="12"/>
  <c r="EC26" i="12"/>
  <c r="EB26" i="12"/>
  <c r="EA26" i="12"/>
  <c r="DZ26" i="12"/>
  <c r="DY26" i="12"/>
  <c r="DX26" i="12"/>
  <c r="DW26" i="12"/>
  <c r="DV26" i="12"/>
  <c r="DU26" i="12"/>
  <c r="DT26" i="12"/>
  <c r="DS26" i="12"/>
  <c r="DR26" i="12"/>
  <c r="DQ26" i="12"/>
  <c r="DP26" i="12"/>
  <c r="DO26" i="12"/>
  <c r="DN26" i="12"/>
  <c r="DM26" i="12"/>
  <c r="DL26" i="12"/>
  <c r="DK26" i="12"/>
  <c r="DJ26" i="12"/>
  <c r="DI26" i="12"/>
  <c r="DH26" i="12"/>
  <c r="DG26" i="12"/>
  <c r="DF26" i="12"/>
  <c r="DE26" i="12"/>
  <c r="DD26" i="12"/>
  <c r="DC26" i="12"/>
  <c r="DB26" i="12"/>
  <c r="DA26" i="12"/>
  <c r="CZ26" i="12"/>
  <c r="CY26" i="12"/>
  <c r="CX26" i="12"/>
  <c r="CW26" i="12"/>
  <c r="CV26" i="12"/>
  <c r="CU26" i="12"/>
  <c r="CT26" i="12"/>
  <c r="CS26" i="12"/>
  <c r="CR26" i="12"/>
  <c r="CQ26" i="12"/>
  <c r="CP26" i="12"/>
  <c r="CO26" i="12"/>
  <c r="CN26" i="12"/>
  <c r="CM26" i="12"/>
  <c r="CL26" i="12"/>
  <c r="CK26" i="12"/>
  <c r="CJ26" i="12"/>
  <c r="CI26" i="12"/>
  <c r="CH26" i="12"/>
  <c r="CG26" i="12"/>
  <c r="CF26" i="12"/>
  <c r="CE26" i="12"/>
  <c r="CD26" i="12"/>
  <c r="CC26" i="12"/>
  <c r="CB26" i="12"/>
  <c r="CA26" i="12"/>
  <c r="BZ26" i="12"/>
  <c r="BY26" i="12"/>
  <c r="BX26" i="12"/>
  <c r="BW26" i="12"/>
  <c r="BV26" i="12"/>
  <c r="BU26" i="12"/>
  <c r="BT26" i="12"/>
  <c r="BS26" i="12"/>
  <c r="BR26" i="12"/>
  <c r="BQ26" i="12"/>
  <c r="BP26" i="12"/>
  <c r="BO26" i="12"/>
  <c r="BN26" i="12"/>
  <c r="BM26" i="12"/>
  <c r="BL26" i="12"/>
  <c r="BK26" i="12"/>
  <c r="BJ26" i="12"/>
  <c r="BI26" i="12"/>
  <c r="BH26" i="12"/>
  <c r="BG26" i="12"/>
  <c r="BF26" i="12"/>
  <c r="BE26" i="12"/>
  <c r="BD26" i="12"/>
  <c r="BC26" i="12"/>
  <c r="BB26" i="12"/>
  <c r="BA26" i="12"/>
  <c r="AZ26" i="12"/>
  <c r="AY26" i="12"/>
  <c r="AX26" i="12"/>
  <c r="AW26" i="12"/>
  <c r="AV26" i="12"/>
  <c r="AU26" i="12"/>
  <c r="AT26" i="12"/>
  <c r="AS26" i="12"/>
  <c r="AR26" i="12"/>
  <c r="AQ26" i="12"/>
  <c r="AP26" i="12"/>
  <c r="AO26" i="12"/>
  <c r="AN26" i="12"/>
  <c r="AM26" i="12"/>
  <c r="AL26" i="12"/>
  <c r="AK26" i="12"/>
  <c r="AJ26" i="12"/>
  <c r="AI26" i="12"/>
  <c r="AH26" i="12"/>
  <c r="AG26" i="12"/>
  <c r="AF26" i="12"/>
  <c r="AE26" i="12"/>
  <c r="AD26" i="12"/>
  <c r="AC26" i="12"/>
  <c r="AB26" i="12"/>
  <c r="AA26" i="12"/>
  <c r="Z26" i="12"/>
  <c r="Y26" i="12"/>
  <c r="X26" i="12"/>
  <c r="W26" i="12"/>
  <c r="V26" i="12"/>
  <c r="U26" i="12"/>
  <c r="T26" i="12"/>
  <c r="S26" i="12"/>
  <c r="R26" i="12"/>
  <c r="HC22" i="12"/>
  <c r="HB22" i="12"/>
  <c r="HA22" i="12"/>
  <c r="GZ22" i="12"/>
  <c r="GY22" i="12"/>
  <c r="GX22" i="12"/>
  <c r="GW22" i="12"/>
  <c r="GV22" i="12"/>
  <c r="GU22" i="12"/>
  <c r="GT22" i="12"/>
  <c r="GS22" i="12"/>
  <c r="GR22" i="12"/>
  <c r="GQ22" i="12"/>
  <c r="GP22" i="12"/>
  <c r="GO22" i="12"/>
  <c r="GN22" i="12"/>
  <c r="GM22" i="12"/>
  <c r="GL22" i="12"/>
  <c r="GK22" i="12"/>
  <c r="GJ22" i="12"/>
  <c r="GI22" i="12"/>
  <c r="GH22" i="12"/>
  <c r="GG22" i="12"/>
  <c r="GF22" i="12"/>
  <c r="GE22" i="12"/>
  <c r="GD22" i="12"/>
  <c r="GC22" i="12"/>
  <c r="GB22" i="12"/>
  <c r="GA22" i="12"/>
  <c r="FZ22" i="12"/>
  <c r="FY22" i="12"/>
  <c r="FX22" i="12"/>
  <c r="FW22" i="12"/>
  <c r="FV22" i="12"/>
  <c r="FU22" i="12"/>
  <c r="FT22" i="12"/>
  <c r="FS22" i="12"/>
  <c r="FR22" i="12"/>
  <c r="FQ22" i="12"/>
  <c r="FP22" i="12"/>
  <c r="FO22" i="12"/>
  <c r="FN22" i="12"/>
  <c r="FM22" i="12"/>
  <c r="FL22" i="12"/>
  <c r="FK22" i="12"/>
  <c r="FJ22" i="12"/>
  <c r="FI22" i="12"/>
  <c r="FH22" i="12"/>
  <c r="FG22" i="12"/>
  <c r="FF22" i="12"/>
  <c r="FE22" i="12"/>
  <c r="FD22" i="12"/>
  <c r="FC22" i="12"/>
  <c r="FB22" i="12"/>
  <c r="FA22" i="12"/>
  <c r="EZ22" i="12"/>
  <c r="EY22" i="12"/>
  <c r="EX22" i="12"/>
  <c r="EW22" i="12"/>
  <c r="EV22" i="12"/>
  <c r="EU22" i="12"/>
  <c r="ET22" i="12"/>
  <c r="ES22" i="12"/>
  <c r="ER22" i="12"/>
  <c r="EQ22" i="12"/>
  <c r="EP22" i="12"/>
  <c r="EO22" i="12"/>
  <c r="EN22" i="12"/>
  <c r="EM22" i="12"/>
  <c r="EL22" i="12"/>
  <c r="EK22" i="12"/>
  <c r="EJ22" i="12"/>
  <c r="EI22" i="12"/>
  <c r="EH22" i="12"/>
  <c r="EG22" i="12"/>
  <c r="EF22" i="12"/>
  <c r="EE22" i="12"/>
  <c r="ED22" i="12"/>
  <c r="EC22" i="12"/>
  <c r="EB22" i="12"/>
  <c r="EA22" i="12"/>
  <c r="DZ22" i="12"/>
  <c r="DY22" i="12"/>
  <c r="DX22" i="12"/>
  <c r="DW22" i="12"/>
  <c r="DV22" i="12"/>
  <c r="DU22" i="12"/>
  <c r="DT22" i="12"/>
  <c r="DS22" i="12"/>
  <c r="DR22" i="12"/>
  <c r="DQ22" i="12"/>
  <c r="DP22" i="12"/>
  <c r="DO22" i="12"/>
  <c r="DN22" i="12"/>
  <c r="DM22" i="12"/>
  <c r="DL22" i="12"/>
  <c r="DK22" i="12"/>
  <c r="DJ22" i="12"/>
  <c r="DI22" i="12"/>
  <c r="DH22" i="12"/>
  <c r="DG22" i="12"/>
  <c r="DF22" i="12"/>
  <c r="DE22" i="12"/>
  <c r="DD22" i="12"/>
  <c r="DC22" i="12"/>
  <c r="DB22" i="12"/>
  <c r="DA22" i="12"/>
  <c r="CZ22" i="12"/>
  <c r="CY22" i="12"/>
  <c r="CX22" i="12"/>
  <c r="CW22" i="12"/>
  <c r="CV22" i="12"/>
  <c r="CU22" i="12"/>
  <c r="CT22" i="12"/>
  <c r="CS22" i="12"/>
  <c r="CR22" i="12"/>
  <c r="CQ22" i="12"/>
  <c r="CP22" i="12"/>
  <c r="CO22" i="12"/>
  <c r="CN22" i="12"/>
  <c r="CM22" i="12"/>
  <c r="CL22" i="12"/>
  <c r="CK22" i="12"/>
  <c r="CJ22" i="12"/>
  <c r="CI22" i="12"/>
  <c r="CH22" i="12"/>
  <c r="CG22" i="12"/>
  <c r="CF22" i="12"/>
  <c r="CE22" i="12"/>
  <c r="CD22" i="12"/>
  <c r="CC22" i="12"/>
  <c r="CB22" i="12"/>
  <c r="CA22" i="12"/>
  <c r="BZ22" i="12"/>
  <c r="BY22" i="12"/>
  <c r="BX22" i="12"/>
  <c r="BW22" i="12"/>
  <c r="BV22" i="12"/>
  <c r="BU22" i="12"/>
  <c r="BT22" i="12"/>
  <c r="BS22" i="12"/>
  <c r="BR22" i="12"/>
  <c r="BQ22" i="12"/>
  <c r="BP22" i="12"/>
  <c r="BO22" i="12"/>
  <c r="BN22" i="12"/>
  <c r="BM22" i="12"/>
  <c r="BL22" i="12"/>
  <c r="BK22" i="12"/>
  <c r="BJ22" i="12"/>
  <c r="BI22" i="12"/>
  <c r="BH22" i="12"/>
  <c r="BG22" i="12"/>
  <c r="BF22" i="12"/>
  <c r="BE22" i="12"/>
  <c r="BD22" i="12"/>
  <c r="BC22" i="12"/>
  <c r="BB22" i="12"/>
  <c r="BA22" i="12"/>
  <c r="AZ22" i="12"/>
  <c r="AY22" i="12"/>
  <c r="AX22" i="12"/>
  <c r="AW22" i="12"/>
  <c r="AV22" i="12"/>
  <c r="AU22" i="12"/>
  <c r="AT22" i="12"/>
  <c r="AS22" i="12"/>
  <c r="AR22" i="12"/>
  <c r="AQ22" i="12"/>
  <c r="AP22" i="12"/>
  <c r="AO22" i="12"/>
  <c r="AN22" i="12"/>
  <c r="AM22" i="12"/>
  <c r="AL22" i="12"/>
  <c r="AK22" i="12"/>
  <c r="AJ22" i="12"/>
  <c r="AI22" i="12"/>
  <c r="AH22" i="12"/>
  <c r="AG22" i="12"/>
  <c r="AF22" i="12"/>
  <c r="AE22" i="12"/>
  <c r="AD22" i="12"/>
  <c r="AC22" i="12"/>
  <c r="AB22" i="12"/>
  <c r="AA22" i="12"/>
  <c r="Z22" i="12"/>
  <c r="Y22" i="12"/>
  <c r="X22" i="12"/>
  <c r="W22" i="12"/>
  <c r="V22" i="12"/>
  <c r="U22" i="12"/>
  <c r="T22" i="12"/>
  <c r="S22" i="12"/>
  <c r="R22" i="12"/>
  <c r="HC17" i="12"/>
  <c r="HB17" i="12"/>
  <c r="HA17" i="12"/>
  <c r="GZ17" i="12"/>
  <c r="GY17" i="12"/>
  <c r="GX17" i="12"/>
  <c r="GW17" i="12"/>
  <c r="GV17" i="12"/>
  <c r="GU17" i="12"/>
  <c r="GT17" i="12"/>
  <c r="GS17" i="12"/>
  <c r="GR17" i="12"/>
  <c r="GQ17" i="12"/>
  <c r="GP17" i="12"/>
  <c r="GO17" i="12"/>
  <c r="GN17" i="12"/>
  <c r="GM17" i="12"/>
  <c r="GL17" i="12"/>
  <c r="GK17" i="12"/>
  <c r="GJ17" i="12"/>
  <c r="GI17" i="12"/>
  <c r="GH17" i="12"/>
  <c r="GG17" i="12"/>
  <c r="GF17" i="12"/>
  <c r="GE17" i="12"/>
  <c r="GD17" i="12"/>
  <c r="GC17" i="12"/>
  <c r="GB17" i="12"/>
  <c r="GA17" i="12"/>
  <c r="FZ17" i="12"/>
  <c r="FY17" i="12"/>
  <c r="FX17" i="12"/>
  <c r="FW17" i="12"/>
  <c r="FV17" i="12"/>
  <c r="FU17" i="12"/>
  <c r="FT17" i="12"/>
  <c r="FS17" i="12"/>
  <c r="FR17" i="12"/>
  <c r="FQ17" i="12"/>
  <c r="FP17" i="12"/>
  <c r="FO17" i="12"/>
  <c r="FN17" i="12"/>
  <c r="FM17" i="12"/>
  <c r="FL17" i="12"/>
  <c r="FK17" i="12"/>
  <c r="FJ17" i="12"/>
  <c r="FI17" i="12"/>
  <c r="FH17" i="12"/>
  <c r="FG17" i="12"/>
  <c r="FF17" i="12"/>
  <c r="FE17" i="12"/>
  <c r="FD17" i="12"/>
  <c r="FC17" i="12"/>
  <c r="FB17" i="12"/>
  <c r="FA17" i="12"/>
  <c r="EZ17" i="12"/>
  <c r="EY17" i="12"/>
  <c r="EX17" i="12"/>
  <c r="EW17" i="12"/>
  <c r="EV17" i="12"/>
  <c r="EU17" i="12"/>
  <c r="ET17" i="12"/>
  <c r="ES17" i="12"/>
  <c r="ER17" i="12"/>
  <c r="EQ17" i="12"/>
  <c r="EP17" i="12"/>
  <c r="EO17" i="12"/>
  <c r="EN17" i="12"/>
  <c r="EM17" i="12"/>
  <c r="EL17" i="12"/>
  <c r="EK17" i="12"/>
  <c r="EJ17" i="12"/>
  <c r="EI17" i="12"/>
  <c r="EH17" i="12"/>
  <c r="EG17" i="12"/>
  <c r="EF17" i="12"/>
  <c r="EE17" i="12"/>
  <c r="ED17" i="12"/>
  <c r="EC17" i="12"/>
  <c r="EB17" i="12"/>
  <c r="EA17" i="12"/>
  <c r="DZ17" i="12"/>
  <c r="DY17" i="12"/>
  <c r="DX17" i="12"/>
  <c r="DW17" i="12"/>
  <c r="DV17" i="12"/>
  <c r="DU17" i="12"/>
  <c r="DT17" i="12"/>
  <c r="DS17" i="12"/>
  <c r="DR17" i="12"/>
  <c r="DQ17" i="12"/>
  <c r="DP17" i="12"/>
  <c r="DO17" i="12"/>
  <c r="DN17" i="12"/>
  <c r="DM17" i="12"/>
  <c r="DL17" i="12"/>
  <c r="DK17" i="12"/>
  <c r="DJ17" i="12"/>
  <c r="DI17" i="12"/>
  <c r="DH17" i="12"/>
  <c r="DG17" i="12"/>
  <c r="DF17" i="12"/>
  <c r="DE17" i="12"/>
  <c r="DD17" i="12"/>
  <c r="DC17" i="12"/>
  <c r="DB17" i="12"/>
  <c r="DA17" i="12"/>
  <c r="CZ17" i="12"/>
  <c r="CY17" i="12"/>
  <c r="CX17" i="12"/>
  <c r="CW17" i="12"/>
  <c r="CV17" i="12"/>
  <c r="CU17" i="12"/>
  <c r="CT17" i="12"/>
  <c r="CS17" i="12"/>
  <c r="CR17" i="12"/>
  <c r="CQ17" i="12"/>
  <c r="CP17" i="12"/>
  <c r="CO17" i="12"/>
  <c r="CN17" i="12"/>
  <c r="CM17" i="12"/>
  <c r="CL17" i="12"/>
  <c r="CK17" i="12"/>
  <c r="CJ17" i="12"/>
  <c r="CI17" i="12"/>
  <c r="CH17" i="12"/>
  <c r="CG17" i="12"/>
  <c r="CF17" i="12"/>
  <c r="CE17" i="12"/>
  <c r="CD17" i="12"/>
  <c r="CC17" i="12"/>
  <c r="CB17" i="12"/>
  <c r="CA17" i="12"/>
  <c r="BZ17" i="12"/>
  <c r="BY17" i="12"/>
  <c r="BX17" i="12"/>
  <c r="BW17" i="12"/>
  <c r="BV17" i="12"/>
  <c r="BU17" i="12"/>
  <c r="BT17" i="12"/>
  <c r="BS17" i="12"/>
  <c r="BR17" i="12"/>
  <c r="BQ17" i="12"/>
  <c r="BP17" i="12"/>
  <c r="BO17" i="12"/>
  <c r="BN17" i="12"/>
  <c r="BM17" i="12"/>
  <c r="BL17" i="12"/>
  <c r="BK17" i="12"/>
  <c r="BJ17" i="12"/>
  <c r="BI17" i="12"/>
  <c r="BH17" i="12"/>
  <c r="BG17" i="12"/>
  <c r="BF17" i="12"/>
  <c r="BE17" i="12"/>
  <c r="BD17" i="12"/>
  <c r="BC17" i="12"/>
  <c r="BB17" i="12"/>
  <c r="BA17" i="12"/>
  <c r="AZ17" i="12"/>
  <c r="AY17" i="12"/>
  <c r="AX17" i="12"/>
  <c r="AW17" i="12"/>
  <c r="AV17" i="12"/>
  <c r="AU17" i="12"/>
  <c r="AT17" i="12"/>
  <c r="AS17" i="12"/>
  <c r="AR17" i="12"/>
  <c r="AQ17" i="12"/>
  <c r="AP17" i="12"/>
  <c r="AO17" i="12"/>
  <c r="AN17" i="12"/>
  <c r="AM17" i="12"/>
  <c r="AL17" i="12"/>
  <c r="AK17" i="12"/>
  <c r="AJ17" i="12"/>
  <c r="AI17" i="12"/>
  <c r="AH17" i="12"/>
  <c r="AG17" i="12"/>
  <c r="AF17" i="12"/>
  <c r="AE17" i="12"/>
  <c r="AD17" i="12"/>
  <c r="AC17" i="12"/>
  <c r="AB17" i="12"/>
  <c r="AA17" i="12"/>
  <c r="Z17" i="12"/>
  <c r="Y17" i="12"/>
  <c r="X17" i="12"/>
  <c r="W17" i="12"/>
  <c r="V17" i="12"/>
  <c r="U17" i="12"/>
  <c r="T17" i="12"/>
  <c r="S17" i="12"/>
  <c r="R17" i="12"/>
  <c r="HC13" i="12"/>
  <c r="HB13" i="12"/>
  <c r="HA13" i="12"/>
  <c r="GZ13" i="12"/>
  <c r="GY13" i="12"/>
  <c r="GX13" i="12"/>
  <c r="GW13" i="12"/>
  <c r="GV13" i="12"/>
  <c r="GU13" i="12"/>
  <c r="GT13" i="12"/>
  <c r="GS13" i="12"/>
  <c r="GR13" i="12"/>
  <c r="GQ13" i="12"/>
  <c r="GP13" i="12"/>
  <c r="GO13" i="12"/>
  <c r="GN13" i="12"/>
  <c r="GM13" i="12"/>
  <c r="GL13" i="12"/>
  <c r="GK13" i="12"/>
  <c r="GJ13" i="12"/>
  <c r="GI13" i="12"/>
  <c r="GH13" i="12"/>
  <c r="GG13" i="12"/>
  <c r="GF13" i="12"/>
  <c r="GE13" i="12"/>
  <c r="GD13" i="12"/>
  <c r="GC13" i="12"/>
  <c r="GB13" i="12"/>
  <c r="GA13" i="12"/>
  <c r="FZ13" i="12"/>
  <c r="FY13" i="12"/>
  <c r="FX13" i="12"/>
  <c r="FW13" i="12"/>
  <c r="FV13" i="12"/>
  <c r="FU13" i="12"/>
  <c r="FT13" i="12"/>
  <c r="FS13" i="12"/>
  <c r="FR13" i="12"/>
  <c r="FQ13" i="12"/>
  <c r="FP13" i="12"/>
  <c r="FO13" i="12"/>
  <c r="FN13" i="12"/>
  <c r="FM13" i="12"/>
  <c r="FL13" i="12"/>
  <c r="FK13" i="12"/>
  <c r="FJ13" i="12"/>
  <c r="FI13" i="12"/>
  <c r="FH13" i="12"/>
  <c r="FG13" i="12"/>
  <c r="FF13" i="12"/>
  <c r="FE13" i="12"/>
  <c r="FD13" i="12"/>
  <c r="FC13" i="12"/>
  <c r="FB13" i="12"/>
  <c r="FA13" i="12"/>
  <c r="EZ13" i="12"/>
  <c r="EY13" i="12"/>
  <c r="EX13" i="12"/>
  <c r="EW13" i="12"/>
  <c r="EV13" i="12"/>
  <c r="EU13" i="12"/>
  <c r="ET13" i="12"/>
  <c r="ES13" i="12"/>
  <c r="ER13" i="12"/>
  <c r="EQ13" i="12"/>
  <c r="EP13" i="12"/>
  <c r="EO13" i="12"/>
  <c r="EN13" i="12"/>
  <c r="EM13" i="12"/>
  <c r="EL13" i="12"/>
  <c r="EK13" i="12"/>
  <c r="EJ13" i="12"/>
  <c r="EI13" i="12"/>
  <c r="EH13" i="12"/>
  <c r="EG13" i="12"/>
  <c r="EF13" i="12"/>
  <c r="EE13" i="12"/>
  <c r="ED13" i="12"/>
  <c r="EC13" i="12"/>
  <c r="EB13" i="12"/>
  <c r="EA13" i="12"/>
  <c r="DZ13" i="12"/>
  <c r="DY13" i="12"/>
  <c r="DX13" i="12"/>
  <c r="DW13" i="12"/>
  <c r="DV13" i="12"/>
  <c r="DU13" i="12"/>
  <c r="DT13" i="12"/>
  <c r="DS13" i="12"/>
  <c r="DR13" i="12"/>
  <c r="DQ13" i="12"/>
  <c r="DP13" i="12"/>
  <c r="DO13" i="12"/>
  <c r="DN13" i="12"/>
  <c r="DM13" i="12"/>
  <c r="DL13" i="12"/>
  <c r="DK13" i="12"/>
  <c r="DJ13" i="12"/>
  <c r="DI13" i="12"/>
  <c r="DH13" i="12"/>
  <c r="DG13" i="12"/>
  <c r="DF13" i="12"/>
  <c r="DE13" i="12"/>
  <c r="DD13" i="12"/>
  <c r="DC13" i="12"/>
  <c r="DB13" i="12"/>
  <c r="DA13" i="12"/>
  <c r="CZ13" i="12"/>
  <c r="CY13" i="12"/>
  <c r="CX13" i="12"/>
  <c r="CW13" i="12"/>
  <c r="CV13" i="12"/>
  <c r="CU13" i="12"/>
  <c r="CT13" i="12"/>
  <c r="CS13" i="12"/>
  <c r="CR13" i="12"/>
  <c r="CQ13" i="12"/>
  <c r="CP13" i="12"/>
  <c r="CO13" i="12"/>
  <c r="CN13" i="12"/>
  <c r="CM13" i="12"/>
  <c r="CL13" i="12"/>
  <c r="CK13" i="12"/>
  <c r="CJ13" i="12"/>
  <c r="CI13" i="12"/>
  <c r="CH13" i="12"/>
  <c r="CG13" i="12"/>
  <c r="CF13" i="12"/>
  <c r="CE13" i="12"/>
  <c r="CD13" i="12"/>
  <c r="CC13" i="12"/>
  <c r="CB13" i="12"/>
  <c r="CA13" i="12"/>
  <c r="BZ13" i="12"/>
  <c r="BY13" i="12"/>
  <c r="BX13" i="12"/>
  <c r="BW13" i="12"/>
  <c r="BV13" i="12"/>
  <c r="BU13" i="12"/>
  <c r="BT13" i="12"/>
  <c r="BS13" i="12"/>
  <c r="BR13" i="12"/>
  <c r="BQ13" i="12"/>
  <c r="BP13" i="12"/>
  <c r="BO13" i="12"/>
  <c r="BN13" i="12"/>
  <c r="BM13" i="12"/>
  <c r="BL13" i="12"/>
  <c r="BK13" i="12"/>
  <c r="BJ13" i="12"/>
  <c r="BI13" i="12"/>
  <c r="BH13" i="12"/>
  <c r="BG13" i="12"/>
  <c r="BF13" i="12"/>
  <c r="BE13" i="12"/>
  <c r="BD13" i="12"/>
  <c r="BC13" i="12"/>
  <c r="BB13" i="12"/>
  <c r="BA13" i="12"/>
  <c r="AZ13" i="12"/>
  <c r="AY13" i="12"/>
  <c r="AX13" i="12"/>
  <c r="AW13" i="12"/>
  <c r="AV13" i="12"/>
  <c r="AU13" i="12"/>
  <c r="AT13" i="12"/>
  <c r="AS13" i="12"/>
  <c r="AR13" i="12"/>
  <c r="AQ13" i="12"/>
  <c r="AP13" i="12"/>
  <c r="AO13" i="12"/>
  <c r="AN13" i="12"/>
  <c r="AM13" i="12"/>
  <c r="AL13" i="12"/>
  <c r="AK13" i="12"/>
  <c r="AJ13" i="12"/>
  <c r="AI13" i="12"/>
  <c r="AH13" i="12"/>
  <c r="AG13" i="12"/>
  <c r="AF13" i="12"/>
  <c r="AE13" i="12"/>
  <c r="AD13" i="12"/>
  <c r="AC13" i="12"/>
  <c r="AB13" i="12"/>
  <c r="AA13" i="12"/>
  <c r="Z13" i="12"/>
  <c r="Y13" i="12"/>
  <c r="X13" i="12"/>
  <c r="W13" i="12"/>
  <c r="V13" i="12"/>
  <c r="U13" i="12"/>
  <c r="T13" i="12"/>
  <c r="S13" i="12"/>
  <c r="R13" i="12"/>
  <c r="HC9" i="12"/>
  <c r="HB9" i="12"/>
  <c r="HA9" i="12"/>
  <c r="GZ9" i="12"/>
  <c r="GY9" i="12"/>
  <c r="GX9" i="12"/>
  <c r="GW9" i="12"/>
  <c r="GV9" i="12"/>
  <c r="GU9" i="12"/>
  <c r="GT9" i="12"/>
  <c r="GS9" i="12"/>
  <c r="GR9" i="12"/>
  <c r="GQ9" i="12"/>
  <c r="GP9" i="12"/>
  <c r="GO9" i="12"/>
  <c r="GN9" i="12"/>
  <c r="GM9" i="12"/>
  <c r="GL9" i="12"/>
  <c r="GK9" i="12"/>
  <c r="GJ9" i="12"/>
  <c r="GI9" i="12"/>
  <c r="GH9" i="12"/>
  <c r="GG9" i="12"/>
  <c r="GF9" i="12"/>
  <c r="GE9" i="12"/>
  <c r="GD9" i="12"/>
  <c r="GC9" i="12"/>
  <c r="GB9" i="12"/>
  <c r="GA9" i="12"/>
  <c r="FZ9" i="12"/>
  <c r="FY9" i="12"/>
  <c r="FX9" i="12"/>
  <c r="FW9" i="12"/>
  <c r="FV9" i="12"/>
  <c r="FU9" i="12"/>
  <c r="FT9" i="12"/>
  <c r="FS9" i="12"/>
  <c r="FR9" i="12"/>
  <c r="FQ9" i="12"/>
  <c r="FP9" i="12"/>
  <c r="FO9" i="12"/>
  <c r="FN9" i="12"/>
  <c r="FM9" i="12"/>
  <c r="FL9" i="12"/>
  <c r="FK9" i="12"/>
  <c r="FJ9" i="12"/>
  <c r="FI9" i="12"/>
  <c r="FH9" i="12"/>
  <c r="FG9" i="12"/>
  <c r="FF9" i="12"/>
  <c r="FE9" i="12"/>
  <c r="FD9" i="12"/>
  <c r="FC9" i="12"/>
  <c r="FB9" i="12"/>
  <c r="FA9" i="12"/>
  <c r="EZ9" i="12"/>
  <c r="EY9" i="12"/>
  <c r="EX9" i="12"/>
  <c r="EW9" i="12"/>
  <c r="EV9" i="12"/>
  <c r="EU9" i="12"/>
  <c r="ET9" i="12"/>
  <c r="ES9" i="12"/>
  <c r="ER9" i="12"/>
  <c r="EQ9" i="12"/>
  <c r="EP9" i="12"/>
  <c r="EO9" i="12"/>
  <c r="EN9" i="12"/>
  <c r="EM9" i="12"/>
  <c r="EL9" i="12"/>
  <c r="EK9" i="12"/>
  <c r="EJ9" i="12"/>
  <c r="EI9" i="12"/>
  <c r="EH9" i="12"/>
  <c r="EG9" i="12"/>
  <c r="EF9" i="12"/>
  <c r="EE9" i="12"/>
  <c r="ED9" i="12"/>
  <c r="EC9" i="12"/>
  <c r="EB9" i="12"/>
  <c r="EA9" i="12"/>
  <c r="DZ9" i="12"/>
  <c r="DY9" i="12"/>
  <c r="DX9" i="12"/>
  <c r="DW9" i="12"/>
  <c r="DV9" i="12"/>
  <c r="DU9" i="12"/>
  <c r="DT9" i="12"/>
  <c r="DS9" i="12"/>
  <c r="DR9" i="12"/>
  <c r="DQ9" i="12"/>
  <c r="DP9" i="12"/>
  <c r="DO9" i="12"/>
  <c r="DN9" i="12"/>
  <c r="DM9" i="12"/>
  <c r="DL9" i="12"/>
  <c r="DK9" i="12"/>
  <c r="DJ9" i="12"/>
  <c r="DI9" i="12"/>
  <c r="DH9" i="12"/>
  <c r="DG9" i="12"/>
  <c r="DF9" i="12"/>
  <c r="DE9" i="12"/>
  <c r="DD9" i="12"/>
  <c r="DC9" i="12"/>
  <c r="DB9" i="12"/>
  <c r="DA9" i="12"/>
  <c r="CZ9" i="12"/>
  <c r="CY9" i="12"/>
  <c r="CX9" i="12"/>
  <c r="CW9" i="12"/>
  <c r="CV9" i="12"/>
  <c r="CU9" i="12"/>
  <c r="CT9" i="12"/>
  <c r="CS9" i="12"/>
  <c r="CR9" i="12"/>
  <c r="CQ9" i="12"/>
  <c r="CP9" i="12"/>
  <c r="CO9" i="12"/>
  <c r="CN9" i="12"/>
  <c r="CM9" i="12"/>
  <c r="CL9" i="12"/>
  <c r="CK9" i="12"/>
  <c r="CJ9" i="12"/>
  <c r="CI9" i="12"/>
  <c r="CH9" i="12"/>
  <c r="CG9" i="12"/>
  <c r="CF9" i="12"/>
  <c r="CE9" i="12"/>
  <c r="CD9" i="12"/>
  <c r="CC9" i="12"/>
  <c r="CB9" i="12"/>
  <c r="CA9" i="12"/>
  <c r="BZ9" i="12"/>
  <c r="BY9" i="12"/>
  <c r="BX9" i="12"/>
  <c r="BW9" i="12"/>
  <c r="BV9" i="12"/>
  <c r="BU9" i="12"/>
  <c r="BT9" i="12"/>
  <c r="BS9" i="12"/>
  <c r="BR9" i="12"/>
  <c r="BQ9" i="12"/>
  <c r="BP9" i="12"/>
  <c r="BO9" i="12"/>
  <c r="BN9" i="12"/>
  <c r="BM9" i="12"/>
  <c r="BL9" i="12"/>
  <c r="BK9" i="12"/>
  <c r="BJ9" i="12"/>
  <c r="BI9" i="12"/>
  <c r="BH9" i="12"/>
  <c r="BG9" i="12"/>
  <c r="BF9" i="12"/>
  <c r="BE9" i="12"/>
  <c r="BD9" i="12"/>
  <c r="BC9" i="12"/>
  <c r="BB9" i="12"/>
  <c r="BA9" i="12"/>
  <c r="AZ9" i="12"/>
  <c r="AY9" i="12"/>
  <c r="AX9" i="12"/>
  <c r="AW9" i="12"/>
  <c r="AV9" i="12"/>
  <c r="AU9" i="12"/>
  <c r="AT9" i="12"/>
  <c r="AS9" i="12"/>
  <c r="AR9" i="12"/>
  <c r="AQ9" i="12"/>
  <c r="AP9" i="12"/>
  <c r="AO9" i="12"/>
  <c r="AN9" i="12"/>
  <c r="AM9" i="12"/>
  <c r="AL9" i="12"/>
  <c r="AK9" i="12"/>
  <c r="AJ9" i="12"/>
  <c r="AI9" i="12"/>
  <c r="AH9" i="12"/>
  <c r="AG9" i="12"/>
  <c r="AF9" i="12"/>
  <c r="AE9" i="12"/>
  <c r="AD9" i="12"/>
  <c r="AC9" i="12"/>
  <c r="AB9" i="12"/>
  <c r="AA9" i="12"/>
  <c r="Z9" i="12"/>
  <c r="Y9" i="12"/>
  <c r="X9" i="12"/>
  <c r="W9" i="12"/>
  <c r="V9" i="12"/>
  <c r="U9" i="12"/>
  <c r="T9" i="12"/>
  <c r="S9" i="12"/>
  <c r="R9" i="12"/>
  <c r="HC3" i="12"/>
  <c r="HB3" i="12"/>
  <c r="HA3" i="12"/>
  <c r="GZ3" i="12"/>
  <c r="GY3" i="12"/>
  <c r="GX3" i="12"/>
  <c r="GW3" i="12"/>
  <c r="GV3" i="12"/>
  <c r="GU3" i="12"/>
  <c r="GT3" i="12"/>
  <c r="GS3" i="12"/>
  <c r="GR3" i="12"/>
  <c r="GQ3" i="12"/>
  <c r="GP3" i="12"/>
  <c r="GO3" i="12"/>
  <c r="GN3" i="12"/>
  <c r="GM3" i="12"/>
  <c r="GL3" i="12"/>
  <c r="GK3" i="12"/>
  <c r="GJ3" i="12"/>
  <c r="GI3" i="12"/>
  <c r="GH3" i="12"/>
  <c r="GG3" i="12"/>
  <c r="GF3" i="12"/>
  <c r="GE3" i="12"/>
  <c r="GD3" i="12"/>
  <c r="GC3" i="12"/>
  <c r="GB3" i="12"/>
  <c r="GA3" i="12"/>
  <c r="FZ3" i="12"/>
  <c r="FY3" i="12"/>
  <c r="FX3" i="12"/>
  <c r="FW3" i="12"/>
  <c r="FV3" i="12"/>
  <c r="FU3" i="12"/>
  <c r="FT3" i="12"/>
  <c r="FS3" i="12"/>
  <c r="FR3" i="12"/>
  <c r="FQ3" i="12"/>
  <c r="FP3" i="12"/>
  <c r="FO3" i="12"/>
  <c r="FN3" i="12"/>
  <c r="FM3" i="12"/>
  <c r="FL3" i="12"/>
  <c r="FK3" i="12"/>
  <c r="FJ3" i="12"/>
  <c r="FI3" i="12"/>
  <c r="FH3" i="12"/>
  <c r="FG3" i="12"/>
  <c r="FF3" i="12"/>
  <c r="FE3" i="12"/>
  <c r="FD3" i="12"/>
  <c r="FC3" i="12"/>
  <c r="FB3" i="12"/>
  <c r="FA3" i="12"/>
  <c r="EZ3" i="12"/>
  <c r="EY3" i="12"/>
  <c r="EX3" i="12"/>
  <c r="EW3" i="12"/>
  <c r="EV3" i="12"/>
  <c r="EU3" i="12"/>
  <c r="ET3" i="12"/>
  <c r="ES3" i="12"/>
  <c r="ER3" i="12"/>
  <c r="EQ3" i="12"/>
  <c r="EP3" i="12"/>
  <c r="EO3" i="12"/>
  <c r="EN3" i="12"/>
  <c r="EM3" i="12"/>
  <c r="EL3" i="12"/>
  <c r="EK3" i="12"/>
  <c r="EJ3" i="12"/>
  <c r="EI3" i="12"/>
  <c r="EH3" i="12"/>
  <c r="EG3" i="12"/>
  <c r="EF3" i="12"/>
  <c r="EE3" i="12"/>
  <c r="ED3" i="12"/>
  <c r="EC3" i="12"/>
  <c r="EB3" i="12"/>
  <c r="EA3" i="12"/>
  <c r="DZ3" i="12"/>
  <c r="DY3" i="12"/>
  <c r="DX3" i="12"/>
  <c r="DW3" i="12"/>
  <c r="DV3" i="12"/>
  <c r="DU3" i="12"/>
  <c r="DT3" i="12"/>
  <c r="DS3" i="12"/>
  <c r="DR3" i="12"/>
  <c r="DQ3" i="12"/>
  <c r="DP3" i="12"/>
  <c r="DO3" i="12"/>
  <c r="DN3" i="12"/>
  <c r="DM3" i="12"/>
  <c r="DL3" i="12"/>
  <c r="DK3" i="12"/>
  <c r="DJ3" i="12"/>
  <c r="DI3" i="12"/>
  <c r="DH3" i="12"/>
  <c r="DG3" i="12"/>
  <c r="DF3" i="12"/>
  <c r="DE3" i="12"/>
  <c r="DD3" i="12"/>
  <c r="DC3" i="12"/>
  <c r="DB3" i="12"/>
  <c r="DA3" i="12"/>
  <c r="CZ3" i="12"/>
  <c r="CY3" i="12"/>
  <c r="CX3" i="12"/>
  <c r="CW3" i="12"/>
  <c r="CV3" i="12"/>
  <c r="CU3" i="12"/>
  <c r="CT3" i="12"/>
  <c r="CS3" i="12"/>
  <c r="CR3" i="12"/>
  <c r="CQ3" i="12"/>
  <c r="CP3" i="12"/>
  <c r="CO3" i="12"/>
  <c r="CN3" i="12"/>
  <c r="CM3" i="12"/>
  <c r="CL3" i="12"/>
  <c r="CK3" i="12"/>
  <c r="CJ3" i="12"/>
  <c r="CI3" i="12"/>
  <c r="CH3" i="12"/>
  <c r="CG3" i="12"/>
  <c r="CF3" i="12"/>
  <c r="CE3" i="12"/>
  <c r="CD3" i="12"/>
  <c r="CC3" i="12"/>
  <c r="CB3" i="12"/>
  <c r="CA3" i="12"/>
  <c r="BZ3" i="12"/>
  <c r="BY3" i="12"/>
  <c r="BX3" i="12"/>
  <c r="BW3" i="12"/>
  <c r="BV3" i="12"/>
  <c r="BU3" i="12"/>
  <c r="BT3" i="12"/>
  <c r="BS3" i="12"/>
  <c r="BR3" i="12"/>
  <c r="BQ3" i="12"/>
  <c r="BP3" i="12"/>
  <c r="BO3" i="12"/>
  <c r="BN3" i="12"/>
  <c r="BM3" i="12"/>
  <c r="BL3" i="12"/>
  <c r="BK3" i="12"/>
  <c r="BJ3" i="12"/>
  <c r="BI3" i="12"/>
  <c r="BH3" i="12"/>
  <c r="BG3" i="12"/>
  <c r="BF3" i="12"/>
  <c r="BE3" i="12"/>
  <c r="BD3" i="12"/>
  <c r="BC3" i="12"/>
  <c r="BB3" i="12"/>
  <c r="BA3" i="12"/>
  <c r="AZ3" i="12"/>
  <c r="AY3" i="12"/>
  <c r="AX3" i="12"/>
  <c r="AW3" i="12"/>
  <c r="AV3" i="12"/>
  <c r="AU3" i="12"/>
  <c r="AT3" i="12"/>
  <c r="AS3" i="12"/>
  <c r="AR3" i="12"/>
  <c r="AQ3" i="12"/>
  <c r="AP3" i="12"/>
  <c r="AO3" i="12"/>
  <c r="AN3" i="12"/>
  <c r="AM3" i="12"/>
  <c r="AL3" i="12"/>
  <c r="AK3" i="12"/>
  <c r="AJ3" i="12"/>
  <c r="AI3" i="12"/>
  <c r="AH3" i="12"/>
  <c r="AG3" i="12"/>
  <c r="AF3" i="12"/>
  <c r="AE3" i="12"/>
  <c r="AD3" i="12"/>
  <c r="AC3" i="12"/>
  <c r="AB3" i="12"/>
  <c r="AA3" i="12"/>
  <c r="Z3" i="12"/>
  <c r="Y3" i="12"/>
  <c r="X3" i="12"/>
  <c r="W3" i="12"/>
  <c r="V3" i="12"/>
  <c r="U3" i="12"/>
  <c r="T3" i="12"/>
  <c r="S3" i="12"/>
  <c r="R3" i="12"/>
  <c r="N94" i="12"/>
  <c r="M94" i="12"/>
  <c r="GY93" i="12" l="1"/>
  <c r="GX93" i="12"/>
  <c r="GU93" i="12"/>
  <c r="GN93" i="12"/>
  <c r="GM93" i="12"/>
  <c r="GJ93" i="12"/>
  <c r="GE93" i="12"/>
  <c r="GA93" i="12"/>
  <c r="FU93" i="12"/>
  <c r="FS93" i="12"/>
  <c r="FQ93" i="12"/>
  <c r="FL93" i="12"/>
  <c r="FI93" i="12"/>
  <c r="FE93" i="12"/>
  <c r="FA93" i="12"/>
  <c r="EX93" i="12"/>
  <c r="EV93" i="12"/>
  <c r="ES93" i="12"/>
  <c r="EI93" i="12"/>
  <c r="EG93" i="12"/>
  <c r="EE93" i="12"/>
  <c r="ED93" i="12"/>
  <c r="EC93" i="12"/>
  <c r="EA93" i="12"/>
  <c r="DY93" i="12"/>
  <c r="DW93" i="12"/>
  <c r="DU93" i="12"/>
  <c r="DK93" i="12"/>
  <c r="DJ93" i="12"/>
  <c r="DB93" i="12"/>
  <c r="CZ93" i="12"/>
  <c r="CR93" i="12"/>
  <c r="CQ93" i="12"/>
  <c r="CP93" i="12"/>
  <c r="CM93" i="12"/>
  <c r="CK93" i="12"/>
  <c r="CJ93" i="12"/>
  <c r="CD93" i="12"/>
  <c r="BT93" i="12"/>
  <c r="BS93" i="12"/>
  <c r="BR93" i="12"/>
  <c r="BQ93" i="12"/>
  <c r="BJ93" i="12"/>
  <c r="BI93" i="12"/>
  <c r="BC93" i="12"/>
  <c r="BA93" i="12"/>
  <c r="N93" i="12"/>
  <c r="AC93" i="12"/>
  <c r="R93" i="12"/>
  <c r="HC91" i="12"/>
  <c r="HB91" i="12"/>
  <c r="HA91" i="12"/>
  <c r="GZ91" i="12"/>
  <c r="GY91" i="12"/>
  <c r="GX91" i="12"/>
  <c r="GW91" i="12"/>
  <c r="GV91" i="12"/>
  <c r="GU91" i="12"/>
  <c r="GT91" i="12"/>
  <c r="GS91" i="12"/>
  <c r="GR91" i="12"/>
  <c r="GQ91" i="12"/>
  <c r="GP91" i="12"/>
  <c r="GO91" i="12"/>
  <c r="GN91" i="12"/>
  <c r="GM91" i="12"/>
  <c r="GL91" i="12"/>
  <c r="GK91" i="12"/>
  <c r="GJ91" i="12"/>
  <c r="GI91" i="12"/>
  <c r="GH91" i="12"/>
  <c r="GG91" i="12"/>
  <c r="GF91" i="12"/>
  <c r="GE91" i="12"/>
  <c r="GD91" i="12"/>
  <c r="GC91" i="12"/>
  <c r="GB91" i="12"/>
  <c r="GA91" i="12"/>
  <c r="FZ91" i="12"/>
  <c r="FY91" i="12"/>
  <c r="FX91" i="12"/>
  <c r="FW91" i="12"/>
  <c r="FV91" i="12"/>
  <c r="FU91" i="12"/>
  <c r="FT91" i="12"/>
  <c r="FS91" i="12"/>
  <c r="FR91" i="12"/>
  <c r="FQ91" i="12"/>
  <c r="FP91" i="12"/>
  <c r="FO91" i="12"/>
  <c r="FN91" i="12"/>
  <c r="FM91" i="12"/>
  <c r="FL91" i="12"/>
  <c r="FK91" i="12"/>
  <c r="FJ91" i="12"/>
  <c r="FI91" i="12"/>
  <c r="FH91" i="12"/>
  <c r="FG91" i="12"/>
  <c r="FF91" i="12"/>
  <c r="FE91" i="12"/>
  <c r="FD91" i="12"/>
  <c r="FC91" i="12"/>
  <c r="FB91" i="12"/>
  <c r="FA91" i="12"/>
  <c r="EZ91" i="12"/>
  <c r="EY91" i="12"/>
  <c r="EX91" i="12"/>
  <c r="EW91" i="12"/>
  <c r="EV91" i="12"/>
  <c r="EU91" i="12"/>
  <c r="ET91" i="12"/>
  <c r="ES91" i="12"/>
  <c r="ER91" i="12"/>
  <c r="EQ91" i="12"/>
  <c r="EP91" i="12"/>
  <c r="EO91" i="12"/>
  <c r="EN91" i="12"/>
  <c r="EM91" i="12"/>
  <c r="EL91" i="12"/>
  <c r="EK91" i="12"/>
  <c r="EJ91" i="12"/>
  <c r="EI91" i="12"/>
  <c r="EH91" i="12"/>
  <c r="EG91" i="12"/>
  <c r="EF91" i="12"/>
  <c r="EE91" i="12"/>
  <c r="ED91" i="12"/>
  <c r="EC91" i="12"/>
  <c r="EB91" i="12"/>
  <c r="EA91" i="12"/>
  <c r="DZ91" i="12"/>
  <c r="DY91" i="12"/>
  <c r="DX91" i="12"/>
  <c r="DW91" i="12"/>
  <c r="DV91" i="12"/>
  <c r="DU91" i="12"/>
  <c r="DT91" i="12"/>
  <c r="DS91" i="12"/>
  <c r="DR91" i="12"/>
  <c r="DQ91" i="12"/>
  <c r="DP91" i="12"/>
  <c r="DO91" i="12"/>
  <c r="DN91" i="12"/>
  <c r="DM91" i="12"/>
  <c r="DL91" i="12"/>
  <c r="DK91" i="12"/>
  <c r="DJ91" i="12"/>
  <c r="DI91" i="12"/>
  <c r="DH91" i="12"/>
  <c r="DG91" i="12"/>
  <c r="DF91" i="12"/>
  <c r="DE91" i="12"/>
  <c r="DD91" i="12"/>
  <c r="DC91" i="12"/>
  <c r="DB91" i="12"/>
  <c r="DA91" i="12"/>
  <c r="CZ91" i="12"/>
  <c r="CY91" i="12"/>
  <c r="CX91" i="12"/>
  <c r="CW91" i="12"/>
  <c r="CV91" i="12"/>
  <c r="CU91" i="12"/>
  <c r="CT91" i="12"/>
  <c r="CS91" i="12"/>
  <c r="CR91" i="12"/>
  <c r="CQ91" i="12"/>
  <c r="CP91" i="12"/>
  <c r="CO91" i="12"/>
  <c r="CN91" i="12"/>
  <c r="CM91" i="12"/>
  <c r="CL91" i="12"/>
  <c r="CK91" i="12"/>
  <c r="CJ91" i="12"/>
  <c r="CI91" i="12"/>
  <c r="CH91" i="12"/>
  <c r="CG91" i="12"/>
  <c r="CF91" i="12"/>
  <c r="CE91" i="12"/>
  <c r="CD91" i="12"/>
  <c r="CC91" i="12"/>
  <c r="CB91" i="12"/>
  <c r="CA91" i="12"/>
  <c r="BZ91" i="12"/>
  <c r="BY91" i="12"/>
  <c r="BX91" i="12"/>
  <c r="BW91" i="12"/>
  <c r="BV91" i="12"/>
  <c r="BU91" i="12"/>
  <c r="BT91" i="12"/>
  <c r="BS91" i="12"/>
  <c r="BR91" i="12"/>
  <c r="BQ91" i="12"/>
  <c r="BP91" i="12"/>
  <c r="BO91" i="12"/>
  <c r="BN91" i="12"/>
  <c r="BM91" i="12"/>
  <c r="BL91" i="12"/>
  <c r="BK91" i="12"/>
  <c r="BJ91" i="12"/>
  <c r="BI91" i="12"/>
  <c r="BH91" i="12"/>
  <c r="BG91" i="12"/>
  <c r="BF91" i="12"/>
  <c r="BE91" i="12"/>
  <c r="BD91" i="12"/>
  <c r="BC91" i="12"/>
  <c r="BB91" i="12"/>
  <c r="BA91" i="12"/>
  <c r="AZ91" i="12"/>
  <c r="AY91" i="12"/>
  <c r="AX91" i="12"/>
  <c r="AW91" i="12"/>
  <c r="AV91" i="12"/>
  <c r="AU91" i="12"/>
  <c r="AT91" i="12"/>
  <c r="AS91" i="12"/>
  <c r="AR91" i="12"/>
  <c r="AQ91" i="12"/>
  <c r="AP91" i="12"/>
  <c r="AO91" i="12"/>
  <c r="AN91" i="12"/>
  <c r="AM91" i="12"/>
  <c r="AL91" i="12"/>
  <c r="AK91" i="12"/>
  <c r="AJ91" i="12"/>
  <c r="AI91" i="12"/>
  <c r="AH91" i="12"/>
  <c r="AG91" i="12"/>
  <c r="AF91" i="12"/>
  <c r="AE91" i="12"/>
  <c r="AD91" i="12"/>
  <c r="AC91" i="12"/>
  <c r="AB91" i="12"/>
  <c r="AA91" i="12"/>
  <c r="Z91" i="12"/>
  <c r="Y91" i="12"/>
  <c r="X91" i="12"/>
  <c r="W91" i="12"/>
  <c r="V91" i="12"/>
  <c r="U91" i="12"/>
  <c r="T91" i="12"/>
  <c r="S91" i="12"/>
  <c r="R91" i="12"/>
  <c r="HC88" i="12"/>
  <c r="HB88" i="12"/>
  <c r="HA88" i="12"/>
  <c r="GZ88" i="12"/>
  <c r="GY88" i="12"/>
  <c r="GX88" i="12"/>
  <c r="GW88" i="12"/>
  <c r="GV88" i="12"/>
  <c r="GU88" i="12"/>
  <c r="GT88" i="12"/>
  <c r="GS88" i="12"/>
  <c r="GR88" i="12"/>
  <c r="GQ88" i="12"/>
  <c r="GP88" i="12"/>
  <c r="GO88" i="12"/>
  <c r="GN88" i="12"/>
  <c r="GM88" i="12"/>
  <c r="GL88" i="12"/>
  <c r="GK88" i="12"/>
  <c r="GJ88" i="12"/>
  <c r="GI88" i="12"/>
  <c r="GH88" i="12"/>
  <c r="GG88" i="12"/>
  <c r="GF88" i="12"/>
  <c r="GE88" i="12"/>
  <c r="GD88" i="12"/>
  <c r="GC88" i="12"/>
  <c r="GB88" i="12"/>
  <c r="GA88" i="12"/>
  <c r="FZ88" i="12"/>
  <c r="FY88" i="12"/>
  <c r="FX88" i="12"/>
  <c r="FW88" i="12"/>
  <c r="FV88" i="12"/>
  <c r="FU88" i="12"/>
  <c r="FT88" i="12"/>
  <c r="FS88" i="12"/>
  <c r="FR88" i="12"/>
  <c r="FQ88" i="12"/>
  <c r="FP88" i="12"/>
  <c r="FO88" i="12"/>
  <c r="FN88" i="12"/>
  <c r="FM88" i="12"/>
  <c r="FL88" i="12"/>
  <c r="FK88" i="12"/>
  <c r="FJ88" i="12"/>
  <c r="FI88" i="12"/>
  <c r="FH88" i="12"/>
  <c r="FG88" i="12"/>
  <c r="FF88" i="12"/>
  <c r="FE88" i="12"/>
  <c r="FD88" i="12"/>
  <c r="FC88" i="12"/>
  <c r="FB88" i="12"/>
  <c r="FA88" i="12"/>
  <c r="EZ88" i="12"/>
  <c r="EY88" i="12"/>
  <c r="EX88" i="12"/>
  <c r="EW88" i="12"/>
  <c r="EV88" i="12"/>
  <c r="EU88" i="12"/>
  <c r="ET88" i="12"/>
  <c r="ES88" i="12"/>
  <c r="ER88" i="12"/>
  <c r="EQ88" i="12"/>
  <c r="EP88" i="12"/>
  <c r="EO88" i="12"/>
  <c r="EN88" i="12"/>
  <c r="EM88" i="12"/>
  <c r="EL88" i="12"/>
  <c r="EK88" i="12"/>
  <c r="EJ88" i="12"/>
  <c r="EI88" i="12"/>
  <c r="EH88" i="12"/>
  <c r="EG88" i="12"/>
  <c r="EF88" i="12"/>
  <c r="EE88" i="12"/>
  <c r="ED88" i="12"/>
  <c r="EC88" i="12"/>
  <c r="EB88" i="12"/>
  <c r="EA88" i="12"/>
  <c r="DZ88" i="12"/>
  <c r="DY88" i="12"/>
  <c r="DX88" i="12"/>
  <c r="DW88" i="12"/>
  <c r="DV88" i="12"/>
  <c r="DU88" i="12"/>
  <c r="DT88" i="12"/>
  <c r="DS88" i="12"/>
  <c r="DR88" i="12"/>
  <c r="DQ88" i="12"/>
  <c r="DP88" i="12"/>
  <c r="DO88" i="12"/>
  <c r="DN88" i="12"/>
  <c r="DM88" i="12"/>
  <c r="DL88" i="12"/>
  <c r="DK88" i="12"/>
  <c r="DJ88" i="12"/>
  <c r="DI88" i="12"/>
  <c r="DH88" i="12"/>
  <c r="DG88" i="12"/>
  <c r="DF88" i="12"/>
  <c r="DE88" i="12"/>
  <c r="DD88" i="12"/>
  <c r="DC88" i="12"/>
  <c r="DB88" i="12"/>
  <c r="DA88" i="12"/>
  <c r="CZ88" i="12"/>
  <c r="CY88" i="12"/>
  <c r="CX88" i="12"/>
  <c r="CW88" i="12"/>
  <c r="CV88" i="12"/>
  <c r="CU88" i="12"/>
  <c r="CT88" i="12"/>
  <c r="CS88" i="12"/>
  <c r="CR88" i="12"/>
  <c r="CQ88" i="12"/>
  <c r="CP88" i="12"/>
  <c r="CO88" i="12"/>
  <c r="CN88" i="12"/>
  <c r="CM88" i="12"/>
  <c r="CL88" i="12"/>
  <c r="CK88" i="12"/>
  <c r="CJ88" i="12"/>
  <c r="CI88" i="12"/>
  <c r="CH88" i="12"/>
  <c r="CG88" i="12"/>
  <c r="CF88" i="12"/>
  <c r="CE88" i="12"/>
  <c r="CD88" i="12"/>
  <c r="CC88" i="12"/>
  <c r="CB88" i="12"/>
  <c r="CA88" i="12"/>
  <c r="BZ88" i="12"/>
  <c r="BY88" i="12"/>
  <c r="BX88" i="12"/>
  <c r="BW88" i="12"/>
  <c r="BV88" i="12"/>
  <c r="BU88" i="12"/>
  <c r="BT88" i="12"/>
  <c r="BS88" i="12"/>
  <c r="BR88" i="12"/>
  <c r="BQ88" i="12"/>
  <c r="BP88" i="12"/>
  <c r="BO88" i="12"/>
  <c r="BN88" i="12"/>
  <c r="BM88" i="12"/>
  <c r="BL88" i="12"/>
  <c r="BK88" i="12"/>
  <c r="BJ88" i="12"/>
  <c r="BI88" i="12"/>
  <c r="BH88" i="12"/>
  <c r="BG88" i="12"/>
  <c r="BF88" i="12"/>
  <c r="BE88" i="12"/>
  <c r="BD88" i="12"/>
  <c r="BC88" i="12"/>
  <c r="BB88" i="12"/>
  <c r="BA88" i="12"/>
  <c r="AZ88" i="12"/>
  <c r="AY88" i="12"/>
  <c r="AX88" i="12"/>
  <c r="AW88" i="12"/>
  <c r="AV88" i="12"/>
  <c r="AU88" i="12"/>
  <c r="AT88" i="12"/>
  <c r="AS88" i="12"/>
  <c r="AR88" i="12"/>
  <c r="AQ88" i="12"/>
  <c r="AP88" i="12"/>
  <c r="AO88" i="12"/>
  <c r="AN88" i="12"/>
  <c r="AM88" i="12"/>
  <c r="AL88" i="12"/>
  <c r="AK88" i="12"/>
  <c r="AJ88" i="12"/>
  <c r="AI88" i="12"/>
  <c r="AH88" i="12"/>
  <c r="AG88" i="12"/>
  <c r="AF88" i="12"/>
  <c r="AE88" i="12"/>
  <c r="AD88" i="12"/>
  <c r="AC88" i="12"/>
  <c r="AB88" i="12"/>
  <c r="AA88" i="12"/>
  <c r="Z88" i="12"/>
  <c r="Y88" i="12"/>
  <c r="X88" i="12"/>
  <c r="W88" i="12"/>
  <c r="V88" i="12"/>
  <c r="U88" i="12"/>
  <c r="T88" i="12"/>
  <c r="S88" i="12"/>
  <c r="R88" i="12"/>
  <c r="HC87" i="12"/>
  <c r="HB87" i="12"/>
  <c r="HA87" i="12"/>
  <c r="GZ87" i="12"/>
  <c r="GY87" i="12"/>
  <c r="GX87" i="12"/>
  <c r="GW87" i="12"/>
  <c r="GV87" i="12"/>
  <c r="GU87" i="12"/>
  <c r="GT87" i="12"/>
  <c r="GS87" i="12"/>
  <c r="GR87" i="12"/>
  <c r="GQ87" i="12"/>
  <c r="GP87" i="12"/>
  <c r="GO87" i="12"/>
  <c r="GN87" i="12"/>
  <c r="GM87" i="12"/>
  <c r="GL87" i="12"/>
  <c r="GK87" i="12"/>
  <c r="GJ87" i="12"/>
  <c r="GI87" i="12"/>
  <c r="GH87" i="12"/>
  <c r="GG87" i="12"/>
  <c r="GF87" i="12"/>
  <c r="GE87" i="12"/>
  <c r="GD87" i="12"/>
  <c r="GC87" i="12"/>
  <c r="GB87" i="12"/>
  <c r="GA87" i="12"/>
  <c r="FZ87" i="12"/>
  <c r="FY87" i="12"/>
  <c r="FX87" i="12"/>
  <c r="FW87" i="12"/>
  <c r="FV87" i="12"/>
  <c r="FU87" i="12"/>
  <c r="FT87" i="12"/>
  <c r="FS87" i="12"/>
  <c r="FR87" i="12"/>
  <c r="FQ87" i="12"/>
  <c r="FP87" i="12"/>
  <c r="FO87" i="12"/>
  <c r="FN87" i="12"/>
  <c r="FM87" i="12"/>
  <c r="FL87" i="12"/>
  <c r="FK87" i="12"/>
  <c r="FJ87" i="12"/>
  <c r="FI87" i="12"/>
  <c r="FH87" i="12"/>
  <c r="FG87" i="12"/>
  <c r="FF87" i="12"/>
  <c r="FE87" i="12"/>
  <c r="FD87" i="12"/>
  <c r="FC87" i="12"/>
  <c r="FB87" i="12"/>
  <c r="FA87" i="12"/>
  <c r="EZ87" i="12"/>
  <c r="EY87" i="12"/>
  <c r="EX87" i="12"/>
  <c r="EW87" i="12"/>
  <c r="EV87" i="12"/>
  <c r="EU87" i="12"/>
  <c r="ET87" i="12"/>
  <c r="ES87" i="12"/>
  <c r="ER87" i="12"/>
  <c r="EQ87" i="12"/>
  <c r="EP87" i="12"/>
  <c r="EO87" i="12"/>
  <c r="EN87" i="12"/>
  <c r="EM87" i="12"/>
  <c r="EL87" i="12"/>
  <c r="EK87" i="12"/>
  <c r="EJ87" i="12"/>
  <c r="EI87" i="12"/>
  <c r="EH87" i="12"/>
  <c r="EG87" i="12"/>
  <c r="EF87" i="12"/>
  <c r="EE87" i="12"/>
  <c r="ED87" i="12"/>
  <c r="EC87" i="12"/>
  <c r="EB87" i="12"/>
  <c r="EA87" i="12"/>
  <c r="DZ87" i="12"/>
  <c r="DY87" i="12"/>
  <c r="DX87" i="12"/>
  <c r="DW87" i="12"/>
  <c r="DV87" i="12"/>
  <c r="DU87" i="12"/>
  <c r="DT87" i="12"/>
  <c r="DS87" i="12"/>
  <c r="DR87" i="12"/>
  <c r="DQ87" i="12"/>
  <c r="DP87" i="12"/>
  <c r="DO87" i="12"/>
  <c r="DN87" i="12"/>
  <c r="DM87" i="12"/>
  <c r="DL87" i="12"/>
  <c r="DK87" i="12"/>
  <c r="DJ87" i="12"/>
  <c r="DI87" i="12"/>
  <c r="DH87" i="12"/>
  <c r="DG87" i="12"/>
  <c r="DF87" i="12"/>
  <c r="DE87" i="12"/>
  <c r="DD87" i="12"/>
  <c r="DC87" i="12"/>
  <c r="DB87" i="12"/>
  <c r="DA87" i="12"/>
  <c r="CZ87" i="12"/>
  <c r="CY87" i="12"/>
  <c r="CX87" i="12"/>
  <c r="CW87" i="12"/>
  <c r="CV87" i="12"/>
  <c r="CU87" i="12"/>
  <c r="CT87" i="12"/>
  <c r="CS87" i="12"/>
  <c r="CR87" i="12"/>
  <c r="CQ87" i="12"/>
  <c r="CP87" i="12"/>
  <c r="CO87" i="12"/>
  <c r="CN87" i="12"/>
  <c r="CM87" i="12"/>
  <c r="CL87" i="12"/>
  <c r="CK87" i="12"/>
  <c r="CJ87" i="12"/>
  <c r="CI87" i="12"/>
  <c r="CH87" i="12"/>
  <c r="CG87" i="12"/>
  <c r="CF87" i="12"/>
  <c r="CE87" i="12"/>
  <c r="CD87" i="12"/>
  <c r="CC87" i="12"/>
  <c r="CB87" i="12"/>
  <c r="CA87" i="12"/>
  <c r="BZ87" i="12"/>
  <c r="BY87" i="12"/>
  <c r="BX87" i="12"/>
  <c r="BW87" i="12"/>
  <c r="BV87" i="12"/>
  <c r="BU87" i="12"/>
  <c r="BT87" i="12"/>
  <c r="BS87" i="12"/>
  <c r="BR87" i="12"/>
  <c r="BQ87" i="12"/>
  <c r="BP87" i="12"/>
  <c r="BO87" i="12"/>
  <c r="BN87" i="12"/>
  <c r="BM87" i="12"/>
  <c r="BL87" i="12"/>
  <c r="BK87" i="12"/>
  <c r="BJ87" i="12"/>
  <c r="BI87" i="12"/>
  <c r="BH87" i="12"/>
  <c r="BG87" i="12"/>
  <c r="BF87" i="12"/>
  <c r="BE87" i="12"/>
  <c r="BD87" i="12"/>
  <c r="BC87" i="12"/>
  <c r="BB87" i="12"/>
  <c r="BA87" i="12"/>
  <c r="AZ87" i="12"/>
  <c r="AY87" i="12"/>
  <c r="AX87" i="12"/>
  <c r="AW87" i="12"/>
  <c r="AV87" i="12"/>
  <c r="AU87" i="12"/>
  <c r="AT87" i="12"/>
  <c r="AS87" i="12"/>
  <c r="AR87" i="12"/>
  <c r="AQ87" i="12"/>
  <c r="AP87" i="12"/>
  <c r="AO87" i="12"/>
  <c r="AN87" i="12"/>
  <c r="AM87" i="12"/>
  <c r="AL87" i="12"/>
  <c r="AK87" i="12"/>
  <c r="AJ87" i="12"/>
  <c r="AI87" i="12"/>
  <c r="AH87" i="12"/>
  <c r="AG87" i="12"/>
  <c r="AF87" i="12"/>
  <c r="AE87" i="12"/>
  <c r="AD87" i="12"/>
  <c r="AC87" i="12"/>
  <c r="AB87" i="12"/>
  <c r="AA87" i="12"/>
  <c r="Z87" i="12"/>
  <c r="Y87" i="12"/>
  <c r="X87" i="12"/>
  <c r="W87" i="12"/>
  <c r="V87" i="12"/>
  <c r="U87" i="12"/>
  <c r="T87" i="12"/>
  <c r="S87" i="12"/>
  <c r="R87" i="12"/>
  <c r="HC76" i="12"/>
  <c r="HB76" i="12"/>
  <c r="HA76" i="12"/>
  <c r="GZ76" i="12"/>
  <c r="GY76" i="12"/>
  <c r="GX76" i="12"/>
  <c r="GW76" i="12"/>
  <c r="GV76" i="12"/>
  <c r="GU76" i="12"/>
  <c r="GT76" i="12"/>
  <c r="GS76" i="12"/>
  <c r="GR76" i="12"/>
  <c r="GQ76" i="12"/>
  <c r="GP76" i="12"/>
  <c r="GO76" i="12"/>
  <c r="GN76" i="12"/>
  <c r="GM76" i="12"/>
  <c r="GL76" i="12"/>
  <c r="GK76" i="12"/>
  <c r="GJ76" i="12"/>
  <c r="GI76" i="12"/>
  <c r="GH76" i="12"/>
  <c r="GG76" i="12"/>
  <c r="GF76" i="12"/>
  <c r="GE76" i="12"/>
  <c r="GD76" i="12"/>
  <c r="GC76" i="12"/>
  <c r="GB76" i="12"/>
  <c r="GA76" i="12"/>
  <c r="FZ76" i="12"/>
  <c r="FY76" i="12"/>
  <c r="FX76" i="12"/>
  <c r="FW76" i="12"/>
  <c r="FV76" i="12"/>
  <c r="FU76" i="12"/>
  <c r="FT76" i="12"/>
  <c r="FS76" i="12"/>
  <c r="FR76" i="12"/>
  <c r="FQ76" i="12"/>
  <c r="FP76" i="12"/>
  <c r="FO76" i="12"/>
  <c r="FN76" i="12"/>
  <c r="FM76" i="12"/>
  <c r="FL76" i="12"/>
  <c r="FK76" i="12"/>
  <c r="FJ76" i="12"/>
  <c r="FI76" i="12"/>
  <c r="FH76" i="12"/>
  <c r="FG76" i="12"/>
  <c r="FF76" i="12"/>
  <c r="FE76" i="12"/>
  <c r="FD76" i="12"/>
  <c r="FC76" i="12"/>
  <c r="FB76" i="12"/>
  <c r="FA76" i="12"/>
  <c r="EZ76" i="12"/>
  <c r="EY76" i="12"/>
  <c r="EX76" i="12"/>
  <c r="EW76" i="12"/>
  <c r="EV76" i="12"/>
  <c r="EU76" i="12"/>
  <c r="ET76" i="12"/>
  <c r="ES76" i="12"/>
  <c r="ER76" i="12"/>
  <c r="EQ76" i="12"/>
  <c r="EP76" i="12"/>
  <c r="EO76" i="12"/>
  <c r="EN76" i="12"/>
  <c r="EM76" i="12"/>
  <c r="EL76" i="12"/>
  <c r="EK76" i="12"/>
  <c r="EJ76" i="12"/>
  <c r="EI76" i="12"/>
  <c r="EH76" i="12"/>
  <c r="EG76" i="12"/>
  <c r="EF76" i="12"/>
  <c r="EE76" i="12"/>
  <c r="ED76" i="12"/>
  <c r="EC76" i="12"/>
  <c r="EB76" i="12"/>
  <c r="EA76" i="12"/>
  <c r="DZ76" i="12"/>
  <c r="DY76" i="12"/>
  <c r="DX76" i="12"/>
  <c r="DW76" i="12"/>
  <c r="DV76" i="12"/>
  <c r="DU76" i="12"/>
  <c r="DT76" i="12"/>
  <c r="DS76" i="12"/>
  <c r="DR76" i="12"/>
  <c r="DQ76" i="12"/>
  <c r="DP76" i="12"/>
  <c r="DO76" i="12"/>
  <c r="DN76" i="12"/>
  <c r="DM76" i="12"/>
  <c r="DL76" i="12"/>
  <c r="DK76" i="12"/>
  <c r="DJ76" i="12"/>
  <c r="DI76" i="12"/>
  <c r="DH76" i="12"/>
  <c r="DG76" i="12"/>
  <c r="DF76" i="12"/>
  <c r="DE76" i="12"/>
  <c r="DD76" i="12"/>
  <c r="DC76" i="12"/>
  <c r="DB76" i="12"/>
  <c r="DA76" i="12"/>
  <c r="CZ76" i="12"/>
  <c r="CY76" i="12"/>
  <c r="CX76" i="12"/>
  <c r="CW76" i="12"/>
  <c r="CV76" i="12"/>
  <c r="CU76" i="12"/>
  <c r="CT76" i="12"/>
  <c r="CS76" i="12"/>
  <c r="CR76" i="12"/>
  <c r="CQ76" i="12"/>
  <c r="CP76" i="12"/>
  <c r="CO76" i="12"/>
  <c r="CN76" i="12"/>
  <c r="CM76" i="12"/>
  <c r="CL76" i="12"/>
  <c r="CK76" i="12"/>
  <c r="CJ76" i="12"/>
  <c r="CI76" i="12"/>
  <c r="CH76" i="12"/>
  <c r="CG76" i="12"/>
  <c r="CF76" i="12"/>
  <c r="CE76" i="12"/>
  <c r="CD76" i="12"/>
  <c r="CC76" i="12"/>
  <c r="CB76" i="12"/>
  <c r="CA76" i="12"/>
  <c r="BZ76" i="12"/>
  <c r="BY76" i="12"/>
  <c r="BX76" i="12"/>
  <c r="BW76" i="12"/>
  <c r="BV76" i="12"/>
  <c r="BU76" i="12"/>
  <c r="BT76" i="12"/>
  <c r="BS76" i="12"/>
  <c r="BR76" i="12"/>
  <c r="BQ76" i="12"/>
  <c r="BP76" i="12"/>
  <c r="BO76" i="12"/>
  <c r="BN76" i="12"/>
  <c r="BM76" i="12"/>
  <c r="BL76" i="12"/>
  <c r="BK76" i="12"/>
  <c r="BJ76" i="12"/>
  <c r="BI76" i="12"/>
  <c r="BH76" i="12"/>
  <c r="BG76" i="12"/>
  <c r="BF76" i="12"/>
  <c r="BE76" i="12"/>
  <c r="BD76" i="12"/>
  <c r="BC76" i="12"/>
  <c r="BB76" i="12"/>
  <c r="BA76" i="12"/>
  <c r="AZ76" i="12"/>
  <c r="AY76" i="12"/>
  <c r="AX76" i="12"/>
  <c r="AW76" i="12"/>
  <c r="AV76" i="12"/>
  <c r="AU76" i="12"/>
  <c r="AT76" i="12"/>
  <c r="AS76" i="12"/>
  <c r="AR76" i="12"/>
  <c r="AQ76" i="12"/>
  <c r="AP76" i="12"/>
  <c r="AO76" i="12"/>
  <c r="AN76" i="12"/>
  <c r="AM76" i="12"/>
  <c r="AL76" i="12"/>
  <c r="AK76" i="12"/>
  <c r="AJ76" i="12"/>
  <c r="AI76" i="12"/>
  <c r="AH76" i="12"/>
  <c r="AG76" i="12"/>
  <c r="AF76" i="12"/>
  <c r="AE76" i="12"/>
  <c r="AD76" i="12"/>
  <c r="AC76" i="12"/>
  <c r="AB76" i="12"/>
  <c r="AA76" i="12"/>
  <c r="Z76" i="12"/>
  <c r="Y76" i="12"/>
  <c r="X76" i="12"/>
  <c r="W76" i="12"/>
  <c r="V76" i="12"/>
  <c r="U76" i="12"/>
  <c r="T76" i="12"/>
  <c r="S76" i="12"/>
  <c r="R76" i="12"/>
  <c r="HC43" i="12"/>
  <c r="HB43" i="12"/>
  <c r="HA43" i="12"/>
  <c r="GZ43" i="12"/>
  <c r="GY43" i="12"/>
  <c r="GX43" i="12"/>
  <c r="GW43" i="12"/>
  <c r="GV43" i="12"/>
  <c r="GU43" i="12"/>
  <c r="GT43" i="12"/>
  <c r="GS43" i="12"/>
  <c r="GR43" i="12"/>
  <c r="GQ43" i="12"/>
  <c r="GP43" i="12"/>
  <c r="GO43" i="12"/>
  <c r="GN43" i="12"/>
  <c r="GM43" i="12"/>
  <c r="GL43" i="12"/>
  <c r="GK43" i="12"/>
  <c r="GJ43" i="12"/>
  <c r="GI43" i="12"/>
  <c r="GH43" i="12"/>
  <c r="GG43" i="12"/>
  <c r="GF43" i="12"/>
  <c r="GE43" i="12"/>
  <c r="GD43" i="12"/>
  <c r="GC43" i="12"/>
  <c r="GB43" i="12"/>
  <c r="GA43" i="12"/>
  <c r="FZ43" i="12"/>
  <c r="FY43" i="12"/>
  <c r="FX43" i="12"/>
  <c r="FW43" i="12"/>
  <c r="FV43" i="12"/>
  <c r="FU43" i="12"/>
  <c r="FT43" i="12"/>
  <c r="FS43" i="12"/>
  <c r="FR43" i="12"/>
  <c r="FQ43" i="12"/>
  <c r="FP43" i="12"/>
  <c r="FO43" i="12"/>
  <c r="FN43" i="12"/>
  <c r="FM43" i="12"/>
  <c r="FL43" i="12"/>
  <c r="FK43" i="12"/>
  <c r="FJ43" i="12"/>
  <c r="FI43" i="12"/>
  <c r="FH43" i="12"/>
  <c r="FG43" i="12"/>
  <c r="FF43" i="12"/>
  <c r="FE43" i="12"/>
  <c r="FD43" i="12"/>
  <c r="FC43" i="12"/>
  <c r="FB43" i="12"/>
  <c r="FA43" i="12"/>
  <c r="EZ43" i="12"/>
  <c r="EY43" i="12"/>
  <c r="EX43" i="12"/>
  <c r="EW43" i="12"/>
  <c r="EV43" i="12"/>
  <c r="EU43" i="12"/>
  <c r="ET43" i="12"/>
  <c r="ES43" i="12"/>
  <c r="ER43" i="12"/>
  <c r="EQ43" i="12"/>
  <c r="EP43" i="12"/>
  <c r="EO43" i="12"/>
  <c r="EN43" i="12"/>
  <c r="EM43" i="12"/>
  <c r="EL43" i="12"/>
  <c r="EK43" i="12"/>
  <c r="EJ43" i="12"/>
  <c r="EI43" i="12"/>
  <c r="EH43" i="12"/>
  <c r="EG43" i="12"/>
  <c r="EF43" i="12"/>
  <c r="EE43" i="12"/>
  <c r="ED43" i="12"/>
  <c r="EC43" i="12"/>
  <c r="EB43" i="12"/>
  <c r="EA43" i="12"/>
  <c r="DZ43" i="12"/>
  <c r="DY43" i="12"/>
  <c r="DX43" i="12"/>
  <c r="DW43" i="12"/>
  <c r="DV43" i="12"/>
  <c r="DU43" i="12"/>
  <c r="DT43" i="12"/>
  <c r="DS43" i="12"/>
  <c r="DR43" i="12"/>
  <c r="DQ43" i="12"/>
  <c r="DP43" i="12"/>
  <c r="DO43" i="12"/>
  <c r="DN43" i="12"/>
  <c r="DM43" i="12"/>
  <c r="DL43" i="12"/>
  <c r="DK43" i="12"/>
  <c r="DJ43" i="12"/>
  <c r="DI43" i="12"/>
  <c r="DH43" i="12"/>
  <c r="DG43" i="12"/>
  <c r="DF43" i="12"/>
  <c r="DE43" i="12"/>
  <c r="DD43" i="12"/>
  <c r="DC43" i="12"/>
  <c r="DB43" i="12"/>
  <c r="DA43" i="12"/>
  <c r="CZ43" i="12"/>
  <c r="CY43" i="12"/>
  <c r="CX43" i="12"/>
  <c r="CW43" i="12"/>
  <c r="CV43" i="12"/>
  <c r="CU43" i="12"/>
  <c r="CT43" i="12"/>
  <c r="CS43" i="12"/>
  <c r="CR43" i="12"/>
  <c r="CQ43" i="12"/>
  <c r="CP43" i="12"/>
  <c r="CO43" i="12"/>
  <c r="CN43" i="12"/>
  <c r="CM43" i="12"/>
  <c r="CL43" i="12"/>
  <c r="CK43" i="12"/>
  <c r="CJ43" i="12"/>
  <c r="CI43" i="12"/>
  <c r="CH43" i="12"/>
  <c r="CG43" i="12"/>
  <c r="CF43" i="12"/>
  <c r="CE43" i="12"/>
  <c r="CD43" i="12"/>
  <c r="CC43" i="12"/>
  <c r="CB43" i="12"/>
  <c r="CA43" i="12"/>
  <c r="BZ43" i="12"/>
  <c r="BY43" i="12"/>
  <c r="BX43" i="12"/>
  <c r="BW43" i="12"/>
  <c r="BV43" i="12"/>
  <c r="BU43" i="12"/>
  <c r="BT43" i="12"/>
  <c r="BS43" i="12"/>
  <c r="BR43" i="12"/>
  <c r="BQ43" i="12"/>
  <c r="BP43" i="12"/>
  <c r="BO43" i="12"/>
  <c r="BN43" i="12"/>
  <c r="BM43" i="12"/>
  <c r="BL43" i="12"/>
  <c r="BK43" i="12"/>
  <c r="BJ43" i="12"/>
  <c r="BI43" i="12"/>
  <c r="BH43" i="12"/>
  <c r="BG43" i="12"/>
  <c r="BF43" i="12"/>
  <c r="BE43" i="12"/>
  <c r="BD43" i="12"/>
  <c r="BC43" i="12"/>
  <c r="BB43" i="12"/>
  <c r="BA43" i="12"/>
  <c r="AZ43" i="12"/>
  <c r="AY43" i="12"/>
  <c r="AX43" i="12"/>
  <c r="AW43" i="12"/>
  <c r="AV43" i="12"/>
  <c r="AU43" i="12"/>
  <c r="AT43" i="12"/>
  <c r="AS43" i="12"/>
  <c r="AR43" i="12"/>
  <c r="AQ43" i="12"/>
  <c r="AP43" i="12"/>
  <c r="AO43" i="12"/>
  <c r="AN43" i="12"/>
  <c r="AM43" i="12"/>
  <c r="AL43" i="12"/>
  <c r="AK43" i="12"/>
  <c r="AJ43" i="12"/>
  <c r="AI43" i="12"/>
  <c r="AH43" i="12"/>
  <c r="AG43" i="12"/>
  <c r="AF43" i="12"/>
  <c r="AE43" i="12"/>
  <c r="AD43" i="12"/>
  <c r="AC43" i="12"/>
  <c r="AB43" i="12"/>
  <c r="AA43" i="12"/>
  <c r="Z43" i="12"/>
  <c r="Y43" i="12"/>
  <c r="X43" i="12"/>
  <c r="W43" i="12"/>
  <c r="V43" i="12"/>
  <c r="U43" i="12"/>
  <c r="T43" i="12"/>
  <c r="S43" i="12"/>
  <c r="R43" i="12"/>
  <c r="HC40" i="12"/>
  <c r="HB40" i="12"/>
  <c r="HA40" i="12"/>
  <c r="GZ40" i="12"/>
  <c r="GY40" i="12"/>
  <c r="GX40" i="12"/>
  <c r="GW40" i="12"/>
  <c r="GV40" i="12"/>
  <c r="GU40" i="12"/>
  <c r="GT40" i="12"/>
  <c r="GS40" i="12"/>
  <c r="GR40" i="12"/>
  <c r="GQ40" i="12"/>
  <c r="GP40" i="12"/>
  <c r="GO40" i="12"/>
  <c r="GN40" i="12"/>
  <c r="GM40" i="12"/>
  <c r="GL40" i="12"/>
  <c r="GK40" i="12"/>
  <c r="GJ40" i="12"/>
  <c r="GI40" i="12"/>
  <c r="GH40" i="12"/>
  <c r="GG40" i="12"/>
  <c r="GF40" i="12"/>
  <c r="GE40" i="12"/>
  <c r="GD40" i="12"/>
  <c r="GC40" i="12"/>
  <c r="GB40" i="12"/>
  <c r="GA40" i="12"/>
  <c r="FZ40" i="12"/>
  <c r="FY40" i="12"/>
  <c r="FX40" i="12"/>
  <c r="FW40" i="12"/>
  <c r="FV40" i="12"/>
  <c r="FU40" i="12"/>
  <c r="FT40" i="12"/>
  <c r="FS40" i="12"/>
  <c r="FR40" i="12"/>
  <c r="FQ40" i="12"/>
  <c r="FP40" i="12"/>
  <c r="FO40" i="12"/>
  <c r="FN40" i="12"/>
  <c r="FM40" i="12"/>
  <c r="FL40" i="12"/>
  <c r="FK40" i="12"/>
  <c r="FJ40" i="12"/>
  <c r="FI40" i="12"/>
  <c r="FH40" i="12"/>
  <c r="FG40" i="12"/>
  <c r="FF40" i="12"/>
  <c r="FE40" i="12"/>
  <c r="FD40" i="12"/>
  <c r="FC40" i="12"/>
  <c r="FB40" i="12"/>
  <c r="FA40" i="12"/>
  <c r="EZ40" i="12"/>
  <c r="EY40" i="12"/>
  <c r="EX40" i="12"/>
  <c r="EW40" i="12"/>
  <c r="EV40" i="12"/>
  <c r="EU40" i="12"/>
  <c r="ET40" i="12"/>
  <c r="ES40" i="12"/>
  <c r="ER40" i="12"/>
  <c r="EQ40" i="12"/>
  <c r="EP40" i="12"/>
  <c r="EO40" i="12"/>
  <c r="EN40" i="12"/>
  <c r="EM40" i="12"/>
  <c r="EL40" i="12"/>
  <c r="EK40" i="12"/>
  <c r="EJ40" i="12"/>
  <c r="EI40" i="12"/>
  <c r="EH40" i="12"/>
  <c r="EG40" i="12"/>
  <c r="EF40" i="12"/>
  <c r="EE40" i="12"/>
  <c r="ED40" i="12"/>
  <c r="EC40" i="12"/>
  <c r="EB40" i="12"/>
  <c r="EA40" i="12"/>
  <c r="DZ40" i="12"/>
  <c r="DY40" i="12"/>
  <c r="DX40" i="12"/>
  <c r="DW40" i="12"/>
  <c r="DV40" i="12"/>
  <c r="DU40" i="12"/>
  <c r="DT40" i="12"/>
  <c r="DS40" i="12"/>
  <c r="DR40" i="12"/>
  <c r="DQ40" i="12"/>
  <c r="DP40" i="12"/>
  <c r="DO40" i="12"/>
  <c r="DN40" i="12"/>
  <c r="DM40" i="12"/>
  <c r="DL40" i="12"/>
  <c r="DK40" i="12"/>
  <c r="DJ40" i="12"/>
  <c r="DI40" i="12"/>
  <c r="DH40" i="12"/>
  <c r="DG40" i="12"/>
  <c r="DF40" i="12"/>
  <c r="DE40" i="12"/>
  <c r="DD40" i="12"/>
  <c r="DC40" i="12"/>
  <c r="DB40" i="12"/>
  <c r="DA40" i="12"/>
  <c r="CZ40" i="12"/>
  <c r="CY40" i="12"/>
  <c r="CX40" i="12"/>
  <c r="CW40" i="12"/>
  <c r="CV40" i="12"/>
  <c r="CU40" i="12"/>
  <c r="CT40" i="12"/>
  <c r="CS40" i="12"/>
  <c r="CR40" i="12"/>
  <c r="CQ40" i="12"/>
  <c r="CP40" i="12"/>
  <c r="CO40" i="12"/>
  <c r="CN40" i="12"/>
  <c r="CM40" i="12"/>
  <c r="CL40" i="12"/>
  <c r="CK40" i="12"/>
  <c r="CJ40" i="12"/>
  <c r="CI40" i="12"/>
  <c r="CH40" i="12"/>
  <c r="CG40" i="12"/>
  <c r="CF40" i="12"/>
  <c r="CE40" i="12"/>
  <c r="CD40" i="12"/>
  <c r="CC40" i="12"/>
  <c r="CB40" i="12"/>
  <c r="CA40" i="12"/>
  <c r="BZ40" i="12"/>
  <c r="BY40" i="12"/>
  <c r="BX40" i="12"/>
  <c r="BW40" i="12"/>
  <c r="BV40" i="12"/>
  <c r="BU40" i="12"/>
  <c r="BT40" i="12"/>
  <c r="BS40" i="12"/>
  <c r="BR40" i="12"/>
  <c r="BQ40" i="12"/>
  <c r="BP40" i="12"/>
  <c r="BO40" i="12"/>
  <c r="BN40" i="12"/>
  <c r="BM40" i="12"/>
  <c r="BL40" i="12"/>
  <c r="BK40" i="12"/>
  <c r="BJ40" i="12"/>
  <c r="BI40" i="12"/>
  <c r="BH40" i="12"/>
  <c r="BG40" i="12"/>
  <c r="BF40" i="12"/>
  <c r="BE40" i="12"/>
  <c r="BD40" i="12"/>
  <c r="BC40" i="12"/>
  <c r="BB40" i="12"/>
  <c r="BA40" i="12"/>
  <c r="AZ40" i="12"/>
  <c r="AY40" i="12"/>
  <c r="AX40" i="12"/>
  <c r="AW40" i="12"/>
  <c r="AV40" i="12"/>
  <c r="AU40" i="12"/>
  <c r="AT40" i="12"/>
  <c r="AS40" i="12"/>
  <c r="AR40" i="12"/>
  <c r="AQ40" i="12"/>
  <c r="AP40" i="12"/>
  <c r="AO40" i="12"/>
  <c r="AN40" i="12"/>
  <c r="AM40" i="12"/>
  <c r="AL40" i="12"/>
  <c r="AK40" i="12"/>
  <c r="AJ40" i="12"/>
  <c r="AI40" i="12"/>
  <c r="AH40" i="12"/>
  <c r="AG40" i="12"/>
  <c r="AF40" i="12"/>
  <c r="AE40" i="12"/>
  <c r="AD40" i="12"/>
  <c r="AC40" i="12"/>
  <c r="AB40" i="12"/>
  <c r="AA40" i="12"/>
  <c r="Z40" i="12"/>
  <c r="Y40" i="12"/>
  <c r="X40" i="12"/>
  <c r="W40" i="12"/>
  <c r="V40" i="12"/>
  <c r="U40" i="12"/>
  <c r="T40" i="12"/>
  <c r="S40" i="12"/>
  <c r="R40" i="12"/>
  <c r="HC37" i="12"/>
  <c r="HB37" i="12"/>
  <c r="HA37" i="12"/>
  <c r="GZ37" i="12"/>
  <c r="GY37" i="12"/>
  <c r="GX37" i="12"/>
  <c r="GW37" i="12"/>
  <c r="GV37" i="12"/>
  <c r="GU37" i="12"/>
  <c r="GT37" i="12"/>
  <c r="GS37" i="12"/>
  <c r="GR37" i="12"/>
  <c r="GQ37" i="12"/>
  <c r="GP37" i="12"/>
  <c r="GO37" i="12"/>
  <c r="GN37" i="12"/>
  <c r="GM37" i="12"/>
  <c r="GL37" i="12"/>
  <c r="GK37" i="12"/>
  <c r="GJ37" i="12"/>
  <c r="GI37" i="12"/>
  <c r="GH37" i="12"/>
  <c r="GG37" i="12"/>
  <c r="GF37" i="12"/>
  <c r="GE37" i="12"/>
  <c r="GD37" i="12"/>
  <c r="GC37" i="12"/>
  <c r="GB37" i="12"/>
  <c r="GA37" i="12"/>
  <c r="FZ37" i="12"/>
  <c r="FY37" i="12"/>
  <c r="FX37" i="12"/>
  <c r="FW37" i="12"/>
  <c r="FV37" i="12"/>
  <c r="FU37" i="12"/>
  <c r="FT37" i="12"/>
  <c r="FS37" i="12"/>
  <c r="FR37" i="12"/>
  <c r="FQ37" i="12"/>
  <c r="FP37" i="12"/>
  <c r="FO37" i="12"/>
  <c r="FN37" i="12"/>
  <c r="FM37" i="12"/>
  <c r="FL37" i="12"/>
  <c r="FK37" i="12"/>
  <c r="FJ37" i="12"/>
  <c r="FI37" i="12"/>
  <c r="FH37" i="12"/>
  <c r="FG37" i="12"/>
  <c r="FF37" i="12"/>
  <c r="FE37" i="12"/>
  <c r="FD37" i="12"/>
  <c r="FC37" i="12"/>
  <c r="FB37" i="12"/>
  <c r="FA37" i="12"/>
  <c r="EZ37" i="12"/>
  <c r="EY37" i="12"/>
  <c r="EX37" i="12"/>
  <c r="EW37" i="12"/>
  <c r="EV37" i="12"/>
  <c r="EU37" i="12"/>
  <c r="ET37" i="12"/>
  <c r="ES37" i="12"/>
  <c r="ER37" i="12"/>
  <c r="EQ37" i="12"/>
  <c r="EP37" i="12"/>
  <c r="EO37" i="12"/>
  <c r="EN37" i="12"/>
  <c r="EM37" i="12"/>
  <c r="EL37" i="12"/>
  <c r="EK37" i="12"/>
  <c r="EJ37" i="12"/>
  <c r="EI37" i="12"/>
  <c r="EH37" i="12"/>
  <c r="EG37" i="12"/>
  <c r="EF37" i="12"/>
  <c r="EE37" i="12"/>
  <c r="ED37" i="12"/>
  <c r="EC37" i="12"/>
  <c r="EB37" i="12"/>
  <c r="EA37" i="12"/>
  <c r="DZ37" i="12"/>
  <c r="DY37" i="12"/>
  <c r="DX37" i="12"/>
  <c r="DW37" i="12"/>
  <c r="DV37" i="12"/>
  <c r="DU37" i="12"/>
  <c r="DT37" i="12"/>
  <c r="DS37" i="12"/>
  <c r="DR37" i="12"/>
  <c r="DQ37" i="12"/>
  <c r="DP37" i="12"/>
  <c r="DO37" i="12"/>
  <c r="DN37" i="12"/>
  <c r="DM37" i="12"/>
  <c r="DL37" i="12"/>
  <c r="DK37" i="12"/>
  <c r="DJ37" i="12"/>
  <c r="DI37" i="12"/>
  <c r="DH37" i="12"/>
  <c r="DG37" i="12"/>
  <c r="DF37" i="12"/>
  <c r="DE37" i="12"/>
  <c r="DD37" i="12"/>
  <c r="DC37" i="12"/>
  <c r="DB37" i="12"/>
  <c r="DA37" i="12"/>
  <c r="CZ37" i="12"/>
  <c r="CY37" i="12"/>
  <c r="CX37" i="12"/>
  <c r="CW37" i="12"/>
  <c r="CV37" i="12"/>
  <c r="CU37" i="12"/>
  <c r="CT37" i="12"/>
  <c r="CS37" i="12"/>
  <c r="CR37" i="12"/>
  <c r="CQ37" i="12"/>
  <c r="CP37" i="12"/>
  <c r="CO37" i="12"/>
  <c r="CN37" i="12"/>
  <c r="CM37" i="12"/>
  <c r="CL37" i="12"/>
  <c r="CK37" i="12"/>
  <c r="CJ37" i="12"/>
  <c r="CI37" i="12"/>
  <c r="CH37" i="12"/>
  <c r="CG37" i="12"/>
  <c r="CF37" i="12"/>
  <c r="CE37" i="12"/>
  <c r="CD37" i="12"/>
  <c r="CC37" i="12"/>
  <c r="CB37" i="12"/>
  <c r="CA37" i="12"/>
  <c r="BZ37" i="12"/>
  <c r="BY37" i="12"/>
  <c r="BX37" i="12"/>
  <c r="BW37" i="12"/>
  <c r="BV37" i="12"/>
  <c r="BU37" i="12"/>
  <c r="BT37" i="12"/>
  <c r="BS37" i="12"/>
  <c r="BR37" i="12"/>
  <c r="BQ37" i="12"/>
  <c r="BP37" i="12"/>
  <c r="BO37" i="12"/>
  <c r="BN37" i="12"/>
  <c r="BM37" i="12"/>
  <c r="BL37" i="12"/>
  <c r="BK37" i="12"/>
  <c r="BJ37" i="12"/>
  <c r="BI37" i="12"/>
  <c r="BH37" i="12"/>
  <c r="BG37" i="12"/>
  <c r="BF37" i="12"/>
  <c r="BE37" i="12"/>
  <c r="BD37" i="12"/>
  <c r="BC37" i="12"/>
  <c r="BB37" i="12"/>
  <c r="BA37" i="12"/>
  <c r="AZ37" i="12"/>
  <c r="AY37" i="12"/>
  <c r="AX37" i="12"/>
  <c r="AW37" i="12"/>
  <c r="AV37" i="12"/>
  <c r="AU37" i="12"/>
  <c r="AT37" i="12"/>
  <c r="AS37" i="12"/>
  <c r="AR37" i="12"/>
  <c r="AQ37" i="12"/>
  <c r="AP37" i="12"/>
  <c r="AO37" i="12"/>
  <c r="AN37" i="12"/>
  <c r="AM37" i="12"/>
  <c r="AL37" i="12"/>
  <c r="AK37" i="12"/>
  <c r="AJ37" i="12"/>
  <c r="AI37" i="12"/>
  <c r="AH37" i="12"/>
  <c r="AG37" i="12"/>
  <c r="AF37" i="12"/>
  <c r="AE37" i="12"/>
  <c r="AD37" i="12"/>
  <c r="AC37" i="12"/>
  <c r="AB37" i="12"/>
  <c r="AA37" i="12"/>
  <c r="Z37" i="12"/>
  <c r="Y37" i="12"/>
  <c r="X37" i="12"/>
  <c r="W37" i="12"/>
  <c r="V37" i="12"/>
  <c r="U37" i="12"/>
  <c r="T37" i="12"/>
  <c r="S37" i="12"/>
  <c r="R37" i="12"/>
  <c r="HC34" i="12"/>
  <c r="HB34" i="12"/>
  <c r="HA34" i="12"/>
  <c r="GZ34" i="12"/>
  <c r="GY34" i="12"/>
  <c r="GX34" i="12"/>
  <c r="GW34" i="12"/>
  <c r="GV34" i="12"/>
  <c r="GU34" i="12"/>
  <c r="GT34" i="12"/>
  <c r="GS34" i="12"/>
  <c r="GR34" i="12"/>
  <c r="GQ34" i="12"/>
  <c r="GP34" i="12"/>
  <c r="GO34" i="12"/>
  <c r="GN34" i="12"/>
  <c r="GM34" i="12"/>
  <c r="GL34" i="12"/>
  <c r="GK34" i="12"/>
  <c r="GJ34" i="12"/>
  <c r="GI34" i="12"/>
  <c r="GH34" i="12"/>
  <c r="GG34" i="12"/>
  <c r="GF34" i="12"/>
  <c r="GE34" i="12"/>
  <c r="GD34" i="12"/>
  <c r="GC34" i="12"/>
  <c r="GB34" i="12"/>
  <c r="GA34" i="12"/>
  <c r="FZ34" i="12"/>
  <c r="FY34" i="12"/>
  <c r="FX34" i="12"/>
  <c r="FW34" i="12"/>
  <c r="FV34" i="12"/>
  <c r="FU34" i="12"/>
  <c r="FT34" i="12"/>
  <c r="FS34" i="12"/>
  <c r="FR34" i="12"/>
  <c r="FQ34" i="12"/>
  <c r="FP34" i="12"/>
  <c r="FO34" i="12"/>
  <c r="FN34" i="12"/>
  <c r="FM34" i="12"/>
  <c r="FL34" i="12"/>
  <c r="FK34" i="12"/>
  <c r="FJ34" i="12"/>
  <c r="FI34" i="12"/>
  <c r="FH34" i="12"/>
  <c r="FG34" i="12"/>
  <c r="FF34" i="12"/>
  <c r="FE34" i="12"/>
  <c r="FD34" i="12"/>
  <c r="FC34" i="12"/>
  <c r="FB34" i="12"/>
  <c r="FA34" i="12"/>
  <c r="EZ34" i="12"/>
  <c r="EY34" i="12"/>
  <c r="EX34" i="12"/>
  <c r="EW34" i="12"/>
  <c r="EV34" i="12"/>
  <c r="EU34" i="12"/>
  <c r="ET34" i="12"/>
  <c r="ES34" i="12"/>
  <c r="ER34" i="12"/>
  <c r="EQ34" i="12"/>
  <c r="EP34" i="12"/>
  <c r="EO34" i="12"/>
  <c r="EN34" i="12"/>
  <c r="EM34" i="12"/>
  <c r="EL34" i="12"/>
  <c r="EK34" i="12"/>
  <c r="EJ34" i="12"/>
  <c r="EI34" i="12"/>
  <c r="EH34" i="12"/>
  <c r="EG34" i="12"/>
  <c r="EF34" i="12"/>
  <c r="EE34" i="12"/>
  <c r="ED34" i="12"/>
  <c r="EC34" i="12"/>
  <c r="EB34" i="12"/>
  <c r="EA34" i="12"/>
  <c r="DZ34" i="12"/>
  <c r="DY34" i="12"/>
  <c r="DX34" i="12"/>
  <c r="DW34" i="12"/>
  <c r="DV34" i="12"/>
  <c r="DU34" i="12"/>
  <c r="DT34" i="12"/>
  <c r="DS34" i="12"/>
  <c r="DR34" i="12"/>
  <c r="DQ34" i="12"/>
  <c r="DP34" i="12"/>
  <c r="DO34" i="12"/>
  <c r="DN34" i="12"/>
  <c r="DM34" i="12"/>
  <c r="DL34" i="12"/>
  <c r="DK34" i="12"/>
  <c r="DJ34" i="12"/>
  <c r="DI34" i="12"/>
  <c r="DH34" i="12"/>
  <c r="DG34" i="12"/>
  <c r="DF34" i="12"/>
  <c r="DE34" i="12"/>
  <c r="DD34" i="12"/>
  <c r="DC34" i="12"/>
  <c r="DB34" i="12"/>
  <c r="DA34" i="12"/>
  <c r="CZ34" i="12"/>
  <c r="CY34" i="12"/>
  <c r="CX34" i="12"/>
  <c r="CW34" i="12"/>
  <c r="CV34" i="12"/>
  <c r="CU34" i="12"/>
  <c r="CT34" i="12"/>
  <c r="CS34" i="12"/>
  <c r="CR34" i="12"/>
  <c r="CQ34" i="12"/>
  <c r="CP34" i="12"/>
  <c r="CO34" i="12"/>
  <c r="CN34" i="12"/>
  <c r="CM34" i="12"/>
  <c r="CL34" i="12"/>
  <c r="CK34" i="12"/>
  <c r="CJ34" i="12"/>
  <c r="CI34" i="12"/>
  <c r="CH34" i="12"/>
  <c r="CG34" i="12"/>
  <c r="CF34" i="12"/>
  <c r="CE34" i="12"/>
  <c r="CD34" i="12"/>
  <c r="CC34" i="12"/>
  <c r="CB34" i="12"/>
  <c r="CA34" i="12"/>
  <c r="BZ34" i="12"/>
  <c r="BY34" i="12"/>
  <c r="BX34" i="12"/>
  <c r="BW34" i="12"/>
  <c r="BV34" i="12"/>
  <c r="BU34" i="12"/>
  <c r="BT34" i="12"/>
  <c r="BS34" i="12"/>
  <c r="BR34" i="12"/>
  <c r="BQ34" i="12"/>
  <c r="BP34" i="12"/>
  <c r="BO34" i="12"/>
  <c r="BN34" i="12"/>
  <c r="BM34" i="12"/>
  <c r="BL34" i="12"/>
  <c r="BK34" i="12"/>
  <c r="BJ34" i="12"/>
  <c r="BI34" i="12"/>
  <c r="BH34" i="12"/>
  <c r="BG34" i="12"/>
  <c r="BF34" i="12"/>
  <c r="BE34" i="12"/>
  <c r="BD34" i="12"/>
  <c r="BC34" i="12"/>
  <c r="BB34" i="12"/>
  <c r="BA34" i="12"/>
  <c r="AZ34" i="12"/>
  <c r="AY34" i="12"/>
  <c r="AX34" i="12"/>
  <c r="AW34" i="12"/>
  <c r="AV34" i="12"/>
  <c r="AU34" i="12"/>
  <c r="AT34" i="12"/>
  <c r="AS34" i="12"/>
  <c r="AR34" i="12"/>
  <c r="AQ34" i="12"/>
  <c r="AP34" i="12"/>
  <c r="AO34" i="12"/>
  <c r="AN34" i="12"/>
  <c r="AM34" i="12"/>
  <c r="AL34" i="12"/>
  <c r="AK34" i="12"/>
  <c r="AJ34" i="12"/>
  <c r="AI34" i="12"/>
  <c r="AH34" i="12"/>
  <c r="AG34" i="12"/>
  <c r="AF34" i="12"/>
  <c r="AE34" i="12"/>
  <c r="AD34" i="12"/>
  <c r="AC34" i="12"/>
  <c r="AB34" i="12"/>
  <c r="AA34" i="12"/>
  <c r="Z34" i="12"/>
  <c r="Y34" i="12"/>
  <c r="X34" i="12"/>
  <c r="W34" i="12"/>
  <c r="V34" i="12"/>
  <c r="U34" i="12"/>
  <c r="T34" i="12"/>
  <c r="S34" i="12"/>
  <c r="R34" i="12"/>
  <c r="HC31" i="12"/>
  <c r="HB31" i="12"/>
  <c r="HA31" i="12"/>
  <c r="GZ31" i="12"/>
  <c r="GY31" i="12"/>
  <c r="GX31" i="12"/>
  <c r="GW31" i="12"/>
  <c r="GV31" i="12"/>
  <c r="GU31" i="12"/>
  <c r="GT31" i="12"/>
  <c r="GS31" i="12"/>
  <c r="GR31" i="12"/>
  <c r="GQ31" i="12"/>
  <c r="GP31" i="12"/>
  <c r="GO31" i="12"/>
  <c r="GN31" i="12"/>
  <c r="GM31" i="12"/>
  <c r="GL31" i="12"/>
  <c r="GK31" i="12"/>
  <c r="GJ31" i="12"/>
  <c r="GI31" i="12"/>
  <c r="GH31" i="12"/>
  <c r="GG31" i="12"/>
  <c r="GF31" i="12"/>
  <c r="GE31" i="12"/>
  <c r="GD31" i="12"/>
  <c r="GC31" i="12"/>
  <c r="GB31" i="12"/>
  <c r="GA31" i="12"/>
  <c r="FZ31" i="12"/>
  <c r="FY31" i="12"/>
  <c r="FX31" i="12"/>
  <c r="FW31" i="12"/>
  <c r="FV31" i="12"/>
  <c r="FU31" i="12"/>
  <c r="FT31" i="12"/>
  <c r="FS31" i="12"/>
  <c r="FR31" i="12"/>
  <c r="FQ31" i="12"/>
  <c r="FP31" i="12"/>
  <c r="FO31" i="12"/>
  <c r="FN31" i="12"/>
  <c r="FM31" i="12"/>
  <c r="FL31" i="12"/>
  <c r="FK31" i="12"/>
  <c r="FJ31" i="12"/>
  <c r="FI31" i="12"/>
  <c r="FH31" i="12"/>
  <c r="FG31" i="12"/>
  <c r="FF31" i="12"/>
  <c r="FE31" i="12"/>
  <c r="FD31" i="12"/>
  <c r="FC31" i="12"/>
  <c r="FB31" i="12"/>
  <c r="FA31" i="12"/>
  <c r="EZ31" i="12"/>
  <c r="EY31" i="12"/>
  <c r="EX31" i="12"/>
  <c r="EW31" i="12"/>
  <c r="EV31" i="12"/>
  <c r="EU31" i="12"/>
  <c r="ET31" i="12"/>
  <c r="ES31" i="12"/>
  <c r="ER31" i="12"/>
  <c r="EQ31" i="12"/>
  <c r="EP31" i="12"/>
  <c r="EO31" i="12"/>
  <c r="EN31" i="12"/>
  <c r="EM31" i="12"/>
  <c r="EL31" i="12"/>
  <c r="EK31" i="12"/>
  <c r="EJ31" i="12"/>
  <c r="EI31" i="12"/>
  <c r="EH31" i="12"/>
  <c r="EG31" i="12"/>
  <c r="EF31" i="12"/>
  <c r="EE31" i="12"/>
  <c r="ED31" i="12"/>
  <c r="EC31" i="12"/>
  <c r="EB31" i="12"/>
  <c r="EA31" i="12"/>
  <c r="DZ31" i="12"/>
  <c r="DY31" i="12"/>
  <c r="DX31" i="12"/>
  <c r="DW31" i="12"/>
  <c r="DV31" i="12"/>
  <c r="DU31" i="12"/>
  <c r="DT31" i="12"/>
  <c r="DS31" i="12"/>
  <c r="DR31" i="12"/>
  <c r="DQ31" i="12"/>
  <c r="DP31" i="12"/>
  <c r="DO31" i="12"/>
  <c r="DN31" i="12"/>
  <c r="DM31" i="12"/>
  <c r="DL31" i="12"/>
  <c r="DK31" i="12"/>
  <c r="DJ31" i="12"/>
  <c r="DI31" i="12"/>
  <c r="DH31" i="12"/>
  <c r="DG31" i="12"/>
  <c r="DF31" i="12"/>
  <c r="DE31" i="12"/>
  <c r="DD31" i="12"/>
  <c r="DC31" i="12"/>
  <c r="DB31" i="12"/>
  <c r="DA31" i="12"/>
  <c r="CZ31" i="12"/>
  <c r="CY31" i="12"/>
  <c r="CX31" i="12"/>
  <c r="CW31" i="12"/>
  <c r="CV31" i="12"/>
  <c r="CU31" i="12"/>
  <c r="CT31" i="12"/>
  <c r="CS31" i="12"/>
  <c r="CR31" i="12"/>
  <c r="CQ31" i="12"/>
  <c r="CP31" i="12"/>
  <c r="CO31" i="12"/>
  <c r="CN31" i="12"/>
  <c r="CM31" i="12"/>
  <c r="CL31" i="12"/>
  <c r="CK31" i="12"/>
  <c r="CJ31" i="12"/>
  <c r="CI31" i="12"/>
  <c r="CH31" i="12"/>
  <c r="CG31" i="12"/>
  <c r="CF31" i="12"/>
  <c r="CE31" i="12"/>
  <c r="CD31" i="12"/>
  <c r="CC31" i="12"/>
  <c r="CB31" i="12"/>
  <c r="CA31" i="12"/>
  <c r="BZ31" i="12"/>
  <c r="BY31" i="12"/>
  <c r="BX31" i="12"/>
  <c r="BW31" i="12"/>
  <c r="BV31" i="12"/>
  <c r="BU31" i="12"/>
  <c r="BT31" i="12"/>
  <c r="BS31" i="12"/>
  <c r="BR31" i="12"/>
  <c r="BQ31" i="12"/>
  <c r="BP31" i="12"/>
  <c r="BO31" i="12"/>
  <c r="BN31" i="12"/>
  <c r="BM31" i="12"/>
  <c r="BL31" i="12"/>
  <c r="BK31" i="12"/>
  <c r="BJ31" i="12"/>
  <c r="BI31" i="12"/>
  <c r="BH31" i="12"/>
  <c r="BG31" i="12"/>
  <c r="BF31" i="12"/>
  <c r="BE31" i="12"/>
  <c r="BD31" i="12"/>
  <c r="BC31" i="12"/>
  <c r="BB31" i="12"/>
  <c r="BA31" i="12"/>
  <c r="AZ31" i="12"/>
  <c r="AY31" i="12"/>
  <c r="AX31" i="12"/>
  <c r="AW31" i="12"/>
  <c r="AV31" i="12"/>
  <c r="AU31" i="12"/>
  <c r="AT31" i="12"/>
  <c r="AS31" i="12"/>
  <c r="AR31" i="12"/>
  <c r="AQ31" i="12"/>
  <c r="AP31" i="12"/>
  <c r="AO31" i="12"/>
  <c r="AN31" i="12"/>
  <c r="AM31" i="12"/>
  <c r="AL31" i="12"/>
  <c r="AK31" i="12"/>
  <c r="AJ31" i="12"/>
  <c r="AI31" i="12"/>
  <c r="AH31" i="12"/>
  <c r="AG31" i="12"/>
  <c r="AF31" i="12"/>
  <c r="AE31" i="12"/>
  <c r="AD31" i="12"/>
  <c r="AC31" i="12"/>
  <c r="AB31" i="12"/>
  <c r="AA31" i="12"/>
  <c r="Z31" i="12"/>
  <c r="Y31" i="12"/>
  <c r="X31" i="12"/>
  <c r="W31" i="12"/>
  <c r="V31" i="12"/>
  <c r="U31" i="12"/>
  <c r="T31" i="12"/>
  <c r="S31" i="12"/>
  <c r="R31" i="12"/>
  <c r="HC28" i="12"/>
  <c r="HB28" i="12"/>
  <c r="HA28" i="12"/>
  <c r="GZ28" i="12"/>
  <c r="GY28" i="12"/>
  <c r="GX28" i="12"/>
  <c r="GW28" i="12"/>
  <c r="GV28" i="12"/>
  <c r="GU28" i="12"/>
  <c r="GT28" i="12"/>
  <c r="GS28" i="12"/>
  <c r="GR28" i="12"/>
  <c r="GQ28" i="12"/>
  <c r="GP28" i="12"/>
  <c r="GO28" i="12"/>
  <c r="GN28" i="12"/>
  <c r="GM28" i="12"/>
  <c r="GL28" i="12"/>
  <c r="GK28" i="12"/>
  <c r="GJ28" i="12"/>
  <c r="GI28" i="12"/>
  <c r="GH28" i="12"/>
  <c r="GG28" i="12"/>
  <c r="GF28" i="12"/>
  <c r="GE28" i="12"/>
  <c r="GD28" i="12"/>
  <c r="GC28" i="12"/>
  <c r="GB28" i="12"/>
  <c r="GA28" i="12"/>
  <c r="FZ28" i="12"/>
  <c r="FY28" i="12"/>
  <c r="FX28" i="12"/>
  <c r="FW28" i="12"/>
  <c r="FV28" i="12"/>
  <c r="FU28" i="12"/>
  <c r="FT28" i="12"/>
  <c r="FS28" i="12"/>
  <c r="FR28" i="12"/>
  <c r="FQ28" i="12"/>
  <c r="FP28" i="12"/>
  <c r="FO28" i="12"/>
  <c r="FN28" i="12"/>
  <c r="FM28" i="12"/>
  <c r="FL28" i="12"/>
  <c r="FK28" i="12"/>
  <c r="FJ28" i="12"/>
  <c r="FI28" i="12"/>
  <c r="FH28" i="12"/>
  <c r="FG28" i="12"/>
  <c r="FF28" i="12"/>
  <c r="FE28" i="12"/>
  <c r="FD28" i="12"/>
  <c r="FC28" i="12"/>
  <c r="FB28" i="12"/>
  <c r="FA28" i="12"/>
  <c r="EZ28" i="12"/>
  <c r="EY28" i="12"/>
  <c r="EX28" i="12"/>
  <c r="EW28" i="12"/>
  <c r="EV28" i="12"/>
  <c r="EU28" i="12"/>
  <c r="ET28" i="12"/>
  <c r="ES28" i="12"/>
  <c r="ER28" i="12"/>
  <c r="EQ28" i="12"/>
  <c r="EP28" i="12"/>
  <c r="EO28" i="12"/>
  <c r="EN28" i="12"/>
  <c r="EM28" i="12"/>
  <c r="EL28" i="12"/>
  <c r="EK28" i="12"/>
  <c r="EJ28" i="12"/>
  <c r="EI28" i="12"/>
  <c r="EH28" i="12"/>
  <c r="EG28" i="12"/>
  <c r="EF28" i="12"/>
  <c r="EE28" i="12"/>
  <c r="ED28" i="12"/>
  <c r="EC28" i="12"/>
  <c r="EB28" i="12"/>
  <c r="EA28" i="12"/>
  <c r="DZ28" i="12"/>
  <c r="DY28" i="12"/>
  <c r="DX28" i="12"/>
  <c r="DW28" i="12"/>
  <c r="DV28" i="12"/>
  <c r="DU28" i="12"/>
  <c r="DT28" i="12"/>
  <c r="DS28" i="12"/>
  <c r="DR28" i="12"/>
  <c r="DQ28" i="12"/>
  <c r="DP28" i="12"/>
  <c r="DO28" i="12"/>
  <c r="DN28" i="12"/>
  <c r="DM28" i="12"/>
  <c r="DL28" i="12"/>
  <c r="DK28" i="12"/>
  <c r="DJ28" i="12"/>
  <c r="DI28" i="12"/>
  <c r="DH28" i="12"/>
  <c r="DG28" i="12"/>
  <c r="DF28" i="12"/>
  <c r="DE28" i="12"/>
  <c r="DD28" i="12"/>
  <c r="DC28" i="12"/>
  <c r="DB28" i="12"/>
  <c r="DA28" i="12"/>
  <c r="CZ28" i="12"/>
  <c r="CY28" i="12"/>
  <c r="CX28" i="12"/>
  <c r="CW28" i="12"/>
  <c r="CV28" i="12"/>
  <c r="CU28" i="12"/>
  <c r="CT28" i="12"/>
  <c r="CS28" i="12"/>
  <c r="CR28" i="12"/>
  <c r="CQ28" i="12"/>
  <c r="CP28" i="12"/>
  <c r="CO28" i="12"/>
  <c r="CN28" i="12"/>
  <c r="CM28" i="12"/>
  <c r="CL28" i="12"/>
  <c r="CK28" i="12"/>
  <c r="CJ28" i="12"/>
  <c r="CI28" i="12"/>
  <c r="CH28" i="12"/>
  <c r="CG28" i="12"/>
  <c r="CF28" i="12"/>
  <c r="CE28" i="12"/>
  <c r="CD28" i="12"/>
  <c r="CC28" i="12"/>
  <c r="CB28" i="12"/>
  <c r="CA28" i="12"/>
  <c r="BZ28" i="12"/>
  <c r="BY28" i="12"/>
  <c r="BX28" i="12"/>
  <c r="BW28" i="12"/>
  <c r="BV28" i="12"/>
  <c r="BU28" i="12"/>
  <c r="BT28" i="12"/>
  <c r="BS28" i="12"/>
  <c r="BR28" i="12"/>
  <c r="BQ28" i="12"/>
  <c r="BP28" i="12"/>
  <c r="BO28" i="12"/>
  <c r="BN28" i="12"/>
  <c r="BM28" i="12"/>
  <c r="BL28" i="12"/>
  <c r="BK28" i="12"/>
  <c r="BJ28" i="12"/>
  <c r="BI28" i="12"/>
  <c r="BH28" i="12"/>
  <c r="BG28" i="12"/>
  <c r="BF28" i="12"/>
  <c r="BE28" i="12"/>
  <c r="BD28" i="12"/>
  <c r="BC28" i="12"/>
  <c r="BB28" i="12"/>
  <c r="BA28" i="12"/>
  <c r="AZ28" i="12"/>
  <c r="AY28" i="12"/>
  <c r="AX28" i="12"/>
  <c r="AW28" i="12"/>
  <c r="AV28" i="12"/>
  <c r="AU28" i="12"/>
  <c r="AT28" i="12"/>
  <c r="AS28" i="12"/>
  <c r="AR28" i="12"/>
  <c r="AQ28" i="12"/>
  <c r="AP28" i="12"/>
  <c r="AO28" i="12"/>
  <c r="AN28" i="12"/>
  <c r="AM28" i="12"/>
  <c r="AL28" i="12"/>
  <c r="AK28" i="12"/>
  <c r="AJ28" i="12"/>
  <c r="AI28" i="12"/>
  <c r="AH28" i="12"/>
  <c r="AG28" i="12"/>
  <c r="AF28" i="12"/>
  <c r="AE28" i="12"/>
  <c r="AD28" i="12"/>
  <c r="AC28" i="12"/>
  <c r="AB28" i="12"/>
  <c r="AA28" i="12"/>
  <c r="Z28" i="12"/>
  <c r="Y28" i="12"/>
  <c r="X28" i="12"/>
  <c r="W28" i="12"/>
  <c r="V28" i="12"/>
  <c r="U28" i="12"/>
  <c r="T28" i="12"/>
  <c r="S28" i="12"/>
  <c r="R28" i="12"/>
  <c r="HC21" i="12"/>
  <c r="HB21" i="12"/>
  <c r="HA21" i="12"/>
  <c r="GZ21" i="12"/>
  <c r="GY21" i="12"/>
  <c r="GX21" i="12"/>
  <c r="GW21" i="12"/>
  <c r="GV21" i="12"/>
  <c r="GU21" i="12"/>
  <c r="GT21" i="12"/>
  <c r="GS21" i="12"/>
  <c r="GR21" i="12"/>
  <c r="GQ21" i="12"/>
  <c r="GP21" i="12"/>
  <c r="GO21" i="12"/>
  <c r="GN21" i="12"/>
  <c r="GM21" i="12"/>
  <c r="GL21" i="12"/>
  <c r="GK21" i="12"/>
  <c r="GJ21" i="12"/>
  <c r="GI21" i="12"/>
  <c r="GH21" i="12"/>
  <c r="GG21" i="12"/>
  <c r="GF21" i="12"/>
  <c r="GE21" i="12"/>
  <c r="GD21" i="12"/>
  <c r="GC21" i="12"/>
  <c r="GB21" i="12"/>
  <c r="GA21" i="12"/>
  <c r="FZ21" i="12"/>
  <c r="FY21" i="12"/>
  <c r="FX21" i="12"/>
  <c r="FW21" i="12"/>
  <c r="FV21" i="12"/>
  <c r="FU21" i="12"/>
  <c r="FT21" i="12"/>
  <c r="FS21" i="12"/>
  <c r="FR21" i="12"/>
  <c r="FQ21" i="12"/>
  <c r="FP21" i="12"/>
  <c r="FO21" i="12"/>
  <c r="FN21" i="12"/>
  <c r="FM21" i="12"/>
  <c r="FL21" i="12"/>
  <c r="FK21" i="12"/>
  <c r="FJ21" i="12"/>
  <c r="FI21" i="12"/>
  <c r="FH21" i="12"/>
  <c r="FG21" i="12"/>
  <c r="FF21" i="12"/>
  <c r="FE21" i="12"/>
  <c r="FD21" i="12"/>
  <c r="FC21" i="12"/>
  <c r="FB21" i="12"/>
  <c r="FA21" i="12"/>
  <c r="EZ21" i="12"/>
  <c r="EY21" i="12"/>
  <c r="EX21" i="12"/>
  <c r="EW21" i="12"/>
  <c r="EV21" i="12"/>
  <c r="EU21" i="12"/>
  <c r="ET21" i="12"/>
  <c r="ES21" i="12"/>
  <c r="ER21" i="12"/>
  <c r="EQ21" i="12"/>
  <c r="EP21" i="12"/>
  <c r="EO21" i="12"/>
  <c r="EN21" i="12"/>
  <c r="EM21" i="12"/>
  <c r="EL21" i="12"/>
  <c r="EK21" i="12"/>
  <c r="EJ21" i="12"/>
  <c r="EI21" i="12"/>
  <c r="EH21" i="12"/>
  <c r="EG21" i="12"/>
  <c r="EF21" i="12"/>
  <c r="EE21" i="12"/>
  <c r="ED21" i="12"/>
  <c r="EC21" i="12"/>
  <c r="EB21" i="12"/>
  <c r="EA21" i="12"/>
  <c r="DZ21" i="12"/>
  <c r="DY21" i="12"/>
  <c r="DX21" i="12"/>
  <c r="DW21" i="12"/>
  <c r="DV21" i="12"/>
  <c r="DU21" i="12"/>
  <c r="DT21" i="12"/>
  <c r="DS21" i="12"/>
  <c r="DR21" i="12"/>
  <c r="DQ21" i="12"/>
  <c r="DP21" i="12"/>
  <c r="DO21" i="12"/>
  <c r="DN21" i="12"/>
  <c r="DM21" i="12"/>
  <c r="DL21" i="12"/>
  <c r="DK21" i="12"/>
  <c r="DJ21" i="12"/>
  <c r="DI21" i="12"/>
  <c r="DH21" i="12"/>
  <c r="DG21" i="12"/>
  <c r="DF21" i="12"/>
  <c r="DE21" i="12"/>
  <c r="DD21" i="12"/>
  <c r="DC21" i="12"/>
  <c r="DB21" i="12"/>
  <c r="DA21" i="12"/>
  <c r="CZ21" i="12"/>
  <c r="CY21" i="12"/>
  <c r="CX21" i="12"/>
  <c r="CW21" i="12"/>
  <c r="CV21" i="12"/>
  <c r="CU21" i="12"/>
  <c r="CT21" i="12"/>
  <c r="CS21" i="12"/>
  <c r="CR21" i="12"/>
  <c r="CQ21" i="12"/>
  <c r="CP21" i="12"/>
  <c r="CO21" i="12"/>
  <c r="CN21" i="12"/>
  <c r="CM21" i="12"/>
  <c r="CL21" i="12"/>
  <c r="CK21" i="12"/>
  <c r="CJ21" i="12"/>
  <c r="CI21" i="12"/>
  <c r="CH21" i="12"/>
  <c r="CG21" i="12"/>
  <c r="CF21" i="12"/>
  <c r="CE21" i="12"/>
  <c r="CD21" i="12"/>
  <c r="CC21" i="12"/>
  <c r="CB21" i="12"/>
  <c r="CA21" i="12"/>
  <c r="BZ21" i="12"/>
  <c r="BY21" i="12"/>
  <c r="BX21" i="12"/>
  <c r="BW21" i="12"/>
  <c r="BV21" i="12"/>
  <c r="BU21" i="12"/>
  <c r="BT21" i="12"/>
  <c r="BS21" i="12"/>
  <c r="BR21" i="12"/>
  <c r="BQ21" i="12"/>
  <c r="BP21" i="12"/>
  <c r="BO21" i="12"/>
  <c r="BN21" i="12"/>
  <c r="BM21" i="12"/>
  <c r="BL21" i="12"/>
  <c r="BK21" i="12"/>
  <c r="BJ21" i="12"/>
  <c r="BI21" i="12"/>
  <c r="BH21" i="12"/>
  <c r="BG21" i="12"/>
  <c r="BF21" i="12"/>
  <c r="BE21" i="12"/>
  <c r="BD21" i="12"/>
  <c r="BC21" i="12"/>
  <c r="BB21" i="12"/>
  <c r="BA21" i="12"/>
  <c r="AZ21" i="12"/>
  <c r="AY21" i="12"/>
  <c r="AX21" i="12"/>
  <c r="AW21" i="12"/>
  <c r="AV21" i="12"/>
  <c r="AU21" i="12"/>
  <c r="AT21" i="12"/>
  <c r="AS21" i="12"/>
  <c r="AR21" i="12"/>
  <c r="AQ21" i="12"/>
  <c r="AP21" i="12"/>
  <c r="AO21" i="12"/>
  <c r="AN21" i="12"/>
  <c r="AM21" i="12"/>
  <c r="AL21" i="12"/>
  <c r="AK21" i="12"/>
  <c r="AJ21" i="12"/>
  <c r="AI21" i="12"/>
  <c r="AH21" i="12"/>
  <c r="AG21" i="12"/>
  <c r="AF21" i="12"/>
  <c r="AE21" i="12"/>
  <c r="AD21" i="12"/>
  <c r="AC21" i="12"/>
  <c r="AB21" i="12"/>
  <c r="AA21" i="12"/>
  <c r="Z21" i="12"/>
  <c r="Y21" i="12"/>
  <c r="X21" i="12"/>
  <c r="W21" i="12"/>
  <c r="V21" i="12"/>
  <c r="U21" i="12"/>
  <c r="T21" i="12"/>
  <c r="S21" i="12"/>
  <c r="R21" i="12"/>
  <c r="HC2" i="12"/>
  <c r="HB2" i="12"/>
  <c r="HA2" i="12"/>
  <c r="GZ2" i="12"/>
  <c r="GY2" i="12"/>
  <c r="GX2" i="12"/>
  <c r="GW2" i="12"/>
  <c r="GV2" i="12"/>
  <c r="GU2" i="12"/>
  <c r="GT2" i="12"/>
  <c r="GS2" i="12"/>
  <c r="GR2" i="12"/>
  <c r="GQ2" i="12"/>
  <c r="GP2" i="12"/>
  <c r="GO2" i="12"/>
  <c r="GN2" i="12"/>
  <c r="GM2" i="12"/>
  <c r="GL2" i="12"/>
  <c r="GK2" i="12"/>
  <c r="GJ2" i="12"/>
  <c r="GI2" i="12"/>
  <c r="GH2" i="12"/>
  <c r="GG2" i="12"/>
  <c r="GF2" i="12"/>
  <c r="GE2" i="12"/>
  <c r="GD2" i="12"/>
  <c r="GC2" i="12"/>
  <c r="GB2" i="12"/>
  <c r="GA2" i="12"/>
  <c r="FZ2" i="12"/>
  <c r="FY2" i="12"/>
  <c r="FX2" i="12"/>
  <c r="FW2" i="12"/>
  <c r="FV2" i="12"/>
  <c r="FU2" i="12"/>
  <c r="FT2" i="12"/>
  <c r="FS2" i="12"/>
  <c r="FR2" i="12"/>
  <c r="FQ2" i="12"/>
  <c r="FP2" i="12"/>
  <c r="FO2" i="12"/>
  <c r="FN2" i="12"/>
  <c r="FM2" i="12"/>
  <c r="FL2" i="12"/>
  <c r="FK2" i="12"/>
  <c r="FJ2" i="12"/>
  <c r="FI2" i="12"/>
  <c r="FH2" i="12"/>
  <c r="FG2" i="12"/>
  <c r="FF2" i="12"/>
  <c r="FE2" i="12"/>
  <c r="FD2" i="12"/>
  <c r="FC2" i="12"/>
  <c r="FB2" i="12"/>
  <c r="FA2" i="12"/>
  <c r="EZ2" i="12"/>
  <c r="EY2" i="12"/>
  <c r="EX2" i="12"/>
  <c r="EW2" i="12"/>
  <c r="EV2" i="12"/>
  <c r="EU2" i="12"/>
  <c r="ET2" i="12"/>
  <c r="ES2" i="12"/>
  <c r="ER2" i="12"/>
  <c r="EQ2" i="12"/>
  <c r="EP2" i="12"/>
  <c r="EO2" i="12"/>
  <c r="EN2" i="12"/>
  <c r="EM2" i="12"/>
  <c r="EL2" i="12"/>
  <c r="EK2" i="12"/>
  <c r="EJ2" i="12"/>
  <c r="EI2" i="12"/>
  <c r="EH2" i="12"/>
  <c r="EG2" i="12"/>
  <c r="EF2" i="12"/>
  <c r="EE2" i="12"/>
  <c r="ED2" i="12"/>
  <c r="EC2" i="12"/>
  <c r="EB2" i="12"/>
  <c r="EA2" i="12"/>
  <c r="DZ2" i="12"/>
  <c r="DY2" i="12"/>
  <c r="DX2" i="12"/>
  <c r="DW2" i="12"/>
  <c r="DV2" i="12"/>
  <c r="DU2" i="12"/>
  <c r="DT2" i="12"/>
  <c r="DS2" i="12"/>
  <c r="DR2" i="12"/>
  <c r="DQ2" i="12"/>
  <c r="DP2" i="12"/>
  <c r="DO2" i="12"/>
  <c r="DN2" i="12"/>
  <c r="DM2" i="12"/>
  <c r="DL2" i="12"/>
  <c r="DK2" i="12"/>
  <c r="DJ2" i="12"/>
  <c r="DI2" i="12"/>
  <c r="DH2" i="12"/>
  <c r="DG2" i="12"/>
  <c r="DF2" i="12"/>
  <c r="DE2" i="12"/>
  <c r="DD2" i="12"/>
  <c r="DC2" i="12"/>
  <c r="DB2" i="12"/>
  <c r="DA2" i="12"/>
  <c r="CZ2" i="12"/>
  <c r="CY2" i="12"/>
  <c r="CX2" i="12"/>
  <c r="CW2" i="12"/>
  <c r="CV2" i="12"/>
  <c r="CU2" i="12"/>
  <c r="CT2" i="12"/>
  <c r="CS2" i="12"/>
  <c r="CR2" i="12"/>
  <c r="CQ2" i="12"/>
  <c r="CP2" i="12"/>
  <c r="CO2" i="12"/>
  <c r="CN2" i="12"/>
  <c r="CM2" i="12"/>
  <c r="CL2" i="12"/>
  <c r="CK2" i="12"/>
  <c r="CJ2" i="12"/>
  <c r="CI2" i="12"/>
  <c r="CH2" i="12"/>
  <c r="CG2" i="12"/>
  <c r="CF2" i="12"/>
  <c r="CE2" i="12"/>
  <c r="CD2" i="12"/>
  <c r="CC2" i="12"/>
  <c r="CB2" i="12"/>
  <c r="CA2" i="12"/>
  <c r="BZ2" i="12"/>
  <c r="BY2" i="12"/>
  <c r="BX2" i="12"/>
  <c r="BW2" i="12"/>
  <c r="BV2" i="12"/>
  <c r="BU2" i="12"/>
  <c r="BT2" i="12"/>
  <c r="BS2" i="12"/>
  <c r="BR2" i="12"/>
  <c r="BQ2" i="12"/>
  <c r="BP2" i="12"/>
  <c r="BO2" i="12"/>
  <c r="BN2" i="12"/>
  <c r="BM2" i="12"/>
  <c r="BL2" i="12"/>
  <c r="BK2" i="12"/>
  <c r="BJ2" i="12"/>
  <c r="BI2" i="12"/>
  <c r="BH2" i="12"/>
  <c r="BG2" i="12"/>
  <c r="BF2" i="12"/>
  <c r="BE2" i="12"/>
  <c r="BD2" i="12"/>
  <c r="BC2" i="12"/>
  <c r="BB2" i="12"/>
  <c r="BA2" i="12"/>
  <c r="AZ2" i="12"/>
  <c r="AY2" i="12"/>
  <c r="AX2" i="12"/>
  <c r="AW2" i="12"/>
  <c r="AV2" i="12"/>
  <c r="AU2" i="12"/>
  <c r="AT2" i="12"/>
  <c r="AS2" i="12"/>
  <c r="AR2" i="12"/>
  <c r="AQ2" i="12"/>
  <c r="AP2" i="12"/>
  <c r="AO2" i="12"/>
  <c r="AN2" i="12"/>
  <c r="AM2" i="12"/>
  <c r="AL2" i="12"/>
  <c r="AK2" i="12"/>
  <c r="AJ2" i="12"/>
  <c r="AI2" i="12"/>
  <c r="AH2" i="12"/>
  <c r="AG2" i="12"/>
  <c r="AF2" i="12"/>
  <c r="AE2" i="12"/>
  <c r="AD2" i="12"/>
  <c r="AC2" i="12"/>
  <c r="AB2" i="12"/>
  <c r="AA2" i="12"/>
  <c r="Z2" i="12"/>
  <c r="Y2" i="12"/>
  <c r="X2" i="12"/>
  <c r="W2" i="12"/>
  <c r="V2" i="12"/>
  <c r="U2" i="12"/>
  <c r="T2" i="12"/>
  <c r="S2" i="12"/>
  <c r="R2" i="12"/>
  <c r="M93" i="12"/>
  <c r="H93" i="12"/>
  <c r="L88" i="12" l="1"/>
  <c r="M88" i="12"/>
  <c r="N88" i="12"/>
  <c r="O88" i="12"/>
  <c r="P88" i="12"/>
  <c r="Q88" i="12"/>
  <c r="L87" i="12"/>
  <c r="M87" i="12"/>
  <c r="N87" i="12"/>
  <c r="O87" i="12"/>
  <c r="P87" i="12"/>
  <c r="Q87" i="12"/>
  <c r="K88" i="12"/>
  <c r="K89" i="12"/>
  <c r="K90" i="12"/>
  <c r="K91" i="12"/>
  <c r="K92" i="12"/>
  <c r="J88" i="12"/>
  <c r="I88" i="12"/>
  <c r="I87" i="12"/>
  <c r="J87" i="12"/>
  <c r="K87" i="12"/>
  <c r="H87" i="12"/>
  <c r="H88" i="12"/>
  <c r="I2" i="12" l="1"/>
  <c r="J2" i="12"/>
  <c r="K2" i="12"/>
  <c r="L2" i="12"/>
  <c r="M2" i="12"/>
  <c r="N2" i="12"/>
  <c r="O2" i="12"/>
  <c r="P2" i="12"/>
  <c r="Q2" i="12"/>
  <c r="I3" i="12"/>
  <c r="J3" i="12"/>
  <c r="K3" i="12"/>
  <c r="L3" i="12"/>
  <c r="M3" i="12"/>
  <c r="N3" i="12"/>
  <c r="O3" i="12"/>
  <c r="P3" i="12"/>
  <c r="Q3" i="12"/>
  <c r="I4" i="12"/>
  <c r="J4" i="12"/>
  <c r="K4" i="12"/>
  <c r="L4" i="12"/>
  <c r="M4" i="12"/>
  <c r="N4" i="12"/>
  <c r="O4" i="12"/>
  <c r="P4" i="12"/>
  <c r="Q4" i="12"/>
  <c r="I5" i="12"/>
  <c r="J5" i="12"/>
  <c r="K5" i="12"/>
  <c r="L5" i="12"/>
  <c r="M5" i="12"/>
  <c r="N5" i="12"/>
  <c r="O5" i="12"/>
  <c r="P5" i="12"/>
  <c r="Q5" i="12"/>
  <c r="I6" i="12"/>
  <c r="J6" i="12"/>
  <c r="K6" i="12"/>
  <c r="L6" i="12"/>
  <c r="M6" i="12"/>
  <c r="N6" i="12"/>
  <c r="O6" i="12"/>
  <c r="P6" i="12"/>
  <c r="Q6" i="12"/>
  <c r="I7" i="12"/>
  <c r="J7" i="12"/>
  <c r="K7" i="12"/>
  <c r="L7" i="12"/>
  <c r="M7" i="12"/>
  <c r="N7" i="12"/>
  <c r="O7" i="12"/>
  <c r="P7" i="12"/>
  <c r="Q7" i="12"/>
  <c r="H7" i="12"/>
  <c r="H6" i="12"/>
  <c r="H5" i="12"/>
  <c r="H4" i="12"/>
  <c r="H3" i="12"/>
  <c r="H2" i="12"/>
  <c r="I80" i="12"/>
  <c r="J80" i="12"/>
  <c r="K80" i="12"/>
  <c r="L80" i="12"/>
  <c r="M80" i="12"/>
  <c r="N80" i="12"/>
  <c r="O80" i="12"/>
  <c r="P80" i="12"/>
  <c r="Q80" i="12"/>
  <c r="I81" i="12"/>
  <c r="J81" i="12"/>
  <c r="K81" i="12"/>
  <c r="L81" i="12"/>
  <c r="M81" i="12"/>
  <c r="N81" i="12"/>
  <c r="O81" i="12"/>
  <c r="P81" i="12"/>
  <c r="Q81" i="12"/>
  <c r="I82" i="12"/>
  <c r="J82" i="12"/>
  <c r="K82" i="12"/>
  <c r="L82" i="12"/>
  <c r="M82" i="12"/>
  <c r="N82" i="12"/>
  <c r="O82" i="12"/>
  <c r="P82" i="12"/>
  <c r="Q82" i="12"/>
  <c r="I83" i="12"/>
  <c r="J83" i="12"/>
  <c r="K83" i="12"/>
  <c r="L83" i="12"/>
  <c r="M83" i="12"/>
  <c r="N83" i="12"/>
  <c r="O83" i="12"/>
  <c r="P83" i="12"/>
  <c r="Q83" i="12"/>
  <c r="I84" i="12"/>
  <c r="J84" i="12"/>
  <c r="K84" i="12"/>
  <c r="L84" i="12"/>
  <c r="M84" i="12"/>
  <c r="N84" i="12"/>
  <c r="O84" i="12"/>
  <c r="P84" i="12"/>
  <c r="Q84" i="12"/>
  <c r="I85" i="12"/>
  <c r="J85" i="12"/>
  <c r="K85" i="12"/>
  <c r="L85" i="12"/>
  <c r="M85" i="12"/>
  <c r="N85" i="12"/>
  <c r="O85" i="12"/>
  <c r="P85" i="12"/>
  <c r="Q85" i="12"/>
  <c r="I86" i="12"/>
  <c r="J86" i="12"/>
  <c r="K86" i="12"/>
  <c r="L86" i="12"/>
  <c r="M86" i="12"/>
  <c r="N86" i="12"/>
  <c r="O86" i="12"/>
  <c r="P86" i="12"/>
  <c r="Q86" i="12"/>
  <c r="I89" i="12"/>
  <c r="J89" i="12"/>
  <c r="L89" i="12"/>
  <c r="M89" i="12"/>
  <c r="N89" i="12"/>
  <c r="O89" i="12"/>
  <c r="P89" i="12"/>
  <c r="Q89" i="12"/>
  <c r="I90" i="12"/>
  <c r="J90" i="12"/>
  <c r="L90" i="12"/>
  <c r="M90" i="12"/>
  <c r="N90" i="12"/>
  <c r="O90" i="12"/>
  <c r="P90" i="12"/>
  <c r="Q90" i="12"/>
  <c r="I91" i="12"/>
  <c r="J91" i="12"/>
  <c r="L91" i="12"/>
  <c r="M91" i="12"/>
  <c r="N91" i="12"/>
  <c r="O91" i="12"/>
  <c r="P91" i="12"/>
  <c r="Q91" i="12"/>
  <c r="I92" i="12"/>
  <c r="J92" i="12"/>
  <c r="L92" i="12"/>
  <c r="M92" i="12"/>
  <c r="N92" i="12"/>
  <c r="O92" i="12"/>
  <c r="P92" i="12"/>
  <c r="Q92" i="12"/>
  <c r="H92" i="12"/>
  <c r="H91" i="12"/>
  <c r="H90" i="12"/>
  <c r="H89" i="12"/>
  <c r="H86" i="12"/>
  <c r="H85" i="12"/>
  <c r="H84" i="12"/>
  <c r="H83" i="12"/>
  <c r="H82" i="12"/>
  <c r="H81" i="12"/>
  <c r="H80" i="12"/>
  <c r="M62" i="12"/>
  <c r="N62" i="12"/>
  <c r="O62" i="12"/>
  <c r="P62" i="12"/>
  <c r="Q62" i="12"/>
  <c r="M63" i="12"/>
  <c r="N63" i="12"/>
  <c r="O63" i="12"/>
  <c r="P63" i="12"/>
  <c r="Q63" i="12"/>
  <c r="M64" i="12"/>
  <c r="N64" i="12"/>
  <c r="O64" i="12"/>
  <c r="P64" i="12"/>
  <c r="Q64" i="12"/>
  <c r="M65" i="12"/>
  <c r="N65" i="12"/>
  <c r="O65" i="12"/>
  <c r="P65" i="12"/>
  <c r="Q65" i="12"/>
  <c r="M66" i="12"/>
  <c r="N66" i="12"/>
  <c r="O66" i="12"/>
  <c r="P66" i="12"/>
  <c r="Q66" i="12"/>
  <c r="M67" i="12"/>
  <c r="N67" i="12"/>
  <c r="O67" i="12"/>
  <c r="P67" i="12"/>
  <c r="Q67" i="12"/>
  <c r="M68" i="12"/>
  <c r="N68" i="12"/>
  <c r="O68" i="12"/>
  <c r="P68" i="12"/>
  <c r="Q68" i="12"/>
  <c r="M69" i="12"/>
  <c r="N69" i="12"/>
  <c r="O69" i="12"/>
  <c r="P69" i="12"/>
  <c r="Q69" i="12"/>
  <c r="M70" i="12"/>
  <c r="N70" i="12"/>
  <c r="O70" i="12"/>
  <c r="P70" i="12"/>
  <c r="Q70" i="12"/>
  <c r="M71" i="12"/>
  <c r="N71" i="12"/>
  <c r="O71" i="12"/>
  <c r="P71" i="12"/>
  <c r="Q71" i="12"/>
  <c r="M72" i="12"/>
  <c r="N72" i="12"/>
  <c r="O72" i="12"/>
  <c r="P72" i="12"/>
  <c r="Q72" i="12"/>
  <c r="M73" i="12"/>
  <c r="N73" i="12"/>
  <c r="O73" i="12"/>
  <c r="P73" i="12"/>
  <c r="Q73" i="12"/>
  <c r="M74" i="12"/>
  <c r="N74" i="12"/>
  <c r="O74" i="12"/>
  <c r="P74" i="12"/>
  <c r="Q74" i="12"/>
  <c r="M75" i="12"/>
  <c r="N75" i="12"/>
  <c r="O75" i="12"/>
  <c r="P75" i="12"/>
  <c r="Q75" i="12"/>
  <c r="M76" i="12"/>
  <c r="N76" i="12"/>
  <c r="O76" i="12"/>
  <c r="P76" i="12"/>
  <c r="Q76" i="12"/>
  <c r="M77" i="12"/>
  <c r="N77" i="12"/>
  <c r="O77" i="12"/>
  <c r="P77" i="12"/>
  <c r="Q77" i="12"/>
  <c r="M78" i="12"/>
  <c r="N78" i="12"/>
  <c r="O78" i="12"/>
  <c r="P78" i="12"/>
  <c r="Q78" i="12"/>
  <c r="M79" i="12"/>
  <c r="N79" i="12"/>
  <c r="O79" i="12"/>
  <c r="P79" i="12"/>
  <c r="Q79" i="12"/>
  <c r="I62" i="12"/>
  <c r="J62" i="12"/>
  <c r="K62" i="12"/>
  <c r="L62" i="12"/>
  <c r="I63" i="12"/>
  <c r="J63" i="12"/>
  <c r="K63" i="12"/>
  <c r="L63" i="12"/>
  <c r="I64" i="12"/>
  <c r="J64" i="12"/>
  <c r="K64" i="12"/>
  <c r="L64" i="12"/>
  <c r="I65" i="12"/>
  <c r="J65" i="12"/>
  <c r="K65" i="12"/>
  <c r="L65" i="12"/>
  <c r="I66" i="12"/>
  <c r="J66" i="12"/>
  <c r="K66" i="12"/>
  <c r="L66" i="12"/>
  <c r="I67" i="12"/>
  <c r="J67" i="12"/>
  <c r="K67" i="12"/>
  <c r="L67" i="12"/>
  <c r="I68" i="12"/>
  <c r="J68" i="12"/>
  <c r="K68" i="12"/>
  <c r="L68" i="12"/>
  <c r="I69" i="12"/>
  <c r="J69" i="12"/>
  <c r="K69" i="12"/>
  <c r="L69" i="12"/>
  <c r="I70" i="12"/>
  <c r="J70" i="12"/>
  <c r="K70" i="12"/>
  <c r="L70" i="12"/>
  <c r="I71" i="12"/>
  <c r="J71" i="12"/>
  <c r="K71" i="12"/>
  <c r="L71" i="12"/>
  <c r="I72" i="12"/>
  <c r="J72" i="12"/>
  <c r="K72" i="12"/>
  <c r="L72" i="12"/>
  <c r="I73" i="12"/>
  <c r="J73" i="12"/>
  <c r="K73" i="12"/>
  <c r="L73" i="12"/>
  <c r="I74" i="12"/>
  <c r="J74" i="12"/>
  <c r="K74" i="12"/>
  <c r="L74" i="12"/>
  <c r="I75" i="12"/>
  <c r="J75" i="12"/>
  <c r="K75" i="12"/>
  <c r="L75" i="12"/>
  <c r="I76" i="12"/>
  <c r="J76" i="12"/>
  <c r="K76" i="12"/>
  <c r="L76" i="12"/>
  <c r="I77" i="12"/>
  <c r="J77" i="12"/>
  <c r="K77" i="12"/>
  <c r="L77" i="12"/>
  <c r="I78" i="12"/>
  <c r="J78" i="12"/>
  <c r="K78" i="12"/>
  <c r="L78" i="12"/>
  <c r="I79" i="12"/>
  <c r="J79" i="12"/>
  <c r="K79" i="12"/>
  <c r="L79" i="12"/>
  <c r="H79" i="12"/>
  <c r="H78" i="12"/>
  <c r="H77" i="12"/>
  <c r="H76" i="12"/>
  <c r="H75" i="12"/>
  <c r="H74" i="12"/>
  <c r="H73" i="12"/>
  <c r="H72" i="12"/>
  <c r="H71" i="12"/>
  <c r="H70" i="12"/>
  <c r="H69" i="12"/>
  <c r="H68" i="12"/>
  <c r="H67" i="12"/>
  <c r="H66" i="12"/>
  <c r="H65" i="12"/>
  <c r="H64" i="12"/>
  <c r="H63" i="12"/>
  <c r="H62" i="12"/>
  <c r="Q27" i="12"/>
  <c r="Q28" i="12"/>
  <c r="Q29" i="12"/>
  <c r="Q30" i="12"/>
  <c r="Q31" i="12"/>
  <c r="Q32" i="12"/>
  <c r="Q33" i="12"/>
  <c r="Q34" i="12"/>
  <c r="Q35" i="12"/>
  <c r="Q36" i="12"/>
  <c r="Q37" i="12"/>
  <c r="Q38" i="12"/>
  <c r="Q39" i="12"/>
  <c r="Q40" i="12"/>
  <c r="Q41" i="12"/>
  <c r="Q42" i="12"/>
  <c r="Q43" i="12"/>
  <c r="Q44" i="12"/>
  <c r="Q45" i="12"/>
  <c r="Q46" i="12"/>
  <c r="Q47" i="12"/>
  <c r="Q48" i="12"/>
  <c r="Q49" i="12"/>
  <c r="Q50" i="12"/>
  <c r="Q51" i="12"/>
  <c r="Q52" i="12"/>
  <c r="Q53" i="12"/>
  <c r="Q54" i="12"/>
  <c r="Q55" i="12"/>
  <c r="Q56" i="12"/>
  <c r="Q57" i="12"/>
  <c r="Q58" i="12"/>
  <c r="Q59" i="12"/>
  <c r="Q60" i="12"/>
  <c r="Q61" i="12"/>
  <c r="I27" i="12"/>
  <c r="J27" i="12"/>
  <c r="K27" i="12"/>
  <c r="L27" i="12"/>
  <c r="M27" i="12"/>
  <c r="N27" i="12"/>
  <c r="O27" i="12"/>
  <c r="P27" i="12"/>
  <c r="I28" i="12"/>
  <c r="J28" i="12"/>
  <c r="K28" i="12"/>
  <c r="L28" i="12"/>
  <c r="M28" i="12"/>
  <c r="N28" i="12"/>
  <c r="O28" i="12"/>
  <c r="P28" i="12"/>
  <c r="I29" i="12"/>
  <c r="J29" i="12"/>
  <c r="K29" i="12"/>
  <c r="L29" i="12"/>
  <c r="M29" i="12"/>
  <c r="N29" i="12"/>
  <c r="O29" i="12"/>
  <c r="P29" i="12"/>
  <c r="I30" i="12"/>
  <c r="J30" i="12"/>
  <c r="K30" i="12"/>
  <c r="L30" i="12"/>
  <c r="M30" i="12"/>
  <c r="N30" i="12"/>
  <c r="O30" i="12"/>
  <c r="P30" i="12"/>
  <c r="I31" i="12"/>
  <c r="J31" i="12"/>
  <c r="K31" i="12"/>
  <c r="L31" i="12"/>
  <c r="M31" i="12"/>
  <c r="N31" i="12"/>
  <c r="O31" i="12"/>
  <c r="P31" i="12"/>
  <c r="I32" i="12"/>
  <c r="J32" i="12"/>
  <c r="K32" i="12"/>
  <c r="L32" i="12"/>
  <c r="M32" i="12"/>
  <c r="N32" i="12"/>
  <c r="O32" i="12"/>
  <c r="P32" i="12"/>
  <c r="I33" i="12"/>
  <c r="J33" i="12"/>
  <c r="K33" i="12"/>
  <c r="L33" i="12"/>
  <c r="M33" i="12"/>
  <c r="N33" i="12"/>
  <c r="O33" i="12"/>
  <c r="P33" i="12"/>
  <c r="I34" i="12"/>
  <c r="J34" i="12"/>
  <c r="K34" i="12"/>
  <c r="L34" i="12"/>
  <c r="M34" i="12"/>
  <c r="N34" i="12"/>
  <c r="O34" i="12"/>
  <c r="P34" i="12"/>
  <c r="I35" i="12"/>
  <c r="J35" i="12"/>
  <c r="K35" i="12"/>
  <c r="L35" i="12"/>
  <c r="M35" i="12"/>
  <c r="N35" i="12"/>
  <c r="O35" i="12"/>
  <c r="P35" i="12"/>
  <c r="I36" i="12"/>
  <c r="J36" i="12"/>
  <c r="K36" i="12"/>
  <c r="L36" i="12"/>
  <c r="M36" i="12"/>
  <c r="N36" i="12"/>
  <c r="O36" i="12"/>
  <c r="P36" i="12"/>
  <c r="I37" i="12"/>
  <c r="J37" i="12"/>
  <c r="K37" i="12"/>
  <c r="L37" i="12"/>
  <c r="M37" i="12"/>
  <c r="N37" i="12"/>
  <c r="O37" i="12"/>
  <c r="P37" i="12"/>
  <c r="I38" i="12"/>
  <c r="J38" i="12"/>
  <c r="K38" i="12"/>
  <c r="L38" i="12"/>
  <c r="M38" i="12"/>
  <c r="N38" i="12"/>
  <c r="O38" i="12"/>
  <c r="P38" i="12"/>
  <c r="I39" i="12"/>
  <c r="J39" i="12"/>
  <c r="K39" i="12"/>
  <c r="L39" i="12"/>
  <c r="M39" i="12"/>
  <c r="N39" i="12"/>
  <c r="O39" i="12"/>
  <c r="P39" i="12"/>
  <c r="I40" i="12"/>
  <c r="J40" i="12"/>
  <c r="K40" i="12"/>
  <c r="L40" i="12"/>
  <c r="M40" i="12"/>
  <c r="N40" i="12"/>
  <c r="O40" i="12"/>
  <c r="P40" i="12"/>
  <c r="I41" i="12"/>
  <c r="J41" i="12"/>
  <c r="K41" i="12"/>
  <c r="L41" i="12"/>
  <c r="M41" i="12"/>
  <c r="N41" i="12"/>
  <c r="O41" i="12"/>
  <c r="P41" i="12"/>
  <c r="I42" i="12"/>
  <c r="J42" i="12"/>
  <c r="K42" i="12"/>
  <c r="L42" i="12"/>
  <c r="M42" i="12"/>
  <c r="N42" i="12"/>
  <c r="O42" i="12"/>
  <c r="P42" i="12"/>
  <c r="I43" i="12"/>
  <c r="J43" i="12"/>
  <c r="K43" i="12"/>
  <c r="L43" i="12"/>
  <c r="M43" i="12"/>
  <c r="N43" i="12"/>
  <c r="O43" i="12"/>
  <c r="P43" i="12"/>
  <c r="I44" i="12"/>
  <c r="J44" i="12"/>
  <c r="K44" i="12"/>
  <c r="L44" i="12"/>
  <c r="M44" i="12"/>
  <c r="N44" i="12"/>
  <c r="O44" i="12"/>
  <c r="P44" i="12"/>
  <c r="I45" i="12"/>
  <c r="J45" i="12"/>
  <c r="K45" i="12"/>
  <c r="L45" i="12"/>
  <c r="M45" i="12"/>
  <c r="N45" i="12"/>
  <c r="O45" i="12"/>
  <c r="P45" i="12"/>
  <c r="I46" i="12"/>
  <c r="J46" i="12"/>
  <c r="K46" i="12"/>
  <c r="L46" i="12"/>
  <c r="M46" i="12"/>
  <c r="N46" i="12"/>
  <c r="O46" i="12"/>
  <c r="P46" i="12"/>
  <c r="I47" i="12"/>
  <c r="J47" i="12"/>
  <c r="K47" i="12"/>
  <c r="L47" i="12"/>
  <c r="M47" i="12"/>
  <c r="N47" i="12"/>
  <c r="O47" i="12"/>
  <c r="P47" i="12"/>
  <c r="I48" i="12"/>
  <c r="J48" i="12"/>
  <c r="K48" i="12"/>
  <c r="L48" i="12"/>
  <c r="M48" i="12"/>
  <c r="N48" i="12"/>
  <c r="O48" i="12"/>
  <c r="P48" i="12"/>
  <c r="I49" i="12"/>
  <c r="J49" i="12"/>
  <c r="K49" i="12"/>
  <c r="L49" i="12"/>
  <c r="M49" i="12"/>
  <c r="N49" i="12"/>
  <c r="O49" i="12"/>
  <c r="P49" i="12"/>
  <c r="I50" i="12"/>
  <c r="J50" i="12"/>
  <c r="K50" i="12"/>
  <c r="L50" i="12"/>
  <c r="M50" i="12"/>
  <c r="N50" i="12"/>
  <c r="O50" i="12"/>
  <c r="P50" i="12"/>
  <c r="I51" i="12"/>
  <c r="J51" i="12"/>
  <c r="K51" i="12"/>
  <c r="L51" i="12"/>
  <c r="M51" i="12"/>
  <c r="N51" i="12"/>
  <c r="O51" i="12"/>
  <c r="P51" i="12"/>
  <c r="I52" i="12"/>
  <c r="J52" i="12"/>
  <c r="K52" i="12"/>
  <c r="L52" i="12"/>
  <c r="M52" i="12"/>
  <c r="N52" i="12"/>
  <c r="O52" i="12"/>
  <c r="P52" i="12"/>
  <c r="I53" i="12"/>
  <c r="J53" i="12"/>
  <c r="K53" i="12"/>
  <c r="L53" i="12"/>
  <c r="M53" i="12"/>
  <c r="N53" i="12"/>
  <c r="O53" i="12"/>
  <c r="P53" i="12"/>
  <c r="I54" i="12"/>
  <c r="J54" i="12"/>
  <c r="K54" i="12"/>
  <c r="L54" i="12"/>
  <c r="M54" i="12"/>
  <c r="N54" i="12"/>
  <c r="O54" i="12"/>
  <c r="P54" i="12"/>
  <c r="I55" i="12"/>
  <c r="J55" i="12"/>
  <c r="K55" i="12"/>
  <c r="L55" i="12"/>
  <c r="M55" i="12"/>
  <c r="N55" i="12"/>
  <c r="O55" i="12"/>
  <c r="P55" i="12"/>
  <c r="I56" i="12"/>
  <c r="J56" i="12"/>
  <c r="K56" i="12"/>
  <c r="L56" i="12"/>
  <c r="M56" i="12"/>
  <c r="N56" i="12"/>
  <c r="O56" i="12"/>
  <c r="P56" i="12"/>
  <c r="I57" i="12"/>
  <c r="J57" i="12"/>
  <c r="K57" i="12"/>
  <c r="L57" i="12"/>
  <c r="M57" i="12"/>
  <c r="N57" i="12"/>
  <c r="O57" i="12"/>
  <c r="P57" i="12"/>
  <c r="I58" i="12"/>
  <c r="J58" i="12"/>
  <c r="K58" i="12"/>
  <c r="L58" i="12"/>
  <c r="M58" i="12"/>
  <c r="N58" i="12"/>
  <c r="O58" i="12"/>
  <c r="P58" i="12"/>
  <c r="I59" i="12"/>
  <c r="J59" i="12"/>
  <c r="K59" i="12"/>
  <c r="L59" i="12"/>
  <c r="M59" i="12"/>
  <c r="N59" i="12"/>
  <c r="O59" i="12"/>
  <c r="P59" i="12"/>
  <c r="I60" i="12"/>
  <c r="J60" i="12"/>
  <c r="K60" i="12"/>
  <c r="L60" i="12"/>
  <c r="M60" i="12"/>
  <c r="N60" i="12"/>
  <c r="O60" i="12"/>
  <c r="P60" i="12"/>
  <c r="I61" i="12"/>
  <c r="J61" i="12"/>
  <c r="K61" i="12"/>
  <c r="L61" i="12"/>
  <c r="M61" i="12"/>
  <c r="N61" i="12"/>
  <c r="O61" i="12"/>
  <c r="P61" i="12"/>
  <c r="H61" i="12"/>
  <c r="H60" i="12"/>
  <c r="H59" i="12"/>
  <c r="H58" i="12"/>
  <c r="H57" i="12"/>
  <c r="H56" i="12"/>
  <c r="H55" i="12"/>
  <c r="H54" i="12"/>
  <c r="H53" i="12"/>
  <c r="H52" i="12"/>
  <c r="H51" i="12"/>
  <c r="H50" i="12"/>
  <c r="H49" i="12"/>
  <c r="H48" i="12"/>
  <c r="H47" i="12"/>
  <c r="H46" i="12"/>
  <c r="H45" i="12"/>
  <c r="H44" i="12"/>
  <c r="H43" i="12"/>
  <c r="H42" i="12"/>
  <c r="H41" i="12"/>
  <c r="H40" i="12"/>
  <c r="H39" i="12"/>
  <c r="H38" i="12"/>
  <c r="H37" i="12"/>
  <c r="H36" i="12"/>
  <c r="H35" i="12"/>
  <c r="H34" i="12"/>
  <c r="H33" i="12"/>
  <c r="H32" i="12"/>
  <c r="H31" i="12"/>
  <c r="H30" i="12"/>
  <c r="H29" i="12"/>
  <c r="H28" i="12"/>
  <c r="H27" i="12"/>
  <c r="I26" i="12"/>
  <c r="J26" i="12"/>
  <c r="K26" i="12"/>
  <c r="L26" i="12"/>
  <c r="M26" i="12"/>
  <c r="N26" i="12"/>
  <c r="O26" i="12"/>
  <c r="P26" i="12"/>
  <c r="Q26" i="12"/>
  <c r="H26" i="12"/>
  <c r="I21" i="12"/>
  <c r="J21" i="12"/>
  <c r="K21" i="12"/>
  <c r="L21" i="12"/>
  <c r="M21" i="12"/>
  <c r="N21" i="12"/>
  <c r="O21" i="12"/>
  <c r="P21" i="12"/>
  <c r="Q21" i="12"/>
  <c r="I22" i="12"/>
  <c r="J22" i="12"/>
  <c r="K22" i="12"/>
  <c r="L22" i="12"/>
  <c r="M22" i="12"/>
  <c r="N22" i="12"/>
  <c r="O22" i="12"/>
  <c r="P22" i="12"/>
  <c r="Q22" i="12"/>
  <c r="I23" i="12"/>
  <c r="J23" i="12"/>
  <c r="K23" i="12"/>
  <c r="L23" i="12"/>
  <c r="M23" i="12"/>
  <c r="N23" i="12"/>
  <c r="O23" i="12"/>
  <c r="P23" i="12"/>
  <c r="Q23" i="12"/>
  <c r="I24" i="12"/>
  <c r="J24" i="12"/>
  <c r="K24" i="12"/>
  <c r="L24" i="12"/>
  <c r="M24" i="12"/>
  <c r="N24" i="12"/>
  <c r="O24" i="12"/>
  <c r="P24" i="12"/>
  <c r="Q24" i="12"/>
  <c r="I25" i="12"/>
  <c r="J25" i="12"/>
  <c r="K25" i="12"/>
  <c r="L25" i="12"/>
  <c r="M25" i="12"/>
  <c r="N25" i="12"/>
  <c r="O25" i="12"/>
  <c r="P25" i="12"/>
  <c r="Q25" i="12"/>
  <c r="H25" i="12"/>
  <c r="H24" i="12"/>
  <c r="H23" i="12"/>
  <c r="H22" i="12"/>
  <c r="H21" i="12"/>
  <c r="I17" i="12"/>
  <c r="J17" i="12"/>
  <c r="K17" i="12"/>
  <c r="L17" i="12"/>
  <c r="M17" i="12"/>
  <c r="N17" i="12"/>
  <c r="O17" i="12"/>
  <c r="P17" i="12"/>
  <c r="Q17" i="12"/>
  <c r="I18" i="12"/>
  <c r="J18" i="12"/>
  <c r="K18" i="12"/>
  <c r="L18" i="12"/>
  <c r="M18" i="12"/>
  <c r="N18" i="12"/>
  <c r="O18" i="12"/>
  <c r="P18" i="12"/>
  <c r="Q18" i="12"/>
  <c r="I19" i="12"/>
  <c r="J19" i="12"/>
  <c r="K19" i="12"/>
  <c r="L19" i="12"/>
  <c r="M19" i="12"/>
  <c r="N19" i="12"/>
  <c r="O19" i="12"/>
  <c r="P19" i="12"/>
  <c r="Q19" i="12"/>
  <c r="I20" i="12"/>
  <c r="J20" i="12"/>
  <c r="K20" i="12"/>
  <c r="L20" i="12"/>
  <c r="M20" i="12"/>
  <c r="N20" i="12"/>
  <c r="O20" i="12"/>
  <c r="P20" i="12"/>
  <c r="Q20" i="12"/>
  <c r="H20" i="12"/>
  <c r="H19" i="12"/>
  <c r="H18" i="12"/>
  <c r="H17" i="12"/>
  <c r="I13" i="12"/>
  <c r="J13" i="12"/>
  <c r="K13" i="12"/>
  <c r="L13" i="12"/>
  <c r="M13" i="12"/>
  <c r="N13" i="12"/>
  <c r="O13" i="12"/>
  <c r="P13" i="12"/>
  <c r="Q13" i="12"/>
  <c r="I14" i="12"/>
  <c r="J14" i="12"/>
  <c r="K14" i="12"/>
  <c r="L14" i="12"/>
  <c r="M14" i="12"/>
  <c r="N14" i="12"/>
  <c r="O14" i="12"/>
  <c r="P14" i="12"/>
  <c r="Q14" i="12"/>
  <c r="I15" i="12"/>
  <c r="J15" i="12"/>
  <c r="K15" i="12"/>
  <c r="L15" i="12"/>
  <c r="M15" i="12"/>
  <c r="N15" i="12"/>
  <c r="O15" i="12"/>
  <c r="P15" i="12"/>
  <c r="Q15" i="12"/>
  <c r="I16" i="12"/>
  <c r="J16" i="12"/>
  <c r="K16" i="12"/>
  <c r="L16" i="12"/>
  <c r="M16" i="12"/>
  <c r="N16" i="12"/>
  <c r="O16" i="12"/>
  <c r="P16" i="12"/>
  <c r="Q16" i="12"/>
  <c r="H16" i="12"/>
  <c r="H15" i="12"/>
  <c r="H14" i="12"/>
  <c r="H13" i="12"/>
  <c r="I9" i="12"/>
  <c r="J9" i="12"/>
  <c r="K9" i="12"/>
  <c r="L9" i="12"/>
  <c r="M9" i="12"/>
  <c r="N9" i="12"/>
  <c r="O9" i="12"/>
  <c r="P9" i="12"/>
  <c r="Q9" i="12"/>
  <c r="I10" i="12"/>
  <c r="J10" i="12"/>
  <c r="K10" i="12"/>
  <c r="L10" i="12"/>
  <c r="M10" i="12"/>
  <c r="N10" i="12"/>
  <c r="O10" i="12"/>
  <c r="P10" i="12"/>
  <c r="Q10" i="12"/>
  <c r="I11" i="12"/>
  <c r="J11" i="12"/>
  <c r="K11" i="12"/>
  <c r="L11" i="12"/>
  <c r="M11" i="12"/>
  <c r="N11" i="12"/>
  <c r="O11" i="12"/>
  <c r="P11" i="12"/>
  <c r="Q11" i="12"/>
  <c r="I12" i="12"/>
  <c r="J12" i="12"/>
  <c r="K12" i="12"/>
  <c r="L12" i="12"/>
  <c r="M12" i="12"/>
  <c r="N12" i="12"/>
  <c r="O12" i="12"/>
  <c r="P12" i="12"/>
  <c r="Q12" i="12"/>
  <c r="H12" i="12"/>
  <c r="H11" i="12"/>
  <c r="H10" i="12"/>
  <c r="H9" i="12"/>
  <c r="I8" i="12"/>
  <c r="J8" i="12"/>
  <c r="K8" i="12"/>
  <c r="L8" i="12"/>
  <c r="M8" i="12"/>
  <c r="N8" i="12"/>
  <c r="O8" i="12"/>
  <c r="P8" i="12"/>
  <c r="Q8" i="12"/>
  <c r="H8" i="12"/>
</calcChain>
</file>

<file path=xl/comments1.xml><?xml version="1.0" encoding="utf-8"?>
<comments xmlns="http://schemas.openxmlformats.org/spreadsheetml/2006/main">
  <authors>
    <author>Sara</author>
  </authors>
  <commentList>
    <comment ref="DV53" authorId="0">
      <text>
        <r>
          <rPr>
            <b/>
            <sz val="9"/>
            <color indexed="81"/>
            <rFont val="Tahoma"/>
            <family val="2"/>
          </rPr>
          <t>Sara:</t>
        </r>
        <r>
          <rPr>
            <sz val="9"/>
            <color indexed="81"/>
            <rFont val="Tahoma"/>
            <family val="2"/>
          </rPr>
          <t xml:space="preserve">
Esta completa la OXA-2. Debería sumar 0,5 como en CAT09-001</t>
        </r>
      </text>
    </comment>
    <comment ref="FD53" authorId="0">
      <text>
        <r>
          <rPr>
            <b/>
            <sz val="9"/>
            <color indexed="81"/>
            <rFont val="Tahoma"/>
            <family val="2"/>
          </rPr>
          <t>Sara:</t>
        </r>
        <r>
          <rPr>
            <sz val="9"/>
            <color indexed="81"/>
            <rFont val="Tahoma"/>
            <family val="2"/>
          </rPr>
          <t xml:space="preserve">
No se ha descrito R a los ATBs que miramos</t>
        </r>
      </text>
    </comment>
    <comment ref="FP53" authorId="0">
      <text>
        <r>
          <rPr>
            <b/>
            <sz val="9"/>
            <color indexed="81"/>
            <rFont val="Tahoma"/>
            <family val="2"/>
          </rPr>
          <t>Sara:</t>
        </r>
        <r>
          <rPr>
            <sz val="9"/>
            <color indexed="81"/>
            <rFont val="Tahoma"/>
            <family val="2"/>
          </rPr>
          <t xml:space="preserve">
Está completa, debería sumar 0,5
Creo que al principio no tuvimos en cuenta las OXAS 2 y 10 por eso no están</t>
        </r>
      </text>
    </comment>
    <comment ref="GT53" authorId="0">
      <text>
        <r>
          <rPr>
            <b/>
            <sz val="9"/>
            <color indexed="81"/>
            <rFont val="Tahoma"/>
            <family val="2"/>
          </rPr>
          <t>Sara:</t>
        </r>
        <r>
          <rPr>
            <sz val="9"/>
            <color indexed="81"/>
            <rFont val="Tahoma"/>
            <family val="2"/>
          </rPr>
          <t xml:space="preserve">
No da R a los ATBs que miramos</t>
        </r>
      </text>
    </comment>
  </commentList>
</comments>
</file>

<file path=xl/sharedStrings.xml><?xml version="1.0" encoding="utf-8"?>
<sst xmlns="http://schemas.openxmlformats.org/spreadsheetml/2006/main" count="7190" uniqueCount="1433">
  <si>
    <t>TOB</t>
  </si>
  <si>
    <t>CAZ</t>
  </si>
  <si>
    <t>MER</t>
  </si>
  <si>
    <t>C/T</t>
  </si>
  <si>
    <t>CIP</t>
  </si>
  <si>
    <t>PA0424</t>
  </si>
  <si>
    <t>mexR</t>
  </si>
  <si>
    <t>PA0425</t>
  </si>
  <si>
    <t>mexA</t>
  </si>
  <si>
    <t>PA0426</t>
  </si>
  <si>
    <t>mexB</t>
  </si>
  <si>
    <t>PA0427</t>
  </si>
  <si>
    <t>oprM</t>
  </si>
  <si>
    <t>PA0807</t>
  </si>
  <si>
    <t>ampDh3</t>
  </si>
  <si>
    <t>PA0869</t>
  </si>
  <si>
    <t>PA2023</t>
  </si>
  <si>
    <t>galU</t>
  </si>
  <si>
    <t>PA2272</t>
  </si>
  <si>
    <t>PA3047</t>
  </si>
  <si>
    <t>PA3574</t>
  </si>
  <si>
    <t>nalD</t>
  </si>
  <si>
    <t>PA3721</t>
  </si>
  <si>
    <t>nalC</t>
  </si>
  <si>
    <t>PA3999</t>
  </si>
  <si>
    <t>PA4003</t>
  </si>
  <si>
    <t>PA4020</t>
  </si>
  <si>
    <t>mpl</t>
  </si>
  <si>
    <t>PA4109</t>
  </si>
  <si>
    <t>ampR</t>
  </si>
  <si>
    <t>PA4110</t>
  </si>
  <si>
    <t>ampC</t>
  </si>
  <si>
    <t>PA4418</t>
  </si>
  <si>
    <t>PA4522</t>
  </si>
  <si>
    <t>ampD</t>
  </si>
  <si>
    <t>PA4700</t>
  </si>
  <si>
    <t>PA5045</t>
  </si>
  <si>
    <t>PA5485</t>
  </si>
  <si>
    <t>ampDh2</t>
  </si>
  <si>
    <t>GENE</t>
  </si>
  <si>
    <t>LOCUS</t>
  </si>
  <si>
    <t>PA0958</t>
  </si>
  <si>
    <t>oprD</t>
  </si>
  <si>
    <t>PA1777</t>
  </si>
  <si>
    <t>oprF</t>
  </si>
  <si>
    <t>PA1798</t>
  </si>
  <si>
    <t>parS</t>
  </si>
  <si>
    <t>PA1799</t>
  </si>
  <si>
    <t>parR</t>
  </si>
  <si>
    <t>PA2018</t>
  </si>
  <si>
    <t>mexY</t>
  </si>
  <si>
    <t>PA2019</t>
  </si>
  <si>
    <t>mexX</t>
  </si>
  <si>
    <t>PA2020</t>
  </si>
  <si>
    <t>mexZ</t>
  </si>
  <si>
    <t>PA2491</t>
  </si>
  <si>
    <t>mexS</t>
  </si>
  <si>
    <t>PA2492</t>
  </si>
  <si>
    <t>mexT</t>
  </si>
  <si>
    <t>armZ</t>
  </si>
  <si>
    <t>PA4266</t>
  </si>
  <si>
    <t>fusA1</t>
  </si>
  <si>
    <t>PA0004</t>
  </si>
  <si>
    <t>gyrB</t>
  </si>
  <si>
    <t>PA3168</t>
  </si>
  <si>
    <t>gyrA</t>
  </si>
  <si>
    <t>PA4600</t>
  </si>
  <si>
    <t>nfxB</t>
  </si>
  <si>
    <t>PA4964</t>
  </si>
  <si>
    <t>parC</t>
  </si>
  <si>
    <t>PA4967</t>
  </si>
  <si>
    <t>parE</t>
  </si>
  <si>
    <t>TYPE OF MUTATION</t>
  </si>
  <si>
    <t>Gain of function</t>
  </si>
  <si>
    <t>Loss of function</t>
  </si>
  <si>
    <t>EFFECT</t>
  </si>
  <si>
    <t>+</t>
  </si>
  <si>
    <t>-</t>
  </si>
  <si>
    <t>VALUE</t>
  </si>
  <si>
    <t>dacB/PBP4</t>
  </si>
  <si>
    <t>PA5471.1</t>
  </si>
  <si>
    <t>pbpA/PBP2</t>
  </si>
  <si>
    <t>PA2493</t>
  </si>
  <si>
    <t>PA2494</t>
  </si>
  <si>
    <t>PA2495</t>
  </si>
  <si>
    <t>mexE</t>
  </si>
  <si>
    <t>mexF</t>
  </si>
  <si>
    <t>oprN</t>
  </si>
  <si>
    <t>PA4599</t>
  </si>
  <si>
    <t>PA4598</t>
  </si>
  <si>
    <t>PA4597</t>
  </si>
  <si>
    <t>mexC</t>
  </si>
  <si>
    <t>mexD</t>
  </si>
  <si>
    <t>oprJ</t>
  </si>
  <si>
    <t>ACQUIRED</t>
  </si>
  <si>
    <t>aac, aad, ant</t>
  </si>
  <si>
    <t>aac(6')-Ib-cr, oqx, qepA, qnr, crpP</t>
  </si>
  <si>
    <t>blaOXA, blaNDM, blaVIM, blaIMP, blaCTX-M, blaKPC, blaCMY, blaDHA, blaACC, blaTEM, blaSHV, blaFOX, blaGES, blaIMI, blaOKP, blaOXY, blaPER, blaVEB, blaSMP, blaGIM, blaSIM</t>
  </si>
  <si>
    <t>dacC/PBP5</t>
  </si>
  <si>
    <t>ftsI/PBP3</t>
  </si>
  <si>
    <t>blaNDM, blaSMP, blaGIM, blaSIM, blaVIM, blaIMP, blaKPC, blaGES, blaIMI, blaVEB</t>
  </si>
  <si>
    <t xml:space="preserve">blaOXA  </t>
  </si>
  <si>
    <t>blaNDM, blaSMP, blaGIM, blaSIM, blaVIM, blaIMP, blaKPC, blaGES, blaIMI, blaVEB, blaOXA (espectro extendido)</t>
  </si>
  <si>
    <t>ANTIBIOTIC</t>
  </si>
  <si>
    <t>PA0005</t>
  </si>
  <si>
    <t>lptA</t>
  </si>
  <si>
    <t>PBP7</t>
  </si>
  <si>
    <t>PA0958a</t>
  </si>
  <si>
    <t>PA1179</t>
  </si>
  <si>
    <t>phoP</t>
  </si>
  <si>
    <t>PA1180</t>
  </si>
  <si>
    <t>phoQ</t>
  </si>
  <si>
    <t>PBP3a</t>
  </si>
  <si>
    <t>PBP4</t>
  </si>
  <si>
    <t>PBP5</t>
  </si>
  <si>
    <t>PBP2</t>
  </si>
  <si>
    <t>PBP3</t>
  </si>
  <si>
    <t>PBP1b</t>
  </si>
  <si>
    <t>PA4776</t>
  </si>
  <si>
    <t>pmrA</t>
  </si>
  <si>
    <t>PA4777</t>
  </si>
  <si>
    <t>pmrB</t>
  </si>
  <si>
    <t>PBP1a</t>
  </si>
  <si>
    <t>PA5235</t>
  </si>
  <si>
    <t>glpT</t>
  </si>
  <si>
    <t>PA5471</t>
  </si>
  <si>
    <t>PA5513</t>
  </si>
  <si>
    <t>poxA</t>
  </si>
  <si>
    <t>PA5514</t>
  </si>
  <si>
    <t>poxB (oxa-50)</t>
  </si>
  <si>
    <t>PA5542</t>
  </si>
  <si>
    <t>PIB-1</t>
  </si>
  <si>
    <t xml:space="preserve">LOCUS </t>
  </si>
  <si>
    <t>PA4775</t>
  </si>
  <si>
    <t>OBSERVACIONES</t>
  </si>
  <si>
    <t>SOLO REGION QRDR (466-468)</t>
  </si>
  <si>
    <t>DOBLE SCORE</t>
  </si>
  <si>
    <t>SOLO STOP CODON/FS</t>
  </si>
  <si>
    <t>0,5/0,25</t>
  </si>
  <si>
    <t>0,25/0,125</t>
  </si>
  <si>
    <t>DOBLE SCORE (L14Q, V101M, L137P, A138T, A168V, Q232E, G361R)</t>
  </si>
  <si>
    <t xml:space="preserve">DOBLE SCORE </t>
  </si>
  <si>
    <t>DOBLE SCORE (M59I, E156K)</t>
  </si>
  <si>
    <t>SÓLO STOP CODON/ FS</t>
  </si>
  <si>
    <t>DOBLE SCORE (G257S, G257A)</t>
  </si>
  <si>
    <t>SOLO QRDR (81, 83, 86, 87, 106)</t>
  </si>
  <si>
    <t>-0,5/-0,25</t>
  </si>
  <si>
    <t>1/0,5</t>
  </si>
  <si>
    <t xml:space="preserve">ONLY: D135N, G154R </t>
  </si>
  <si>
    <t>ONLY: 80-93, 205-254, 307-321, 342-344, 372-397</t>
  </si>
  <si>
    <t>mexT* (Tiene que ser funcional!!)</t>
  </si>
  <si>
    <t>mexS* (mexT tiene que ser funcional!)</t>
  </si>
  <si>
    <t>DOBLE SCORE: I61M, V93A, E100G, K504E, Y552C, P554L, A555E, N592I, P618L, T671A, T671I</t>
  </si>
  <si>
    <t>mexS* (mexT Y LA BOMBA tiene que ser funcional!)</t>
  </si>
  <si>
    <t>mexT* (mexT Y LA BOMBA tiene que ser funcional!)</t>
  </si>
  <si>
    <t>nfxB (LA BOMBA tiene que ser funcional!)</t>
  </si>
  <si>
    <t>DOBLE SCORE: L14P, A54V, R79H, R135Q, A247T, A248T, A248V, R259H, M292I, M292T</t>
  </si>
  <si>
    <t>DOBLE SCORE: L157Q</t>
  </si>
  <si>
    <t>SOLO QRDR: 87</t>
  </si>
  <si>
    <t>SOLO QRDR:  457-459</t>
  </si>
  <si>
    <t>NO INDEL/CODON STOP</t>
  </si>
  <si>
    <t>ampC* (SOLO SI HIPEREXPRESION!)</t>
  </si>
  <si>
    <t>AND01-001</t>
  </si>
  <si>
    <t>AND01-004</t>
  </si>
  <si>
    <t>AND01-005</t>
  </si>
  <si>
    <t>AND01-006</t>
  </si>
  <si>
    <t>AND02-001</t>
  </si>
  <si>
    <t>AND02-002</t>
  </si>
  <si>
    <t>AND02-003</t>
  </si>
  <si>
    <t>AND02-006</t>
  </si>
  <si>
    <t>AND03-001</t>
  </si>
  <si>
    <t>AND03-003</t>
  </si>
  <si>
    <t>AND03-009</t>
  </si>
  <si>
    <t>AND03-012</t>
  </si>
  <si>
    <t>AND04-001</t>
  </si>
  <si>
    <t>AND04-002</t>
  </si>
  <si>
    <t>AND04-003</t>
  </si>
  <si>
    <t>AND04-004A</t>
  </si>
  <si>
    <t>AND05-004</t>
  </si>
  <si>
    <t>AND05-005</t>
  </si>
  <si>
    <t>AND05-008</t>
  </si>
  <si>
    <t>AND05-009</t>
  </si>
  <si>
    <t>AND06-001</t>
  </si>
  <si>
    <t>AND06-002</t>
  </si>
  <si>
    <t>AND06-003</t>
  </si>
  <si>
    <t>AND06-006</t>
  </si>
  <si>
    <t>AND07-001</t>
  </si>
  <si>
    <t>AND07-002</t>
  </si>
  <si>
    <t>AND07-003</t>
  </si>
  <si>
    <t>AND07-005</t>
  </si>
  <si>
    <t>ARA01-001</t>
  </si>
  <si>
    <t>ARA01-002</t>
  </si>
  <si>
    <t>ARA01-003</t>
  </si>
  <si>
    <t>ARA01-006</t>
  </si>
  <si>
    <t>ARA02-001</t>
  </si>
  <si>
    <t>ARA02-002</t>
  </si>
  <si>
    <t>ARA02-005</t>
  </si>
  <si>
    <t>ARA02-007</t>
  </si>
  <si>
    <t>ARA03-001</t>
  </si>
  <si>
    <t>ARA03-002</t>
  </si>
  <si>
    <t>ARA03-003</t>
  </si>
  <si>
    <t>ARA03-004</t>
  </si>
  <si>
    <t>AST01-001</t>
  </si>
  <si>
    <t>AST01-003</t>
  </si>
  <si>
    <t>AST01-005</t>
  </si>
  <si>
    <t>AST01-006</t>
  </si>
  <si>
    <t>BAL01-001</t>
  </si>
  <si>
    <t>BAL01-003</t>
  </si>
  <si>
    <t>BAL01-004</t>
  </si>
  <si>
    <t>BAL01-006</t>
  </si>
  <si>
    <t>BAL02-001</t>
  </si>
  <si>
    <t>BAL02-005</t>
  </si>
  <si>
    <t>BAL02-006</t>
  </si>
  <si>
    <t>BAL02-009</t>
  </si>
  <si>
    <t>BAL03-001</t>
  </si>
  <si>
    <t>BAL03-002</t>
  </si>
  <si>
    <t>BAL03-003</t>
  </si>
  <si>
    <t>BAL03-006</t>
  </si>
  <si>
    <t>BAL04-001</t>
  </si>
  <si>
    <t>BAL04-002</t>
  </si>
  <si>
    <t>BAL04-003</t>
  </si>
  <si>
    <t>BAL04-004</t>
  </si>
  <si>
    <t>CAN01-001</t>
  </si>
  <si>
    <t>CAN01-002</t>
  </si>
  <si>
    <t>CAN01-003</t>
  </si>
  <si>
    <t>CAN01-004</t>
  </si>
  <si>
    <t>CAT01-001</t>
  </si>
  <si>
    <t>CAT01-004</t>
  </si>
  <si>
    <t>CAT01-005</t>
  </si>
  <si>
    <t>CAT01-007</t>
  </si>
  <si>
    <t>CAT02-001</t>
  </si>
  <si>
    <t>CAT02-002</t>
  </si>
  <si>
    <t>CAT02-003</t>
  </si>
  <si>
    <t>CAT02-004</t>
  </si>
  <si>
    <t>CAT03-001</t>
  </si>
  <si>
    <t>CAT03-002</t>
  </si>
  <si>
    <t>CAT03-004</t>
  </si>
  <si>
    <t>CAT03-005</t>
  </si>
  <si>
    <t>CAT04-001</t>
  </si>
  <si>
    <t>CAT04-002</t>
  </si>
  <si>
    <t>CAT04-003</t>
  </si>
  <si>
    <t>CAT04-004</t>
  </si>
  <si>
    <t>CAT05-001</t>
  </si>
  <si>
    <t>CAT05-002</t>
  </si>
  <si>
    <t>CAT05-003</t>
  </si>
  <si>
    <t>CAT05-004</t>
  </si>
  <si>
    <t>CAT06-001</t>
  </si>
  <si>
    <t>CAT06-004</t>
  </si>
  <si>
    <t>CAT06-005</t>
  </si>
  <si>
    <t>CAT06-008</t>
  </si>
  <si>
    <t>CAT07-001</t>
  </si>
  <si>
    <t>CAT07-002</t>
  </si>
  <si>
    <t>CAT07-003</t>
  </si>
  <si>
    <t>CAT07-005</t>
  </si>
  <si>
    <t>CAT08-013</t>
  </si>
  <si>
    <t>CAT08-014</t>
  </si>
  <si>
    <t>CAT08-015</t>
  </si>
  <si>
    <t>CAT08-016</t>
  </si>
  <si>
    <t>CAT09-001</t>
  </si>
  <si>
    <t>CAT09-002</t>
  </si>
  <si>
    <t>CAT09-003</t>
  </si>
  <si>
    <t>CAT09-004</t>
  </si>
  <si>
    <t>CLE01-003</t>
  </si>
  <si>
    <t>CLE01-006</t>
  </si>
  <si>
    <t>CLE01-007</t>
  </si>
  <si>
    <t>CLE01-008</t>
  </si>
  <si>
    <t>CLE02-001</t>
  </si>
  <si>
    <t>CLE02-002</t>
  </si>
  <si>
    <t>CLE02-004</t>
  </si>
  <si>
    <t>CLE02-006</t>
  </si>
  <si>
    <t>CLE03-003</t>
  </si>
  <si>
    <t>CLE03-004</t>
  </si>
  <si>
    <t>CLE03-005</t>
  </si>
  <si>
    <t>CLE03-006</t>
  </si>
  <si>
    <t>CLM01-001</t>
  </si>
  <si>
    <t>CLM01-002</t>
  </si>
  <si>
    <t>CLM01-003</t>
  </si>
  <si>
    <t>CLM01-004</t>
  </si>
  <si>
    <t>CLM02-004</t>
  </si>
  <si>
    <t>CLM02-005</t>
  </si>
  <si>
    <t>CLM02-013</t>
  </si>
  <si>
    <t>CLM02-014</t>
  </si>
  <si>
    <t>CVA01-001</t>
  </si>
  <si>
    <t>CVA01-002</t>
  </si>
  <si>
    <t>CVA01-005</t>
  </si>
  <si>
    <t>CVA01-006</t>
  </si>
  <si>
    <t>CVA02-001</t>
  </si>
  <si>
    <t>CVA02-002</t>
  </si>
  <si>
    <t>CVA02-003</t>
  </si>
  <si>
    <t>CVA02-005</t>
  </si>
  <si>
    <t>CVA03-001</t>
  </si>
  <si>
    <t>CVA03-002</t>
  </si>
  <si>
    <t>CVA03-004</t>
  </si>
  <si>
    <t>CVA03-006</t>
  </si>
  <si>
    <t>EXT01-001</t>
  </si>
  <si>
    <t>EXT01-003</t>
  </si>
  <si>
    <t>EXT01-004</t>
  </si>
  <si>
    <t>EXT01-005</t>
  </si>
  <si>
    <t>GAL01-001</t>
  </si>
  <si>
    <t>GAL01-002</t>
  </si>
  <si>
    <t>GAL01-003</t>
  </si>
  <si>
    <t>GAL01-012</t>
  </si>
  <si>
    <t>GAL02-001</t>
  </si>
  <si>
    <t>GAL02-002</t>
  </si>
  <si>
    <t>GAL02-004</t>
  </si>
  <si>
    <t>GAL02-006</t>
  </si>
  <si>
    <t>GAL03-002</t>
  </si>
  <si>
    <t>GAL03-003</t>
  </si>
  <si>
    <t>GAL03-004</t>
  </si>
  <si>
    <t>GAL03-005</t>
  </si>
  <si>
    <t>GAL04-001</t>
  </si>
  <si>
    <t>GAL04-002</t>
  </si>
  <si>
    <t>GAL04-004</t>
  </si>
  <si>
    <t>GAL04-005</t>
  </si>
  <si>
    <t>GAL05-002</t>
  </si>
  <si>
    <t>GAL05-003</t>
  </si>
  <si>
    <t>GAL05-004</t>
  </si>
  <si>
    <t>GAL05-005</t>
  </si>
  <si>
    <t>GAL06-001</t>
  </si>
  <si>
    <t>GAL06-002</t>
  </si>
  <si>
    <t>GAL06-003</t>
  </si>
  <si>
    <t>GAL06-004</t>
  </si>
  <si>
    <t>ICA01-001</t>
  </si>
  <si>
    <t>ICA01-002</t>
  </si>
  <si>
    <t>ICA01-003</t>
  </si>
  <si>
    <t>ICA01-004</t>
  </si>
  <si>
    <t>LRJ01-002</t>
  </si>
  <si>
    <t>LRJ01-005</t>
  </si>
  <si>
    <t>LRJ01-010</t>
  </si>
  <si>
    <t>LRJ01-012</t>
  </si>
  <si>
    <t>MAD01-001</t>
  </si>
  <si>
    <t>MAD01-002</t>
  </si>
  <si>
    <t>MAD01-004</t>
  </si>
  <si>
    <t>MAD01-005</t>
  </si>
  <si>
    <t>MAD02-001</t>
  </si>
  <si>
    <t>MAD02-002</t>
  </si>
  <si>
    <t>MAD02-004</t>
  </si>
  <si>
    <t>MAD02-005</t>
  </si>
  <si>
    <t>MAD03-001</t>
  </si>
  <si>
    <t>MAD03-002</t>
  </si>
  <si>
    <t>MAD03-004</t>
  </si>
  <si>
    <t>MAD03-005</t>
  </si>
  <si>
    <t>MAD04-001</t>
  </si>
  <si>
    <t>MAD04-002</t>
  </si>
  <si>
    <t>MAD04-003</t>
  </si>
  <si>
    <t>MAD04-004</t>
  </si>
  <si>
    <t>MAD05-003</t>
  </si>
  <si>
    <t>MAD05-008</t>
  </si>
  <si>
    <t>MAD05-009</t>
  </si>
  <si>
    <t>MAD05-011</t>
  </si>
  <si>
    <t>MAD06-001</t>
  </si>
  <si>
    <t>MAD06-002</t>
  </si>
  <si>
    <t>MAD06-004</t>
  </si>
  <si>
    <t>MAD06-005</t>
  </si>
  <si>
    <t>MUR01-001</t>
  </si>
  <si>
    <t>MUR01-002</t>
  </si>
  <si>
    <t>MUR01-003</t>
  </si>
  <si>
    <t>MUR01-004</t>
  </si>
  <si>
    <t>NAV01-001</t>
  </si>
  <si>
    <t>NAV01-004</t>
  </si>
  <si>
    <t>NAV01-005</t>
  </si>
  <si>
    <t>NAV01-012</t>
  </si>
  <si>
    <t>PVA01-003</t>
  </si>
  <si>
    <t>PVA01-006</t>
  </si>
  <si>
    <t>PVA01-007</t>
  </si>
  <si>
    <t>PVA01-011</t>
  </si>
  <si>
    <t>E468D</t>
  </si>
  <si>
    <t>S466F</t>
  </si>
  <si>
    <t>S466Y</t>
  </si>
  <si>
    <t>R66H</t>
  </si>
  <si>
    <t>S92N</t>
  </si>
  <si>
    <t>L102P</t>
  </si>
  <si>
    <t>L95F</t>
  </si>
  <si>
    <t>nt81InsT</t>
  </si>
  <si>
    <t>nt266InsG</t>
  </si>
  <si>
    <t>R73L</t>
  </si>
  <si>
    <t>nt161InsC</t>
  </si>
  <si>
    <t>R82H</t>
  </si>
  <si>
    <t>nt217∆1</t>
  </si>
  <si>
    <t>N79S</t>
  </si>
  <si>
    <t>Q49X</t>
  </si>
  <si>
    <t>nt492InsACCC</t>
  </si>
  <si>
    <t>D373N</t>
  </si>
  <si>
    <t>I63V</t>
  </si>
  <si>
    <t>K86E</t>
  </si>
  <si>
    <t>Q143P</t>
  </si>
  <si>
    <t>N269S</t>
  </si>
  <si>
    <t>A33T</t>
  </si>
  <si>
    <t>K76Q</t>
  </si>
  <si>
    <t>Q104X</t>
  </si>
  <si>
    <t>E53X</t>
  </si>
  <si>
    <t>A111T</t>
  </si>
  <si>
    <t>A117V</t>
  </si>
  <si>
    <t>R326Q</t>
  </si>
  <si>
    <t>G957D</t>
  </si>
  <si>
    <t>G957D; V1042A</t>
  </si>
  <si>
    <t>E422X</t>
  </si>
  <si>
    <t>Q319X</t>
  </si>
  <si>
    <t>A735D</t>
  </si>
  <si>
    <t>nt881InsGG</t>
  </si>
  <si>
    <t>A707S; I963V</t>
  </si>
  <si>
    <t>T98A</t>
  </si>
  <si>
    <t>G860D</t>
  </si>
  <si>
    <t>A539T</t>
  </si>
  <si>
    <t>P190L</t>
  </si>
  <si>
    <t>nt1451InsC</t>
  </si>
  <si>
    <t>T198P</t>
  </si>
  <si>
    <t>T180I</t>
  </si>
  <si>
    <t>Q265E</t>
  </si>
  <si>
    <t>I67T</t>
  </si>
  <si>
    <t>R66C</t>
  </si>
  <si>
    <t>A51T</t>
  </si>
  <si>
    <t>P55S</t>
  </si>
  <si>
    <t>nt410∆1</t>
  </si>
  <si>
    <t>Y207X</t>
  </si>
  <si>
    <t>L246P</t>
  </si>
  <si>
    <t>V61A</t>
  </si>
  <si>
    <t>V171I</t>
  </si>
  <si>
    <t>G137D</t>
  </si>
  <si>
    <t>T200I</t>
  </si>
  <si>
    <t>V305M</t>
  </si>
  <si>
    <t>R112G</t>
  </si>
  <si>
    <t>T200I; A290T</t>
  </si>
  <si>
    <t>R175P</t>
  </si>
  <si>
    <t>G30R</t>
  </si>
  <si>
    <t>P88S</t>
  </si>
  <si>
    <t>V9A</t>
  </si>
  <si>
    <t>H205N</t>
  </si>
  <si>
    <t>nt473∆14</t>
  </si>
  <si>
    <t>W138X</t>
  </si>
  <si>
    <t>nt1056∆1</t>
  </si>
  <si>
    <t>F321V, N430Y</t>
  </si>
  <si>
    <t>nt1185∆1</t>
  </si>
  <si>
    <t>nt1206InsC</t>
  </si>
  <si>
    <t>aa397∆9</t>
  </si>
  <si>
    <t>nt209∆10</t>
  </si>
  <si>
    <t>D43N</t>
  </si>
  <si>
    <t>Q142X</t>
  </si>
  <si>
    <t>nt438InsC</t>
  </si>
  <si>
    <t>W339X</t>
  </si>
  <si>
    <t>L432P</t>
  </si>
  <si>
    <t>nt199∆1</t>
  </si>
  <si>
    <t>W277X</t>
  </si>
  <si>
    <t>nt350InsC</t>
  </si>
  <si>
    <t>W415X</t>
  </si>
  <si>
    <t>T103S, K115T, F170L, nt169∆1, nt175InsA</t>
  </si>
  <si>
    <t>nt55InsGCACT</t>
  </si>
  <si>
    <t>D43N, M135I, E185Q, P186G, V189T, S267A, T276A, G310E, A315G, L347M, L359V, Q422E</t>
  </si>
  <si>
    <t>Y225X</t>
  </si>
  <si>
    <t>L407P</t>
  </si>
  <si>
    <t>S408P</t>
  </si>
  <si>
    <t>W417X</t>
  </si>
  <si>
    <t>Q158X</t>
  </si>
  <si>
    <t>Q422X</t>
  </si>
  <si>
    <t>M135I</t>
  </si>
  <si>
    <t>W339G</t>
  </si>
  <si>
    <t>nt742∆1</t>
  </si>
  <si>
    <t>nt991InsAC</t>
  </si>
  <si>
    <t>E35G</t>
  </si>
  <si>
    <t>G70D</t>
  </si>
  <si>
    <t>R240C</t>
  </si>
  <si>
    <t>S300R</t>
  </si>
  <si>
    <t>A23V</t>
  </si>
  <si>
    <t>Q308R</t>
  </si>
  <si>
    <t>D326N</t>
  </si>
  <si>
    <t>S157T</t>
  </si>
  <si>
    <t>D90E; E267Q; V369L</t>
  </si>
  <si>
    <t>R3C</t>
  </si>
  <si>
    <t>D64Y</t>
  </si>
  <si>
    <t>L79P</t>
  </si>
  <si>
    <t>V238L</t>
  </si>
  <si>
    <t>L137P; V216A</t>
  </si>
  <si>
    <t>S352I</t>
  </si>
  <si>
    <t>A82T</t>
  </si>
  <si>
    <t>A345T</t>
  </si>
  <si>
    <t>R83K; V216A</t>
  </si>
  <si>
    <t>R356L</t>
  </si>
  <si>
    <t>R385H</t>
  </si>
  <si>
    <t>aa118∆4</t>
  </si>
  <si>
    <t>L137P; nt998∆1</t>
  </si>
  <si>
    <t>G303R</t>
  </si>
  <si>
    <t>Y73C</t>
  </si>
  <si>
    <t>S33R</t>
  </si>
  <si>
    <t>A293V</t>
  </si>
  <si>
    <t>A82T; L346P</t>
  </si>
  <si>
    <t>V216A</t>
  </si>
  <si>
    <t>S277N</t>
  </si>
  <si>
    <t>R7H</t>
  </si>
  <si>
    <t>D348N</t>
  </si>
  <si>
    <t>Q349K</t>
  </si>
  <si>
    <t>D351N</t>
  </si>
  <si>
    <t>A395T</t>
  </si>
  <si>
    <t>V152A</t>
  </si>
  <si>
    <t>A29V</t>
  </si>
  <si>
    <t>L137P</t>
  </si>
  <si>
    <t>L90I</t>
  </si>
  <si>
    <t>P128S</t>
  </si>
  <si>
    <t>V55I; I80L</t>
  </si>
  <si>
    <t>R178C</t>
  </si>
  <si>
    <t>D428N</t>
  </si>
  <si>
    <t>A708T</t>
  </si>
  <si>
    <t>L239P</t>
  </si>
  <si>
    <t>R1033L</t>
  </si>
  <si>
    <t>T742I</t>
  </si>
  <si>
    <t>A131T; P1032S</t>
  </si>
  <si>
    <t>V875M; N1036S</t>
  </si>
  <si>
    <t>N709S</t>
  </si>
  <si>
    <t>A586T; N709H</t>
  </si>
  <si>
    <t>R706H</t>
  </si>
  <si>
    <t>A772T</t>
  </si>
  <si>
    <t>R251H; I543V</t>
  </si>
  <si>
    <t>P1032S</t>
  </si>
  <si>
    <t>G530S</t>
  </si>
  <si>
    <t>A285T</t>
  </si>
  <si>
    <t>DELETED</t>
  </si>
  <si>
    <t>D628H</t>
  </si>
  <si>
    <t>R1024S</t>
  </si>
  <si>
    <t>T472P; P1032S</t>
  </si>
  <si>
    <t>E505G</t>
  </si>
  <si>
    <t>D724V</t>
  </si>
  <si>
    <t>S48N; T472A; D502G; R519H; Q843R; I849V; A865D</t>
  </si>
  <si>
    <t>I531T</t>
  </si>
  <si>
    <t>T238I</t>
  </si>
  <si>
    <t>G1002A</t>
  </si>
  <si>
    <t>T393A</t>
  </si>
  <si>
    <t>A527V; V548M</t>
  </si>
  <si>
    <t>S320P</t>
  </si>
  <si>
    <t>I212L</t>
  </si>
  <si>
    <t>H119Y</t>
  </si>
  <si>
    <t>D346H</t>
  </si>
  <si>
    <t>S382G</t>
  </si>
  <si>
    <t>A38T</t>
  </si>
  <si>
    <t>A375P; A383P</t>
  </si>
  <si>
    <t>V376M</t>
  </si>
  <si>
    <t>L154Q</t>
  </si>
  <si>
    <t>R151H</t>
  </si>
  <si>
    <t>Y255X</t>
  </si>
  <si>
    <t>A15T; A48V; E142K; D384G</t>
  </si>
  <si>
    <t>A36T</t>
  </si>
  <si>
    <t>Q4H</t>
  </si>
  <si>
    <t>W358C</t>
  </si>
  <si>
    <t>Q396X</t>
  </si>
  <si>
    <t>R69Q</t>
  </si>
  <si>
    <t>D83E</t>
  </si>
  <si>
    <t>aa163InsY</t>
  </si>
  <si>
    <t>T12N</t>
  </si>
  <si>
    <t>W185X</t>
  </si>
  <si>
    <t>nt484InsC</t>
  </si>
  <si>
    <t>G195D</t>
  </si>
  <si>
    <t>G68D</t>
  </si>
  <si>
    <t>Q140K</t>
  </si>
  <si>
    <t>V105G</t>
  </si>
  <si>
    <t>H51D</t>
  </si>
  <si>
    <t>A35V</t>
  </si>
  <si>
    <t>R45C</t>
  </si>
  <si>
    <t>L37P</t>
  </si>
  <si>
    <t>Q132X</t>
  </si>
  <si>
    <t>Y204X</t>
  </si>
  <si>
    <t>F192L</t>
  </si>
  <si>
    <t>nt100∆1</t>
  </si>
  <si>
    <t>A47V</t>
  </si>
  <si>
    <t>A81V; Q134R</t>
  </si>
  <si>
    <t>Q132P</t>
  </si>
  <si>
    <t>A88P</t>
  </si>
  <si>
    <t>nt227∆1</t>
  </si>
  <si>
    <t>R104W</t>
  </si>
  <si>
    <t>G175S</t>
  </si>
  <si>
    <t>Y12C; L21R; G56S</t>
  </si>
  <si>
    <t>C242X</t>
  </si>
  <si>
    <t>F248S</t>
  </si>
  <si>
    <t>D185E</t>
  </si>
  <si>
    <t>V187G; K358Q</t>
  </si>
  <si>
    <t>I143L</t>
  </si>
  <si>
    <t>E66G</t>
  </si>
  <si>
    <t>P54S</t>
  </si>
  <si>
    <t>E37K</t>
  </si>
  <si>
    <t>H99R; L552V</t>
  </si>
  <si>
    <t>A20S</t>
  </si>
  <si>
    <t>K358Q</t>
  </si>
  <si>
    <t>T335S</t>
  </si>
  <si>
    <t>I451T</t>
  </si>
  <si>
    <t>V18I; E90Q; A371T</t>
  </si>
  <si>
    <t>V18I; A85T; A86G; N164D; V187I</t>
  </si>
  <si>
    <t>V18I</t>
  </si>
  <si>
    <t>A86V</t>
  </si>
  <si>
    <t>L32Q; V333M</t>
  </si>
  <si>
    <t xml:space="preserve">P90L </t>
  </si>
  <si>
    <t>Q100H</t>
  </si>
  <si>
    <t xml:space="preserve">G231S </t>
  </si>
  <si>
    <t>V104A</t>
  </si>
  <si>
    <t>K43E</t>
  </si>
  <si>
    <t>V77I</t>
  </si>
  <si>
    <t>M106T</t>
  </si>
  <si>
    <t>G11S</t>
  </si>
  <si>
    <t>A52V</t>
  </si>
  <si>
    <t>F10L</t>
  </si>
  <si>
    <t>P13L</t>
  </si>
  <si>
    <t>nt907∆14</t>
  </si>
  <si>
    <t>P24L</t>
  </si>
  <si>
    <t>V241M</t>
  </si>
  <si>
    <t>nt396InsGT</t>
  </si>
  <si>
    <t>X340ext</t>
  </si>
  <si>
    <t>A175V; E181D; S289T; V308I</t>
  </si>
  <si>
    <t>N246K</t>
  </si>
  <si>
    <t>G76S</t>
  </si>
  <si>
    <t>P225L</t>
  </si>
  <si>
    <t>A175V; E181D; E286D</t>
  </si>
  <si>
    <t>G248C</t>
  </si>
  <si>
    <t>nt350∆1</t>
  </si>
  <si>
    <t>E205V</t>
  </si>
  <si>
    <t>G78S; aa147InsLKAG</t>
  </si>
  <si>
    <t>D232G</t>
  </si>
  <si>
    <t>S84F</t>
  </si>
  <si>
    <t>nt234∆8</t>
  </si>
  <si>
    <t>R334C; nt234∆8</t>
  </si>
  <si>
    <t>G276D; nt234∆8</t>
  </si>
  <si>
    <t>V265A; nt234∆8</t>
  </si>
  <si>
    <t>A245V; nt234∆8</t>
  </si>
  <si>
    <t>nt234∆8; nt395InsC</t>
  </si>
  <si>
    <t>D96A; nt234∆8</t>
  </si>
  <si>
    <t>A47V; nt234∆8</t>
  </si>
  <si>
    <t>R334P; nt234∆8</t>
  </si>
  <si>
    <t>R209S; nt234∆8</t>
  </si>
  <si>
    <t>G282S</t>
  </si>
  <si>
    <t>V156A</t>
  </si>
  <si>
    <t>P337A</t>
  </si>
  <si>
    <t>G250D</t>
  </si>
  <si>
    <t>A377V</t>
  </si>
  <si>
    <t>F284L</t>
  </si>
  <si>
    <t>E2V; Q368R</t>
  </si>
  <si>
    <t>F509V</t>
  </si>
  <si>
    <t>Q363R</t>
  </si>
  <si>
    <t>G1056D</t>
  </si>
  <si>
    <t>A1062T</t>
  </si>
  <si>
    <t>S510L</t>
  </si>
  <si>
    <t>I753V</t>
  </si>
  <si>
    <t>A598S</t>
  </si>
  <si>
    <t>T95I</t>
  </si>
  <si>
    <t>A550V</t>
  </si>
  <si>
    <t>A256T; N276S; T713A</t>
  </si>
  <si>
    <t>A842T</t>
  </si>
  <si>
    <t>D669G</t>
  </si>
  <si>
    <t>A12T</t>
  </si>
  <si>
    <t>A228V</t>
  </si>
  <si>
    <t>R363H</t>
  </si>
  <si>
    <t>R151L</t>
  </si>
  <si>
    <t>D102N</t>
  </si>
  <si>
    <t>R455H</t>
  </si>
  <si>
    <t>G364S</t>
  </si>
  <si>
    <t>T27A</t>
  </si>
  <si>
    <t>P35L</t>
  </si>
  <si>
    <t>A113S</t>
  </si>
  <si>
    <t>P470S</t>
  </si>
  <si>
    <t>R150H</t>
  </si>
  <si>
    <t>T34S</t>
  </si>
  <si>
    <t>A140T</t>
  </si>
  <si>
    <t>S77T; T275S</t>
  </si>
  <si>
    <t>V172I</t>
  </si>
  <si>
    <t>D31V</t>
  </si>
  <si>
    <t>D98E</t>
  </si>
  <si>
    <t>T428P</t>
  </si>
  <si>
    <t>Y61H</t>
  </si>
  <si>
    <t>G263S</t>
  </si>
  <si>
    <t>D176N</t>
  </si>
  <si>
    <t>A340G</t>
  </si>
  <si>
    <t>A434T</t>
  </si>
  <si>
    <t>T27S; S150G</t>
  </si>
  <si>
    <t>R475Q</t>
  </si>
  <si>
    <t>F324I</t>
  </si>
  <si>
    <t>V289I</t>
  </si>
  <si>
    <t>nt675InsTGGCC</t>
  </si>
  <si>
    <t>T83I</t>
  </si>
  <si>
    <t>D87N</t>
  </si>
  <si>
    <t>T83I; D87N</t>
  </si>
  <si>
    <t>D87G</t>
  </si>
  <si>
    <t xml:space="preserve">T83I; </t>
  </si>
  <si>
    <t>T83A; D87N</t>
  </si>
  <si>
    <t>Q97X</t>
  </si>
  <si>
    <t>T11N</t>
  </si>
  <si>
    <t>T188A</t>
  </si>
  <si>
    <t>C149Y</t>
  </si>
  <si>
    <t>nt232∆19</t>
  </si>
  <si>
    <t>E21D</t>
  </si>
  <si>
    <t>G172D</t>
  </si>
  <si>
    <t>T50P</t>
  </si>
  <si>
    <t>E153Q</t>
  </si>
  <si>
    <t>G213D</t>
  </si>
  <si>
    <t>R191L</t>
  </si>
  <si>
    <t>E153Q; nt12InsG</t>
  </si>
  <si>
    <t>nt15∆1</t>
  </si>
  <si>
    <t>A4V</t>
  </si>
  <si>
    <t>T100S</t>
  </si>
  <si>
    <t>V29I</t>
  </si>
  <si>
    <t>nt390InsGT</t>
  </si>
  <si>
    <t>N86S; S355T</t>
  </si>
  <si>
    <t>N54S</t>
  </si>
  <si>
    <t>A481T</t>
  </si>
  <si>
    <t>A619E</t>
  </si>
  <si>
    <t>D485N</t>
  </si>
  <si>
    <t>D507G</t>
  </si>
  <si>
    <t>A532V</t>
  </si>
  <si>
    <t>L33P</t>
  </si>
  <si>
    <t>S376N</t>
  </si>
  <si>
    <t>A356V</t>
  </si>
  <si>
    <t>D411A</t>
  </si>
  <si>
    <t>V358I</t>
  </si>
  <si>
    <t>S306N</t>
  </si>
  <si>
    <t>A222G</t>
  </si>
  <si>
    <t>Y35S</t>
  </si>
  <si>
    <t>X452ext</t>
  </si>
  <si>
    <t>D411A; aa436InsGGF</t>
  </si>
  <si>
    <t>V420M</t>
  </si>
  <si>
    <t>A331T; X452ext</t>
  </si>
  <si>
    <t>C410T</t>
  </si>
  <si>
    <t>G231E</t>
  </si>
  <si>
    <t>P178L; X452ext</t>
  </si>
  <si>
    <t>T115A; nt111InsC</t>
  </si>
  <si>
    <t>aa35∆4</t>
  </si>
  <si>
    <t>V124I; P274L</t>
  </si>
  <si>
    <t>nt111InsC</t>
  </si>
  <si>
    <t>H190Y</t>
  </si>
  <si>
    <t>I266S; Q347R</t>
  </si>
  <si>
    <t>S131N; A428T</t>
  </si>
  <si>
    <t>R103P</t>
  </si>
  <si>
    <t>V281F</t>
  </si>
  <si>
    <t>nt111∆1</t>
  </si>
  <si>
    <t>A175V</t>
  </si>
  <si>
    <t>G154R</t>
  </si>
  <si>
    <t>A16V</t>
  </si>
  <si>
    <t>G295R</t>
  </si>
  <si>
    <t>D135G</t>
  </si>
  <si>
    <t>S179N</t>
  </si>
  <si>
    <t>L177V</t>
  </si>
  <si>
    <t>D135N</t>
  </si>
  <si>
    <t>aa18InsVA</t>
  </si>
  <si>
    <t>G231S</t>
  </si>
  <si>
    <t>E162Q</t>
  </si>
  <si>
    <t>G273E</t>
  </si>
  <si>
    <t>G391P</t>
  </si>
  <si>
    <t>E247G</t>
  </si>
  <si>
    <t>R235H</t>
  </si>
  <si>
    <t>Q311L</t>
  </si>
  <si>
    <t>P82L</t>
  </si>
  <si>
    <t>Q678L</t>
  </si>
  <si>
    <t>Q678R</t>
  </si>
  <si>
    <t>R680C</t>
  </si>
  <si>
    <t>S695T</t>
  </si>
  <si>
    <t>T671A</t>
  </si>
  <si>
    <t>K212T</t>
  </si>
  <si>
    <t>Y552C</t>
  </si>
  <si>
    <t>D440E</t>
  </si>
  <si>
    <t>R551L</t>
  </si>
  <si>
    <t>L21P</t>
  </si>
  <si>
    <t>L23V</t>
  </si>
  <si>
    <t>L3V</t>
  </si>
  <si>
    <t>L219V</t>
  </si>
  <si>
    <t>L240V; A572V</t>
  </si>
  <si>
    <t>G243S</t>
  </si>
  <si>
    <t>I347T</t>
  </si>
  <si>
    <t>L23V; Y146F</t>
  </si>
  <si>
    <t>L135Q</t>
  </si>
  <si>
    <t>P126Q</t>
  </si>
  <si>
    <t>A96T</t>
  </si>
  <si>
    <t>A134V</t>
  </si>
  <si>
    <t>R140W</t>
  </si>
  <si>
    <t>A29T</t>
  </si>
  <si>
    <t>A136V</t>
  </si>
  <si>
    <t>Q131X</t>
  </si>
  <si>
    <t>T47I</t>
  </si>
  <si>
    <t>T139M</t>
  </si>
  <si>
    <t>D28G</t>
  </si>
  <si>
    <t>S75F</t>
  </si>
  <si>
    <t>A144V</t>
  </si>
  <si>
    <t>V10I</t>
  </si>
  <si>
    <t>T182I</t>
  </si>
  <si>
    <t>A134P</t>
  </si>
  <si>
    <t>D59E</t>
  </si>
  <si>
    <t>F113L</t>
  </si>
  <si>
    <t>V10G</t>
  </si>
  <si>
    <t>L40Q</t>
  </si>
  <si>
    <t>D83G</t>
  </si>
  <si>
    <t>R11H; A85S; S175P</t>
  </si>
  <si>
    <t>A29V; W97C</t>
  </si>
  <si>
    <t>G137E</t>
  </si>
  <si>
    <t>G46S</t>
  </si>
  <si>
    <t>I261T</t>
  </si>
  <si>
    <t>A152V</t>
  </si>
  <si>
    <t>A40G</t>
  </si>
  <si>
    <t>D256G</t>
  </si>
  <si>
    <t>N73D</t>
  </si>
  <si>
    <t>V472A</t>
  </si>
  <si>
    <t>R210H</t>
  </si>
  <si>
    <t>N121S</t>
  </si>
  <si>
    <t>D303V</t>
  </si>
  <si>
    <t>A41T</t>
  </si>
  <si>
    <t>L81I; A152T</t>
  </si>
  <si>
    <t>A364V</t>
  </si>
  <si>
    <t>S127N</t>
  </si>
  <si>
    <t>A566T; V607A</t>
  </si>
  <si>
    <t>R596S; L1027V</t>
  </si>
  <si>
    <t>N775K</t>
  </si>
  <si>
    <t>T778A; P829H</t>
  </si>
  <si>
    <t>E602K</t>
  </si>
  <si>
    <t>S606L</t>
  </si>
  <si>
    <t>T489I</t>
  </si>
  <si>
    <t>A734V</t>
  </si>
  <si>
    <t>R333C</t>
  </si>
  <si>
    <t>A905T</t>
  </si>
  <si>
    <t>V364L; I610V</t>
  </si>
  <si>
    <t>V364L; I610V; E650Q; H953N; A1039V</t>
  </si>
  <si>
    <t>aa1027InsLLS</t>
  </si>
  <si>
    <t xml:space="preserve">G147D; A642D; H651R; T659S; S738N </t>
  </si>
  <si>
    <t>G686R</t>
  </si>
  <si>
    <t>V351L</t>
  </si>
  <si>
    <t>T286M</t>
  </si>
  <si>
    <t>I427V; G1042R</t>
  </si>
  <si>
    <t>V914I</t>
  </si>
  <si>
    <t>R696C</t>
  </si>
  <si>
    <t>L1027V</t>
  </si>
  <si>
    <t>R254H</t>
  </si>
  <si>
    <t>V131M</t>
  </si>
  <si>
    <t>V367A</t>
  </si>
  <si>
    <t>A31V</t>
  </si>
  <si>
    <t>G8R</t>
  </si>
  <si>
    <t>E26A</t>
  </si>
  <si>
    <t>nt205∆2</t>
  </si>
  <si>
    <t>M34I</t>
  </si>
  <si>
    <t>T145I</t>
  </si>
  <si>
    <t>Q206X</t>
  </si>
  <si>
    <t>G254S</t>
  </si>
  <si>
    <t>Q134X</t>
  </si>
  <si>
    <t>E152Q; V282I; N299S; G334A; V337A; E350K</t>
  </si>
  <si>
    <t>S51R</t>
  </si>
  <si>
    <t>A124T</t>
  </si>
  <si>
    <t>R163Q</t>
  </si>
  <si>
    <t>A170T</t>
  </si>
  <si>
    <t>X188ext</t>
  </si>
  <si>
    <t>G129R</t>
  </si>
  <si>
    <t>Q64X</t>
  </si>
  <si>
    <t>I149L</t>
  </si>
  <si>
    <t>R47Q</t>
  </si>
  <si>
    <t>R82L</t>
  </si>
  <si>
    <t>E75G</t>
  </si>
  <si>
    <t>G133S</t>
  </si>
  <si>
    <t>P495S</t>
  </si>
  <si>
    <t>R360L</t>
  </si>
  <si>
    <t>V491L</t>
  </si>
  <si>
    <t>M715K</t>
  </si>
  <si>
    <t>D502N</t>
  </si>
  <si>
    <t>T410A; N555S</t>
  </si>
  <si>
    <t>S701G</t>
  </si>
  <si>
    <t>D61N</t>
  </si>
  <si>
    <t>E131D</t>
  </si>
  <si>
    <t>R122H</t>
  </si>
  <si>
    <t>E163D</t>
  </si>
  <si>
    <t>D61E</t>
  </si>
  <si>
    <t>R81Q</t>
  </si>
  <si>
    <t>T343A</t>
  </si>
  <si>
    <t>V431I</t>
  </si>
  <si>
    <t>V6A</t>
  </si>
  <si>
    <t>T406A</t>
  </si>
  <si>
    <t xml:space="preserve">V6A </t>
  </si>
  <si>
    <t>H311Q</t>
  </si>
  <si>
    <t>H311Q; A413T</t>
  </si>
  <si>
    <t>G362S</t>
  </si>
  <si>
    <t>S94N</t>
  </si>
  <si>
    <t>A467V</t>
  </si>
  <si>
    <t>A197S; E213D; L217V; L398Q; G469S</t>
  </si>
  <si>
    <t>G439D</t>
  </si>
  <si>
    <t>A67T</t>
  </si>
  <si>
    <t>P369S</t>
  </si>
  <si>
    <t>A173T</t>
  </si>
  <si>
    <t>S87L</t>
  </si>
  <si>
    <t>S87W</t>
  </si>
  <si>
    <t>E459V</t>
  </si>
  <si>
    <t>P438S</t>
  </si>
  <si>
    <t>V200M</t>
  </si>
  <si>
    <t>A473V</t>
  </si>
  <si>
    <t>E215Q</t>
  </si>
  <si>
    <t>V629A</t>
  </si>
  <si>
    <t>P511S</t>
  </si>
  <si>
    <t>S457R</t>
  </si>
  <si>
    <t>A473V; E459K</t>
  </si>
  <si>
    <t>I89T</t>
  </si>
  <si>
    <t>A342V</t>
  </si>
  <si>
    <t>F6I</t>
  </si>
  <si>
    <t>E345D</t>
  </si>
  <si>
    <t>I418T</t>
  </si>
  <si>
    <t>A368T</t>
  </si>
  <si>
    <t>E245D</t>
  </si>
  <si>
    <t>D309E</t>
  </si>
  <si>
    <t>K703T</t>
  </si>
  <si>
    <t>M389I; I403V; H628P</t>
  </si>
  <si>
    <t>D625N</t>
  </si>
  <si>
    <t>T256P</t>
  </si>
  <si>
    <t>A72S</t>
  </si>
  <si>
    <t>R378H</t>
  </si>
  <si>
    <t>R606S</t>
  </si>
  <si>
    <t>T654P</t>
  </si>
  <si>
    <t>S717C</t>
  </si>
  <si>
    <t>G596R</t>
  </si>
  <si>
    <t>E367G</t>
  </si>
  <si>
    <t>Y205C</t>
  </si>
  <si>
    <t>nt839∆1</t>
  </si>
  <si>
    <t>A201T</t>
  </si>
  <si>
    <t>A17T</t>
  </si>
  <si>
    <t>P444S</t>
  </si>
  <si>
    <t>T211P</t>
  </si>
  <si>
    <t>G305D</t>
  </si>
  <si>
    <t>I56F</t>
  </si>
  <si>
    <t>T306P</t>
  </si>
  <si>
    <t>C432S</t>
  </si>
  <si>
    <t>S90P</t>
  </si>
  <si>
    <t>G184R</t>
  </si>
  <si>
    <t>nt834∆1</t>
  </si>
  <si>
    <t>W148X</t>
  </si>
  <si>
    <t>nt576∆13</t>
  </si>
  <si>
    <t>T336P</t>
  </si>
  <si>
    <t>V332M</t>
  </si>
  <si>
    <t>V125I</t>
  </si>
  <si>
    <t>S313P</t>
  </si>
  <si>
    <t>A262S</t>
  </si>
  <si>
    <t>R320C</t>
  </si>
  <si>
    <t>N238S</t>
  </si>
  <si>
    <t>V266M</t>
  </si>
  <si>
    <t xml:space="preserve">D159N </t>
  </si>
  <si>
    <t>A87T</t>
  </si>
  <si>
    <t>R204C</t>
  </si>
  <si>
    <t>S184G</t>
  </si>
  <si>
    <t xml:space="preserve">N238S </t>
  </si>
  <si>
    <t>E307D; I346V</t>
  </si>
  <si>
    <t>V247I; V362I</t>
  </si>
  <si>
    <t>R322S</t>
  </si>
  <si>
    <t>G190S</t>
  </si>
  <si>
    <t>I346V</t>
  </si>
  <si>
    <t>G134D</t>
  </si>
  <si>
    <t>H182Y</t>
  </si>
  <si>
    <t>V40I</t>
  </si>
  <si>
    <t>Q117E</t>
  </si>
  <si>
    <t>P116S</t>
  </si>
  <si>
    <t>Q110R</t>
  </si>
  <si>
    <t>A8V; Q110K</t>
  </si>
  <si>
    <t>T115S</t>
  </si>
  <si>
    <t>P21Q</t>
  </si>
  <si>
    <t>A278S; A280T</t>
  </si>
  <si>
    <t>H30Q; V267A</t>
  </si>
  <si>
    <t>A280T</t>
  </si>
  <si>
    <t>E282K</t>
  </si>
  <si>
    <t>R112H</t>
  </si>
  <si>
    <t>L257F</t>
  </si>
  <si>
    <t>V83M</t>
  </si>
  <si>
    <t>P92S</t>
  </si>
  <si>
    <t>G269D</t>
  </si>
  <si>
    <t>R47H; T232A; V267A; A278T</t>
  </si>
  <si>
    <t>V108I</t>
  </si>
  <si>
    <t>G138R; D241N; A278S; A280T</t>
  </si>
  <si>
    <t>G64D</t>
  </si>
  <si>
    <t>G13D; A88T</t>
  </si>
  <si>
    <t>D86Y</t>
  </si>
  <si>
    <t>A189T</t>
  </si>
  <si>
    <t>S7N</t>
  </si>
  <si>
    <t>P197Q</t>
  </si>
  <si>
    <t>K159N</t>
  </si>
  <si>
    <t>A133G</t>
  </si>
  <si>
    <t>E176A; A189T</t>
  </si>
  <si>
    <t>A8T</t>
  </si>
  <si>
    <t>K256T</t>
  </si>
  <si>
    <t>P117Q</t>
  </si>
  <si>
    <t>R49L</t>
  </si>
  <si>
    <t>N134D</t>
  </si>
  <si>
    <t>D23N</t>
  </si>
  <si>
    <t>P249L</t>
  </si>
  <si>
    <t>P219T</t>
  </si>
  <si>
    <t>P357L</t>
  </si>
  <si>
    <t>R97T</t>
  </si>
  <si>
    <t>Y168H; S224A</t>
  </si>
  <si>
    <t>V17I</t>
  </si>
  <si>
    <t>V173M</t>
  </si>
  <si>
    <t>P219S</t>
  </si>
  <si>
    <t>H236Q</t>
  </si>
  <si>
    <t>Q278X</t>
  </si>
  <si>
    <t>S224A</t>
  </si>
  <si>
    <t>S3N; A11V; E265Q</t>
  </si>
  <si>
    <t>S3N; A11V; E265Q; V304M</t>
  </si>
  <si>
    <t>A75P; G91D; A363V</t>
  </si>
  <si>
    <t>S3N; V77M; E265Q; E273K; E323G</t>
  </si>
  <si>
    <t>G336S</t>
  </si>
  <si>
    <t>A19S</t>
  </si>
  <si>
    <t>A19V</t>
  </si>
  <si>
    <t>P249L; E265A</t>
  </si>
  <si>
    <t>aa11∆4</t>
  </si>
  <si>
    <t>nt402∆11</t>
  </si>
  <si>
    <t>aa90∆4</t>
  </si>
  <si>
    <t>nt1135∆1</t>
  </si>
  <si>
    <t>nt2936∆1</t>
  </si>
  <si>
    <t>nt3018∆5</t>
  </si>
  <si>
    <t>nt501∆5</t>
  </si>
  <si>
    <t>nt175∆11</t>
  </si>
  <si>
    <t>nt164∆1</t>
  </si>
  <si>
    <t>aa214∆1</t>
  </si>
  <si>
    <t>aa103∆1</t>
  </si>
  <si>
    <t>aa187∆6</t>
  </si>
  <si>
    <t>nt526∆8</t>
  </si>
  <si>
    <t>aa48∆9</t>
  </si>
  <si>
    <t>nt386∆1</t>
  </si>
  <si>
    <t>nt491∆10</t>
  </si>
  <si>
    <t>nt320∆16</t>
  </si>
  <si>
    <t>nt367∆10</t>
  </si>
  <si>
    <t>nt61∆5</t>
  </si>
  <si>
    <t>Δ63</t>
  </si>
  <si>
    <t>aa207∆4</t>
  </si>
  <si>
    <t>nt679∆1</t>
  </si>
  <si>
    <t>aa25∆1</t>
  </si>
  <si>
    <t>nt263∆17</t>
  </si>
  <si>
    <t>nt396∆2</t>
  </si>
  <si>
    <t>G78R; nt232∆19</t>
  </si>
  <si>
    <t>nt295∆17</t>
  </si>
  <si>
    <t>nt475∆16</t>
  </si>
  <si>
    <t>nt1109∆1</t>
  </si>
  <si>
    <t>aa74∆2</t>
  </si>
  <si>
    <t>nt134∆1</t>
  </si>
  <si>
    <t>aac(6')-Ic</t>
  </si>
  <si>
    <t>aac(3)-Ib</t>
  </si>
  <si>
    <t>aadB</t>
  </si>
  <si>
    <t>aacA4</t>
  </si>
  <si>
    <t>aac(3)-I</t>
  </si>
  <si>
    <t>aac(3)-I, aph(3')-XV, aadA1</t>
  </si>
  <si>
    <t>aac(3)-I, aadB</t>
  </si>
  <si>
    <t>aadB4, aadA6</t>
  </si>
  <si>
    <t>aac(3)-Ia, aadA1, aadA6</t>
  </si>
  <si>
    <t>aac(3)-Ia, aph(3')-Via, aadB</t>
  </si>
  <si>
    <t>aadB, aph(3')-VIa, aadA13, aacA4</t>
  </si>
  <si>
    <t>aadA6</t>
  </si>
  <si>
    <t>aacA4, aadA1</t>
  </si>
  <si>
    <t>aacA4, aadB</t>
  </si>
  <si>
    <t>aacA4, aadA1, aadA6</t>
  </si>
  <si>
    <t>aadB, aacA4</t>
  </si>
  <si>
    <t>aacA4; aadA2</t>
  </si>
  <si>
    <t>blaOXA-15</t>
  </si>
  <si>
    <t>blaVIM-1</t>
  </si>
  <si>
    <t>blaIMP-1 (K41E)</t>
  </si>
  <si>
    <t>blaVIM-20</t>
  </si>
  <si>
    <t>blaVIM-20, blaOXA-210</t>
  </si>
  <si>
    <t>blaGES-5</t>
  </si>
  <si>
    <t>SCORE TOB</t>
  </si>
  <si>
    <t>SCORE MER</t>
  </si>
  <si>
    <t>SCORE CAZ</t>
  </si>
  <si>
    <t>SCORE CIP</t>
  </si>
  <si>
    <t>SCORE C/T</t>
  </si>
  <si>
    <t>Q212K</t>
  </si>
  <si>
    <t>A170T; nt65InsCC</t>
  </si>
  <si>
    <t>∆720</t>
  </si>
  <si>
    <t>∆204</t>
  </si>
  <si>
    <t>∆605</t>
  </si>
  <si>
    <t>DOBLE SCORE: 268, 283, 394, 504, 505, 527, 533</t>
  </si>
  <si>
    <t>SÓLO COMPROBAR SI ESTÁ ACTIVA</t>
  </si>
  <si>
    <t>OXA-2</t>
  </si>
  <si>
    <t>aac(6')Ib-cr</t>
  </si>
  <si>
    <r>
      <t>aa11</t>
    </r>
    <r>
      <rPr>
        <sz val="10"/>
        <rFont val="Calibri"/>
        <family val="2"/>
      </rPr>
      <t>∆4</t>
    </r>
  </si>
  <si>
    <r>
      <t>nt402</t>
    </r>
    <r>
      <rPr>
        <sz val="10"/>
        <rFont val="Calibri"/>
        <family val="2"/>
      </rPr>
      <t>∆11</t>
    </r>
  </si>
  <si>
    <r>
      <t>aa90</t>
    </r>
    <r>
      <rPr>
        <sz val="10"/>
        <rFont val="Calibri"/>
        <family val="2"/>
      </rPr>
      <t>∆4</t>
    </r>
  </si>
  <si>
    <t>V1042A</t>
  </si>
  <si>
    <r>
      <t>nt1135</t>
    </r>
    <r>
      <rPr>
        <sz val="10"/>
        <rFont val="Calibri"/>
        <family val="2"/>
      </rPr>
      <t>∆1</t>
    </r>
  </si>
  <si>
    <r>
      <t>nt2936</t>
    </r>
    <r>
      <rPr>
        <sz val="10"/>
        <rFont val="Calibri"/>
        <family val="2"/>
      </rPr>
      <t>∆1</t>
    </r>
  </si>
  <si>
    <r>
      <t>nt3018</t>
    </r>
    <r>
      <rPr>
        <sz val="10"/>
        <rFont val="Calibri"/>
        <family val="2"/>
      </rPr>
      <t>∆5</t>
    </r>
  </si>
  <si>
    <r>
      <t>nt501</t>
    </r>
    <r>
      <rPr>
        <sz val="10"/>
        <rFont val="Calibri"/>
        <family val="2"/>
      </rPr>
      <t>∆5</t>
    </r>
  </si>
  <si>
    <r>
      <t>nt164</t>
    </r>
    <r>
      <rPr>
        <sz val="10"/>
        <rFont val="Calibri"/>
        <family val="2"/>
      </rPr>
      <t>∆1</t>
    </r>
  </si>
  <si>
    <r>
      <t>aa214</t>
    </r>
    <r>
      <rPr>
        <sz val="10"/>
        <rFont val="Calibri"/>
        <family val="2"/>
      </rPr>
      <t>∆1</t>
    </r>
  </si>
  <si>
    <t xml:space="preserve">R251H; I543V </t>
  </si>
  <si>
    <t>A527V;V548M</t>
  </si>
  <si>
    <r>
      <t>aa103</t>
    </r>
    <r>
      <rPr>
        <sz val="10"/>
        <rFont val="Calibri"/>
        <family val="2"/>
      </rPr>
      <t>∆1</t>
    </r>
  </si>
  <si>
    <r>
      <t>aa187</t>
    </r>
    <r>
      <rPr>
        <sz val="10"/>
        <rFont val="Calibri"/>
        <family val="2"/>
      </rPr>
      <t>∆6</t>
    </r>
  </si>
  <si>
    <r>
      <t>nt526</t>
    </r>
    <r>
      <rPr>
        <sz val="10"/>
        <rFont val="Calibri"/>
        <family val="2"/>
      </rPr>
      <t>∆8</t>
    </r>
  </si>
  <si>
    <r>
      <t>aa48</t>
    </r>
    <r>
      <rPr>
        <sz val="10"/>
        <rFont val="Calibri"/>
        <family val="2"/>
      </rPr>
      <t>∆9</t>
    </r>
  </si>
  <si>
    <r>
      <t>nt386</t>
    </r>
    <r>
      <rPr>
        <sz val="10"/>
        <rFont val="Calibri"/>
        <family val="2"/>
      </rPr>
      <t>∆1</t>
    </r>
  </si>
  <si>
    <r>
      <t>nt491</t>
    </r>
    <r>
      <rPr>
        <sz val="10"/>
        <rFont val="Calibri"/>
        <family val="2"/>
      </rPr>
      <t>∆10</t>
    </r>
  </si>
  <si>
    <r>
      <t>nt320</t>
    </r>
    <r>
      <rPr>
        <sz val="10"/>
        <rFont val="Calibri"/>
        <family val="2"/>
      </rPr>
      <t>∆16</t>
    </r>
  </si>
  <si>
    <r>
      <t>nt367</t>
    </r>
    <r>
      <rPr>
        <sz val="10"/>
        <rFont val="Calibri"/>
        <family val="2"/>
      </rPr>
      <t>∆10</t>
    </r>
  </si>
  <si>
    <r>
      <t>nt61</t>
    </r>
    <r>
      <rPr>
        <sz val="10"/>
        <rFont val="Calibri"/>
        <family val="2"/>
      </rPr>
      <t>∆5</t>
    </r>
  </si>
  <si>
    <r>
      <t>aa207</t>
    </r>
    <r>
      <rPr>
        <sz val="10"/>
        <rFont val="Calibri"/>
        <family val="2"/>
      </rPr>
      <t>∆4</t>
    </r>
  </si>
  <si>
    <r>
      <t>nt679</t>
    </r>
    <r>
      <rPr>
        <sz val="10"/>
        <rFont val="Calibri"/>
        <family val="2"/>
      </rPr>
      <t>∆1</t>
    </r>
  </si>
  <si>
    <t>P90L</t>
  </si>
  <si>
    <t>S289T; V308I</t>
  </si>
  <si>
    <t>E286D</t>
  </si>
  <si>
    <t>E2V, Q368R</t>
  </si>
  <si>
    <t>S77T</t>
  </si>
  <si>
    <t>T83I; V671I</t>
  </si>
  <si>
    <r>
      <t>aa25</t>
    </r>
    <r>
      <rPr>
        <sz val="10"/>
        <rFont val="Calibri"/>
        <family val="2"/>
      </rPr>
      <t>∆1</t>
    </r>
  </si>
  <si>
    <r>
      <t>nt263</t>
    </r>
    <r>
      <rPr>
        <sz val="10"/>
        <rFont val="Calibri"/>
        <family val="2"/>
      </rPr>
      <t>∆17</t>
    </r>
  </si>
  <si>
    <r>
      <t>nt396</t>
    </r>
    <r>
      <rPr>
        <sz val="10"/>
        <rFont val="Calibri"/>
        <family val="2"/>
      </rPr>
      <t>∆2</t>
    </r>
  </si>
  <si>
    <r>
      <t>G78R; nt232</t>
    </r>
    <r>
      <rPr>
        <sz val="10"/>
        <rFont val="Calibri"/>
        <family val="2"/>
      </rPr>
      <t>∆19</t>
    </r>
  </si>
  <si>
    <r>
      <t>nt295</t>
    </r>
    <r>
      <rPr>
        <sz val="10"/>
        <rFont val="Calibri"/>
        <family val="2"/>
      </rPr>
      <t>∆17</t>
    </r>
  </si>
  <si>
    <r>
      <t>nt475</t>
    </r>
    <r>
      <rPr>
        <sz val="10"/>
        <rFont val="Calibri"/>
        <family val="2"/>
      </rPr>
      <t>∆16</t>
    </r>
  </si>
  <si>
    <t>nt12InsG</t>
  </si>
  <si>
    <t>aa436InsGGF</t>
  </si>
  <si>
    <t>P274L</t>
  </si>
  <si>
    <t>nt66InsCC</t>
  </si>
  <si>
    <t>aa235∆6</t>
  </si>
  <si>
    <t>F6L</t>
  </si>
  <si>
    <t>L200F</t>
  </si>
  <si>
    <t>I365V</t>
  </si>
  <si>
    <t>A156V; S306T</t>
  </si>
  <si>
    <t>A278G</t>
  </si>
  <si>
    <t>A97V</t>
  </si>
  <si>
    <t>S173N</t>
  </si>
  <si>
    <t>Q117L; L133I</t>
  </si>
  <si>
    <t>Q117L; D280N; Q311L</t>
  </si>
  <si>
    <t>P274H; S306A; I325V</t>
  </si>
  <si>
    <t>Q117L</t>
  </si>
  <si>
    <t>D302H</t>
  </si>
  <si>
    <t>D291N</t>
  </si>
  <si>
    <t>T16I; P148S</t>
  </si>
  <si>
    <t>E650Q; H953N</t>
  </si>
  <si>
    <t>G147D; A642D; H651R; T659S; S738N</t>
  </si>
  <si>
    <t xml:space="preserve">E650Q; H953N; </t>
  </si>
  <si>
    <t>A197S; E213D; L217V; ; L398Q; G469S</t>
  </si>
  <si>
    <t>R441L</t>
  </si>
  <si>
    <t>A688V</t>
  </si>
  <si>
    <t>V238I</t>
  </si>
  <si>
    <t>P683S</t>
  </si>
  <si>
    <t>S87W; L168Q</t>
  </si>
  <si>
    <t>D422A</t>
  </si>
  <si>
    <t>E91K; L458F</t>
  </si>
  <si>
    <t>E91K</t>
  </si>
  <si>
    <t>I388V; A528T</t>
  </si>
  <si>
    <t>M502L</t>
  </si>
  <si>
    <t>K726R</t>
  </si>
  <si>
    <t>G85C</t>
  </si>
  <si>
    <t>E459K</t>
  </si>
  <si>
    <t xml:space="preserve">I418T; </t>
  </si>
  <si>
    <r>
      <t>nt1109</t>
    </r>
    <r>
      <rPr>
        <sz val="10"/>
        <rFont val="Calibri"/>
        <family val="2"/>
      </rPr>
      <t>∆1</t>
    </r>
  </si>
  <si>
    <r>
      <t>aa74</t>
    </r>
    <r>
      <rPr>
        <sz val="10"/>
        <rFont val="Calibri"/>
        <family val="2"/>
      </rPr>
      <t>∆2</t>
    </r>
  </si>
  <si>
    <t>D159N</t>
  </si>
  <si>
    <t>A278S</t>
  </si>
  <si>
    <t xml:space="preserve">R112H </t>
  </si>
  <si>
    <t xml:space="preserve">G138R; D241N; A278S </t>
  </si>
  <si>
    <r>
      <t>nt134</t>
    </r>
    <r>
      <rPr>
        <sz val="10"/>
        <rFont val="Calibri"/>
        <family val="2"/>
      </rPr>
      <t>∆1</t>
    </r>
  </si>
  <si>
    <t>S3N; A11V</t>
  </si>
  <si>
    <t>S3N; A11V; V304M</t>
  </si>
  <si>
    <t>S3N; V77M; E273K; E323G</t>
  </si>
  <si>
    <t>∆63nt</t>
  </si>
  <si>
    <t>∆720nt</t>
  </si>
  <si>
    <t>∆204nt</t>
  </si>
  <si>
    <t>∆605nt</t>
  </si>
  <si>
    <t>L346P</t>
  </si>
  <si>
    <t>A286V</t>
  </si>
  <si>
    <t>G129S</t>
  </si>
  <si>
    <t>2/0,5</t>
  </si>
  <si>
    <t xml:space="preserve">2/0,5 </t>
  </si>
  <si>
    <t>0,75/0,375</t>
  </si>
  <si>
    <t>DOBLE score (80-93, 205-254, 307-321, 342-344, 372-397)</t>
  </si>
  <si>
    <t>no evaluable</t>
  </si>
  <si>
    <t>v265a, nt234∆8</t>
  </si>
  <si>
    <t>AND01-016</t>
  </si>
  <si>
    <t>strA, strB</t>
  </si>
  <si>
    <t>bla-CARB3</t>
  </si>
  <si>
    <t>blaOXA-2</t>
  </si>
  <si>
    <t>blaCARB-2</t>
  </si>
  <si>
    <t>N5K</t>
  </si>
  <si>
    <t>R22C</t>
  </si>
  <si>
    <t>I529V</t>
  </si>
  <si>
    <t>H170Y</t>
  </si>
  <si>
    <t>P749S</t>
  </si>
  <si>
    <t xml:space="preserve">S92N </t>
  </si>
  <si>
    <t xml:space="preserve">L102P </t>
  </si>
  <si>
    <t xml:space="preserve">L95F </t>
  </si>
  <si>
    <t xml:space="preserve">R73L </t>
  </si>
  <si>
    <t xml:space="preserve">N79S </t>
  </si>
  <si>
    <t xml:space="preserve">P55S </t>
  </si>
  <si>
    <t xml:space="preserve">G137D </t>
  </si>
  <si>
    <t xml:space="preserve">L137P, V216A </t>
  </si>
  <si>
    <t>R83K, V216A</t>
  </si>
  <si>
    <t>L137P, nt998∆1</t>
  </si>
  <si>
    <t xml:space="preserve">A395T </t>
  </si>
  <si>
    <t xml:space="preserve"> A708T   </t>
  </si>
  <si>
    <t xml:space="preserve">D428N  </t>
  </si>
  <si>
    <t xml:space="preserve">L239P   </t>
  </si>
  <si>
    <t xml:space="preserve">A131T   </t>
  </si>
  <si>
    <t>V875M, N1036S</t>
  </si>
  <si>
    <t xml:space="preserve"> N709S </t>
  </si>
  <si>
    <t xml:space="preserve">A586T, N709H </t>
  </si>
  <si>
    <t xml:space="preserve">R706H </t>
  </si>
  <si>
    <t xml:space="preserve">A772T  </t>
  </si>
  <si>
    <t xml:space="preserve">R251H, I543V  </t>
  </si>
  <si>
    <t xml:space="preserve">A285T  </t>
  </si>
  <si>
    <t xml:space="preserve">T472P   </t>
  </si>
  <si>
    <t xml:space="preserve">E505G     </t>
  </si>
  <si>
    <t xml:space="preserve">I531T  </t>
  </si>
  <si>
    <t xml:space="preserve">T238I </t>
  </si>
  <si>
    <t xml:space="preserve">S320P   </t>
  </si>
  <si>
    <t xml:space="preserve">I212L   </t>
  </si>
  <si>
    <t xml:space="preserve">A38T   </t>
  </si>
  <si>
    <t xml:space="preserve">H119Y </t>
  </si>
  <si>
    <t>H99R, L552V</t>
  </si>
  <si>
    <t xml:space="preserve">  T335S</t>
  </si>
  <si>
    <t xml:space="preserve">E37K </t>
  </si>
  <si>
    <t xml:space="preserve">V18I </t>
  </si>
  <si>
    <t xml:space="preserve">Q100H </t>
  </si>
  <si>
    <t xml:space="preserve">V104A </t>
  </si>
  <si>
    <t xml:space="preserve">K43E </t>
  </si>
  <si>
    <t xml:space="preserve">V77I </t>
  </si>
  <si>
    <t xml:space="preserve">M106T </t>
  </si>
  <si>
    <t xml:space="preserve">G11S </t>
  </si>
  <si>
    <t xml:space="preserve">A52V </t>
  </si>
  <si>
    <t xml:space="preserve">F10L </t>
  </si>
  <si>
    <t xml:space="preserve">P13L  </t>
  </si>
  <si>
    <t xml:space="preserve">P24L </t>
  </si>
  <si>
    <t xml:space="preserve"> nt396InsGT</t>
  </si>
  <si>
    <t xml:space="preserve">N246K </t>
  </si>
  <si>
    <t xml:space="preserve">G76S </t>
  </si>
  <si>
    <t xml:space="preserve">P225L </t>
  </si>
  <si>
    <t xml:space="preserve">G248C </t>
  </si>
  <si>
    <t xml:space="preserve">E205V </t>
  </si>
  <si>
    <t xml:space="preserve">D232G </t>
  </si>
  <si>
    <t xml:space="preserve">S84F </t>
  </si>
  <si>
    <t xml:space="preserve"> nt234∆8</t>
  </si>
  <si>
    <t xml:space="preserve">  nt234∆8</t>
  </si>
  <si>
    <t xml:space="preserve"> P337A</t>
  </si>
  <si>
    <t xml:space="preserve">A12T </t>
  </si>
  <si>
    <t xml:space="preserve"> R363H</t>
  </si>
  <si>
    <t xml:space="preserve"> G364S</t>
  </si>
  <si>
    <t xml:space="preserve"> T27A </t>
  </si>
  <si>
    <t xml:space="preserve"> P35L</t>
  </si>
  <si>
    <t xml:space="preserve"> A113S</t>
  </si>
  <si>
    <t xml:space="preserve">S77T </t>
  </si>
  <si>
    <t xml:space="preserve"> V172I</t>
  </si>
  <si>
    <t>P440S</t>
  </si>
  <si>
    <t xml:space="preserve">T83I </t>
  </si>
  <si>
    <t>N200S</t>
  </si>
  <si>
    <t xml:space="preserve">A669P </t>
  </si>
  <si>
    <t xml:space="preserve">D87N </t>
  </si>
  <si>
    <t>A908T</t>
  </si>
  <si>
    <t>aa914InsPK</t>
  </si>
  <si>
    <t xml:space="preserve">E793K </t>
  </si>
  <si>
    <t>A668T</t>
  </si>
  <si>
    <t>V671A</t>
  </si>
  <si>
    <t xml:space="preserve">T50P  </t>
  </si>
  <si>
    <t xml:space="preserve"> G213D</t>
  </si>
  <si>
    <t xml:space="preserve">R191L </t>
  </si>
  <si>
    <t xml:space="preserve">  A356V</t>
  </si>
  <si>
    <t xml:space="preserve"> S306N</t>
  </si>
  <si>
    <t xml:space="preserve">Y35S </t>
  </si>
  <si>
    <t xml:space="preserve"> aa436InsGGF</t>
  </si>
  <si>
    <t xml:space="preserve"> C410T</t>
  </si>
  <si>
    <t xml:space="preserve"> aa35∆4</t>
  </si>
  <si>
    <t xml:space="preserve">H190Y  </t>
  </si>
  <si>
    <t xml:space="preserve"> G273E</t>
  </si>
  <si>
    <t xml:space="preserve">S179N  </t>
  </si>
  <si>
    <t xml:space="preserve"> L177V</t>
  </si>
  <si>
    <t xml:space="preserve">D135N  </t>
  </si>
  <si>
    <t xml:space="preserve">F6L     </t>
  </si>
  <si>
    <t xml:space="preserve"> L200F</t>
  </si>
  <si>
    <t xml:space="preserve">P82L </t>
  </si>
  <si>
    <t xml:space="preserve"> Y552C</t>
  </si>
  <si>
    <t xml:space="preserve"> L135Q  </t>
  </si>
  <si>
    <t xml:space="preserve"> R140W  </t>
  </si>
  <si>
    <t xml:space="preserve">T47I </t>
  </si>
  <si>
    <t xml:space="preserve">T139M  </t>
  </si>
  <si>
    <t xml:space="preserve">V10I </t>
  </si>
  <si>
    <t xml:space="preserve">A134P  </t>
  </si>
  <si>
    <t xml:space="preserve">F113L  </t>
  </si>
  <si>
    <t xml:space="preserve">V10G  </t>
  </si>
  <si>
    <t xml:space="preserve">D83G  </t>
  </si>
  <si>
    <t xml:space="preserve"> G137E  </t>
  </si>
  <si>
    <t xml:space="preserve">G46S </t>
  </si>
  <si>
    <t xml:space="preserve">  A152V</t>
  </si>
  <si>
    <t xml:space="preserve"> D256G </t>
  </si>
  <si>
    <t xml:space="preserve">A41T </t>
  </si>
  <si>
    <t xml:space="preserve"> N775K  </t>
  </si>
  <si>
    <t xml:space="preserve"> N775K   </t>
  </si>
  <si>
    <t xml:space="preserve">R333C </t>
  </si>
  <si>
    <t xml:space="preserve">         </t>
  </si>
  <si>
    <t xml:space="preserve">T286M </t>
  </si>
  <si>
    <t xml:space="preserve">R254H  </t>
  </si>
  <si>
    <t xml:space="preserve">V131M </t>
  </si>
  <si>
    <t xml:space="preserve">G8R </t>
  </si>
  <si>
    <t xml:space="preserve"> nt205∆2</t>
  </si>
  <si>
    <t xml:space="preserve">T145I </t>
  </si>
  <si>
    <t xml:space="preserve">G254S </t>
  </si>
  <si>
    <t xml:space="preserve">S51R    </t>
  </si>
  <si>
    <t xml:space="preserve"> R47Q </t>
  </si>
  <si>
    <t xml:space="preserve">  P495S</t>
  </si>
  <si>
    <t xml:space="preserve"> R360L</t>
  </si>
  <si>
    <t xml:space="preserve">D61N </t>
  </si>
  <si>
    <t xml:space="preserve"> E163D</t>
  </si>
  <si>
    <t xml:space="preserve"> V431I</t>
  </si>
  <si>
    <t xml:space="preserve">S94N </t>
  </si>
  <si>
    <t xml:space="preserve"> A467V</t>
  </si>
  <si>
    <t xml:space="preserve">    G439D</t>
  </si>
  <si>
    <t xml:space="preserve">A67T </t>
  </si>
  <si>
    <t xml:space="preserve">S87W </t>
  </si>
  <si>
    <t xml:space="preserve">S87L </t>
  </si>
  <si>
    <t xml:space="preserve">E91K </t>
  </si>
  <si>
    <t xml:space="preserve">P438S </t>
  </si>
  <si>
    <t xml:space="preserve">S457R </t>
  </si>
  <si>
    <t xml:space="preserve"> E459K </t>
  </si>
  <si>
    <t xml:space="preserve">A342V </t>
  </si>
  <si>
    <t xml:space="preserve">F6I </t>
  </si>
  <si>
    <t xml:space="preserve">E345D </t>
  </si>
  <si>
    <t xml:space="preserve"> S717C</t>
  </si>
  <si>
    <t xml:space="preserve">  K703T</t>
  </si>
  <si>
    <t xml:space="preserve">D625N  </t>
  </si>
  <si>
    <t xml:space="preserve">E367G </t>
  </si>
  <si>
    <t xml:space="preserve"> nt839∆1</t>
  </si>
  <si>
    <t xml:space="preserve">A201T </t>
  </si>
  <si>
    <t xml:space="preserve">I56F </t>
  </si>
  <si>
    <t xml:space="preserve">T306P </t>
  </si>
  <si>
    <t xml:space="preserve">T336P </t>
  </si>
  <si>
    <t xml:space="preserve">  A262S</t>
  </si>
  <si>
    <t xml:space="preserve"> A87T     </t>
  </si>
  <si>
    <t xml:space="preserve"> G134D   </t>
  </si>
  <si>
    <t xml:space="preserve"> A278S </t>
  </si>
  <si>
    <t xml:space="preserve">  R112H   </t>
  </si>
  <si>
    <t xml:space="preserve"> L257F  </t>
  </si>
  <si>
    <t xml:space="preserve"> V83M  </t>
  </si>
  <si>
    <t xml:space="preserve"> V108I    </t>
  </si>
  <si>
    <t xml:space="preserve">  A189T</t>
  </si>
  <si>
    <t xml:space="preserve">S7N </t>
  </si>
  <si>
    <t xml:space="preserve"> A133G </t>
  </si>
  <si>
    <t xml:space="preserve">A8T  </t>
  </si>
  <si>
    <t xml:space="preserve">  P219T </t>
  </si>
  <si>
    <t xml:space="preserve">R97T    </t>
  </si>
  <si>
    <t xml:space="preserve"> Y168H </t>
  </si>
  <si>
    <t xml:space="preserve">V17I </t>
  </si>
  <si>
    <t xml:space="preserve">V17I  </t>
  </si>
  <si>
    <t xml:space="preserve">A19V  </t>
  </si>
  <si>
    <t>NO EVALUABLE</t>
  </si>
  <si>
    <t xml:space="preserve">A331T </t>
  </si>
  <si>
    <t xml:space="preserve">P178L </t>
  </si>
  <si>
    <t>aac(3)-I, aacA4</t>
  </si>
  <si>
    <t>aadB4, aadA6, strA, strB</t>
  </si>
  <si>
    <t>aadB, strA, strB</t>
  </si>
  <si>
    <t>aacA4, strA, strB</t>
  </si>
  <si>
    <t>aacA4, aadB, strA, strB</t>
  </si>
  <si>
    <t xml:space="preserve">blaVIM-20, blaOXA-2 </t>
  </si>
  <si>
    <t>aac(3)-Ib, aacA4, strA, strB</t>
  </si>
  <si>
    <t>blaOXA46(IS)</t>
  </si>
  <si>
    <t>nt451Δ16</t>
  </si>
  <si>
    <t>R596S, L1027V</t>
  </si>
  <si>
    <t xml:space="preserve">H30Q, V267A </t>
  </si>
  <si>
    <t xml:space="preserve">T343A </t>
  </si>
  <si>
    <t>V187G, K358Q</t>
  </si>
  <si>
    <t>T83I, K162R</t>
  </si>
  <si>
    <t>R334C, nt234∆8</t>
  </si>
  <si>
    <t>L32Q, V333M</t>
  </si>
  <si>
    <t xml:space="preserve">S306T </t>
  </si>
  <si>
    <t xml:space="preserve">K159N </t>
  </si>
  <si>
    <t>T778A, P829H</t>
  </si>
  <si>
    <t>T83I, D87N</t>
  </si>
  <si>
    <t>S87W, L168Q</t>
  </si>
  <si>
    <t>G276D, nt234∆8</t>
  </si>
  <si>
    <t>T83I, V671I, G860S</t>
  </si>
  <si>
    <t>T83I, D87N, V671I</t>
  </si>
  <si>
    <t>V265A, nt234∆8</t>
  </si>
  <si>
    <t>A245V, nt234∆8</t>
  </si>
  <si>
    <t>T200I, A290T</t>
  </si>
  <si>
    <t>nt234∆8, nt395InsC</t>
  </si>
  <si>
    <t xml:space="preserve">T182I </t>
  </si>
  <si>
    <t xml:space="preserve">T489I </t>
  </si>
  <si>
    <t xml:space="preserve">P219S </t>
  </si>
  <si>
    <t xml:space="preserve">S184G  </t>
  </si>
  <si>
    <t>E176A, A189T</t>
  </si>
  <si>
    <t>E91K, L458F</t>
  </si>
  <si>
    <t xml:space="preserve">S173N </t>
  </si>
  <si>
    <t>T115A, nt111InsC</t>
  </si>
  <si>
    <t>Y12C, L21R, G56S</t>
  </si>
  <si>
    <t xml:space="preserve">L40Q  </t>
  </si>
  <si>
    <t>G78R, nt232∆19</t>
  </si>
  <si>
    <t>T27S, S150G</t>
  </si>
  <si>
    <t>D96A, nt234∆8</t>
  </si>
  <si>
    <t xml:space="preserve">V241M </t>
  </si>
  <si>
    <t xml:space="preserve">L133I      </t>
  </si>
  <si>
    <t>A47V, nt234∆8</t>
  </si>
  <si>
    <t>R334P, nt234∆8</t>
  </si>
  <si>
    <t xml:space="preserve">T83I, A669P </t>
  </si>
  <si>
    <t xml:space="preserve">V304M </t>
  </si>
  <si>
    <t xml:space="preserve">H953N </t>
  </si>
  <si>
    <t xml:space="preserve">N121S       </t>
  </si>
  <si>
    <t xml:space="preserve">D280N, Q311L  </t>
  </si>
  <si>
    <t xml:space="preserve">P274L </t>
  </si>
  <si>
    <t xml:space="preserve">V308I </t>
  </si>
  <si>
    <t>V18I, E90Q, A371T</t>
  </si>
  <si>
    <t>V239A</t>
  </si>
  <si>
    <t>A75P, G91D, A363V</t>
  </si>
  <si>
    <t>R47H, T232A, V267A, A278T</t>
  </si>
  <si>
    <t>A8V, Q110K</t>
  </si>
  <si>
    <t>V247I, V362I</t>
  </si>
  <si>
    <t>M389I, I403V, H628P</t>
  </si>
  <si>
    <t>I388V, A528T</t>
  </si>
  <si>
    <t>A197S, E213D, L217V, L398Q, G469S</t>
  </si>
  <si>
    <t>T410A, N555S</t>
  </si>
  <si>
    <t>E152Q, V282I, N299S, G334A, V337A, E350K</t>
  </si>
  <si>
    <t xml:space="preserve">G147D, A642D, H651R, T659S, S738N </t>
  </si>
  <si>
    <t>R11H, A85S, S175P</t>
  </si>
  <si>
    <t>L240V, A572V</t>
  </si>
  <si>
    <t xml:space="preserve">P274H, S306A, I325V  </t>
  </si>
  <si>
    <t>I266S, Q347R</t>
  </si>
  <si>
    <t>N86S, S355T</t>
  </si>
  <si>
    <t>A256T, N276S, T713A</t>
  </si>
  <si>
    <t>V18I, A85T, A86G, N164D, V187I</t>
  </si>
  <si>
    <t>A15T, A48V, E142K, D384G</t>
  </si>
  <si>
    <t>S48N, T472A, D502G, R519H, Q843R, I849V, A865D</t>
  </si>
  <si>
    <t>D90E, E267Q, V369L</t>
  </si>
  <si>
    <t>A707S, I963V</t>
  </si>
  <si>
    <t xml:space="preserve">G686R </t>
  </si>
  <si>
    <t xml:space="preserve">V351L </t>
  </si>
  <si>
    <t xml:space="preserve">G190S </t>
  </si>
  <si>
    <t xml:space="preserve">V108I    </t>
  </si>
  <si>
    <t xml:space="preserve">V77M, E273K, E323G </t>
  </si>
  <si>
    <t>V308I</t>
  </si>
  <si>
    <t>S131N, A428T</t>
  </si>
  <si>
    <t xml:space="preserve">A29V, W97C </t>
  </si>
  <si>
    <t xml:space="preserve">A175V </t>
  </si>
  <si>
    <t>A81V, Q134R</t>
  </si>
  <si>
    <t xml:space="preserve">G138R, D241N, A278S </t>
  </si>
  <si>
    <t>I427V, G1042R</t>
  </si>
  <si>
    <t>T83I, V671I</t>
  </si>
  <si>
    <t>R209S, nt234∆8</t>
  </si>
  <si>
    <t xml:space="preserve">G64D </t>
  </si>
  <si>
    <t>V55I, I80L</t>
  </si>
  <si>
    <t xml:space="preserve">R696C </t>
  </si>
  <si>
    <t xml:space="preserve">S127N </t>
  </si>
  <si>
    <t>L23V, Y146F</t>
  </si>
  <si>
    <t xml:space="preserve">G13D, A88T  </t>
  </si>
  <si>
    <t xml:space="preserve">D23N </t>
  </si>
  <si>
    <t>A527V, V548M</t>
  </si>
  <si>
    <t xml:space="preserve">T100S </t>
  </si>
  <si>
    <t xml:space="preserve">H182Y  </t>
  </si>
  <si>
    <t xml:space="preserve">T16I, P148S   </t>
  </si>
  <si>
    <t xml:space="preserve">R69Q   </t>
  </si>
  <si>
    <t>G78S, aa147InsLKAG</t>
  </si>
  <si>
    <t xml:space="preserve">A173T </t>
  </si>
  <si>
    <t>E265A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</si>
</sst>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b/>
      <sz val="11"/>
      <color theme="0" tint="-4.9989318521683403E-2"/>
      <name val="Calibri"/>
      <family val="2"/>
      <scheme val="minor"/>
    </font>
    <font>
      <sz val="11"/>
      <name val="Calibri"/>
      <family val="2"/>
      <scheme val="minor"/>
    </font>
    <font>
      <b/>
      <sz val="12"/>
      <color indexed="8"/>
      <name val="Calibri"/>
      <family val="2"/>
      <scheme val="minor"/>
    </font>
    <font>
      <sz val="10"/>
      <name val="Arial"/>
      <family val="2"/>
      <charset val="1"/>
    </font>
    <font>
      <sz val="11"/>
      <color rgb="FFFF0000"/>
      <name val="Calibri"/>
      <family val="2"/>
    </font>
    <font>
      <sz val="10"/>
      <name val="Calibri"/>
      <family val="2"/>
    </font>
    <font>
      <sz val="10"/>
      <color indexed="8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22" fillId="0" borderId="0"/>
  </cellStyleXfs>
  <cellXfs count="115">
    <xf numFmtId="0" fontId="0" fillId="0" borderId="0" xfId="0"/>
    <xf numFmtId="0" fontId="0" fillId="0" borderId="0" xfId="0" applyFont="1"/>
    <xf numFmtId="0" fontId="0" fillId="0" borderId="0" xfId="0" applyFont="1" applyFill="1"/>
    <xf numFmtId="0" fontId="19" fillId="33" borderId="0" xfId="0" applyFont="1" applyFill="1"/>
    <xf numFmtId="0" fontId="20" fillId="0" borderId="0" xfId="0" applyFont="1" applyFill="1"/>
    <xf numFmtId="0" fontId="20" fillId="0" borderId="0" xfId="0" applyFont="1"/>
    <xf numFmtId="0" fontId="21" fillId="0" borderId="0" xfId="0" applyFont="1" applyFill="1"/>
    <xf numFmtId="0" fontId="0" fillId="35" borderId="0" xfId="0" applyFont="1" applyFill="1"/>
    <xf numFmtId="0" fontId="20" fillId="35" borderId="0" xfId="0" applyFont="1" applyFill="1"/>
    <xf numFmtId="0" fontId="21" fillId="34" borderId="0" xfId="0" applyFont="1" applyFill="1"/>
    <xf numFmtId="0" fontId="0" fillId="36" borderId="0" xfId="0" applyFont="1" applyFill="1"/>
    <xf numFmtId="0" fontId="20" fillId="36" borderId="0" xfId="0" applyFont="1" applyFill="1"/>
    <xf numFmtId="0" fontId="0" fillId="36" borderId="0" xfId="0" applyFont="1" applyFill="1" applyBorder="1"/>
    <xf numFmtId="0" fontId="0" fillId="0" borderId="10" xfId="0" applyFont="1" applyFill="1" applyBorder="1"/>
    <xf numFmtId="0" fontId="20" fillId="0" borderId="11" xfId="0" applyFont="1" applyFill="1" applyBorder="1"/>
    <xf numFmtId="0" fontId="0" fillId="0" borderId="11" xfId="0" applyFont="1" applyFill="1" applyBorder="1"/>
    <xf numFmtId="0" fontId="0" fillId="0" borderId="12" xfId="0" applyFont="1" applyFill="1" applyBorder="1"/>
    <xf numFmtId="0" fontId="0" fillId="0" borderId="0" xfId="0" quotePrefix="1" applyFont="1"/>
    <xf numFmtId="0" fontId="0" fillId="0" borderId="13" xfId="0" applyFont="1" applyFill="1" applyBorder="1"/>
    <xf numFmtId="0" fontId="20" fillId="0" borderId="0" xfId="0" applyFont="1" applyFill="1" applyBorder="1"/>
    <xf numFmtId="0" fontId="0" fillId="0" borderId="0" xfId="0" applyFont="1" applyFill="1" applyBorder="1"/>
    <xf numFmtId="0" fontId="0" fillId="0" borderId="14" xfId="0" applyFont="1" applyFill="1" applyBorder="1"/>
    <xf numFmtId="0" fontId="0" fillId="37" borderId="10" xfId="0" applyFont="1" applyFill="1" applyBorder="1"/>
    <xf numFmtId="0" fontId="0" fillId="37" borderId="11" xfId="0" applyFont="1" applyFill="1" applyBorder="1"/>
    <xf numFmtId="0" fontId="20" fillId="37" borderId="11" xfId="0" applyFont="1" applyFill="1" applyBorder="1"/>
    <xf numFmtId="0" fontId="0" fillId="37" borderId="12" xfId="0" applyFont="1" applyFill="1" applyBorder="1"/>
    <xf numFmtId="0" fontId="0" fillId="37" borderId="15" xfId="0" applyFont="1" applyFill="1" applyBorder="1"/>
    <xf numFmtId="0" fontId="0" fillId="37" borderId="16" xfId="0" applyFont="1" applyFill="1" applyBorder="1"/>
    <xf numFmtId="0" fontId="20" fillId="37" borderId="16" xfId="0" applyFont="1" applyFill="1" applyBorder="1"/>
    <xf numFmtId="0" fontId="0" fillId="37" borderId="17" xfId="0" applyFont="1" applyFill="1" applyBorder="1"/>
    <xf numFmtId="0" fontId="0" fillId="40" borderId="0" xfId="0" applyFont="1" applyFill="1"/>
    <xf numFmtId="0" fontId="20" fillId="40" borderId="0" xfId="0" applyFont="1" applyFill="1"/>
    <xf numFmtId="0" fontId="0" fillId="38" borderId="10" xfId="0" applyFont="1" applyFill="1" applyBorder="1"/>
    <xf numFmtId="0" fontId="0" fillId="38" borderId="11" xfId="0" applyFont="1" applyFill="1" applyBorder="1"/>
    <xf numFmtId="0" fontId="20" fillId="38" borderId="11" xfId="0" applyFont="1" applyFill="1" applyBorder="1"/>
    <xf numFmtId="0" fontId="0" fillId="38" borderId="12" xfId="0" applyFont="1" applyFill="1" applyBorder="1"/>
    <xf numFmtId="0" fontId="0" fillId="38" borderId="13" xfId="0" applyFont="1" applyFill="1" applyBorder="1"/>
    <xf numFmtId="0" fontId="0" fillId="38" borderId="0" xfId="0" applyFont="1" applyFill="1" applyBorder="1"/>
    <xf numFmtId="0" fontId="20" fillId="38" borderId="0" xfId="0" applyFont="1" applyFill="1" applyBorder="1"/>
    <xf numFmtId="0" fontId="0" fillId="38" borderId="14" xfId="0" applyFont="1" applyFill="1" applyBorder="1"/>
    <xf numFmtId="0" fontId="0" fillId="38" borderId="15" xfId="0" applyFont="1" applyFill="1" applyBorder="1"/>
    <xf numFmtId="0" fontId="0" fillId="38" borderId="16" xfId="0" applyFont="1" applyFill="1" applyBorder="1"/>
    <xf numFmtId="0" fontId="20" fillId="38" borderId="16" xfId="0" applyFont="1" applyFill="1" applyBorder="1"/>
    <xf numFmtId="0" fontId="0" fillId="38" borderId="17" xfId="0" applyFont="1" applyFill="1" applyBorder="1"/>
    <xf numFmtId="0" fontId="0" fillId="39" borderId="13" xfId="0" applyFont="1" applyFill="1" applyBorder="1"/>
    <xf numFmtId="0" fontId="0" fillId="39" borderId="0" xfId="0" applyFont="1" applyFill="1" applyBorder="1"/>
    <xf numFmtId="0" fontId="20" fillId="39" borderId="0" xfId="0" applyFont="1" applyFill="1" applyBorder="1"/>
    <xf numFmtId="0" fontId="0" fillId="39" borderId="14" xfId="0" applyFont="1" applyFill="1" applyBorder="1"/>
    <xf numFmtId="0" fontId="0" fillId="42" borderId="13" xfId="0" applyFont="1" applyFill="1" applyBorder="1"/>
    <xf numFmtId="0" fontId="0" fillId="42" borderId="0" xfId="0" applyFont="1" applyFill="1" applyBorder="1"/>
    <xf numFmtId="0" fontId="20" fillId="42" borderId="0" xfId="0" applyFont="1" applyFill="1" applyBorder="1"/>
    <xf numFmtId="0" fontId="0" fillId="42" borderId="14" xfId="0" applyFont="1" applyFill="1" applyBorder="1"/>
    <xf numFmtId="0" fontId="0" fillId="42" borderId="15" xfId="0" applyFont="1" applyFill="1" applyBorder="1"/>
    <xf numFmtId="0" fontId="0" fillId="42" borderId="16" xfId="0" applyFont="1" applyFill="1" applyBorder="1"/>
    <xf numFmtId="0" fontId="20" fillId="42" borderId="16" xfId="0" applyFont="1" applyFill="1" applyBorder="1"/>
    <xf numFmtId="0" fontId="0" fillId="42" borderId="17" xfId="0" applyFont="1" applyFill="1" applyBorder="1"/>
    <xf numFmtId="0" fontId="0" fillId="43" borderId="10" xfId="0" applyFont="1" applyFill="1" applyBorder="1"/>
    <xf numFmtId="0" fontId="0" fillId="43" borderId="11" xfId="0" applyFont="1" applyFill="1" applyBorder="1"/>
    <xf numFmtId="0" fontId="20" fillId="43" borderId="11" xfId="0" applyFont="1" applyFill="1" applyBorder="1"/>
    <xf numFmtId="0" fontId="0" fillId="43" borderId="13" xfId="0" applyFont="1" applyFill="1" applyBorder="1"/>
    <xf numFmtId="0" fontId="0" fillId="43" borderId="0" xfId="0" applyFont="1" applyFill="1" applyBorder="1"/>
    <xf numFmtId="0" fontId="20" fillId="43" borderId="0" xfId="0" applyFont="1" applyFill="1" applyBorder="1"/>
    <xf numFmtId="0" fontId="0" fillId="43" borderId="15" xfId="0" applyFont="1" applyFill="1" applyBorder="1"/>
    <xf numFmtId="0" fontId="0" fillId="43" borderId="16" xfId="0" applyFont="1" applyFill="1" applyBorder="1"/>
    <xf numFmtId="0" fontId="20" fillId="43" borderId="16" xfId="0" applyFont="1" applyFill="1" applyBorder="1"/>
    <xf numFmtId="0" fontId="0" fillId="39" borderId="10" xfId="0" applyFont="1" applyFill="1" applyBorder="1"/>
    <xf numFmtId="0" fontId="0" fillId="39" borderId="11" xfId="0" applyFont="1" applyFill="1" applyBorder="1"/>
    <xf numFmtId="0" fontId="20" fillId="39" borderId="11" xfId="0" applyFont="1" applyFill="1" applyBorder="1"/>
    <xf numFmtId="0" fontId="0" fillId="39" borderId="12" xfId="0" applyFont="1" applyFill="1" applyBorder="1"/>
    <xf numFmtId="0" fontId="0" fillId="39" borderId="15" xfId="0" applyFont="1" applyFill="1" applyBorder="1"/>
    <xf numFmtId="0" fontId="0" fillId="39" borderId="16" xfId="0" applyFont="1" applyFill="1" applyBorder="1"/>
    <xf numFmtId="0" fontId="20" fillId="39" borderId="16" xfId="0" applyFont="1" applyFill="1" applyBorder="1"/>
    <xf numFmtId="0" fontId="0" fillId="39" borderId="17" xfId="0" applyFont="1" applyFill="1" applyBorder="1"/>
    <xf numFmtId="0" fontId="20" fillId="39" borderId="13" xfId="0" applyFont="1" applyFill="1" applyBorder="1"/>
    <xf numFmtId="0" fontId="0" fillId="41" borderId="18" xfId="0" applyFont="1" applyFill="1" applyBorder="1"/>
    <xf numFmtId="0" fontId="0" fillId="41" borderId="19" xfId="0" applyFont="1" applyFill="1" applyBorder="1"/>
    <xf numFmtId="0" fontId="20" fillId="41" borderId="19" xfId="0" applyFont="1" applyFill="1" applyBorder="1"/>
    <xf numFmtId="0" fontId="0" fillId="41" borderId="20" xfId="0" applyFont="1" applyFill="1" applyBorder="1"/>
    <xf numFmtId="0" fontId="0" fillId="44" borderId="13" xfId="0" applyFont="1" applyFill="1" applyBorder="1"/>
    <xf numFmtId="0" fontId="0" fillId="44" borderId="0" xfId="0" applyFont="1" applyFill="1" applyBorder="1"/>
    <xf numFmtId="0" fontId="20" fillId="44" borderId="0" xfId="0" applyFont="1" applyFill="1" applyBorder="1"/>
    <xf numFmtId="0" fontId="0" fillId="44" borderId="15" xfId="0" applyFont="1" applyFill="1" applyBorder="1"/>
    <xf numFmtId="0" fontId="0" fillId="44" borderId="16" xfId="0" applyFont="1" applyFill="1" applyBorder="1"/>
    <xf numFmtId="0" fontId="20" fillId="44" borderId="16" xfId="0" applyFont="1" applyFill="1" applyBorder="1"/>
    <xf numFmtId="0" fontId="19" fillId="33" borderId="0" xfId="0" applyFont="1" applyFill="1" applyBorder="1"/>
    <xf numFmtId="0" fontId="13" fillId="33" borderId="0" xfId="0" applyFont="1" applyFill="1" applyBorder="1"/>
    <xf numFmtId="0" fontId="16" fillId="0" borderId="0" xfId="0" applyFont="1"/>
    <xf numFmtId="0" fontId="22" fillId="0" borderId="0" xfId="43" applyFont="1" applyBorder="1"/>
    <xf numFmtId="0" fontId="22" fillId="0" borderId="0" xfId="43" applyFont="1" applyFill="1" applyBorder="1"/>
    <xf numFmtId="0" fontId="22" fillId="0" borderId="0" xfId="43" applyBorder="1"/>
    <xf numFmtId="0" fontId="0" fillId="0" borderId="0" xfId="0" applyFont="1" applyBorder="1"/>
    <xf numFmtId="0" fontId="0" fillId="0" borderId="0" xfId="0" applyBorder="1"/>
    <xf numFmtId="0" fontId="23" fillId="0" borderId="0" xfId="0" applyFont="1"/>
    <xf numFmtId="0" fontId="0" fillId="34" borderId="0" xfId="0" applyFont="1" applyFill="1"/>
    <xf numFmtId="0" fontId="0" fillId="0" borderId="21" xfId="0" applyBorder="1"/>
    <xf numFmtId="0" fontId="0" fillId="0" borderId="16" xfId="0" applyFont="1" applyBorder="1"/>
    <xf numFmtId="0" fontId="25" fillId="0" borderId="0" xfId="42" applyFont="1" applyBorder="1" applyAlignment="1">
      <alignment horizontal="center"/>
    </xf>
    <xf numFmtId="0" fontId="26" fillId="0" borderId="0" xfId="0" applyFont="1" applyAlignment="1">
      <alignment horizontal="center"/>
    </xf>
    <xf numFmtId="0" fontId="26" fillId="0" borderId="0" xfId="0" applyFont="1"/>
    <xf numFmtId="0" fontId="26" fillId="0" borderId="0" xfId="0" applyFont="1" applyFill="1" applyAlignment="1">
      <alignment horizontal="center"/>
    </xf>
    <xf numFmtId="0" fontId="29" fillId="0" borderId="0" xfId="0" applyFont="1" applyFill="1" applyBorder="1" applyAlignment="1">
      <alignment horizontal="left"/>
    </xf>
    <xf numFmtId="0" fontId="29" fillId="0" borderId="0" xfId="43" applyFont="1" applyFill="1" applyBorder="1"/>
    <xf numFmtId="0" fontId="30" fillId="0" borderId="0" xfId="0" applyFont="1" applyFill="1" applyBorder="1"/>
    <xf numFmtId="0" fontId="29" fillId="0" borderId="0" xfId="0" applyFont="1" applyFill="1"/>
    <xf numFmtId="0" fontId="30" fillId="0" borderId="0" xfId="0" applyFont="1" applyFill="1"/>
    <xf numFmtId="0" fontId="29" fillId="0" borderId="0" xfId="0" applyFont="1" applyFill="1" applyBorder="1"/>
    <xf numFmtId="0" fontId="29" fillId="0" borderId="0" xfId="0" applyFont="1" applyFill="1" applyAlignment="1">
      <alignment horizontal="left"/>
    </xf>
    <xf numFmtId="0" fontId="29" fillId="0" borderId="21" xfId="0" applyFont="1" applyFill="1" applyBorder="1"/>
    <xf numFmtId="0" fontId="30" fillId="0" borderId="0" xfId="42" applyFont="1" applyFill="1" applyBorder="1" applyAlignment="1">
      <alignment horizontal="center"/>
    </xf>
    <xf numFmtId="0" fontId="30" fillId="0" borderId="0" xfId="0" applyFont="1" applyFill="1" applyAlignment="1">
      <alignment horizontal="center"/>
    </xf>
    <xf numFmtId="0" fontId="0" fillId="44" borderId="14" xfId="0" applyFont="1" applyFill="1" applyBorder="1" applyAlignment="1">
      <alignment horizontal="center" vertical="center"/>
    </xf>
    <xf numFmtId="0" fontId="0" fillId="44" borderId="17" xfId="0" applyFont="1" applyFill="1" applyBorder="1" applyAlignment="1">
      <alignment horizontal="center" vertical="center"/>
    </xf>
    <xf numFmtId="0" fontId="0" fillId="43" borderId="12" xfId="0" applyFont="1" applyFill="1" applyBorder="1" applyAlignment="1">
      <alignment horizontal="center" vertical="center"/>
    </xf>
    <xf numFmtId="0" fontId="0" fillId="43" borderId="14" xfId="0" applyFont="1" applyFill="1" applyBorder="1" applyAlignment="1">
      <alignment horizontal="center" vertical="center"/>
    </xf>
    <xf numFmtId="0" fontId="0" fillId="43" borderId="17" xfId="0" applyFont="1" applyFill="1" applyBorder="1" applyAlignment="1">
      <alignment horizontal="center" vertical="center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Excel Built-in Excel Built-in Excel Built-in Excel Built-in Normal" xfId="42"/>
    <cellStyle name="Incorrecto" xfId="7" builtinId="27" customBuiltin="1"/>
    <cellStyle name="Neutral" xfId="8" builtinId="28" customBuiltin="1"/>
    <cellStyle name="Normal" xfId="0" builtinId="0"/>
    <cellStyle name="Normal 2 2" xfId="43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C111"/>
  <sheetViews>
    <sheetView topLeftCell="A61" zoomScale="90" zoomScaleNormal="90" workbookViewId="0">
      <pane xSplit="7" topLeftCell="AM1" activePane="topRight" state="frozen"/>
      <selection pane="topRight" activeCell="AN74" sqref="AN74"/>
    </sheetView>
  </sheetViews>
  <sheetFormatPr baseColWidth="10" defaultRowHeight="15" x14ac:dyDescent="0.25"/>
  <cols>
    <col min="1" max="1" width="10.140625" customWidth="1"/>
    <col min="2" max="2" width="41.85546875" customWidth="1"/>
    <col min="3" max="3" width="6" customWidth="1"/>
    <col min="4" max="4" width="4.7109375" customWidth="1"/>
    <col min="5" max="5" width="10" bestFit="1" customWidth="1"/>
    <col min="6" max="6" width="15.7109375" customWidth="1"/>
    <col min="7" max="7" width="46" customWidth="1"/>
    <col min="8" max="24" width="11.42578125" customWidth="1"/>
    <col min="26" max="27" width="11.42578125" customWidth="1"/>
    <col min="34" max="34" width="13.42578125" customWidth="1"/>
    <col min="39" max="39" width="11.140625" customWidth="1"/>
    <col min="41" max="41" width="11.42578125" customWidth="1"/>
    <col min="43" max="43" width="11.42578125" customWidth="1"/>
    <col min="59" max="59" width="11.42578125" customWidth="1"/>
    <col min="63" max="63" width="11.42578125" customWidth="1"/>
    <col min="66" max="66" width="11.42578125" customWidth="1"/>
    <col min="69" max="70" width="11.42578125" customWidth="1"/>
    <col min="81" max="81" width="11.42578125" customWidth="1"/>
    <col min="85" max="85" width="11.42578125" customWidth="1"/>
    <col min="91" max="91" width="11.42578125" customWidth="1"/>
    <col min="95" max="95" width="11.42578125" customWidth="1"/>
    <col min="97" max="97" width="11.42578125" customWidth="1"/>
    <col min="103" max="104" width="11.42578125" customWidth="1"/>
    <col min="114" max="115" width="11.42578125" customWidth="1"/>
    <col min="128" max="128" width="11.42578125" customWidth="1"/>
    <col min="132" max="135" width="11.42578125" customWidth="1"/>
    <col min="137" max="142" width="11.42578125" customWidth="1"/>
    <col min="153" max="153" width="45.7109375" bestFit="1" customWidth="1"/>
    <col min="154" max="154" width="11.42578125" customWidth="1"/>
    <col min="164" max="164" width="13" customWidth="1"/>
    <col min="165" max="165" width="11.42578125" customWidth="1"/>
    <col min="175" max="176" width="11.42578125" customWidth="1"/>
    <col min="184" max="184" width="11.42578125" customWidth="1"/>
    <col min="196" max="197" width="11.42578125" customWidth="1"/>
    <col min="200" max="200" width="11.42578125" customWidth="1"/>
    <col min="202" max="202" width="11.42578125" customWidth="1"/>
    <col min="204" max="204" width="11.42578125" customWidth="1"/>
  </cols>
  <sheetData>
    <row r="1" spans="1:211" x14ac:dyDescent="0.25">
      <c r="A1" s="3" t="s">
        <v>40</v>
      </c>
      <c r="B1" s="3" t="s">
        <v>39</v>
      </c>
      <c r="C1" s="3" t="s">
        <v>103</v>
      </c>
      <c r="D1" s="3" t="s">
        <v>75</v>
      </c>
      <c r="E1" s="3" t="s">
        <v>78</v>
      </c>
      <c r="F1" s="3" t="s">
        <v>72</v>
      </c>
      <c r="G1" s="3" t="s">
        <v>134</v>
      </c>
      <c r="H1" s="3" t="s">
        <v>162</v>
      </c>
      <c r="I1" s="3" t="s">
        <v>163</v>
      </c>
      <c r="J1" s="3" t="s">
        <v>164</v>
      </c>
      <c r="K1" s="3" t="s">
        <v>165</v>
      </c>
      <c r="L1" s="3" t="s">
        <v>166</v>
      </c>
      <c r="M1" s="3" t="s">
        <v>167</v>
      </c>
      <c r="N1" s="3" t="s">
        <v>168</v>
      </c>
      <c r="O1" s="3" t="s">
        <v>169</v>
      </c>
      <c r="P1" s="3" t="s">
        <v>170</v>
      </c>
      <c r="Q1" s="3" t="s">
        <v>171</v>
      </c>
      <c r="R1" s="3" t="s">
        <v>172</v>
      </c>
      <c r="S1" s="3" t="s">
        <v>173</v>
      </c>
      <c r="T1" s="3" t="s">
        <v>174</v>
      </c>
      <c r="U1" s="3" t="s">
        <v>175</v>
      </c>
      <c r="V1" s="3" t="s">
        <v>176</v>
      </c>
      <c r="W1" s="3" t="s">
        <v>177</v>
      </c>
      <c r="X1" s="3" t="s">
        <v>178</v>
      </c>
      <c r="Y1" s="3" t="s">
        <v>179</v>
      </c>
      <c r="Z1" s="3" t="s">
        <v>180</v>
      </c>
      <c r="AA1" s="3" t="s">
        <v>181</v>
      </c>
      <c r="AB1" s="3" t="s">
        <v>182</v>
      </c>
      <c r="AC1" s="3" t="s">
        <v>183</v>
      </c>
      <c r="AD1" s="3" t="s">
        <v>184</v>
      </c>
      <c r="AE1" s="3" t="s">
        <v>185</v>
      </c>
      <c r="AF1" s="3" t="s">
        <v>186</v>
      </c>
      <c r="AG1" s="3" t="s">
        <v>187</v>
      </c>
      <c r="AH1" s="3" t="s">
        <v>188</v>
      </c>
      <c r="AI1" s="3" t="s">
        <v>189</v>
      </c>
      <c r="AJ1" s="3" t="s">
        <v>190</v>
      </c>
      <c r="AK1" s="3" t="s">
        <v>191</v>
      </c>
      <c r="AL1" s="3" t="s">
        <v>192</v>
      </c>
      <c r="AM1" s="3" t="s">
        <v>193</v>
      </c>
      <c r="AN1" s="3" t="s">
        <v>194</v>
      </c>
      <c r="AO1" s="3" t="s">
        <v>195</v>
      </c>
      <c r="AP1" s="3" t="s">
        <v>196</v>
      </c>
      <c r="AQ1" s="3" t="s">
        <v>197</v>
      </c>
      <c r="AR1" s="3" t="s">
        <v>198</v>
      </c>
      <c r="AS1" s="3" t="s">
        <v>199</v>
      </c>
      <c r="AT1" s="3" t="s">
        <v>200</v>
      </c>
      <c r="AU1" s="3" t="s">
        <v>201</v>
      </c>
      <c r="AV1" s="3" t="s">
        <v>202</v>
      </c>
      <c r="AW1" s="3" t="s">
        <v>203</v>
      </c>
      <c r="AX1" s="3" t="s">
        <v>204</v>
      </c>
      <c r="AY1" s="3" t="s">
        <v>205</v>
      </c>
      <c r="AZ1" s="3" t="s">
        <v>206</v>
      </c>
      <c r="BA1" s="3" t="s">
        <v>207</v>
      </c>
      <c r="BB1" s="3" t="s">
        <v>208</v>
      </c>
      <c r="BC1" s="3" t="s">
        <v>209</v>
      </c>
      <c r="BD1" s="3" t="s">
        <v>210</v>
      </c>
      <c r="BE1" s="3" t="s">
        <v>211</v>
      </c>
      <c r="BF1" s="3" t="s">
        <v>212</v>
      </c>
      <c r="BG1" s="3" t="s">
        <v>213</v>
      </c>
      <c r="BH1" s="3" t="s">
        <v>214</v>
      </c>
      <c r="BI1" s="3" t="s">
        <v>215</v>
      </c>
      <c r="BJ1" s="3" t="s">
        <v>216</v>
      </c>
      <c r="BK1" s="3" t="s">
        <v>217</v>
      </c>
      <c r="BL1" s="3" t="s">
        <v>218</v>
      </c>
      <c r="BM1" s="3" t="s">
        <v>219</v>
      </c>
      <c r="BN1" s="3" t="s">
        <v>220</v>
      </c>
      <c r="BO1" s="3" t="s">
        <v>221</v>
      </c>
      <c r="BP1" s="3" t="s">
        <v>222</v>
      </c>
      <c r="BQ1" s="3" t="s">
        <v>223</v>
      </c>
      <c r="BR1" s="3" t="s">
        <v>224</v>
      </c>
      <c r="BS1" s="3" t="s">
        <v>225</v>
      </c>
      <c r="BT1" s="3" t="s">
        <v>226</v>
      </c>
      <c r="BU1" s="3" t="s">
        <v>227</v>
      </c>
      <c r="BV1" s="3" t="s">
        <v>228</v>
      </c>
      <c r="BW1" s="3" t="s">
        <v>229</v>
      </c>
      <c r="BX1" s="3" t="s">
        <v>230</v>
      </c>
      <c r="BY1" s="3" t="s">
        <v>231</v>
      </c>
      <c r="BZ1" s="3" t="s">
        <v>232</v>
      </c>
      <c r="CA1" s="3" t="s">
        <v>233</v>
      </c>
      <c r="CB1" s="3" t="s">
        <v>234</v>
      </c>
      <c r="CC1" s="3" t="s">
        <v>235</v>
      </c>
      <c r="CD1" s="3" t="s">
        <v>236</v>
      </c>
      <c r="CE1" s="3" t="s">
        <v>237</v>
      </c>
      <c r="CF1" s="3" t="s">
        <v>238</v>
      </c>
      <c r="CG1" s="3" t="s">
        <v>239</v>
      </c>
      <c r="CH1" s="3" t="s">
        <v>240</v>
      </c>
      <c r="CI1" s="3" t="s">
        <v>241</v>
      </c>
      <c r="CJ1" s="3" t="s">
        <v>242</v>
      </c>
      <c r="CK1" s="3" t="s">
        <v>243</v>
      </c>
      <c r="CL1" s="3" t="s">
        <v>244</v>
      </c>
      <c r="CM1" s="3" t="s">
        <v>245</v>
      </c>
      <c r="CN1" s="3" t="s">
        <v>246</v>
      </c>
      <c r="CO1" s="3" t="s">
        <v>247</v>
      </c>
      <c r="CP1" s="3" t="s">
        <v>248</v>
      </c>
      <c r="CQ1" s="3" t="s">
        <v>249</v>
      </c>
      <c r="CR1" s="3" t="s">
        <v>250</v>
      </c>
      <c r="CS1" s="3" t="s">
        <v>251</v>
      </c>
      <c r="CT1" s="3" t="s">
        <v>252</v>
      </c>
      <c r="CU1" s="3" t="s">
        <v>253</v>
      </c>
      <c r="CV1" s="3" t="s">
        <v>254</v>
      </c>
      <c r="CW1" s="3" t="s">
        <v>255</v>
      </c>
      <c r="CX1" s="3" t="s">
        <v>256</v>
      </c>
      <c r="CY1" s="3" t="s">
        <v>257</v>
      </c>
      <c r="CZ1" s="3" t="s">
        <v>258</v>
      </c>
      <c r="DA1" s="3" t="s">
        <v>259</v>
      </c>
      <c r="DB1" s="3" t="s">
        <v>260</v>
      </c>
      <c r="DC1" s="3" t="s">
        <v>261</v>
      </c>
      <c r="DD1" s="3" t="s">
        <v>262</v>
      </c>
      <c r="DE1" s="3" t="s">
        <v>263</v>
      </c>
      <c r="DF1" s="3" t="s">
        <v>264</v>
      </c>
      <c r="DG1" s="3" t="s">
        <v>265</v>
      </c>
      <c r="DH1" s="3" t="s">
        <v>266</v>
      </c>
      <c r="DI1" s="3" t="s">
        <v>267</v>
      </c>
      <c r="DJ1" s="3" t="s">
        <v>268</v>
      </c>
      <c r="DK1" s="3" t="s">
        <v>269</v>
      </c>
      <c r="DL1" s="3" t="s">
        <v>270</v>
      </c>
      <c r="DM1" s="3" t="s">
        <v>271</v>
      </c>
      <c r="DN1" s="3" t="s">
        <v>272</v>
      </c>
      <c r="DO1" s="3" t="s">
        <v>273</v>
      </c>
      <c r="DP1" s="3" t="s">
        <v>274</v>
      </c>
      <c r="DQ1" s="3" t="s">
        <v>275</v>
      </c>
      <c r="DR1" s="3" t="s">
        <v>276</v>
      </c>
      <c r="DS1" s="3" t="s">
        <v>277</v>
      </c>
      <c r="DT1" s="3" t="s">
        <v>278</v>
      </c>
      <c r="DU1" s="3" t="s">
        <v>279</v>
      </c>
      <c r="DV1" s="3" t="s">
        <v>280</v>
      </c>
      <c r="DW1" s="3" t="s">
        <v>281</v>
      </c>
      <c r="DX1" s="3" t="s">
        <v>282</v>
      </c>
      <c r="DY1" s="3" t="s">
        <v>283</v>
      </c>
      <c r="DZ1" s="3" t="s">
        <v>284</v>
      </c>
      <c r="EA1" s="3" t="s">
        <v>285</v>
      </c>
      <c r="EB1" s="3" t="s">
        <v>286</v>
      </c>
      <c r="EC1" s="3" t="s">
        <v>287</v>
      </c>
      <c r="ED1" s="3" t="s">
        <v>288</v>
      </c>
      <c r="EE1" s="3" t="s">
        <v>289</v>
      </c>
      <c r="EF1" s="3" t="s">
        <v>290</v>
      </c>
      <c r="EG1" s="3" t="s">
        <v>291</v>
      </c>
      <c r="EH1" s="3" t="s">
        <v>292</v>
      </c>
      <c r="EI1" s="3" t="s">
        <v>293</v>
      </c>
      <c r="EJ1" s="3" t="s">
        <v>294</v>
      </c>
      <c r="EK1" s="3" t="s">
        <v>295</v>
      </c>
      <c r="EL1" s="3" t="s">
        <v>296</v>
      </c>
      <c r="EM1" s="3" t="s">
        <v>297</v>
      </c>
      <c r="EN1" s="3" t="s">
        <v>298</v>
      </c>
      <c r="EO1" s="3" t="s">
        <v>299</v>
      </c>
      <c r="EP1" s="3" t="s">
        <v>300</v>
      </c>
      <c r="EQ1" s="3" t="s">
        <v>301</v>
      </c>
      <c r="ER1" s="3" t="s">
        <v>302</v>
      </c>
      <c r="ES1" s="3" t="s">
        <v>303</v>
      </c>
      <c r="ET1" s="3" t="s">
        <v>304</v>
      </c>
      <c r="EU1" s="3" t="s">
        <v>305</v>
      </c>
      <c r="EV1" s="3" t="s">
        <v>306</v>
      </c>
      <c r="EW1" s="3" t="s">
        <v>307</v>
      </c>
      <c r="EX1" s="3" t="s">
        <v>308</v>
      </c>
      <c r="EY1" s="3" t="s">
        <v>309</v>
      </c>
      <c r="EZ1" s="3" t="s">
        <v>310</v>
      </c>
      <c r="FA1" s="3" t="s">
        <v>311</v>
      </c>
      <c r="FB1" s="3" t="s">
        <v>312</v>
      </c>
      <c r="FC1" s="3" t="s">
        <v>313</v>
      </c>
      <c r="FD1" s="3" t="s">
        <v>314</v>
      </c>
      <c r="FE1" s="3" t="s">
        <v>315</v>
      </c>
      <c r="FF1" s="3" t="s">
        <v>316</v>
      </c>
      <c r="FG1" s="3" t="s">
        <v>317</v>
      </c>
      <c r="FH1" s="3" t="s">
        <v>318</v>
      </c>
      <c r="FI1" s="3" t="s">
        <v>319</v>
      </c>
      <c r="FJ1" s="3" t="s">
        <v>320</v>
      </c>
      <c r="FK1" s="3" t="s">
        <v>321</v>
      </c>
      <c r="FL1" s="3" t="s">
        <v>322</v>
      </c>
      <c r="FM1" s="3" t="s">
        <v>323</v>
      </c>
      <c r="FN1" s="3" t="s">
        <v>324</v>
      </c>
      <c r="FO1" s="3" t="s">
        <v>325</v>
      </c>
      <c r="FP1" s="3" t="s">
        <v>326</v>
      </c>
      <c r="FQ1" s="3" t="s">
        <v>327</v>
      </c>
      <c r="FR1" s="3" t="s">
        <v>328</v>
      </c>
      <c r="FS1" s="3" t="s">
        <v>329</v>
      </c>
      <c r="FT1" s="3" t="s">
        <v>330</v>
      </c>
      <c r="FU1" s="3" t="s">
        <v>331</v>
      </c>
      <c r="FV1" s="3" t="s">
        <v>332</v>
      </c>
      <c r="FW1" s="3" t="s">
        <v>333</v>
      </c>
      <c r="FX1" s="3" t="s">
        <v>334</v>
      </c>
      <c r="FY1" s="3" t="s">
        <v>335</v>
      </c>
      <c r="FZ1" s="3" t="s">
        <v>336</v>
      </c>
      <c r="GA1" s="3" t="s">
        <v>337</v>
      </c>
      <c r="GB1" s="3" t="s">
        <v>338</v>
      </c>
      <c r="GC1" s="3" t="s">
        <v>339</v>
      </c>
      <c r="GD1" s="3" t="s">
        <v>340</v>
      </c>
      <c r="GE1" s="3" t="s">
        <v>341</v>
      </c>
      <c r="GF1" s="3" t="s">
        <v>342</v>
      </c>
      <c r="GG1" s="3" t="s">
        <v>343</v>
      </c>
      <c r="GH1" s="3" t="s">
        <v>344</v>
      </c>
      <c r="GI1" s="3" t="s">
        <v>345</v>
      </c>
      <c r="GJ1" s="3" t="s">
        <v>346</v>
      </c>
      <c r="GK1" s="3" t="s">
        <v>347</v>
      </c>
      <c r="GL1" s="3" t="s">
        <v>348</v>
      </c>
      <c r="GM1" s="3" t="s">
        <v>349</v>
      </c>
      <c r="GN1" s="3" t="s">
        <v>350</v>
      </c>
      <c r="GO1" s="3" t="s">
        <v>351</v>
      </c>
      <c r="GP1" s="3" t="s">
        <v>352</v>
      </c>
      <c r="GQ1" s="3" t="s">
        <v>353</v>
      </c>
      <c r="GR1" s="3" t="s">
        <v>354</v>
      </c>
      <c r="GS1" s="3" t="s">
        <v>355</v>
      </c>
      <c r="GT1" s="3" t="s">
        <v>356</v>
      </c>
      <c r="GU1" s="3" t="s">
        <v>357</v>
      </c>
      <c r="GV1" s="3" t="s">
        <v>358</v>
      </c>
      <c r="GW1" s="3" t="s">
        <v>359</v>
      </c>
      <c r="GX1" s="3" t="s">
        <v>360</v>
      </c>
      <c r="GY1" s="3" t="s">
        <v>361</v>
      </c>
      <c r="GZ1" s="3" t="s">
        <v>362</v>
      </c>
      <c r="HA1" s="3" t="s">
        <v>363</v>
      </c>
      <c r="HB1" s="3" t="s">
        <v>364</v>
      </c>
      <c r="HC1" s="3" t="s">
        <v>365</v>
      </c>
    </row>
    <row r="2" spans="1:211" s="8" customFormat="1" x14ac:dyDescent="0.25">
      <c r="A2" s="7" t="s">
        <v>94</v>
      </c>
      <c r="B2" s="7" t="s">
        <v>95</v>
      </c>
      <c r="C2" s="8" t="s">
        <v>0</v>
      </c>
      <c r="D2" s="7" t="s">
        <v>76</v>
      </c>
      <c r="E2" s="7">
        <v>1</v>
      </c>
      <c r="F2" s="7"/>
      <c r="G2" s="7"/>
      <c r="H2" s="8" t="str">
        <f>VC!C54</f>
        <v>aac(6')-Ic</v>
      </c>
      <c r="I2" s="8">
        <f>VC!D54</f>
        <v>0</v>
      </c>
      <c r="J2" s="8">
        <f>VC!E54</f>
        <v>0</v>
      </c>
      <c r="K2" s="8">
        <f>VC!F54</f>
        <v>0</v>
      </c>
      <c r="L2" s="8">
        <f>VC!G54</f>
        <v>0</v>
      </c>
      <c r="M2" s="8">
        <f>VC!H54</f>
        <v>0</v>
      </c>
      <c r="N2" s="8" t="str">
        <f>VC!I54</f>
        <v>aac(3)-Ib</v>
      </c>
      <c r="O2" s="8">
        <f>VC!J54</f>
        <v>0</v>
      </c>
      <c r="P2" s="8">
        <f>VC!K54</f>
        <v>0</v>
      </c>
      <c r="Q2" s="8">
        <f>VC!L54</f>
        <v>0</v>
      </c>
      <c r="R2" s="8">
        <f>VC!M54</f>
        <v>0</v>
      </c>
      <c r="S2" s="8">
        <f>VC!N54</f>
        <v>0</v>
      </c>
      <c r="T2" s="8">
        <f>VC!O54</f>
        <v>0</v>
      </c>
      <c r="U2" s="8">
        <f>VC!P54</f>
        <v>0</v>
      </c>
      <c r="V2" s="8">
        <f>VC!Q54</f>
        <v>0</v>
      </c>
      <c r="W2" s="8">
        <f>VC!R54</f>
        <v>0</v>
      </c>
      <c r="X2" s="8">
        <f>VC!S54</f>
        <v>0</v>
      </c>
      <c r="Y2" s="8">
        <f>VC!T54</f>
        <v>0</v>
      </c>
      <c r="Z2" s="8">
        <f>VC!U54</f>
        <v>0</v>
      </c>
      <c r="AA2" s="8">
        <f>VC!V54</f>
        <v>0</v>
      </c>
      <c r="AB2" s="8">
        <f>VC!W54</f>
        <v>0</v>
      </c>
      <c r="AC2" s="8">
        <f>VC!X54</f>
        <v>0</v>
      </c>
      <c r="AD2" s="8">
        <f>VC!Y54</f>
        <v>0</v>
      </c>
      <c r="AE2" s="8">
        <f>VC!Z54</f>
        <v>0</v>
      </c>
      <c r="AF2" s="8">
        <f>VC!AA54</f>
        <v>0</v>
      </c>
      <c r="AG2" s="8">
        <f>VC!AB54</f>
        <v>0</v>
      </c>
      <c r="AH2" s="8">
        <f>VC!AC54</f>
        <v>0</v>
      </c>
      <c r="AI2" s="8">
        <f>VC!AD54</f>
        <v>0</v>
      </c>
      <c r="AJ2" s="8">
        <f>VC!AE54</f>
        <v>0</v>
      </c>
      <c r="AK2" s="8">
        <f>VC!AF54</f>
        <v>0</v>
      </c>
      <c r="AL2" s="8">
        <f>VC!AG54</f>
        <v>0</v>
      </c>
      <c r="AM2" s="8">
        <f>VC!AH54</f>
        <v>0</v>
      </c>
      <c r="AN2" s="8">
        <f>VC!AI54</f>
        <v>0</v>
      </c>
      <c r="AO2" s="8">
        <f>VC!AJ54</f>
        <v>0</v>
      </c>
      <c r="AP2" s="8">
        <f>VC!AK54</f>
        <v>0</v>
      </c>
      <c r="AQ2" s="8">
        <f>VC!AL54</f>
        <v>0</v>
      </c>
      <c r="AR2" s="8">
        <f>VC!AM54</f>
        <v>0</v>
      </c>
      <c r="AS2" s="8">
        <f>VC!AN54</f>
        <v>0</v>
      </c>
      <c r="AT2" s="8">
        <f>VC!AO54</f>
        <v>0</v>
      </c>
      <c r="AU2" s="8">
        <f>VC!AP54</f>
        <v>0</v>
      </c>
      <c r="AV2" s="8">
        <f>VC!AQ54</f>
        <v>0</v>
      </c>
      <c r="AW2" s="8">
        <f>VC!AR54</f>
        <v>0</v>
      </c>
      <c r="AX2" s="8">
        <f>VC!AS54</f>
        <v>0</v>
      </c>
      <c r="AY2" s="8">
        <f>VC!AT54</f>
        <v>0</v>
      </c>
      <c r="AZ2" s="8">
        <f>VC!AU54</f>
        <v>0</v>
      </c>
      <c r="BA2" s="8" t="str">
        <f>VC!AV54</f>
        <v>aadB</v>
      </c>
      <c r="BB2" s="8">
        <f>VC!AW54</f>
        <v>0</v>
      </c>
      <c r="BC2" s="8" t="str">
        <f>VC!AX54</f>
        <v>aadB</v>
      </c>
      <c r="BD2" s="8">
        <f>VC!AY54</f>
        <v>0</v>
      </c>
      <c r="BE2" s="8">
        <f>VC!AZ54</f>
        <v>0</v>
      </c>
      <c r="BF2" s="8">
        <f>VC!BA54</f>
        <v>0</v>
      </c>
      <c r="BG2" s="8">
        <f>VC!BB54</f>
        <v>0</v>
      </c>
      <c r="BH2" s="8">
        <f>VC!BC54</f>
        <v>0</v>
      </c>
      <c r="BI2" s="8" t="str">
        <f>VC!BD54</f>
        <v>aadB</v>
      </c>
      <c r="BJ2" s="8" t="str">
        <f>VC!BE54</f>
        <v>aacA4</v>
      </c>
      <c r="BK2" s="8">
        <f>VC!BF54</f>
        <v>0</v>
      </c>
      <c r="BL2" s="8">
        <f>VC!BG54</f>
        <v>0</v>
      </c>
      <c r="BM2" s="8">
        <f>VC!BH54</f>
        <v>0</v>
      </c>
      <c r="BN2" s="8">
        <f>VC!BI54</f>
        <v>0</v>
      </c>
      <c r="BO2" s="8">
        <f>VC!BJ54</f>
        <v>0</v>
      </c>
      <c r="BP2" s="8">
        <f>VC!BK54</f>
        <v>0</v>
      </c>
      <c r="BQ2" s="8">
        <f>VC!BL54</f>
        <v>0</v>
      </c>
      <c r="BR2" s="8" t="str">
        <f>VC!BM54</f>
        <v>aacA4</v>
      </c>
      <c r="BS2" s="8" t="str">
        <f>VC!BN54</f>
        <v>aadB</v>
      </c>
      <c r="BT2" s="8" t="str">
        <f>VC!BO54</f>
        <v>aac(3)-I</v>
      </c>
      <c r="BU2" s="8">
        <f>VC!BP54</f>
        <v>0</v>
      </c>
      <c r="BV2" s="8">
        <f>VC!BQ54</f>
        <v>0</v>
      </c>
      <c r="BW2" s="8">
        <f>VC!BR54</f>
        <v>0</v>
      </c>
      <c r="BX2" s="8">
        <f>VC!BS54</f>
        <v>0</v>
      </c>
      <c r="BY2" s="8">
        <f>VC!BT54</f>
        <v>0</v>
      </c>
      <c r="BZ2" s="8">
        <f>VC!BU54</f>
        <v>0</v>
      </c>
      <c r="CA2" s="8">
        <f>VC!BV54</f>
        <v>0</v>
      </c>
      <c r="CB2" s="8">
        <f>VC!BW54</f>
        <v>0</v>
      </c>
      <c r="CC2" s="8">
        <f>VC!BX54</f>
        <v>0</v>
      </c>
      <c r="CD2" s="8" t="str">
        <f>VC!BY54</f>
        <v>aadB</v>
      </c>
      <c r="CE2" s="8">
        <f>VC!BZ54</f>
        <v>0</v>
      </c>
      <c r="CF2" s="8">
        <f>VC!CA54</f>
        <v>0</v>
      </c>
      <c r="CG2" s="8">
        <f>VC!CB54</f>
        <v>0</v>
      </c>
      <c r="CH2" s="8">
        <f>VC!CC54</f>
        <v>0</v>
      </c>
      <c r="CI2" s="8">
        <f>VC!CD54</f>
        <v>0</v>
      </c>
      <c r="CJ2" s="8" t="str">
        <f>VC!CE54</f>
        <v>aadB</v>
      </c>
      <c r="CK2" s="8" t="str">
        <f>VC!CF54</f>
        <v>aadB</v>
      </c>
      <c r="CL2" s="8">
        <f>VC!CG54</f>
        <v>0</v>
      </c>
      <c r="CM2" s="8" t="str">
        <f>VC!CH54</f>
        <v>aac(3)-I, aph(3')-XV, aadA1</v>
      </c>
      <c r="CN2" s="8">
        <f>VC!CI54</f>
        <v>0</v>
      </c>
      <c r="CO2" s="8">
        <f>VC!CJ54</f>
        <v>0</v>
      </c>
      <c r="CP2" s="8" t="str">
        <f>VC!CK54</f>
        <v>aadB</v>
      </c>
      <c r="CQ2" s="8" t="str">
        <f>VC!CL54</f>
        <v>aac(3)-I, aadB</v>
      </c>
      <c r="CR2" s="8">
        <f>VC!CM54</f>
        <v>0</v>
      </c>
      <c r="CS2" s="8">
        <f>VC!CN54</f>
        <v>0</v>
      </c>
      <c r="CT2" s="8">
        <f>VC!CO54</f>
        <v>0</v>
      </c>
      <c r="CU2" s="8">
        <f>VC!CP54</f>
        <v>0</v>
      </c>
      <c r="CV2" s="8">
        <f>VC!CQ54</f>
        <v>0</v>
      </c>
      <c r="CW2" s="8">
        <f>VC!CR54</f>
        <v>0</v>
      </c>
      <c r="CX2" s="8">
        <f>VC!CS54</f>
        <v>0</v>
      </c>
      <c r="CY2" s="8">
        <f>VC!CT54</f>
        <v>0</v>
      </c>
      <c r="CZ2" s="8" t="str">
        <f>VC!CU54</f>
        <v>aadB4, aadA6</v>
      </c>
      <c r="DA2" s="8">
        <f>VC!CV54</f>
        <v>0</v>
      </c>
      <c r="DB2" s="8" t="str">
        <f>VC!CW54</f>
        <v>aacA4</v>
      </c>
      <c r="DC2" s="8">
        <f>VC!CX54</f>
        <v>0</v>
      </c>
      <c r="DD2" s="8">
        <f>VC!CY54</f>
        <v>0</v>
      </c>
      <c r="DE2" s="8">
        <f>VC!CZ54</f>
        <v>0</v>
      </c>
      <c r="DF2" s="8">
        <f>VC!DA54</f>
        <v>0</v>
      </c>
      <c r="DG2" s="8">
        <f>VC!DB54</f>
        <v>0</v>
      </c>
      <c r="DH2" s="8">
        <f>VC!DC54</f>
        <v>0</v>
      </c>
      <c r="DI2" s="8">
        <f>VC!DD54</f>
        <v>0</v>
      </c>
      <c r="DJ2" s="8" t="str">
        <f>VC!DE54</f>
        <v>aac(3)-Ia, aadA1, aadA6</v>
      </c>
      <c r="DK2" s="8" t="str">
        <f>VC!DF54</f>
        <v>aadB</v>
      </c>
      <c r="DL2" s="8">
        <f>VC!DG54</f>
        <v>0</v>
      </c>
      <c r="DM2" s="8">
        <f>VC!DH54</f>
        <v>0</v>
      </c>
      <c r="DN2" s="8">
        <f>VC!DI54</f>
        <v>0</v>
      </c>
      <c r="DO2" s="8">
        <f>VC!DJ54</f>
        <v>0</v>
      </c>
      <c r="DP2" s="8">
        <f>VC!DK54</f>
        <v>0</v>
      </c>
      <c r="DQ2" s="8">
        <f>VC!DL54</f>
        <v>0</v>
      </c>
      <c r="DR2" s="8">
        <f>VC!DM54</f>
        <v>0</v>
      </c>
      <c r="DS2" s="8">
        <f>VC!DN54</f>
        <v>0</v>
      </c>
      <c r="DT2" s="8">
        <f>VC!DO54</f>
        <v>0</v>
      </c>
      <c r="DU2" s="8" t="str">
        <f>VC!DP54</f>
        <v>aadB</v>
      </c>
      <c r="DV2" s="8">
        <f>VC!DQ54</f>
        <v>0</v>
      </c>
      <c r="DW2" s="8" t="str">
        <f>VC!DR54</f>
        <v>aadB</v>
      </c>
      <c r="DX2" s="8">
        <f>VC!DS54</f>
        <v>0</v>
      </c>
      <c r="DY2" s="8">
        <f>VC!DT54</f>
        <v>0</v>
      </c>
      <c r="DZ2" s="8">
        <f>VC!DU54</f>
        <v>0</v>
      </c>
      <c r="EA2" s="8" t="str">
        <f>VC!DV54</f>
        <v>aac(3)-Ia, aph(3')-Via, aadB</v>
      </c>
      <c r="EB2" s="8">
        <f>VC!DW54</f>
        <v>0</v>
      </c>
      <c r="EC2" s="8">
        <f>VC!DX54</f>
        <v>0</v>
      </c>
      <c r="ED2" s="8">
        <f>VC!DY54</f>
        <v>0</v>
      </c>
      <c r="EE2" s="8" t="str">
        <f>VC!DZ54</f>
        <v>aadB, aph(3')-VIa, aadA13, aacA4</v>
      </c>
      <c r="EF2" s="8">
        <f>VC!EA54</f>
        <v>0</v>
      </c>
      <c r="EG2" s="8">
        <f>VC!EB54</f>
        <v>0</v>
      </c>
      <c r="EH2" s="8">
        <f>VC!EC54</f>
        <v>0</v>
      </c>
      <c r="EI2" s="8">
        <f>VC!ED54</f>
        <v>0</v>
      </c>
      <c r="EJ2" s="8">
        <f>VC!EE54</f>
        <v>0</v>
      </c>
      <c r="EK2" s="8">
        <f>VC!EF54</f>
        <v>0</v>
      </c>
      <c r="EL2" s="8">
        <f>VC!EG54</f>
        <v>0</v>
      </c>
      <c r="EM2" s="8">
        <f>VC!EH54</f>
        <v>0</v>
      </c>
      <c r="EN2" s="8">
        <f>VC!EI54</f>
        <v>0</v>
      </c>
      <c r="EO2" s="8">
        <f>VC!EJ54</f>
        <v>0</v>
      </c>
      <c r="EP2" s="8">
        <f>VC!EK54</f>
        <v>0</v>
      </c>
      <c r="EQ2" s="8">
        <f>VC!EL54</f>
        <v>0</v>
      </c>
      <c r="ER2" s="8">
        <f>VC!EM54</f>
        <v>0</v>
      </c>
      <c r="ES2" s="8">
        <f>VC!EN54</f>
        <v>0</v>
      </c>
      <c r="ET2" s="8">
        <f>VC!EO54</f>
        <v>0</v>
      </c>
      <c r="EU2" s="8">
        <f>VC!EP54</f>
        <v>0</v>
      </c>
      <c r="EV2" s="8">
        <f>VC!EQ54</f>
        <v>0</v>
      </c>
      <c r="EW2" s="8">
        <f>VC!ER54</f>
        <v>0</v>
      </c>
      <c r="EX2" s="8">
        <f>VC!ES54</f>
        <v>0</v>
      </c>
      <c r="EY2" s="8">
        <f>VC!ET54</f>
        <v>0</v>
      </c>
      <c r="EZ2" s="8">
        <f>VC!EU54</f>
        <v>0</v>
      </c>
      <c r="FA2" s="8" t="str">
        <f>VC!EV54</f>
        <v>aadA6</v>
      </c>
      <c r="FB2" s="8">
        <f>VC!EW54</f>
        <v>0</v>
      </c>
      <c r="FC2" s="8">
        <f>VC!EX54</f>
        <v>0</v>
      </c>
      <c r="FD2" s="8">
        <f>VC!EY54</f>
        <v>0</v>
      </c>
      <c r="FE2" s="8" t="str">
        <f>VC!EZ54</f>
        <v>aacA4</v>
      </c>
      <c r="FF2" s="8">
        <f>VC!FA54</f>
        <v>0</v>
      </c>
      <c r="FG2" s="8">
        <f>VC!FB54</f>
        <v>0</v>
      </c>
      <c r="FH2" s="8">
        <f>VC!FC54</f>
        <v>0</v>
      </c>
      <c r="FI2" s="8" t="str">
        <f>VC!FD54</f>
        <v>aacA4, aadA1</v>
      </c>
      <c r="FJ2" s="8">
        <f>VC!FE54</f>
        <v>0</v>
      </c>
      <c r="FK2" s="8">
        <f>VC!FF54</f>
        <v>0</v>
      </c>
      <c r="FL2" s="8" t="str">
        <f>VC!FG54</f>
        <v>aacA4, aadB</v>
      </c>
      <c r="FM2" s="8">
        <f>VC!FH54</f>
        <v>0</v>
      </c>
      <c r="FN2" s="8">
        <f>VC!FI54</f>
        <v>0</v>
      </c>
      <c r="FO2" s="8">
        <f>VC!FJ54</f>
        <v>0</v>
      </c>
      <c r="FP2" s="8">
        <f>VC!FK54</f>
        <v>0</v>
      </c>
      <c r="FQ2" s="8" t="str">
        <f>VC!FL54</f>
        <v>aadB</v>
      </c>
      <c r="FR2" s="8">
        <f>VC!FM54</f>
        <v>0</v>
      </c>
      <c r="FS2" s="8">
        <f>VC!FN54</f>
        <v>0</v>
      </c>
      <c r="FT2" s="8">
        <f>VC!FO54</f>
        <v>0</v>
      </c>
      <c r="FU2" s="8" t="str">
        <f>VC!FP54</f>
        <v>aacA4, aadA1, aadA6</v>
      </c>
      <c r="FV2" s="8">
        <f>VC!FQ54</f>
        <v>0</v>
      </c>
      <c r="FW2" s="8">
        <f>VC!FR54</f>
        <v>0</v>
      </c>
      <c r="FX2" s="8">
        <f>VC!FS54</f>
        <v>0</v>
      </c>
      <c r="FY2" s="8">
        <f>VC!FT54</f>
        <v>0</v>
      </c>
      <c r="FZ2" s="8">
        <f>VC!FU54</f>
        <v>0</v>
      </c>
      <c r="GA2" s="8" t="str">
        <f>VC!FV54</f>
        <v>aadB, aacA4</v>
      </c>
      <c r="GB2" s="8">
        <f>VC!FW54</f>
        <v>0</v>
      </c>
      <c r="GC2" s="8">
        <f>VC!FX54</f>
        <v>0</v>
      </c>
      <c r="GD2" s="8">
        <f>VC!FY54</f>
        <v>0</v>
      </c>
      <c r="GE2" s="8">
        <f>VC!FZ54</f>
        <v>0</v>
      </c>
      <c r="GF2" s="8">
        <f>VC!GA54</f>
        <v>0</v>
      </c>
      <c r="GG2" s="8">
        <f>VC!GB54</f>
        <v>0</v>
      </c>
      <c r="GH2" s="8">
        <f>VC!GC54</f>
        <v>0</v>
      </c>
      <c r="GI2" s="8">
        <f>VC!GD54</f>
        <v>0</v>
      </c>
      <c r="GJ2" s="8">
        <f>VC!GE54</f>
        <v>0</v>
      </c>
      <c r="GK2" s="8">
        <f>VC!GF54</f>
        <v>0</v>
      </c>
      <c r="GL2" s="8">
        <f>VC!GG54</f>
        <v>0</v>
      </c>
      <c r="GM2" s="8" t="str">
        <f>VC!GH54</f>
        <v>aadB</v>
      </c>
      <c r="GN2" s="8">
        <f>VC!GI54</f>
        <v>0</v>
      </c>
      <c r="GO2" s="8">
        <f>VC!GJ54</f>
        <v>0</v>
      </c>
      <c r="GP2" s="8">
        <f>VC!GK54</f>
        <v>0</v>
      </c>
      <c r="GQ2" s="8">
        <f>VC!GL54</f>
        <v>0</v>
      </c>
      <c r="GR2" s="8">
        <f>VC!GM54</f>
        <v>0</v>
      </c>
      <c r="GS2" s="8">
        <f>VC!GN54</f>
        <v>0</v>
      </c>
      <c r="GT2" s="8">
        <f>VC!GO54</f>
        <v>0</v>
      </c>
      <c r="GU2" s="8">
        <f>VC!GP54</f>
        <v>0</v>
      </c>
      <c r="GV2" s="8">
        <f>VC!GQ54</f>
        <v>0</v>
      </c>
      <c r="GW2" s="8">
        <f>VC!GR54</f>
        <v>0</v>
      </c>
      <c r="GX2" s="8">
        <f>VC!GS54</f>
        <v>0</v>
      </c>
      <c r="GY2" s="8" t="str">
        <f>VC!GT54</f>
        <v>aacA4; aadA2</v>
      </c>
      <c r="GZ2" s="8">
        <f>VC!GU54</f>
        <v>0</v>
      </c>
      <c r="HA2" s="8">
        <f>VC!GV54</f>
        <v>0</v>
      </c>
      <c r="HB2" s="8" t="str">
        <f>VC!GW54</f>
        <v>aadB</v>
      </c>
      <c r="HC2" s="8">
        <f>VC!GX54</f>
        <v>0</v>
      </c>
    </row>
    <row r="3" spans="1:211" s="10" customFormat="1" x14ac:dyDescent="0.25">
      <c r="A3" s="10" t="s">
        <v>94</v>
      </c>
      <c r="B3" s="10" t="s">
        <v>97</v>
      </c>
      <c r="C3" s="11" t="s">
        <v>1</v>
      </c>
      <c r="D3" s="10" t="s">
        <v>76</v>
      </c>
      <c r="E3" s="10">
        <v>2</v>
      </c>
      <c r="H3" s="10">
        <f>VC!C55</f>
        <v>0</v>
      </c>
      <c r="I3" s="10">
        <f>VC!D55</f>
        <v>0</v>
      </c>
      <c r="J3" s="10">
        <f>VC!E55</f>
        <v>0</v>
      </c>
      <c r="K3" s="10">
        <f>VC!F55</f>
        <v>0</v>
      </c>
      <c r="L3" s="10">
        <f>VC!G55</f>
        <v>0</v>
      </c>
      <c r="M3" s="10">
        <f>VC!H55</f>
        <v>0</v>
      </c>
      <c r="N3" s="10">
        <f>VC!I55</f>
        <v>0</v>
      </c>
      <c r="O3" s="10">
        <f>VC!J55</f>
        <v>0</v>
      </c>
      <c r="P3" s="10">
        <f>VC!K55</f>
        <v>0</v>
      </c>
      <c r="Q3" s="10">
        <f>VC!L55</f>
        <v>0</v>
      </c>
      <c r="R3" s="10">
        <f>VC!M55</f>
        <v>0</v>
      </c>
      <c r="S3" s="10">
        <f>VC!N55</f>
        <v>0</v>
      </c>
      <c r="T3" s="10">
        <f>VC!O55</f>
        <v>0</v>
      </c>
      <c r="U3" s="10">
        <f>VC!P55</f>
        <v>0</v>
      </c>
      <c r="V3" s="10">
        <f>VC!Q55</f>
        <v>0</v>
      </c>
      <c r="W3" s="10">
        <f>VC!R55</f>
        <v>0</v>
      </c>
      <c r="X3" s="10">
        <f>VC!S55</f>
        <v>0</v>
      </c>
      <c r="Y3" s="10">
        <f>VC!T55</f>
        <v>0</v>
      </c>
      <c r="Z3" s="10">
        <f>VC!U55</f>
        <v>0</v>
      </c>
      <c r="AA3" s="10">
        <f>VC!V55</f>
        <v>0</v>
      </c>
      <c r="AB3" s="10">
        <f>VC!W55</f>
        <v>0</v>
      </c>
      <c r="AC3" s="10">
        <f>VC!X55</f>
        <v>0</v>
      </c>
      <c r="AD3" s="10">
        <f>VC!Y55</f>
        <v>0</v>
      </c>
      <c r="AE3" s="10">
        <f>VC!Z55</f>
        <v>0</v>
      </c>
      <c r="AF3" s="10">
        <f>VC!AA55</f>
        <v>0</v>
      </c>
      <c r="AG3" s="10">
        <f>VC!AB55</f>
        <v>0</v>
      </c>
      <c r="AH3" s="10">
        <f>VC!AC55</f>
        <v>0</v>
      </c>
      <c r="AI3" s="10">
        <f>VC!AD55</f>
        <v>0</v>
      </c>
      <c r="AJ3" s="10">
        <f>VC!AE55</f>
        <v>0</v>
      </c>
      <c r="AK3" s="10">
        <f>VC!AF55</f>
        <v>0</v>
      </c>
      <c r="AL3" s="10">
        <f>VC!AG55</f>
        <v>0</v>
      </c>
      <c r="AM3" s="10">
        <f>VC!AH55</f>
        <v>0</v>
      </c>
      <c r="AN3" s="10">
        <f>VC!AI55</f>
        <v>0</v>
      </c>
      <c r="AO3" s="10">
        <f>VC!AJ55</f>
        <v>0</v>
      </c>
      <c r="AP3" s="10">
        <f>VC!AK55</f>
        <v>0</v>
      </c>
      <c r="AQ3" s="10">
        <f>VC!AL55</f>
        <v>0</v>
      </c>
      <c r="AR3" s="10">
        <f>VC!AM55</f>
        <v>0</v>
      </c>
      <c r="AS3" s="10">
        <f>VC!AN55</f>
        <v>0</v>
      </c>
      <c r="AT3" s="10">
        <f>VC!AO55</f>
        <v>0</v>
      </c>
      <c r="AU3" s="10">
        <f>VC!AP55</f>
        <v>0</v>
      </c>
      <c r="AV3" s="10">
        <f>VC!AQ55</f>
        <v>0</v>
      </c>
      <c r="AW3" s="10">
        <f>VC!AR55</f>
        <v>0</v>
      </c>
      <c r="AX3" s="10">
        <f>VC!AS55</f>
        <v>0</v>
      </c>
      <c r="AY3" s="10">
        <f>VC!AT55</f>
        <v>0</v>
      </c>
      <c r="AZ3" s="10">
        <f>VC!AU55</f>
        <v>0</v>
      </c>
      <c r="BA3" s="10">
        <f>VC!AV55</f>
        <v>0</v>
      </c>
      <c r="BB3" s="10">
        <f>VC!AW55</f>
        <v>0</v>
      </c>
      <c r="BC3" s="10">
        <f>VC!AX55</f>
        <v>0</v>
      </c>
      <c r="BD3" s="10">
        <f>VC!AY55</f>
        <v>0</v>
      </c>
      <c r="BE3" s="10">
        <f>VC!AZ55</f>
        <v>0</v>
      </c>
      <c r="BF3" s="10">
        <f>VC!BA55</f>
        <v>0</v>
      </c>
      <c r="BG3" s="10">
        <f>VC!BB55</f>
        <v>0</v>
      </c>
      <c r="BH3" s="10">
        <f>VC!BC55</f>
        <v>0</v>
      </c>
      <c r="BI3" s="10">
        <f>VC!BD55</f>
        <v>0</v>
      </c>
      <c r="BJ3" s="10" t="str">
        <f>VC!BE55</f>
        <v>blaOXA-15</v>
      </c>
      <c r="BK3" s="10">
        <f>VC!BF55</f>
        <v>0</v>
      </c>
      <c r="BL3" s="10">
        <f>VC!BG55</f>
        <v>0</v>
      </c>
      <c r="BM3" s="10">
        <f>VC!BH55</f>
        <v>0</v>
      </c>
      <c r="BN3" s="10">
        <f>VC!BI55</f>
        <v>0</v>
      </c>
      <c r="BO3" s="10">
        <f>VC!BJ55</f>
        <v>0</v>
      </c>
      <c r="BP3" s="10">
        <f>VC!BK55</f>
        <v>0</v>
      </c>
      <c r="BQ3" s="10">
        <f>VC!BL55</f>
        <v>0</v>
      </c>
      <c r="BR3" s="10">
        <f>VC!BM55</f>
        <v>0</v>
      </c>
      <c r="BS3" s="10">
        <f>VC!BN55</f>
        <v>0</v>
      </c>
      <c r="BT3" s="10">
        <f>VC!BO55</f>
        <v>0</v>
      </c>
      <c r="BU3" s="10">
        <f>VC!BP55</f>
        <v>0</v>
      </c>
      <c r="BV3" s="10">
        <f>VC!BQ55</f>
        <v>0</v>
      </c>
      <c r="BW3" s="10">
        <f>VC!BR55</f>
        <v>0</v>
      </c>
      <c r="BX3" s="10">
        <f>VC!BS55</f>
        <v>0</v>
      </c>
      <c r="BY3" s="10">
        <f>VC!BT55</f>
        <v>0</v>
      </c>
      <c r="BZ3" s="10">
        <f>VC!BU55</f>
        <v>0</v>
      </c>
      <c r="CA3" s="10">
        <f>VC!BV55</f>
        <v>0</v>
      </c>
      <c r="CB3" s="10">
        <f>VC!BW55</f>
        <v>0</v>
      </c>
      <c r="CC3" s="10">
        <f>VC!BX55</f>
        <v>0</v>
      </c>
      <c r="CD3" s="10">
        <f>VC!BY55</f>
        <v>0</v>
      </c>
      <c r="CE3" s="10">
        <f>VC!BZ55</f>
        <v>0</v>
      </c>
      <c r="CF3" s="10">
        <f>VC!CA55</f>
        <v>0</v>
      </c>
      <c r="CG3" s="10">
        <f>VC!CB55</f>
        <v>0</v>
      </c>
      <c r="CH3" s="10">
        <f>VC!CC55</f>
        <v>0</v>
      </c>
      <c r="CI3" s="10">
        <f>VC!CD55</f>
        <v>0</v>
      </c>
      <c r="CJ3" s="10">
        <f>VC!CE55</f>
        <v>0</v>
      </c>
      <c r="CK3" s="10">
        <f>VC!CF55</f>
        <v>0</v>
      </c>
      <c r="CL3" s="10">
        <f>VC!CG55</f>
        <v>0</v>
      </c>
      <c r="CM3" s="10" t="str">
        <f>VC!CH55</f>
        <v>blaVIM-1</v>
      </c>
      <c r="CN3" s="10">
        <f>VC!CI55</f>
        <v>0</v>
      </c>
      <c r="CO3" s="10">
        <f>VC!CJ55</f>
        <v>0</v>
      </c>
      <c r="CP3" s="10">
        <f>VC!CK55</f>
        <v>0</v>
      </c>
      <c r="CQ3" s="10">
        <f>VC!CL55</f>
        <v>0</v>
      </c>
      <c r="CR3" s="10">
        <f>VC!CM55</f>
        <v>0</v>
      </c>
      <c r="CS3" s="10">
        <f>VC!CN55</f>
        <v>0</v>
      </c>
      <c r="CT3" s="10">
        <f>VC!CO55</f>
        <v>0</v>
      </c>
      <c r="CU3" s="10">
        <f>VC!CP55</f>
        <v>0</v>
      </c>
      <c r="CV3" s="10">
        <f>VC!CQ55</f>
        <v>0</v>
      </c>
      <c r="CW3" s="10">
        <f>VC!CR55</f>
        <v>0</v>
      </c>
      <c r="CX3" s="10">
        <f>VC!CS55</f>
        <v>0</v>
      </c>
      <c r="CY3" s="10">
        <f>VC!CT55</f>
        <v>0</v>
      </c>
      <c r="CZ3" s="10" t="str">
        <f>VC!CU55</f>
        <v>OXA-2</v>
      </c>
      <c r="DA3" s="10">
        <f>VC!CV55</f>
        <v>0</v>
      </c>
      <c r="DB3" s="10">
        <f>VC!CW55</f>
        <v>0</v>
      </c>
      <c r="DC3" s="10">
        <f>VC!CX55</f>
        <v>0</v>
      </c>
      <c r="DD3" s="10">
        <f>VC!CY55</f>
        <v>0</v>
      </c>
      <c r="DE3" s="10">
        <f>VC!CZ55</f>
        <v>0</v>
      </c>
      <c r="DF3" s="10">
        <f>VC!DA55</f>
        <v>0</v>
      </c>
      <c r="DG3" s="10">
        <f>VC!DB55</f>
        <v>0</v>
      </c>
      <c r="DH3" s="10">
        <f>VC!DC55</f>
        <v>0</v>
      </c>
      <c r="DI3" s="10">
        <f>VC!DD55</f>
        <v>0</v>
      </c>
      <c r="DJ3" s="10">
        <f>VC!DE55</f>
        <v>0</v>
      </c>
      <c r="DK3" s="10" t="str">
        <f>VC!DF55</f>
        <v>blaIMP-1 (K41E)</v>
      </c>
      <c r="DL3" s="10">
        <f>VC!DG55</f>
        <v>0</v>
      </c>
      <c r="DM3" s="10">
        <f>VC!DH55</f>
        <v>0</v>
      </c>
      <c r="DN3" s="10">
        <f>VC!DI55</f>
        <v>0</v>
      </c>
      <c r="DO3" s="10">
        <f>VC!DJ55</f>
        <v>0</v>
      </c>
      <c r="DP3" s="10">
        <f>VC!DK55</f>
        <v>0</v>
      </c>
      <c r="DQ3" s="10">
        <f>VC!DL55</f>
        <v>0</v>
      </c>
      <c r="DR3" s="10">
        <f>VC!DM55</f>
        <v>0</v>
      </c>
      <c r="DS3" s="10">
        <f>VC!DN55</f>
        <v>0</v>
      </c>
      <c r="DT3" s="10">
        <f>VC!DO55</f>
        <v>0</v>
      </c>
      <c r="DU3" s="10">
        <f>VC!DP55</f>
        <v>0</v>
      </c>
      <c r="DV3" s="10">
        <f>VC!DQ55</f>
        <v>0</v>
      </c>
      <c r="DW3" s="10">
        <f>VC!DR55</f>
        <v>0</v>
      </c>
      <c r="DX3" s="10">
        <f>VC!DS55</f>
        <v>0</v>
      </c>
      <c r="DY3" s="10">
        <f>VC!DT55</f>
        <v>0</v>
      </c>
      <c r="DZ3" s="10">
        <f>VC!DU55</f>
        <v>0</v>
      </c>
      <c r="EA3" s="10" t="str">
        <f>VC!DV55</f>
        <v>blaVIM-20</v>
      </c>
      <c r="EB3" s="10">
        <f>VC!DW55</f>
        <v>0</v>
      </c>
      <c r="EC3" s="10">
        <f>VC!DX55</f>
        <v>0</v>
      </c>
      <c r="ED3" s="10">
        <f>VC!DY55</f>
        <v>0</v>
      </c>
      <c r="EE3" s="10" t="str">
        <f>VC!DZ55</f>
        <v>blaVIM-20, blaOXA-210</v>
      </c>
      <c r="EF3" s="10">
        <f>VC!EA55</f>
        <v>0</v>
      </c>
      <c r="EG3" s="10">
        <f>VC!EB55</f>
        <v>0</v>
      </c>
      <c r="EH3" s="10">
        <f>VC!EC55</f>
        <v>0</v>
      </c>
      <c r="EI3" s="10">
        <f>VC!ED55</f>
        <v>0</v>
      </c>
      <c r="EJ3" s="10">
        <f>VC!EE55</f>
        <v>0</v>
      </c>
      <c r="EK3" s="10">
        <f>VC!EF55</f>
        <v>0</v>
      </c>
      <c r="EL3" s="10">
        <f>VC!EG55</f>
        <v>0</v>
      </c>
      <c r="EM3" s="10">
        <f>VC!EH55</f>
        <v>0</v>
      </c>
      <c r="EN3" s="10">
        <f>VC!EI55</f>
        <v>0</v>
      </c>
      <c r="EO3" s="10">
        <f>VC!EJ55</f>
        <v>0</v>
      </c>
      <c r="EP3" s="10">
        <f>VC!EK55</f>
        <v>0</v>
      </c>
      <c r="EQ3" s="10">
        <f>VC!EL55</f>
        <v>0</v>
      </c>
      <c r="ER3" s="10">
        <f>VC!EM55</f>
        <v>0</v>
      </c>
      <c r="ES3" s="10">
        <f>VC!EN55</f>
        <v>0</v>
      </c>
      <c r="ET3" s="10">
        <f>VC!EO55</f>
        <v>0</v>
      </c>
      <c r="EU3" s="10">
        <f>VC!EP55</f>
        <v>0</v>
      </c>
      <c r="EV3" s="10">
        <f>VC!EQ55</f>
        <v>0</v>
      </c>
      <c r="EW3" s="10">
        <f>VC!ER55</f>
        <v>0</v>
      </c>
      <c r="EX3" s="10">
        <f>VC!ES55</f>
        <v>0</v>
      </c>
      <c r="EY3" s="10">
        <f>VC!ET55</f>
        <v>0</v>
      </c>
      <c r="EZ3" s="10">
        <f>VC!EU55</f>
        <v>0</v>
      </c>
      <c r="FA3" s="10">
        <f>VC!EV55</f>
        <v>0</v>
      </c>
      <c r="FB3" s="10">
        <f>VC!EW55</f>
        <v>0</v>
      </c>
      <c r="FC3" s="10">
        <f>VC!EX55</f>
        <v>0</v>
      </c>
      <c r="FD3" s="10">
        <f>VC!EY55</f>
        <v>0</v>
      </c>
      <c r="FE3" s="10">
        <f>VC!EZ55</f>
        <v>0</v>
      </c>
      <c r="FF3" s="10">
        <f>VC!FA55</f>
        <v>0</v>
      </c>
      <c r="FG3" s="10">
        <f>VC!FB55</f>
        <v>0</v>
      </c>
      <c r="FH3" s="10">
        <f>VC!FC55</f>
        <v>0</v>
      </c>
      <c r="FI3" s="10">
        <f>VC!FD55</f>
        <v>0</v>
      </c>
      <c r="FJ3" s="10">
        <f>VC!FE55</f>
        <v>0</v>
      </c>
      <c r="FK3" s="10">
        <f>VC!FF55</f>
        <v>0</v>
      </c>
      <c r="FL3" s="10">
        <f>VC!FG55</f>
        <v>0</v>
      </c>
      <c r="FM3" s="10">
        <f>VC!FH55</f>
        <v>0</v>
      </c>
      <c r="FN3" s="10">
        <f>VC!FI55</f>
        <v>0</v>
      </c>
      <c r="FO3" s="10">
        <f>VC!FJ55</f>
        <v>0</v>
      </c>
      <c r="FP3" s="10">
        <f>VC!FK55</f>
        <v>0</v>
      </c>
      <c r="FQ3" s="10">
        <f>VC!FL55</f>
        <v>0</v>
      </c>
      <c r="FR3" s="10">
        <f>VC!FM55</f>
        <v>0</v>
      </c>
      <c r="FS3" s="10">
        <f>VC!FN55</f>
        <v>0</v>
      </c>
      <c r="FT3" s="10">
        <f>VC!FO55</f>
        <v>0</v>
      </c>
      <c r="FU3" s="10">
        <f>VC!FP55</f>
        <v>0</v>
      </c>
      <c r="FV3" s="10">
        <f>VC!FQ55</f>
        <v>0</v>
      </c>
      <c r="FW3" s="10">
        <f>VC!FR55</f>
        <v>0</v>
      </c>
      <c r="FX3" s="10">
        <f>VC!FS55</f>
        <v>0</v>
      </c>
      <c r="FY3" s="10">
        <f>VC!FT55</f>
        <v>0</v>
      </c>
      <c r="FZ3" s="10">
        <f>VC!FU55</f>
        <v>0</v>
      </c>
      <c r="GA3" s="10" t="str">
        <f>VC!FV55</f>
        <v>blaGES-5</v>
      </c>
      <c r="GB3" s="10">
        <f>VC!FW55</f>
        <v>0</v>
      </c>
      <c r="GC3" s="10">
        <f>VC!FX55</f>
        <v>0</v>
      </c>
      <c r="GD3" s="10">
        <f>VC!FY55</f>
        <v>0</v>
      </c>
      <c r="GE3" s="10">
        <f>VC!FZ55</f>
        <v>0</v>
      </c>
      <c r="GF3" s="10">
        <f>VC!GA55</f>
        <v>0</v>
      </c>
      <c r="GG3" s="10">
        <f>VC!GB55</f>
        <v>0</v>
      </c>
      <c r="GH3" s="10">
        <f>VC!GC55</f>
        <v>0</v>
      </c>
      <c r="GI3" s="10">
        <f>VC!GD55</f>
        <v>0</v>
      </c>
      <c r="GJ3" s="10">
        <f>VC!GE55</f>
        <v>0</v>
      </c>
      <c r="GK3" s="10">
        <f>VC!GF55</f>
        <v>0</v>
      </c>
      <c r="GL3" s="10">
        <f>VC!GG55</f>
        <v>0</v>
      </c>
      <c r="GM3" s="10">
        <f>VC!GH55</f>
        <v>0</v>
      </c>
      <c r="GN3" s="10">
        <f>VC!GI55</f>
        <v>0</v>
      </c>
      <c r="GO3" s="10">
        <f>VC!GJ55</f>
        <v>0</v>
      </c>
      <c r="GP3" s="10">
        <f>VC!GK55</f>
        <v>0</v>
      </c>
      <c r="GQ3" s="10">
        <f>VC!GL55</f>
        <v>0</v>
      </c>
      <c r="GR3" s="10">
        <f>VC!GM55</f>
        <v>0</v>
      </c>
      <c r="GS3" s="10">
        <f>VC!GN55</f>
        <v>0</v>
      </c>
      <c r="GT3" s="10">
        <f>VC!GO55</f>
        <v>0</v>
      </c>
      <c r="GU3" s="10">
        <f>VC!GP55</f>
        <v>0</v>
      </c>
      <c r="GV3" s="10">
        <f>VC!GQ55</f>
        <v>0</v>
      </c>
      <c r="GW3" s="10">
        <f>VC!GR55</f>
        <v>0</v>
      </c>
      <c r="GX3" s="10">
        <f>VC!GS55</f>
        <v>0</v>
      </c>
      <c r="GY3" s="10">
        <f>VC!GT55</f>
        <v>0</v>
      </c>
      <c r="GZ3" s="10">
        <f>VC!GU55</f>
        <v>0</v>
      </c>
      <c r="HA3" s="10">
        <f>VC!GV55</f>
        <v>0</v>
      </c>
      <c r="HB3" s="10">
        <f>VC!GW55</f>
        <v>0</v>
      </c>
      <c r="HC3" s="10">
        <f>VC!GX55</f>
        <v>0</v>
      </c>
    </row>
    <row r="4" spans="1:211" s="7" customFormat="1" x14ac:dyDescent="0.25">
      <c r="A4" s="7" t="s">
        <v>94</v>
      </c>
      <c r="B4" s="7" t="s">
        <v>100</v>
      </c>
      <c r="C4" s="8" t="s">
        <v>2</v>
      </c>
      <c r="D4" s="7" t="s">
        <v>76</v>
      </c>
      <c r="E4" s="7">
        <v>2</v>
      </c>
      <c r="H4" s="7">
        <f>VC!C56</f>
        <v>0</v>
      </c>
      <c r="I4" s="7">
        <f>VC!D56</f>
        <v>0</v>
      </c>
      <c r="J4" s="7">
        <f>VC!E56</f>
        <v>0</v>
      </c>
      <c r="K4" s="7">
        <f>VC!F56</f>
        <v>0</v>
      </c>
      <c r="L4" s="7">
        <f>VC!G56</f>
        <v>0</v>
      </c>
      <c r="M4" s="7">
        <f>VC!H56</f>
        <v>0</v>
      </c>
      <c r="N4" s="7">
        <f>VC!I56</f>
        <v>0</v>
      </c>
      <c r="O4" s="7">
        <f>VC!J56</f>
        <v>0</v>
      </c>
      <c r="P4" s="7">
        <f>VC!K56</f>
        <v>0</v>
      </c>
      <c r="Q4" s="7">
        <f>VC!L56</f>
        <v>0</v>
      </c>
      <c r="R4" s="7">
        <f>VC!M56</f>
        <v>0</v>
      </c>
      <c r="S4" s="7">
        <f>VC!N56</f>
        <v>0</v>
      </c>
      <c r="T4" s="7">
        <f>VC!O56</f>
        <v>0</v>
      </c>
      <c r="U4" s="7">
        <f>VC!P56</f>
        <v>0</v>
      </c>
      <c r="V4" s="7">
        <f>VC!Q56</f>
        <v>0</v>
      </c>
      <c r="W4" s="7">
        <f>VC!R56</f>
        <v>0</v>
      </c>
      <c r="X4" s="7">
        <f>VC!S56</f>
        <v>0</v>
      </c>
      <c r="Y4" s="7">
        <f>VC!T56</f>
        <v>0</v>
      </c>
      <c r="Z4" s="7">
        <f>VC!U56</f>
        <v>0</v>
      </c>
      <c r="AA4" s="7">
        <f>VC!V56</f>
        <v>0</v>
      </c>
      <c r="AB4" s="7">
        <f>VC!W56</f>
        <v>0</v>
      </c>
      <c r="AC4" s="7">
        <f>VC!X56</f>
        <v>0</v>
      </c>
      <c r="AD4" s="7">
        <f>VC!Y56</f>
        <v>0</v>
      </c>
      <c r="AE4" s="7">
        <f>VC!Z56</f>
        <v>0</v>
      </c>
      <c r="AF4" s="7">
        <f>VC!AA56</f>
        <v>0</v>
      </c>
      <c r="AG4" s="7">
        <f>VC!AB56</f>
        <v>0</v>
      </c>
      <c r="AH4" s="7">
        <f>VC!AC56</f>
        <v>0</v>
      </c>
      <c r="AI4" s="7">
        <f>VC!AD56</f>
        <v>0</v>
      </c>
      <c r="AJ4" s="7">
        <f>VC!AE56</f>
        <v>0</v>
      </c>
      <c r="AK4" s="7">
        <f>VC!AF56</f>
        <v>0</v>
      </c>
      <c r="AL4" s="7">
        <f>VC!AG56</f>
        <v>0</v>
      </c>
      <c r="AM4" s="7">
        <f>VC!AH56</f>
        <v>0</v>
      </c>
      <c r="AN4" s="7">
        <f>VC!AI56</f>
        <v>0</v>
      </c>
      <c r="AO4" s="7">
        <f>VC!AJ56</f>
        <v>0</v>
      </c>
      <c r="AP4" s="7">
        <f>VC!AK56</f>
        <v>0</v>
      </c>
      <c r="AQ4" s="7">
        <f>VC!AL56</f>
        <v>0</v>
      </c>
      <c r="AR4" s="7">
        <f>VC!AM56</f>
        <v>0</v>
      </c>
      <c r="AS4" s="7">
        <f>VC!AN56</f>
        <v>0</v>
      </c>
      <c r="AT4" s="7">
        <f>VC!AO56</f>
        <v>0</v>
      </c>
      <c r="AU4" s="7">
        <f>VC!AP56</f>
        <v>0</v>
      </c>
      <c r="AV4" s="7">
        <f>VC!AQ56</f>
        <v>0</v>
      </c>
      <c r="AW4" s="7">
        <f>VC!AR56</f>
        <v>0</v>
      </c>
      <c r="AX4" s="7">
        <f>VC!AS56</f>
        <v>0</v>
      </c>
      <c r="AY4" s="7">
        <f>VC!AT56</f>
        <v>0</v>
      </c>
      <c r="AZ4" s="7">
        <f>VC!AU56</f>
        <v>0</v>
      </c>
      <c r="BA4" s="7">
        <f>VC!AV56</f>
        <v>0</v>
      </c>
      <c r="BB4" s="7">
        <f>VC!AW56</f>
        <v>0</v>
      </c>
      <c r="BC4" s="7">
        <f>VC!AX56</f>
        <v>0</v>
      </c>
      <c r="BD4" s="7">
        <f>VC!AY56</f>
        <v>0</v>
      </c>
      <c r="BE4" s="7">
        <f>VC!AZ56</f>
        <v>0</v>
      </c>
      <c r="BF4" s="7">
        <f>VC!BA56</f>
        <v>0</v>
      </c>
      <c r="BG4" s="7">
        <f>VC!BB56</f>
        <v>0</v>
      </c>
      <c r="BH4" s="7">
        <f>VC!BC56</f>
        <v>0</v>
      </c>
      <c r="BI4" s="7">
        <f>VC!BD56</f>
        <v>0</v>
      </c>
      <c r="BJ4" s="7" t="str">
        <f>VC!BE56</f>
        <v>blaOXA-15</v>
      </c>
      <c r="BK4" s="7">
        <f>VC!BF56</f>
        <v>0</v>
      </c>
      <c r="BL4" s="7">
        <f>VC!BG56</f>
        <v>0</v>
      </c>
      <c r="BM4" s="7">
        <f>VC!BH56</f>
        <v>0</v>
      </c>
      <c r="BN4" s="7">
        <f>VC!BI56</f>
        <v>0</v>
      </c>
      <c r="BO4" s="7">
        <f>VC!BJ56</f>
        <v>0</v>
      </c>
      <c r="BP4" s="7">
        <f>VC!BK56</f>
        <v>0</v>
      </c>
      <c r="BQ4" s="7">
        <f>VC!BL56</f>
        <v>0</v>
      </c>
      <c r="BR4" s="7">
        <f>VC!BM56</f>
        <v>0</v>
      </c>
      <c r="BS4" s="7">
        <f>VC!BN56</f>
        <v>0</v>
      </c>
      <c r="BT4" s="7">
        <f>VC!BO56</f>
        <v>0</v>
      </c>
      <c r="BU4" s="7">
        <f>VC!BP56</f>
        <v>0</v>
      </c>
      <c r="BV4" s="7">
        <f>VC!BQ56</f>
        <v>0</v>
      </c>
      <c r="BW4" s="7">
        <f>VC!BR56</f>
        <v>0</v>
      </c>
      <c r="BX4" s="7">
        <f>VC!BS56</f>
        <v>0</v>
      </c>
      <c r="BY4" s="7">
        <f>VC!BT56</f>
        <v>0</v>
      </c>
      <c r="BZ4" s="7">
        <f>VC!BU56</f>
        <v>0</v>
      </c>
      <c r="CA4" s="7">
        <f>VC!BV56</f>
        <v>0</v>
      </c>
      <c r="CB4" s="7">
        <f>VC!BW56</f>
        <v>0</v>
      </c>
      <c r="CC4" s="7">
        <f>VC!BX56</f>
        <v>0</v>
      </c>
      <c r="CD4" s="7">
        <f>VC!BY56</f>
        <v>0</v>
      </c>
      <c r="CE4" s="7">
        <f>VC!BZ56</f>
        <v>0</v>
      </c>
      <c r="CF4" s="7">
        <f>VC!CA56</f>
        <v>0</v>
      </c>
      <c r="CG4" s="7">
        <f>VC!CB56</f>
        <v>0</v>
      </c>
      <c r="CH4" s="7">
        <f>VC!CC56</f>
        <v>0</v>
      </c>
      <c r="CI4" s="7">
        <f>VC!CD56</f>
        <v>0</v>
      </c>
      <c r="CJ4" s="7">
        <f>VC!CE56</f>
        <v>0</v>
      </c>
      <c r="CK4" s="7">
        <f>VC!CF56</f>
        <v>0</v>
      </c>
      <c r="CL4" s="7">
        <f>VC!CG56</f>
        <v>0</v>
      </c>
      <c r="CM4" s="7" t="str">
        <f>VC!CH56</f>
        <v>blaVIM-1</v>
      </c>
      <c r="CN4" s="7">
        <f>VC!CI56</f>
        <v>0</v>
      </c>
      <c r="CO4" s="7">
        <f>VC!CJ56</f>
        <v>0</v>
      </c>
      <c r="CP4" s="7">
        <f>VC!CK56</f>
        <v>0</v>
      </c>
      <c r="CQ4" s="7">
        <f>VC!CL56</f>
        <v>0</v>
      </c>
      <c r="CR4" s="7">
        <f>VC!CM56</f>
        <v>0</v>
      </c>
      <c r="CS4" s="7">
        <f>VC!CN56</f>
        <v>0</v>
      </c>
      <c r="CT4" s="7">
        <f>VC!CO56</f>
        <v>0</v>
      </c>
      <c r="CU4" s="7">
        <f>VC!CP56</f>
        <v>0</v>
      </c>
      <c r="CV4" s="7">
        <f>VC!CQ56</f>
        <v>0</v>
      </c>
      <c r="CW4" s="7">
        <f>VC!CR56</f>
        <v>0</v>
      </c>
      <c r="CX4" s="7">
        <f>VC!CS56</f>
        <v>0</v>
      </c>
      <c r="CY4" s="7">
        <f>VC!CT56</f>
        <v>0</v>
      </c>
      <c r="CZ4" s="7" t="str">
        <f>VC!CU56</f>
        <v>OXA-2</v>
      </c>
      <c r="DA4" s="7">
        <f>VC!CV56</f>
        <v>0</v>
      </c>
      <c r="DB4" s="7">
        <f>VC!CW56</f>
        <v>0</v>
      </c>
      <c r="DC4" s="7">
        <f>VC!CX56</f>
        <v>0</v>
      </c>
      <c r="DD4" s="7">
        <f>VC!CY56</f>
        <v>0</v>
      </c>
      <c r="DE4" s="7">
        <f>VC!CZ56</f>
        <v>0</v>
      </c>
      <c r="DF4" s="7">
        <f>VC!DA56</f>
        <v>0</v>
      </c>
      <c r="DG4" s="7">
        <f>VC!DB56</f>
        <v>0</v>
      </c>
      <c r="DH4" s="7">
        <f>VC!DC56</f>
        <v>0</v>
      </c>
      <c r="DI4" s="7">
        <f>VC!DD56</f>
        <v>0</v>
      </c>
      <c r="DJ4" s="7">
        <f>VC!DE56</f>
        <v>0</v>
      </c>
      <c r="DK4" s="7" t="str">
        <f>VC!DF56</f>
        <v>blaIMP-1 (K41E)</v>
      </c>
      <c r="DL4" s="7">
        <f>VC!DG56</f>
        <v>0</v>
      </c>
      <c r="DM4" s="7">
        <f>VC!DH56</f>
        <v>0</v>
      </c>
      <c r="DN4" s="7">
        <f>VC!DI56</f>
        <v>0</v>
      </c>
      <c r="DO4" s="7">
        <f>VC!DJ56</f>
        <v>0</v>
      </c>
      <c r="DP4" s="7">
        <f>VC!DK56</f>
        <v>0</v>
      </c>
      <c r="DQ4" s="7">
        <f>VC!DL56</f>
        <v>0</v>
      </c>
      <c r="DR4" s="7">
        <f>VC!DM56</f>
        <v>0</v>
      </c>
      <c r="DS4" s="7">
        <f>VC!DN56</f>
        <v>0</v>
      </c>
      <c r="DT4" s="7">
        <f>VC!DO56</f>
        <v>0</v>
      </c>
      <c r="DU4" s="7">
        <f>VC!DP56</f>
        <v>0</v>
      </c>
      <c r="DV4" s="7">
        <f>VC!DQ56</f>
        <v>0</v>
      </c>
      <c r="DW4" s="7">
        <f>VC!DR56</f>
        <v>0</v>
      </c>
      <c r="DX4" s="7">
        <f>VC!DS56</f>
        <v>0</v>
      </c>
      <c r="DY4" s="7">
        <f>VC!DT56</f>
        <v>0</v>
      </c>
      <c r="DZ4" s="7">
        <f>VC!DU56</f>
        <v>0</v>
      </c>
      <c r="EA4" s="7" t="str">
        <f>VC!DV56</f>
        <v>blaVIM-20</v>
      </c>
      <c r="EB4" s="7">
        <f>VC!DW56</f>
        <v>0</v>
      </c>
      <c r="EC4" s="7">
        <f>VC!DX56</f>
        <v>0</v>
      </c>
      <c r="ED4" s="7">
        <f>VC!DY56</f>
        <v>0</v>
      </c>
      <c r="EE4" s="7" t="str">
        <f>VC!DZ56</f>
        <v>blaVIM-20, blaOXA-210</v>
      </c>
      <c r="EF4" s="7">
        <f>VC!EA56</f>
        <v>0</v>
      </c>
      <c r="EG4" s="7">
        <f>VC!EB56</f>
        <v>0</v>
      </c>
      <c r="EH4" s="7">
        <f>VC!EC56</f>
        <v>0</v>
      </c>
      <c r="EI4" s="7">
        <f>VC!ED56</f>
        <v>0</v>
      </c>
      <c r="EJ4" s="7">
        <f>VC!EE56</f>
        <v>0</v>
      </c>
      <c r="EK4" s="7">
        <f>VC!EF56</f>
        <v>0</v>
      </c>
      <c r="EL4" s="7">
        <f>VC!EG56</f>
        <v>0</v>
      </c>
      <c r="EM4" s="7">
        <f>VC!EH56</f>
        <v>0</v>
      </c>
      <c r="EN4" s="7">
        <f>VC!EI56</f>
        <v>0</v>
      </c>
      <c r="EO4" s="7">
        <f>VC!EJ56</f>
        <v>0</v>
      </c>
      <c r="EP4" s="7">
        <f>VC!EK56</f>
        <v>0</v>
      </c>
      <c r="EQ4" s="7">
        <f>VC!EL56</f>
        <v>0</v>
      </c>
      <c r="ER4" s="7">
        <f>VC!EM56</f>
        <v>0</v>
      </c>
      <c r="ES4" s="7">
        <f>VC!EN56</f>
        <v>0</v>
      </c>
      <c r="ET4" s="7">
        <f>VC!EO56</f>
        <v>0</v>
      </c>
      <c r="EU4" s="7">
        <f>VC!EP56</f>
        <v>0</v>
      </c>
      <c r="EV4" s="7">
        <f>VC!EQ56</f>
        <v>0</v>
      </c>
      <c r="EW4" s="7">
        <f>VC!ER56</f>
        <v>0</v>
      </c>
      <c r="EX4" s="7">
        <f>VC!ES56</f>
        <v>0</v>
      </c>
      <c r="EY4" s="7">
        <f>VC!ET56</f>
        <v>0</v>
      </c>
      <c r="EZ4" s="7">
        <f>VC!EU56</f>
        <v>0</v>
      </c>
      <c r="FA4" s="7">
        <f>VC!EV56</f>
        <v>0</v>
      </c>
      <c r="FB4" s="7">
        <f>VC!EW56</f>
        <v>0</v>
      </c>
      <c r="FC4" s="7">
        <f>VC!EX56</f>
        <v>0</v>
      </c>
      <c r="FD4" s="7">
        <f>VC!EY56</f>
        <v>0</v>
      </c>
      <c r="FE4" s="7">
        <f>VC!EZ56</f>
        <v>0</v>
      </c>
      <c r="FF4" s="7">
        <f>VC!FA56</f>
        <v>0</v>
      </c>
      <c r="FG4" s="7">
        <f>VC!FB56</f>
        <v>0</v>
      </c>
      <c r="FH4" s="7">
        <f>VC!FC56</f>
        <v>0</v>
      </c>
      <c r="FI4" s="7">
        <f>VC!FD56</f>
        <v>0</v>
      </c>
      <c r="FJ4" s="7">
        <f>VC!FE56</f>
        <v>0</v>
      </c>
      <c r="FK4" s="7">
        <f>VC!FF56</f>
        <v>0</v>
      </c>
      <c r="FL4" s="7">
        <f>VC!FG56</f>
        <v>0</v>
      </c>
      <c r="FM4" s="7">
        <f>VC!FH56</f>
        <v>0</v>
      </c>
      <c r="FN4" s="7">
        <f>VC!FI56</f>
        <v>0</v>
      </c>
      <c r="FO4" s="7">
        <f>VC!FJ56</f>
        <v>0</v>
      </c>
      <c r="FP4" s="7">
        <f>VC!FK56</f>
        <v>0</v>
      </c>
      <c r="FQ4" s="7">
        <f>VC!FL56</f>
        <v>0</v>
      </c>
      <c r="FR4" s="7">
        <f>VC!FM56</f>
        <v>0</v>
      </c>
      <c r="FS4" s="7">
        <f>VC!FN56</f>
        <v>0</v>
      </c>
      <c r="FT4" s="7">
        <f>VC!FO56</f>
        <v>0</v>
      </c>
      <c r="FU4" s="7">
        <f>VC!FP56</f>
        <v>0</v>
      </c>
      <c r="FV4" s="7">
        <f>VC!FQ56</f>
        <v>0</v>
      </c>
      <c r="FW4" s="7">
        <f>VC!FR56</f>
        <v>0</v>
      </c>
      <c r="FX4" s="7">
        <f>VC!FS56</f>
        <v>0</v>
      </c>
      <c r="FY4" s="7">
        <f>VC!FT56</f>
        <v>0</v>
      </c>
      <c r="FZ4" s="7">
        <f>VC!FU56</f>
        <v>0</v>
      </c>
      <c r="GA4" s="7" t="str">
        <f>VC!FV56</f>
        <v>blaGES-5</v>
      </c>
      <c r="GB4" s="7">
        <f>VC!FW56</f>
        <v>0</v>
      </c>
      <c r="GC4" s="7">
        <f>VC!FX56</f>
        <v>0</v>
      </c>
      <c r="GD4" s="7">
        <f>VC!FY56</f>
        <v>0</v>
      </c>
      <c r="GE4" s="7">
        <f>VC!FZ56</f>
        <v>0</v>
      </c>
      <c r="GF4" s="7">
        <f>VC!GA56</f>
        <v>0</v>
      </c>
      <c r="GG4" s="7">
        <f>VC!GB56</f>
        <v>0</v>
      </c>
      <c r="GH4" s="7">
        <f>VC!GC56</f>
        <v>0</v>
      </c>
      <c r="GI4" s="7">
        <f>VC!GD56</f>
        <v>0</v>
      </c>
      <c r="GJ4" s="7">
        <f>VC!GE56</f>
        <v>0</v>
      </c>
      <c r="GK4" s="7">
        <f>VC!GF56</f>
        <v>0</v>
      </c>
      <c r="GL4" s="7">
        <f>VC!GG56</f>
        <v>0</v>
      </c>
      <c r="GM4" s="7">
        <f>VC!GH56</f>
        <v>0</v>
      </c>
      <c r="GN4" s="7">
        <f>VC!GI56</f>
        <v>0</v>
      </c>
      <c r="GO4" s="7">
        <f>VC!GJ56</f>
        <v>0</v>
      </c>
      <c r="GP4" s="7">
        <f>VC!GK56</f>
        <v>0</v>
      </c>
      <c r="GQ4" s="7">
        <f>VC!GL56</f>
        <v>0</v>
      </c>
      <c r="GR4" s="7">
        <f>VC!GM56</f>
        <v>0</v>
      </c>
      <c r="GS4" s="7">
        <f>VC!GN56</f>
        <v>0</v>
      </c>
      <c r="GT4" s="7">
        <f>VC!GO56</f>
        <v>0</v>
      </c>
      <c r="GU4" s="7">
        <f>VC!GP56</f>
        <v>0</v>
      </c>
      <c r="GV4" s="7">
        <f>VC!GQ56</f>
        <v>0</v>
      </c>
      <c r="GW4" s="7">
        <f>VC!GR56</f>
        <v>0</v>
      </c>
      <c r="GX4" s="7">
        <f>VC!GS56</f>
        <v>0</v>
      </c>
      <c r="GY4" s="7">
        <f>VC!GT56</f>
        <v>0</v>
      </c>
      <c r="GZ4" s="7">
        <f>VC!GU56</f>
        <v>0</v>
      </c>
      <c r="HA4" s="7">
        <f>VC!GV56</f>
        <v>0</v>
      </c>
      <c r="HB4" s="7">
        <f>VC!GW56</f>
        <v>0</v>
      </c>
      <c r="HC4" s="7">
        <f>VC!GX56</f>
        <v>0</v>
      </c>
    </row>
    <row r="5" spans="1:211" s="7" customFormat="1" x14ac:dyDescent="0.25">
      <c r="A5" s="7" t="s">
        <v>94</v>
      </c>
      <c r="B5" s="7" t="s">
        <v>101</v>
      </c>
      <c r="C5" s="8" t="s">
        <v>2</v>
      </c>
      <c r="D5" s="7" t="s">
        <v>76</v>
      </c>
      <c r="E5" s="7">
        <v>1</v>
      </c>
      <c r="H5" s="7">
        <f>VC!C56</f>
        <v>0</v>
      </c>
      <c r="I5" s="7">
        <f>VC!D56</f>
        <v>0</v>
      </c>
      <c r="J5" s="7">
        <f>VC!E56</f>
        <v>0</v>
      </c>
      <c r="K5" s="7">
        <f>VC!F56</f>
        <v>0</v>
      </c>
      <c r="L5" s="7">
        <f>VC!G56</f>
        <v>0</v>
      </c>
      <c r="M5" s="7">
        <f>VC!H56</f>
        <v>0</v>
      </c>
      <c r="N5" s="7">
        <f>VC!I56</f>
        <v>0</v>
      </c>
      <c r="O5" s="7">
        <f>VC!J56</f>
        <v>0</v>
      </c>
      <c r="P5" s="7">
        <f>VC!K56</f>
        <v>0</v>
      </c>
      <c r="Q5" s="7">
        <f>VC!L56</f>
        <v>0</v>
      </c>
      <c r="R5" s="7">
        <f>VC!M56</f>
        <v>0</v>
      </c>
      <c r="S5" s="7">
        <f>VC!N56</f>
        <v>0</v>
      </c>
      <c r="T5" s="7">
        <f>VC!O56</f>
        <v>0</v>
      </c>
      <c r="U5" s="7">
        <f>VC!P56</f>
        <v>0</v>
      </c>
      <c r="V5" s="7">
        <f>VC!Q56</f>
        <v>0</v>
      </c>
      <c r="W5" s="7">
        <f>VC!R56</f>
        <v>0</v>
      </c>
      <c r="X5" s="7">
        <f>VC!S56</f>
        <v>0</v>
      </c>
      <c r="Y5" s="7">
        <f>VC!T56</f>
        <v>0</v>
      </c>
      <c r="Z5" s="7">
        <f>VC!U56</f>
        <v>0</v>
      </c>
      <c r="AA5" s="7">
        <f>VC!V56</f>
        <v>0</v>
      </c>
      <c r="AB5" s="7">
        <f>VC!W56</f>
        <v>0</v>
      </c>
      <c r="AC5" s="7">
        <f>VC!X56</f>
        <v>0</v>
      </c>
      <c r="AD5" s="7">
        <f>VC!Y56</f>
        <v>0</v>
      </c>
      <c r="AE5" s="7">
        <f>VC!Z56</f>
        <v>0</v>
      </c>
      <c r="AF5" s="7">
        <f>VC!AA56</f>
        <v>0</v>
      </c>
      <c r="AG5" s="7">
        <f>VC!AB56</f>
        <v>0</v>
      </c>
      <c r="AH5" s="7">
        <f>VC!AC56</f>
        <v>0</v>
      </c>
      <c r="AI5" s="7">
        <f>VC!AD56</f>
        <v>0</v>
      </c>
      <c r="AJ5" s="7">
        <f>VC!AE56</f>
        <v>0</v>
      </c>
      <c r="AK5" s="7">
        <f>VC!AF56</f>
        <v>0</v>
      </c>
      <c r="AL5" s="7">
        <f>VC!AG56</f>
        <v>0</v>
      </c>
      <c r="AM5" s="7">
        <f>VC!AH56</f>
        <v>0</v>
      </c>
      <c r="AN5" s="7">
        <f>VC!AI56</f>
        <v>0</v>
      </c>
      <c r="AO5" s="7">
        <f>VC!AJ56</f>
        <v>0</v>
      </c>
      <c r="AP5" s="7">
        <f>VC!AK56</f>
        <v>0</v>
      </c>
      <c r="AQ5" s="7">
        <f>VC!AL56</f>
        <v>0</v>
      </c>
      <c r="AR5" s="7">
        <f>VC!AM56</f>
        <v>0</v>
      </c>
      <c r="AS5" s="7">
        <f>VC!AN56</f>
        <v>0</v>
      </c>
      <c r="AT5" s="7">
        <f>VC!AO56</f>
        <v>0</v>
      </c>
      <c r="AU5" s="7">
        <f>VC!AP56</f>
        <v>0</v>
      </c>
      <c r="AV5" s="7">
        <f>VC!AQ56</f>
        <v>0</v>
      </c>
      <c r="AW5" s="7">
        <f>VC!AR56</f>
        <v>0</v>
      </c>
      <c r="AX5" s="7">
        <f>VC!AS56</f>
        <v>0</v>
      </c>
      <c r="AY5" s="7">
        <f>VC!AT56</f>
        <v>0</v>
      </c>
      <c r="AZ5" s="7">
        <f>VC!AU56</f>
        <v>0</v>
      </c>
      <c r="BA5" s="7">
        <f>VC!AV56</f>
        <v>0</v>
      </c>
      <c r="BB5" s="7">
        <f>VC!AW56</f>
        <v>0</v>
      </c>
      <c r="BC5" s="7">
        <f>VC!AX56</f>
        <v>0</v>
      </c>
      <c r="BD5" s="7">
        <f>VC!AY56</f>
        <v>0</v>
      </c>
      <c r="BE5" s="7">
        <f>VC!AZ56</f>
        <v>0</v>
      </c>
      <c r="BF5" s="7">
        <f>VC!BA56</f>
        <v>0</v>
      </c>
      <c r="BG5" s="7">
        <f>VC!BB56</f>
        <v>0</v>
      </c>
      <c r="BH5" s="7">
        <f>VC!BC56</f>
        <v>0</v>
      </c>
      <c r="BI5" s="7">
        <f>VC!BD56</f>
        <v>0</v>
      </c>
      <c r="BJ5" s="7" t="str">
        <f>VC!BE56</f>
        <v>blaOXA-15</v>
      </c>
      <c r="BK5" s="7">
        <f>VC!BF56</f>
        <v>0</v>
      </c>
      <c r="BL5" s="7">
        <f>VC!BG56</f>
        <v>0</v>
      </c>
      <c r="BM5" s="7">
        <f>VC!BH56</f>
        <v>0</v>
      </c>
      <c r="BN5" s="7">
        <f>VC!BI56</f>
        <v>0</v>
      </c>
      <c r="BO5" s="7">
        <f>VC!BJ56</f>
        <v>0</v>
      </c>
      <c r="BP5" s="7">
        <f>VC!BK56</f>
        <v>0</v>
      </c>
      <c r="BQ5" s="7">
        <f>VC!BL56</f>
        <v>0</v>
      </c>
      <c r="BR5" s="7">
        <f>VC!BM56</f>
        <v>0</v>
      </c>
      <c r="BS5" s="7">
        <f>VC!BN56</f>
        <v>0</v>
      </c>
      <c r="BT5" s="7">
        <f>VC!BO56</f>
        <v>0</v>
      </c>
      <c r="BU5" s="7">
        <f>VC!BP56</f>
        <v>0</v>
      </c>
      <c r="BV5" s="7">
        <f>VC!BQ56</f>
        <v>0</v>
      </c>
      <c r="BW5" s="7">
        <f>VC!BR56</f>
        <v>0</v>
      </c>
      <c r="BX5" s="7">
        <f>VC!BS56</f>
        <v>0</v>
      </c>
      <c r="BY5" s="7">
        <f>VC!BT56</f>
        <v>0</v>
      </c>
      <c r="BZ5" s="7">
        <f>VC!BU56</f>
        <v>0</v>
      </c>
      <c r="CA5" s="7">
        <f>VC!BV56</f>
        <v>0</v>
      </c>
      <c r="CB5" s="7">
        <f>VC!BW56</f>
        <v>0</v>
      </c>
      <c r="CC5" s="7">
        <f>VC!BX56</f>
        <v>0</v>
      </c>
      <c r="CD5" s="7">
        <f>VC!BY56</f>
        <v>0</v>
      </c>
      <c r="CE5" s="7">
        <f>VC!BZ56</f>
        <v>0</v>
      </c>
      <c r="CF5" s="7">
        <f>VC!CA56</f>
        <v>0</v>
      </c>
      <c r="CG5" s="7">
        <f>VC!CB56</f>
        <v>0</v>
      </c>
      <c r="CH5" s="7">
        <f>VC!CC56</f>
        <v>0</v>
      </c>
      <c r="CI5" s="7">
        <f>VC!CD56</f>
        <v>0</v>
      </c>
      <c r="CJ5" s="7">
        <f>VC!CE56</f>
        <v>0</v>
      </c>
      <c r="CK5" s="7">
        <f>VC!CF56</f>
        <v>0</v>
      </c>
      <c r="CL5" s="7">
        <f>VC!CG56</f>
        <v>0</v>
      </c>
      <c r="CM5" s="7" t="str">
        <f>VC!CH56</f>
        <v>blaVIM-1</v>
      </c>
      <c r="CN5" s="7">
        <f>VC!CI56</f>
        <v>0</v>
      </c>
      <c r="CO5" s="7">
        <f>VC!CJ56</f>
        <v>0</v>
      </c>
      <c r="CP5" s="7">
        <f>VC!CK56</f>
        <v>0</v>
      </c>
      <c r="CQ5" s="7">
        <f>VC!CL56</f>
        <v>0</v>
      </c>
      <c r="CR5" s="7">
        <f>VC!CM56</f>
        <v>0</v>
      </c>
      <c r="CS5" s="7">
        <f>VC!CN56</f>
        <v>0</v>
      </c>
      <c r="CT5" s="7">
        <f>VC!CO56</f>
        <v>0</v>
      </c>
      <c r="CU5" s="7">
        <f>VC!CP56</f>
        <v>0</v>
      </c>
      <c r="CV5" s="7">
        <f>VC!CQ56</f>
        <v>0</v>
      </c>
      <c r="CW5" s="7">
        <f>VC!CR56</f>
        <v>0</v>
      </c>
      <c r="CX5" s="7">
        <f>VC!CS56</f>
        <v>0</v>
      </c>
      <c r="CY5" s="7">
        <f>VC!CT56</f>
        <v>0</v>
      </c>
      <c r="CZ5" s="7" t="str">
        <f>VC!CU56</f>
        <v>OXA-2</v>
      </c>
      <c r="DA5" s="7">
        <f>VC!CV56</f>
        <v>0</v>
      </c>
      <c r="DB5" s="7">
        <f>VC!CW56</f>
        <v>0</v>
      </c>
      <c r="DC5" s="7">
        <f>VC!CX56</f>
        <v>0</v>
      </c>
      <c r="DD5" s="7">
        <f>VC!CY56</f>
        <v>0</v>
      </c>
      <c r="DE5" s="7">
        <f>VC!CZ56</f>
        <v>0</v>
      </c>
      <c r="DF5" s="7">
        <f>VC!DA56</f>
        <v>0</v>
      </c>
      <c r="DG5" s="7">
        <f>VC!DB56</f>
        <v>0</v>
      </c>
      <c r="DH5" s="7">
        <f>VC!DC56</f>
        <v>0</v>
      </c>
      <c r="DI5" s="7">
        <f>VC!DD56</f>
        <v>0</v>
      </c>
      <c r="DJ5" s="7">
        <f>VC!DE56</f>
        <v>0</v>
      </c>
      <c r="DK5" s="7" t="str">
        <f>VC!DF56</f>
        <v>blaIMP-1 (K41E)</v>
      </c>
      <c r="DL5" s="7">
        <f>VC!DG56</f>
        <v>0</v>
      </c>
      <c r="DM5" s="7">
        <f>VC!DH56</f>
        <v>0</v>
      </c>
      <c r="DN5" s="7">
        <f>VC!DI56</f>
        <v>0</v>
      </c>
      <c r="DO5" s="7">
        <f>VC!DJ56</f>
        <v>0</v>
      </c>
      <c r="DP5" s="7">
        <f>VC!DK56</f>
        <v>0</v>
      </c>
      <c r="DQ5" s="7">
        <f>VC!DL56</f>
        <v>0</v>
      </c>
      <c r="DR5" s="7">
        <f>VC!DM56</f>
        <v>0</v>
      </c>
      <c r="DS5" s="7">
        <f>VC!DN56</f>
        <v>0</v>
      </c>
      <c r="DT5" s="7">
        <f>VC!DO56</f>
        <v>0</v>
      </c>
      <c r="DU5" s="7">
        <f>VC!DP56</f>
        <v>0</v>
      </c>
      <c r="DV5" s="7">
        <f>VC!DQ56</f>
        <v>0</v>
      </c>
      <c r="DW5" s="7">
        <f>VC!DR56</f>
        <v>0</v>
      </c>
      <c r="DX5" s="7">
        <f>VC!DS56</f>
        <v>0</v>
      </c>
      <c r="DY5" s="7">
        <f>VC!DT56</f>
        <v>0</v>
      </c>
      <c r="DZ5" s="7">
        <f>VC!DU56</f>
        <v>0</v>
      </c>
      <c r="EA5" s="7" t="str">
        <f>VC!DV56</f>
        <v>blaVIM-20</v>
      </c>
      <c r="EB5" s="7">
        <f>VC!DW56</f>
        <v>0</v>
      </c>
      <c r="EC5" s="7">
        <f>VC!DX56</f>
        <v>0</v>
      </c>
      <c r="ED5" s="7">
        <f>VC!DY56</f>
        <v>0</v>
      </c>
      <c r="EE5" s="7" t="str">
        <f>VC!DZ56</f>
        <v>blaVIM-20, blaOXA-210</v>
      </c>
      <c r="EF5" s="7">
        <f>VC!EA56</f>
        <v>0</v>
      </c>
      <c r="EG5" s="7">
        <f>VC!EB56</f>
        <v>0</v>
      </c>
      <c r="EH5" s="7">
        <f>VC!EC56</f>
        <v>0</v>
      </c>
      <c r="EI5" s="7">
        <f>VC!ED56</f>
        <v>0</v>
      </c>
      <c r="EJ5" s="7">
        <f>VC!EE56</f>
        <v>0</v>
      </c>
      <c r="EK5" s="7">
        <f>VC!EF56</f>
        <v>0</v>
      </c>
      <c r="EL5" s="7">
        <f>VC!EG56</f>
        <v>0</v>
      </c>
      <c r="EM5" s="7">
        <f>VC!EH56</f>
        <v>0</v>
      </c>
      <c r="EN5" s="7">
        <f>VC!EI56</f>
        <v>0</v>
      </c>
      <c r="EO5" s="7">
        <f>VC!EJ56</f>
        <v>0</v>
      </c>
      <c r="EP5" s="7">
        <f>VC!EK56</f>
        <v>0</v>
      </c>
      <c r="EQ5" s="7">
        <f>VC!EL56</f>
        <v>0</v>
      </c>
      <c r="ER5" s="7">
        <f>VC!EM56</f>
        <v>0</v>
      </c>
      <c r="ES5" s="7">
        <f>VC!EN56</f>
        <v>0</v>
      </c>
      <c r="ET5" s="7">
        <f>VC!EO56</f>
        <v>0</v>
      </c>
      <c r="EU5" s="7">
        <f>VC!EP56</f>
        <v>0</v>
      </c>
      <c r="EV5" s="7">
        <f>VC!EQ56</f>
        <v>0</v>
      </c>
      <c r="EW5" s="7">
        <f>VC!ER56</f>
        <v>0</v>
      </c>
      <c r="EX5" s="7">
        <f>VC!ES56</f>
        <v>0</v>
      </c>
      <c r="EY5" s="7">
        <f>VC!ET56</f>
        <v>0</v>
      </c>
      <c r="EZ5" s="7">
        <f>VC!EU56</f>
        <v>0</v>
      </c>
      <c r="FA5" s="7">
        <f>VC!EV56</f>
        <v>0</v>
      </c>
      <c r="FB5" s="7">
        <f>VC!EW56</f>
        <v>0</v>
      </c>
      <c r="FC5" s="7">
        <f>VC!EX56</f>
        <v>0</v>
      </c>
      <c r="FD5" s="7">
        <f>VC!EY56</f>
        <v>0</v>
      </c>
      <c r="FE5" s="7">
        <f>VC!EZ56</f>
        <v>0</v>
      </c>
      <c r="FF5" s="7">
        <f>VC!FA56</f>
        <v>0</v>
      </c>
      <c r="FG5" s="7">
        <f>VC!FB56</f>
        <v>0</v>
      </c>
      <c r="FH5" s="7">
        <f>VC!FC56</f>
        <v>0</v>
      </c>
      <c r="FI5" s="7">
        <f>VC!FD56</f>
        <v>0</v>
      </c>
      <c r="FJ5" s="7">
        <f>VC!FE56</f>
        <v>0</v>
      </c>
      <c r="FK5" s="7">
        <f>VC!FF56</f>
        <v>0</v>
      </c>
      <c r="FL5" s="7">
        <f>VC!FG56</f>
        <v>0</v>
      </c>
      <c r="FM5" s="7">
        <f>VC!FH56</f>
        <v>0</v>
      </c>
      <c r="FN5" s="7">
        <f>VC!FI56</f>
        <v>0</v>
      </c>
      <c r="FO5" s="7">
        <f>VC!FJ56</f>
        <v>0</v>
      </c>
      <c r="FP5" s="7">
        <f>VC!FK56</f>
        <v>0</v>
      </c>
      <c r="FQ5" s="7">
        <f>VC!FL56</f>
        <v>0</v>
      </c>
      <c r="FR5" s="7">
        <f>VC!FM56</f>
        <v>0</v>
      </c>
      <c r="FS5" s="7">
        <f>VC!FN56</f>
        <v>0</v>
      </c>
      <c r="FT5" s="7">
        <f>VC!FO56</f>
        <v>0</v>
      </c>
      <c r="FU5" s="7">
        <f>VC!FP56</f>
        <v>0</v>
      </c>
      <c r="FV5" s="7">
        <f>VC!FQ56</f>
        <v>0</v>
      </c>
      <c r="FW5" s="7">
        <f>VC!FR56</f>
        <v>0</v>
      </c>
      <c r="FX5" s="7">
        <f>VC!FS56</f>
        <v>0</v>
      </c>
      <c r="FY5" s="7">
        <f>VC!FT56</f>
        <v>0</v>
      </c>
      <c r="FZ5" s="7">
        <f>VC!FU56</f>
        <v>0</v>
      </c>
      <c r="GA5" s="7" t="str">
        <f>VC!FV56</f>
        <v>blaGES-5</v>
      </c>
      <c r="GB5" s="7">
        <f>VC!FW56</f>
        <v>0</v>
      </c>
      <c r="GC5" s="7">
        <f>VC!FX56</f>
        <v>0</v>
      </c>
      <c r="GD5" s="7">
        <f>VC!FY56</f>
        <v>0</v>
      </c>
      <c r="GE5" s="7">
        <f>VC!FZ56</f>
        <v>0</v>
      </c>
      <c r="GF5" s="7">
        <f>VC!GA56</f>
        <v>0</v>
      </c>
      <c r="GG5" s="7">
        <f>VC!GB56</f>
        <v>0</v>
      </c>
      <c r="GH5" s="7">
        <f>VC!GC56</f>
        <v>0</v>
      </c>
      <c r="GI5" s="7">
        <f>VC!GD56</f>
        <v>0</v>
      </c>
      <c r="GJ5" s="7">
        <f>VC!GE56</f>
        <v>0</v>
      </c>
      <c r="GK5" s="7">
        <f>VC!GF56</f>
        <v>0</v>
      </c>
      <c r="GL5" s="7">
        <f>VC!GG56</f>
        <v>0</v>
      </c>
      <c r="GM5" s="7">
        <f>VC!GH56</f>
        <v>0</v>
      </c>
      <c r="GN5" s="7">
        <f>VC!GI56</f>
        <v>0</v>
      </c>
      <c r="GO5" s="7">
        <f>VC!GJ56</f>
        <v>0</v>
      </c>
      <c r="GP5" s="7">
        <f>VC!GK56</f>
        <v>0</v>
      </c>
      <c r="GQ5" s="7">
        <f>VC!GL56</f>
        <v>0</v>
      </c>
      <c r="GR5" s="7">
        <f>VC!GM56</f>
        <v>0</v>
      </c>
      <c r="GS5" s="7">
        <f>VC!GN56</f>
        <v>0</v>
      </c>
      <c r="GT5" s="7">
        <f>VC!GO56</f>
        <v>0</v>
      </c>
      <c r="GU5" s="7">
        <f>VC!GP56</f>
        <v>0</v>
      </c>
      <c r="GV5" s="7">
        <f>VC!GQ56</f>
        <v>0</v>
      </c>
      <c r="GW5" s="7">
        <f>VC!GR56</f>
        <v>0</v>
      </c>
      <c r="GX5" s="7">
        <f>VC!GS56</f>
        <v>0</v>
      </c>
      <c r="GY5" s="7">
        <f>VC!GT56</f>
        <v>0</v>
      </c>
      <c r="GZ5" s="7">
        <f>VC!GU56</f>
        <v>0</v>
      </c>
      <c r="HA5" s="7">
        <f>VC!GV56</f>
        <v>0</v>
      </c>
      <c r="HB5" s="7">
        <f>VC!GW56</f>
        <v>0</v>
      </c>
      <c r="HC5" s="7">
        <f>VC!GX56</f>
        <v>0</v>
      </c>
    </row>
    <row r="6" spans="1:211" s="10" customFormat="1" x14ac:dyDescent="0.25">
      <c r="A6" s="10" t="s">
        <v>94</v>
      </c>
      <c r="B6" s="10" t="s">
        <v>96</v>
      </c>
      <c r="C6" s="11" t="s">
        <v>4</v>
      </c>
      <c r="D6" s="10" t="s">
        <v>76</v>
      </c>
      <c r="E6" s="10">
        <v>1</v>
      </c>
      <c r="H6" s="10">
        <f>VC!C57</f>
        <v>0</v>
      </c>
      <c r="I6" s="10">
        <f>VC!D57</f>
        <v>0</v>
      </c>
      <c r="J6" s="10">
        <f>VC!E57</f>
        <v>0</v>
      </c>
      <c r="K6" s="10">
        <f>VC!F57</f>
        <v>0</v>
      </c>
      <c r="L6" s="10">
        <f>VC!G57</f>
        <v>0</v>
      </c>
      <c r="M6" s="10">
        <f>VC!H57</f>
        <v>0</v>
      </c>
      <c r="N6" s="10">
        <f>VC!I57</f>
        <v>0</v>
      </c>
      <c r="O6" s="10">
        <f>VC!J57</f>
        <v>0</v>
      </c>
      <c r="P6" s="10">
        <f>VC!K57</f>
        <v>0</v>
      </c>
      <c r="Q6" s="10">
        <f>VC!L57</f>
        <v>0</v>
      </c>
      <c r="R6" s="10">
        <f>VC!M57</f>
        <v>0</v>
      </c>
      <c r="S6" s="10">
        <f>VC!N57</f>
        <v>0</v>
      </c>
      <c r="T6" s="10">
        <f>VC!O57</f>
        <v>0</v>
      </c>
      <c r="U6" s="10">
        <f>VC!P57</f>
        <v>0</v>
      </c>
      <c r="V6" s="10">
        <f>VC!Q57</f>
        <v>0</v>
      </c>
      <c r="W6" s="10">
        <f>VC!R57</f>
        <v>0</v>
      </c>
      <c r="X6" s="10">
        <f>VC!S57</f>
        <v>0</v>
      </c>
      <c r="Y6" s="10">
        <f>VC!T57</f>
        <v>0</v>
      </c>
      <c r="Z6" s="10">
        <f>VC!U57</f>
        <v>0</v>
      </c>
      <c r="AA6" s="10">
        <f>VC!V57</f>
        <v>0</v>
      </c>
      <c r="AB6" s="10">
        <f>VC!W57</f>
        <v>0</v>
      </c>
      <c r="AC6" s="10">
        <f>VC!X57</f>
        <v>0</v>
      </c>
      <c r="AD6" s="10">
        <f>VC!Y57</f>
        <v>0</v>
      </c>
      <c r="AE6" s="10">
        <f>VC!Z57</f>
        <v>0</v>
      </c>
      <c r="AF6" s="10">
        <f>VC!AA57</f>
        <v>0</v>
      </c>
      <c r="AG6" s="10">
        <f>VC!AB57</f>
        <v>0</v>
      </c>
      <c r="AH6" s="10">
        <f>VC!AC57</f>
        <v>0</v>
      </c>
      <c r="AI6" s="10">
        <f>VC!AD57</f>
        <v>0</v>
      </c>
      <c r="AJ6" s="10">
        <f>VC!AE57</f>
        <v>0</v>
      </c>
      <c r="AK6" s="10">
        <f>VC!AF57</f>
        <v>0</v>
      </c>
      <c r="AL6" s="10">
        <f>VC!AG57</f>
        <v>0</v>
      </c>
      <c r="AM6" s="10">
        <f>VC!AH57</f>
        <v>0</v>
      </c>
      <c r="AN6" s="10">
        <f>VC!AI57</f>
        <v>0</v>
      </c>
      <c r="AO6" s="10">
        <f>VC!AJ57</f>
        <v>0</v>
      </c>
      <c r="AP6" s="10">
        <f>VC!AK57</f>
        <v>0</v>
      </c>
      <c r="AQ6" s="10">
        <f>VC!AL57</f>
        <v>0</v>
      </c>
      <c r="AR6" s="10">
        <f>VC!AM57</f>
        <v>0</v>
      </c>
      <c r="AS6" s="10">
        <f>VC!AN57</f>
        <v>0</v>
      </c>
      <c r="AT6" s="10">
        <f>VC!AO57</f>
        <v>0</v>
      </c>
      <c r="AU6" s="10">
        <f>VC!AP57</f>
        <v>0</v>
      </c>
      <c r="AV6" s="10">
        <f>VC!AQ57</f>
        <v>0</v>
      </c>
      <c r="AW6" s="10">
        <f>VC!AR57</f>
        <v>0</v>
      </c>
      <c r="AX6" s="10">
        <f>VC!AS57</f>
        <v>0</v>
      </c>
      <c r="AY6" s="10">
        <f>VC!AT57</f>
        <v>0</v>
      </c>
      <c r="AZ6" s="10">
        <f>VC!AU57</f>
        <v>0</v>
      </c>
      <c r="BA6" s="10">
        <f>VC!AV57</f>
        <v>0</v>
      </c>
      <c r="BB6" s="10">
        <f>VC!AW57</f>
        <v>0</v>
      </c>
      <c r="BC6" s="10">
        <f>VC!AX57</f>
        <v>0</v>
      </c>
      <c r="BD6" s="10">
        <f>VC!AY57</f>
        <v>0</v>
      </c>
      <c r="BE6" s="10">
        <f>VC!AZ57</f>
        <v>0</v>
      </c>
      <c r="BF6" s="10">
        <f>VC!BA57</f>
        <v>0</v>
      </c>
      <c r="BG6" s="10">
        <f>VC!BB57</f>
        <v>0</v>
      </c>
      <c r="BH6" s="10">
        <f>VC!BC57</f>
        <v>0</v>
      </c>
      <c r="BI6" s="10">
        <f>VC!BD57</f>
        <v>0</v>
      </c>
      <c r="BJ6" s="10">
        <f>VC!BE57</f>
        <v>0</v>
      </c>
      <c r="BK6" s="10">
        <f>VC!BF57</f>
        <v>0</v>
      </c>
      <c r="BL6" s="10">
        <f>VC!BG57</f>
        <v>0</v>
      </c>
      <c r="BM6" s="10">
        <f>VC!BH57</f>
        <v>0</v>
      </c>
      <c r="BN6" s="10">
        <f>VC!BI57</f>
        <v>0</v>
      </c>
      <c r="BO6" s="10">
        <f>VC!BJ57</f>
        <v>0</v>
      </c>
      <c r="BP6" s="10">
        <f>VC!BK57</f>
        <v>0</v>
      </c>
      <c r="BQ6" s="10">
        <f>VC!BL57</f>
        <v>0</v>
      </c>
      <c r="BR6" s="10">
        <f>VC!BM57</f>
        <v>0</v>
      </c>
      <c r="BS6" s="10">
        <f>VC!BN57</f>
        <v>0</v>
      </c>
      <c r="BT6" s="10">
        <f>VC!BO57</f>
        <v>0</v>
      </c>
      <c r="BU6" s="10">
        <f>VC!BP57</f>
        <v>0</v>
      </c>
      <c r="BV6" s="10">
        <f>VC!BQ57</f>
        <v>0</v>
      </c>
      <c r="BW6" s="10">
        <f>VC!BR57</f>
        <v>0</v>
      </c>
      <c r="BX6" s="10">
        <f>VC!BS57</f>
        <v>0</v>
      </c>
      <c r="BY6" s="10">
        <f>VC!BT57</f>
        <v>0</v>
      </c>
      <c r="BZ6" s="10">
        <f>VC!BU57</f>
        <v>0</v>
      </c>
      <c r="CA6" s="10">
        <f>VC!BV57</f>
        <v>0</v>
      </c>
      <c r="CB6" s="10">
        <f>VC!BW57</f>
        <v>0</v>
      </c>
      <c r="CC6" s="10">
        <f>VC!BX57</f>
        <v>0</v>
      </c>
      <c r="CD6" s="10">
        <f>VC!BY57</f>
        <v>0</v>
      </c>
      <c r="CE6" s="10">
        <f>VC!BZ57</f>
        <v>0</v>
      </c>
      <c r="CF6" s="10">
        <f>VC!CA57</f>
        <v>0</v>
      </c>
      <c r="CG6" s="10">
        <f>VC!CB57</f>
        <v>0</v>
      </c>
      <c r="CH6" s="10">
        <f>VC!CC57</f>
        <v>0</v>
      </c>
      <c r="CI6" s="10">
        <f>VC!CD57</f>
        <v>0</v>
      </c>
      <c r="CJ6" s="10">
        <f>VC!CE57</f>
        <v>0</v>
      </c>
      <c r="CK6" s="10">
        <f>VC!CF57</f>
        <v>0</v>
      </c>
      <c r="CL6" s="10">
        <f>VC!CG57</f>
        <v>0</v>
      </c>
      <c r="CM6" s="10">
        <f>VC!CH57</f>
        <v>0</v>
      </c>
      <c r="CN6" s="10">
        <f>VC!CI57</f>
        <v>0</v>
      </c>
      <c r="CO6" s="10">
        <f>VC!CJ57</f>
        <v>0</v>
      </c>
      <c r="CP6" s="10">
        <f>VC!CK57</f>
        <v>0</v>
      </c>
      <c r="CQ6" s="10">
        <f>VC!CL57</f>
        <v>0</v>
      </c>
      <c r="CR6" s="10">
        <f>VC!CM57</f>
        <v>0</v>
      </c>
      <c r="CS6" s="10">
        <f>VC!CN57</f>
        <v>0</v>
      </c>
      <c r="CT6" s="10">
        <f>VC!CO57</f>
        <v>0</v>
      </c>
      <c r="CU6" s="10">
        <f>VC!CP57</f>
        <v>0</v>
      </c>
      <c r="CV6" s="10">
        <f>VC!CQ57</f>
        <v>0</v>
      </c>
      <c r="CW6" s="10">
        <f>VC!CR57</f>
        <v>0</v>
      </c>
      <c r="CX6" s="10">
        <f>VC!CS57</f>
        <v>0</v>
      </c>
      <c r="CY6" s="10">
        <f>VC!CT57</f>
        <v>0</v>
      </c>
      <c r="CZ6" s="10">
        <f>VC!CU57</f>
        <v>0</v>
      </c>
      <c r="DA6" s="10">
        <f>VC!CV57</f>
        <v>0</v>
      </c>
      <c r="DB6" s="10">
        <f>VC!CW57</f>
        <v>0</v>
      </c>
      <c r="DC6" s="10">
        <f>VC!CX57</f>
        <v>0</v>
      </c>
      <c r="DD6" s="10">
        <f>VC!CY57</f>
        <v>0</v>
      </c>
      <c r="DE6" s="10">
        <f>VC!CZ57</f>
        <v>0</v>
      </c>
      <c r="DF6" s="10">
        <f>VC!DA57</f>
        <v>0</v>
      </c>
      <c r="DG6" s="10">
        <f>VC!DB57</f>
        <v>0</v>
      </c>
      <c r="DH6" s="10">
        <f>VC!DC57</f>
        <v>0</v>
      </c>
      <c r="DI6" s="10">
        <f>VC!DD57</f>
        <v>0</v>
      </c>
      <c r="DJ6" s="10">
        <f>VC!DE57</f>
        <v>0</v>
      </c>
      <c r="DK6" s="10">
        <f>VC!DF57</f>
        <v>0</v>
      </c>
      <c r="DL6" s="10">
        <f>VC!DG57</f>
        <v>0</v>
      </c>
      <c r="DM6" s="10">
        <f>VC!DH57</f>
        <v>0</v>
      </c>
      <c r="DN6" s="10">
        <f>VC!DI57</f>
        <v>0</v>
      </c>
      <c r="DO6" s="10">
        <f>VC!DJ57</f>
        <v>0</v>
      </c>
      <c r="DP6" s="10">
        <f>VC!DK57</f>
        <v>0</v>
      </c>
      <c r="DQ6" s="10">
        <f>VC!DL57</f>
        <v>0</v>
      </c>
      <c r="DR6" s="10">
        <f>VC!DM57</f>
        <v>0</v>
      </c>
      <c r="DS6" s="10">
        <f>VC!DN57</f>
        <v>0</v>
      </c>
      <c r="DT6" s="10">
        <f>VC!DO57</f>
        <v>0</v>
      </c>
      <c r="DU6" s="10">
        <f>VC!DP57</f>
        <v>0</v>
      </c>
      <c r="DV6" s="10">
        <f>VC!DQ57</f>
        <v>0</v>
      </c>
      <c r="DW6" s="10">
        <f>VC!DR57</f>
        <v>0</v>
      </c>
      <c r="DX6" s="10">
        <f>VC!DS57</f>
        <v>0</v>
      </c>
      <c r="DY6" s="10">
        <f>VC!DT57</f>
        <v>0</v>
      </c>
      <c r="DZ6" s="10">
        <f>VC!DU57</f>
        <v>0</v>
      </c>
      <c r="EA6" s="10">
        <f>VC!DV57</f>
        <v>0</v>
      </c>
      <c r="EB6" s="10">
        <f>VC!DW57</f>
        <v>0</v>
      </c>
      <c r="EC6" s="10">
        <f>VC!DX57</f>
        <v>0</v>
      </c>
      <c r="ED6" s="10">
        <f>VC!DY57</f>
        <v>0</v>
      </c>
      <c r="EE6" s="10">
        <f>VC!DZ57</f>
        <v>0</v>
      </c>
      <c r="EF6" s="10">
        <f>VC!EA57</f>
        <v>0</v>
      </c>
      <c r="EG6" s="10">
        <f>VC!EB57</f>
        <v>0</v>
      </c>
      <c r="EH6" s="10">
        <f>VC!EC57</f>
        <v>0</v>
      </c>
      <c r="EI6" s="10">
        <f>VC!ED57</f>
        <v>0</v>
      </c>
      <c r="EJ6" s="10">
        <f>VC!EE57</f>
        <v>0</v>
      </c>
      <c r="EK6" s="10">
        <f>VC!EF57</f>
        <v>0</v>
      </c>
      <c r="EL6" s="10">
        <f>VC!EG57</f>
        <v>0</v>
      </c>
      <c r="EM6" s="10">
        <f>VC!EH57</f>
        <v>0</v>
      </c>
      <c r="EN6" s="10">
        <f>VC!EI57</f>
        <v>0</v>
      </c>
      <c r="EO6" s="10">
        <f>VC!EJ57</f>
        <v>0</v>
      </c>
      <c r="EP6" s="10">
        <f>VC!EK57</f>
        <v>0</v>
      </c>
      <c r="EQ6" s="10">
        <f>VC!EL57</f>
        <v>0</v>
      </c>
      <c r="ER6" s="10">
        <f>VC!EM57</f>
        <v>0</v>
      </c>
      <c r="ES6" s="10">
        <f>VC!EN57</f>
        <v>0</v>
      </c>
      <c r="ET6" s="10">
        <f>VC!EO57</f>
        <v>0</v>
      </c>
      <c r="EU6" s="10">
        <f>VC!EP57</f>
        <v>0</v>
      </c>
      <c r="EV6" s="10">
        <f>VC!EQ57</f>
        <v>0</v>
      </c>
      <c r="EW6" s="10">
        <f>VC!ER57</f>
        <v>0</v>
      </c>
      <c r="EX6" s="10">
        <f>VC!ES57</f>
        <v>0</v>
      </c>
      <c r="EY6" s="10">
        <f>VC!ET57</f>
        <v>0</v>
      </c>
      <c r="EZ6" s="10">
        <f>VC!EU57</f>
        <v>0</v>
      </c>
      <c r="FA6" s="10">
        <f>VC!EV57</f>
        <v>0</v>
      </c>
      <c r="FB6" s="10">
        <f>VC!EW57</f>
        <v>0</v>
      </c>
      <c r="FC6" s="10">
        <f>VC!EX57</f>
        <v>0</v>
      </c>
      <c r="FD6" s="10">
        <f>VC!EY57</f>
        <v>0</v>
      </c>
      <c r="FE6" s="10" t="str">
        <f>VC!EZ57</f>
        <v>aac(6')Ib-cr</v>
      </c>
      <c r="FF6" s="10">
        <f>VC!FA57</f>
        <v>0</v>
      </c>
      <c r="FG6" s="10">
        <f>VC!FB57</f>
        <v>0</v>
      </c>
      <c r="FH6" s="10">
        <f>VC!FC57</f>
        <v>0</v>
      </c>
      <c r="FI6" s="10">
        <f>VC!FD57</f>
        <v>0</v>
      </c>
      <c r="FJ6" s="10">
        <f>VC!FE57</f>
        <v>0</v>
      </c>
      <c r="FK6" s="10">
        <f>VC!FF57</f>
        <v>0</v>
      </c>
      <c r="FL6" s="10">
        <f>VC!FG57</f>
        <v>0</v>
      </c>
      <c r="FM6" s="10">
        <f>VC!FH57</f>
        <v>0</v>
      </c>
      <c r="FN6" s="10">
        <f>VC!FI57</f>
        <v>0</v>
      </c>
      <c r="FO6" s="10">
        <f>VC!FJ57</f>
        <v>0</v>
      </c>
      <c r="FP6" s="10">
        <f>VC!FK57</f>
        <v>0</v>
      </c>
      <c r="FQ6" s="10">
        <f>VC!FL57</f>
        <v>0</v>
      </c>
      <c r="FR6" s="10">
        <f>VC!FM57</f>
        <v>0</v>
      </c>
      <c r="FS6" s="10">
        <f>VC!FN57</f>
        <v>0</v>
      </c>
      <c r="FT6" s="10">
        <f>VC!FO57</f>
        <v>0</v>
      </c>
      <c r="FU6" s="10">
        <f>VC!FP57</f>
        <v>0</v>
      </c>
      <c r="FV6" s="10">
        <f>VC!FQ57</f>
        <v>0</v>
      </c>
      <c r="FW6" s="10">
        <f>VC!FR57</f>
        <v>0</v>
      </c>
      <c r="FX6" s="10">
        <f>VC!FS57</f>
        <v>0</v>
      </c>
      <c r="FY6" s="10">
        <f>VC!FT57</f>
        <v>0</v>
      </c>
      <c r="FZ6" s="10">
        <f>VC!FU57</f>
        <v>0</v>
      </c>
      <c r="GA6" s="10">
        <f>VC!FV57</f>
        <v>0</v>
      </c>
      <c r="GB6" s="10">
        <f>VC!FW57</f>
        <v>0</v>
      </c>
      <c r="GC6" s="10">
        <f>VC!FX57</f>
        <v>0</v>
      </c>
      <c r="GD6" s="10">
        <f>VC!FY57</f>
        <v>0</v>
      </c>
      <c r="GE6" s="10">
        <f>VC!FZ57</f>
        <v>0</v>
      </c>
      <c r="GF6" s="10">
        <f>VC!GA57</f>
        <v>0</v>
      </c>
      <c r="GG6" s="10">
        <f>VC!GB57</f>
        <v>0</v>
      </c>
      <c r="GH6" s="10">
        <f>VC!GC57</f>
        <v>0</v>
      </c>
      <c r="GI6" s="10">
        <f>VC!GD57</f>
        <v>0</v>
      </c>
      <c r="GJ6" s="10">
        <f>VC!GE57</f>
        <v>0</v>
      </c>
      <c r="GK6" s="10">
        <f>VC!GF57</f>
        <v>0</v>
      </c>
      <c r="GL6" s="10">
        <f>VC!GG57</f>
        <v>0</v>
      </c>
      <c r="GM6" s="10">
        <f>VC!GH57</f>
        <v>0</v>
      </c>
      <c r="GN6" s="10">
        <f>VC!GI57</f>
        <v>0</v>
      </c>
      <c r="GO6" s="10">
        <f>VC!GJ57</f>
        <v>0</v>
      </c>
      <c r="GP6" s="10">
        <f>VC!GK57</f>
        <v>0</v>
      </c>
      <c r="GQ6" s="10">
        <f>VC!GL57</f>
        <v>0</v>
      </c>
      <c r="GR6" s="10">
        <f>VC!GM57</f>
        <v>0</v>
      </c>
      <c r="GS6" s="10">
        <f>VC!GN57</f>
        <v>0</v>
      </c>
      <c r="GT6" s="10">
        <f>VC!GO57</f>
        <v>0</v>
      </c>
      <c r="GU6" s="10">
        <f>VC!GP57</f>
        <v>0</v>
      </c>
      <c r="GV6" s="10">
        <f>VC!GQ57</f>
        <v>0</v>
      </c>
      <c r="GW6" s="10">
        <f>VC!GR57</f>
        <v>0</v>
      </c>
      <c r="GX6" s="10">
        <f>VC!GS57</f>
        <v>0</v>
      </c>
      <c r="GY6" s="10">
        <f>VC!GT57</f>
        <v>0</v>
      </c>
      <c r="GZ6" s="10">
        <f>VC!GU57</f>
        <v>0</v>
      </c>
      <c r="HA6" s="10">
        <f>VC!GV57</f>
        <v>0</v>
      </c>
      <c r="HB6" s="10">
        <f>VC!GW57</f>
        <v>0</v>
      </c>
      <c r="HC6" s="10">
        <f>VC!GX57</f>
        <v>0</v>
      </c>
    </row>
    <row r="7" spans="1:211" s="7" customFormat="1" x14ac:dyDescent="0.25">
      <c r="A7" s="7" t="s">
        <v>94</v>
      </c>
      <c r="B7" s="7" t="s">
        <v>102</v>
      </c>
      <c r="C7" s="8" t="s">
        <v>3</v>
      </c>
      <c r="D7" s="7" t="s">
        <v>76</v>
      </c>
      <c r="E7" s="7">
        <v>2</v>
      </c>
      <c r="H7" s="7">
        <f>VC!C58</f>
        <v>0</v>
      </c>
      <c r="I7" s="7">
        <f>VC!D58</f>
        <v>0</v>
      </c>
      <c r="J7" s="7">
        <f>VC!E58</f>
        <v>0</v>
      </c>
      <c r="K7" s="7">
        <f>VC!F58</f>
        <v>0</v>
      </c>
      <c r="L7" s="7">
        <f>VC!G58</f>
        <v>0</v>
      </c>
      <c r="M7" s="7">
        <f>VC!H58</f>
        <v>0</v>
      </c>
      <c r="N7" s="7">
        <f>VC!I58</f>
        <v>0</v>
      </c>
      <c r="O7" s="7">
        <f>VC!J58</f>
        <v>0</v>
      </c>
      <c r="P7" s="7">
        <f>VC!K58</f>
        <v>0</v>
      </c>
      <c r="Q7" s="7">
        <f>VC!L58</f>
        <v>0</v>
      </c>
      <c r="R7" s="7">
        <f>VC!M58</f>
        <v>0</v>
      </c>
      <c r="S7" s="7">
        <f>VC!N58</f>
        <v>0</v>
      </c>
      <c r="T7" s="7">
        <f>VC!O58</f>
        <v>0</v>
      </c>
      <c r="U7" s="7">
        <f>VC!P58</f>
        <v>0</v>
      </c>
      <c r="V7" s="7">
        <f>VC!Q58</f>
        <v>0</v>
      </c>
      <c r="W7" s="7">
        <f>VC!R58</f>
        <v>0</v>
      </c>
      <c r="X7" s="7">
        <f>VC!S58</f>
        <v>0</v>
      </c>
      <c r="Y7" s="7">
        <f>VC!T58</f>
        <v>0</v>
      </c>
      <c r="Z7" s="7">
        <f>VC!U58</f>
        <v>0</v>
      </c>
      <c r="AA7" s="7">
        <f>VC!V58</f>
        <v>0</v>
      </c>
      <c r="AB7" s="7">
        <f>VC!W58</f>
        <v>0</v>
      </c>
      <c r="AC7" s="7">
        <f>VC!X58</f>
        <v>0</v>
      </c>
      <c r="AD7" s="7">
        <f>VC!Y58</f>
        <v>0</v>
      </c>
      <c r="AE7" s="7">
        <f>VC!Z58</f>
        <v>0</v>
      </c>
      <c r="AF7" s="7">
        <f>VC!AA58</f>
        <v>0</v>
      </c>
      <c r="AG7" s="7">
        <f>VC!AB58</f>
        <v>0</v>
      </c>
      <c r="AH7" s="7">
        <f>VC!AC58</f>
        <v>0</v>
      </c>
      <c r="AI7" s="7">
        <f>VC!AD58</f>
        <v>0</v>
      </c>
      <c r="AJ7" s="7">
        <f>VC!AE58</f>
        <v>0</v>
      </c>
      <c r="AK7" s="7">
        <f>VC!AF58</f>
        <v>0</v>
      </c>
      <c r="AL7" s="7">
        <f>VC!AG58</f>
        <v>0</v>
      </c>
      <c r="AM7" s="7">
        <f>VC!AH58</f>
        <v>0</v>
      </c>
      <c r="AN7" s="7">
        <f>VC!AI58</f>
        <v>0</v>
      </c>
      <c r="AO7" s="7">
        <f>VC!AJ58</f>
        <v>0</v>
      </c>
      <c r="AP7" s="7">
        <f>VC!AK58</f>
        <v>0</v>
      </c>
      <c r="AQ7" s="7">
        <f>VC!AL58</f>
        <v>0</v>
      </c>
      <c r="AR7" s="7">
        <f>VC!AM58</f>
        <v>0</v>
      </c>
      <c r="AS7" s="7">
        <f>VC!AN58</f>
        <v>0</v>
      </c>
      <c r="AT7" s="7">
        <f>VC!AO58</f>
        <v>0</v>
      </c>
      <c r="AU7" s="7">
        <f>VC!AP58</f>
        <v>0</v>
      </c>
      <c r="AV7" s="7">
        <f>VC!AQ58</f>
        <v>0</v>
      </c>
      <c r="AW7" s="7">
        <f>VC!AR58</f>
        <v>0</v>
      </c>
      <c r="AX7" s="7">
        <f>VC!AS58</f>
        <v>0</v>
      </c>
      <c r="AY7" s="7">
        <f>VC!AT58</f>
        <v>0</v>
      </c>
      <c r="AZ7" s="7">
        <f>VC!AU58</f>
        <v>0</v>
      </c>
      <c r="BA7" s="7">
        <f>VC!AV58</f>
        <v>0</v>
      </c>
      <c r="BB7" s="7">
        <f>VC!AW58</f>
        <v>0</v>
      </c>
      <c r="BC7" s="7">
        <f>VC!AX58</f>
        <v>0</v>
      </c>
      <c r="BD7" s="7">
        <f>VC!AY58</f>
        <v>0</v>
      </c>
      <c r="BE7" s="7">
        <f>VC!AZ58</f>
        <v>0</v>
      </c>
      <c r="BF7" s="7">
        <f>VC!BA58</f>
        <v>0</v>
      </c>
      <c r="BG7" s="7">
        <f>VC!BB58</f>
        <v>0</v>
      </c>
      <c r="BH7" s="7">
        <f>VC!BC58</f>
        <v>0</v>
      </c>
      <c r="BI7" s="7">
        <f>VC!BD58</f>
        <v>0</v>
      </c>
      <c r="BJ7" s="7" t="str">
        <f>VC!BE58</f>
        <v>blaOXA-15</v>
      </c>
      <c r="BK7" s="7">
        <f>VC!BF58</f>
        <v>0</v>
      </c>
      <c r="BL7" s="7">
        <f>VC!BG58</f>
        <v>0</v>
      </c>
      <c r="BM7" s="7">
        <f>VC!BH58</f>
        <v>0</v>
      </c>
      <c r="BN7" s="7">
        <f>VC!BI58</f>
        <v>0</v>
      </c>
      <c r="BO7" s="7">
        <f>VC!BJ58</f>
        <v>0</v>
      </c>
      <c r="BP7" s="7">
        <f>VC!BK58</f>
        <v>0</v>
      </c>
      <c r="BQ7" s="7">
        <f>VC!BL58</f>
        <v>0</v>
      </c>
      <c r="BR7" s="7">
        <f>VC!BM58</f>
        <v>0</v>
      </c>
      <c r="BS7" s="7">
        <f>VC!BN58</f>
        <v>0</v>
      </c>
      <c r="BT7" s="7">
        <f>VC!BO58</f>
        <v>0</v>
      </c>
      <c r="BU7" s="7">
        <f>VC!BP58</f>
        <v>0</v>
      </c>
      <c r="BV7" s="7">
        <f>VC!BQ58</f>
        <v>0</v>
      </c>
      <c r="BW7" s="7">
        <f>VC!BR58</f>
        <v>0</v>
      </c>
      <c r="BX7" s="7">
        <f>VC!BS58</f>
        <v>0</v>
      </c>
      <c r="BY7" s="7">
        <f>VC!BT58</f>
        <v>0</v>
      </c>
      <c r="BZ7" s="7">
        <f>VC!BU58</f>
        <v>0</v>
      </c>
      <c r="CA7" s="7">
        <f>VC!BV58</f>
        <v>0</v>
      </c>
      <c r="CB7" s="7">
        <f>VC!BW58</f>
        <v>0</v>
      </c>
      <c r="CC7" s="7">
        <f>VC!BX58</f>
        <v>0</v>
      </c>
      <c r="CD7" s="7">
        <f>VC!BY58</f>
        <v>0</v>
      </c>
      <c r="CE7" s="7">
        <f>VC!BZ58</f>
        <v>0</v>
      </c>
      <c r="CF7" s="7">
        <f>VC!CA58</f>
        <v>0</v>
      </c>
      <c r="CG7" s="7">
        <f>VC!CB58</f>
        <v>0</v>
      </c>
      <c r="CH7" s="7">
        <f>VC!CC58</f>
        <v>0</v>
      </c>
      <c r="CI7" s="7">
        <f>VC!CD58</f>
        <v>0</v>
      </c>
      <c r="CJ7" s="7">
        <f>VC!CE58</f>
        <v>0</v>
      </c>
      <c r="CK7" s="7">
        <f>VC!CF58</f>
        <v>0</v>
      </c>
      <c r="CL7" s="7">
        <f>VC!CG58</f>
        <v>0</v>
      </c>
      <c r="CM7" s="7" t="str">
        <f>VC!CH58</f>
        <v>blaVIM-1</v>
      </c>
      <c r="CN7" s="7">
        <f>VC!CI58</f>
        <v>0</v>
      </c>
      <c r="CO7" s="7">
        <f>VC!CJ58</f>
        <v>0</v>
      </c>
      <c r="CP7" s="7">
        <f>VC!CK58</f>
        <v>0</v>
      </c>
      <c r="CQ7" s="7">
        <f>VC!CL58</f>
        <v>0</v>
      </c>
      <c r="CR7" s="7">
        <f>VC!CM58</f>
        <v>0</v>
      </c>
      <c r="CS7" s="7">
        <f>VC!CN58</f>
        <v>0</v>
      </c>
      <c r="CT7" s="7">
        <f>VC!CO58</f>
        <v>0</v>
      </c>
      <c r="CU7" s="7">
        <f>VC!CP58</f>
        <v>0</v>
      </c>
      <c r="CV7" s="7">
        <f>VC!CQ58</f>
        <v>0</v>
      </c>
      <c r="CW7" s="7">
        <f>VC!CR58</f>
        <v>0</v>
      </c>
      <c r="CX7" s="7">
        <f>VC!CS58</f>
        <v>0</v>
      </c>
      <c r="CY7" s="7">
        <f>VC!CT58</f>
        <v>0</v>
      </c>
      <c r="CZ7" s="7" t="str">
        <f>VC!CU58</f>
        <v>OXA-2</v>
      </c>
      <c r="DA7" s="7">
        <f>VC!CV58</f>
        <v>0</v>
      </c>
      <c r="DB7" s="7">
        <f>VC!CW58</f>
        <v>0</v>
      </c>
      <c r="DC7" s="7">
        <f>VC!CX58</f>
        <v>0</v>
      </c>
      <c r="DD7" s="7">
        <f>VC!CY58</f>
        <v>0</v>
      </c>
      <c r="DE7" s="7">
        <f>VC!CZ58</f>
        <v>0</v>
      </c>
      <c r="DF7" s="7">
        <f>VC!DA58</f>
        <v>0</v>
      </c>
      <c r="DG7" s="7">
        <f>VC!DB58</f>
        <v>0</v>
      </c>
      <c r="DH7" s="7">
        <f>VC!DC58</f>
        <v>0</v>
      </c>
      <c r="DI7" s="7">
        <f>VC!DD58</f>
        <v>0</v>
      </c>
      <c r="DJ7" s="7">
        <f>VC!DE58</f>
        <v>0</v>
      </c>
      <c r="DK7" s="7" t="str">
        <f>VC!DF58</f>
        <v>blaIMP-1 (K41E)</v>
      </c>
      <c r="DL7" s="7">
        <f>VC!DG58</f>
        <v>0</v>
      </c>
      <c r="DM7" s="7">
        <f>VC!DH58</f>
        <v>0</v>
      </c>
      <c r="DN7" s="7">
        <f>VC!DI58</f>
        <v>0</v>
      </c>
      <c r="DO7" s="7">
        <f>VC!DJ58</f>
        <v>0</v>
      </c>
      <c r="DP7" s="7">
        <f>VC!DK58</f>
        <v>0</v>
      </c>
      <c r="DQ7" s="7">
        <f>VC!DL58</f>
        <v>0</v>
      </c>
      <c r="DR7" s="7">
        <f>VC!DM58</f>
        <v>0</v>
      </c>
      <c r="DS7" s="7">
        <f>VC!DN58</f>
        <v>0</v>
      </c>
      <c r="DT7" s="7">
        <f>VC!DO58</f>
        <v>0</v>
      </c>
      <c r="DU7" s="7">
        <f>VC!DP58</f>
        <v>0</v>
      </c>
      <c r="DV7" s="7">
        <f>VC!DQ58</f>
        <v>0</v>
      </c>
      <c r="DW7" s="7">
        <f>VC!DR58</f>
        <v>0</v>
      </c>
      <c r="DX7" s="7">
        <f>VC!DS58</f>
        <v>0</v>
      </c>
      <c r="DY7" s="7">
        <f>VC!DT58</f>
        <v>0</v>
      </c>
      <c r="DZ7" s="7">
        <f>VC!DU58</f>
        <v>0</v>
      </c>
      <c r="EA7" s="7" t="str">
        <f>VC!DV58</f>
        <v>blaVIM-20</v>
      </c>
      <c r="EB7" s="7">
        <f>VC!DW58</f>
        <v>0</v>
      </c>
      <c r="EC7" s="7">
        <f>VC!DX58</f>
        <v>0</v>
      </c>
      <c r="ED7" s="7">
        <f>VC!DY58</f>
        <v>0</v>
      </c>
      <c r="EE7" s="7" t="str">
        <f>VC!DZ58</f>
        <v>blaVIM-20, blaOXA-210</v>
      </c>
      <c r="EF7" s="7">
        <f>VC!EA58</f>
        <v>0</v>
      </c>
      <c r="EG7" s="7">
        <f>VC!EB58</f>
        <v>0</v>
      </c>
      <c r="EH7" s="7">
        <f>VC!EC58</f>
        <v>0</v>
      </c>
      <c r="EI7" s="7">
        <f>VC!ED58</f>
        <v>0</v>
      </c>
      <c r="EJ7" s="7">
        <f>VC!EE58</f>
        <v>0</v>
      </c>
      <c r="EK7" s="7">
        <f>VC!EF58</f>
        <v>0</v>
      </c>
      <c r="EL7" s="7">
        <f>VC!EG58</f>
        <v>0</v>
      </c>
      <c r="EM7" s="7">
        <f>VC!EH58</f>
        <v>0</v>
      </c>
      <c r="EN7" s="7">
        <f>VC!EI58</f>
        <v>0</v>
      </c>
      <c r="EO7" s="7">
        <f>VC!EJ58</f>
        <v>0</v>
      </c>
      <c r="EP7" s="7">
        <f>VC!EK58</f>
        <v>0</v>
      </c>
      <c r="EQ7" s="7">
        <f>VC!EL58</f>
        <v>0</v>
      </c>
      <c r="ER7" s="7">
        <f>VC!EM58</f>
        <v>0</v>
      </c>
      <c r="ES7" s="7">
        <f>VC!EN58</f>
        <v>0</v>
      </c>
      <c r="ET7" s="7">
        <f>VC!EO58</f>
        <v>0</v>
      </c>
      <c r="EU7" s="7">
        <f>VC!EP58</f>
        <v>0</v>
      </c>
      <c r="EV7" s="7">
        <f>VC!EQ58</f>
        <v>0</v>
      </c>
      <c r="EW7" s="7">
        <f>VC!ER58</f>
        <v>0</v>
      </c>
      <c r="EX7" s="7">
        <f>VC!ES58</f>
        <v>0</v>
      </c>
      <c r="EY7" s="7">
        <f>VC!ET58</f>
        <v>0</v>
      </c>
      <c r="EZ7" s="7">
        <f>VC!EU58</f>
        <v>0</v>
      </c>
      <c r="FA7" s="7">
        <f>VC!EV58</f>
        <v>0</v>
      </c>
      <c r="FB7" s="7">
        <f>VC!EW58</f>
        <v>0</v>
      </c>
      <c r="FC7" s="7">
        <f>VC!EX58</f>
        <v>0</v>
      </c>
      <c r="FD7" s="7">
        <f>VC!EY58</f>
        <v>0</v>
      </c>
      <c r="FE7" s="7">
        <f>VC!EZ58</f>
        <v>0</v>
      </c>
      <c r="FF7" s="7">
        <f>VC!FA58</f>
        <v>0</v>
      </c>
      <c r="FG7" s="7">
        <f>VC!FB58</f>
        <v>0</v>
      </c>
      <c r="FH7" s="7">
        <f>VC!FC58</f>
        <v>0</v>
      </c>
      <c r="FI7" s="7">
        <f>VC!FD58</f>
        <v>0</v>
      </c>
      <c r="FJ7" s="7">
        <f>VC!FE58</f>
        <v>0</v>
      </c>
      <c r="FK7" s="7">
        <f>VC!FF58</f>
        <v>0</v>
      </c>
      <c r="FL7" s="7">
        <f>VC!FG58</f>
        <v>0</v>
      </c>
      <c r="FM7" s="7">
        <f>VC!FH58</f>
        <v>0</v>
      </c>
      <c r="FN7" s="7">
        <f>VC!FI58</f>
        <v>0</v>
      </c>
      <c r="FO7" s="7">
        <f>VC!FJ58</f>
        <v>0</v>
      </c>
      <c r="FP7" s="7">
        <f>VC!FK58</f>
        <v>0</v>
      </c>
      <c r="FQ7" s="7">
        <f>VC!FL58</f>
        <v>0</v>
      </c>
      <c r="FR7" s="7">
        <f>VC!FM58</f>
        <v>0</v>
      </c>
      <c r="FS7" s="7">
        <f>VC!FN58</f>
        <v>0</v>
      </c>
      <c r="FT7" s="7">
        <f>VC!FO58</f>
        <v>0</v>
      </c>
      <c r="FU7" s="7">
        <f>VC!FP58</f>
        <v>0</v>
      </c>
      <c r="FV7" s="7">
        <f>VC!FQ58</f>
        <v>0</v>
      </c>
      <c r="FW7" s="7">
        <f>VC!FR58</f>
        <v>0</v>
      </c>
      <c r="FX7" s="7">
        <f>VC!FS58</f>
        <v>0</v>
      </c>
      <c r="FY7" s="7">
        <f>VC!FT58</f>
        <v>0</v>
      </c>
      <c r="FZ7" s="7">
        <f>VC!FU58</f>
        <v>0</v>
      </c>
      <c r="GA7" s="7" t="str">
        <f>VC!FV58</f>
        <v>blaGES-5</v>
      </c>
      <c r="GB7" s="7">
        <f>VC!FW58</f>
        <v>0</v>
      </c>
      <c r="GC7" s="7">
        <f>VC!FX58</f>
        <v>0</v>
      </c>
      <c r="GD7" s="7">
        <f>VC!FY58</f>
        <v>0</v>
      </c>
      <c r="GE7" s="7">
        <f>VC!FZ58</f>
        <v>0</v>
      </c>
      <c r="GF7" s="7">
        <f>VC!GA58</f>
        <v>0</v>
      </c>
      <c r="GG7" s="7">
        <f>VC!GB58</f>
        <v>0</v>
      </c>
      <c r="GH7" s="7">
        <f>VC!GC58</f>
        <v>0</v>
      </c>
      <c r="GI7" s="7">
        <f>VC!GD58</f>
        <v>0</v>
      </c>
      <c r="GJ7" s="7">
        <f>VC!GE58</f>
        <v>0</v>
      </c>
      <c r="GK7" s="7">
        <f>VC!GF58</f>
        <v>0</v>
      </c>
      <c r="GL7" s="7">
        <f>VC!GG58</f>
        <v>0</v>
      </c>
      <c r="GM7" s="7">
        <f>VC!GH58</f>
        <v>0</v>
      </c>
      <c r="GN7" s="7">
        <f>VC!GI58</f>
        <v>0</v>
      </c>
      <c r="GO7" s="7">
        <f>VC!GJ58</f>
        <v>0</v>
      </c>
      <c r="GP7" s="7">
        <f>VC!GK58</f>
        <v>0</v>
      </c>
      <c r="GQ7" s="7">
        <f>VC!GL58</f>
        <v>0</v>
      </c>
      <c r="GR7" s="7">
        <f>VC!GM58</f>
        <v>0</v>
      </c>
      <c r="GS7" s="7">
        <f>VC!GN58</f>
        <v>0</v>
      </c>
      <c r="GT7" s="7">
        <f>VC!GO58</f>
        <v>0</v>
      </c>
      <c r="GU7" s="7">
        <f>VC!GP58</f>
        <v>0</v>
      </c>
      <c r="GV7" s="7">
        <f>VC!GQ58</f>
        <v>0</v>
      </c>
      <c r="GW7" s="7">
        <f>VC!GR58</f>
        <v>0</v>
      </c>
      <c r="GX7" s="7">
        <f>VC!GS58</f>
        <v>0</v>
      </c>
      <c r="GY7" s="7">
        <f>VC!GT58</f>
        <v>0</v>
      </c>
      <c r="GZ7" s="7">
        <f>VC!GU58</f>
        <v>0</v>
      </c>
      <c r="HA7" s="7">
        <f>VC!GV58</f>
        <v>0</v>
      </c>
      <c r="HB7" s="7">
        <f>VC!GW58</f>
        <v>0</v>
      </c>
      <c r="HC7" s="7">
        <f>VC!GX58</f>
        <v>0</v>
      </c>
    </row>
    <row r="8" spans="1:211" s="1" customFormat="1" ht="15.75" thickBot="1" x14ac:dyDescent="0.3">
      <c r="A8" s="1" t="s">
        <v>62</v>
      </c>
      <c r="B8" s="1" t="s">
        <v>63</v>
      </c>
      <c r="C8" s="4" t="s">
        <v>4</v>
      </c>
      <c r="D8" s="5" t="s">
        <v>76</v>
      </c>
      <c r="E8" s="95">
        <v>1</v>
      </c>
      <c r="F8" s="1" t="s">
        <v>73</v>
      </c>
      <c r="G8" s="1" t="s">
        <v>135</v>
      </c>
      <c r="H8" s="1">
        <f>VC!C2</f>
        <v>0</v>
      </c>
      <c r="I8" s="1">
        <f>VC!D2</f>
        <v>0</v>
      </c>
      <c r="J8" s="1">
        <f>VC!E2</f>
        <v>0</v>
      </c>
      <c r="K8" s="1">
        <f>VC!F2</f>
        <v>0</v>
      </c>
      <c r="L8" s="1">
        <f>VC!G2</f>
        <v>0</v>
      </c>
      <c r="M8" s="1">
        <f>VC!H2</f>
        <v>0</v>
      </c>
      <c r="N8" s="1" t="str">
        <f>VC!I2</f>
        <v>E468D</v>
      </c>
      <c r="O8" s="1">
        <f>VC!J2</f>
        <v>0</v>
      </c>
      <c r="P8" s="1">
        <f>VC!K2</f>
        <v>0</v>
      </c>
      <c r="Q8" s="1">
        <f>VC!L2</f>
        <v>0</v>
      </c>
      <c r="R8" s="1">
        <f>VC!M2</f>
        <v>0</v>
      </c>
      <c r="S8" s="1">
        <f>VC!N2</f>
        <v>0</v>
      </c>
      <c r="T8" s="1">
        <f>VC!O2</f>
        <v>0</v>
      </c>
      <c r="U8" s="1">
        <f>VC!P2</f>
        <v>0</v>
      </c>
      <c r="V8" s="1">
        <f>VC!Q2</f>
        <v>0</v>
      </c>
      <c r="W8" s="1">
        <f>VC!R2</f>
        <v>0</v>
      </c>
      <c r="X8" s="1">
        <f>VC!S2</f>
        <v>0</v>
      </c>
      <c r="Y8" s="1">
        <f>VC!T2</f>
        <v>0</v>
      </c>
      <c r="Z8" s="1">
        <f>VC!U2</f>
        <v>0</v>
      </c>
      <c r="AA8" s="1">
        <f>VC!V2</f>
        <v>0</v>
      </c>
      <c r="AB8" s="1">
        <f>VC!W2</f>
        <v>0</v>
      </c>
      <c r="AC8" s="1">
        <f>VC!X2</f>
        <v>0</v>
      </c>
      <c r="AD8" s="1">
        <f>VC!Y2</f>
        <v>0</v>
      </c>
      <c r="AE8" s="1">
        <f>VC!Z2</f>
        <v>0</v>
      </c>
      <c r="AF8" s="1">
        <f>VC!AA2</f>
        <v>0</v>
      </c>
      <c r="AG8" s="1">
        <f>VC!AB2</f>
        <v>0</v>
      </c>
      <c r="AH8" s="1">
        <f>VC!AC2</f>
        <v>0</v>
      </c>
      <c r="AI8" s="1">
        <f>VC!AD2</f>
        <v>0</v>
      </c>
      <c r="AJ8" s="1">
        <f>VC!AE2</f>
        <v>0</v>
      </c>
      <c r="AK8" s="1" t="str">
        <f>VC!AF2</f>
        <v>S466F</v>
      </c>
      <c r="AL8" s="1">
        <f>VC!AG2</f>
        <v>0</v>
      </c>
      <c r="AM8" s="1">
        <f>VC!AH2</f>
        <v>0</v>
      </c>
      <c r="AN8" s="1">
        <f>VC!AI2</f>
        <v>0</v>
      </c>
      <c r="AO8" s="1">
        <f>VC!AJ2</f>
        <v>0</v>
      </c>
      <c r="AP8" s="1">
        <f>VC!AK2</f>
        <v>0</v>
      </c>
      <c r="AQ8" s="1">
        <f>VC!AL2</f>
        <v>0</v>
      </c>
      <c r="AR8" s="1">
        <f>VC!AM2</f>
        <v>0</v>
      </c>
      <c r="AS8" s="1">
        <f>VC!AN2</f>
        <v>0</v>
      </c>
      <c r="AT8" s="1">
        <f>VC!AO2</f>
        <v>0</v>
      </c>
      <c r="AU8" s="1">
        <f>VC!AP2</f>
        <v>0</v>
      </c>
      <c r="AV8" s="1">
        <f>VC!AQ2</f>
        <v>0</v>
      </c>
      <c r="AW8" s="1">
        <f>VC!AR2</f>
        <v>0</v>
      </c>
      <c r="AX8" s="1">
        <f>VC!AS2</f>
        <v>0</v>
      </c>
      <c r="AY8" s="1">
        <f>VC!AT2</f>
        <v>0</v>
      </c>
      <c r="AZ8" s="1">
        <f>VC!AU2</f>
        <v>0</v>
      </c>
      <c r="BA8" s="1">
        <f>VC!AV2</f>
        <v>0</v>
      </c>
      <c r="BB8" s="1">
        <f>VC!AW2</f>
        <v>0</v>
      </c>
      <c r="BC8" s="1">
        <f>VC!AX2</f>
        <v>0</v>
      </c>
      <c r="BD8" s="1">
        <f>VC!AY2</f>
        <v>0</v>
      </c>
      <c r="BE8" s="1">
        <f>VC!AZ2</f>
        <v>0</v>
      </c>
      <c r="BF8" s="1">
        <f>VC!BA2</f>
        <v>0</v>
      </c>
      <c r="BG8" s="1">
        <f>VC!BB2</f>
        <v>0</v>
      </c>
      <c r="BH8" s="1">
        <f>VC!BC2</f>
        <v>0</v>
      </c>
      <c r="BI8" s="1">
        <f>VC!BD2</f>
        <v>0</v>
      </c>
      <c r="BJ8" s="1" t="str">
        <f>VC!BE2</f>
        <v>S466Y</v>
      </c>
      <c r="BK8" s="1">
        <f>VC!BF2</f>
        <v>0</v>
      </c>
      <c r="BL8" s="1">
        <f>VC!BG2</f>
        <v>0</v>
      </c>
      <c r="BM8" s="1">
        <f>VC!BH2</f>
        <v>0</v>
      </c>
      <c r="BN8" s="1">
        <f>VC!BI2</f>
        <v>0</v>
      </c>
      <c r="BO8" s="1">
        <f>VC!BJ2</f>
        <v>0</v>
      </c>
      <c r="BP8" s="1">
        <f>VC!BK2</f>
        <v>0</v>
      </c>
      <c r="BQ8" s="1">
        <f>VC!BL2</f>
        <v>0</v>
      </c>
      <c r="BR8" s="1">
        <f>VC!BM2</f>
        <v>0</v>
      </c>
      <c r="BS8" s="1">
        <f>VC!BN2</f>
        <v>0</v>
      </c>
      <c r="BT8" s="1">
        <f>VC!BO2</f>
        <v>0</v>
      </c>
      <c r="BU8" s="1">
        <f>VC!BP2</f>
        <v>0</v>
      </c>
      <c r="BV8" s="1">
        <f>VC!BQ2</f>
        <v>0</v>
      </c>
      <c r="BW8" s="1">
        <f>VC!BR2</f>
        <v>0</v>
      </c>
      <c r="BX8" s="1">
        <f>VC!BS2</f>
        <v>0</v>
      </c>
      <c r="BY8" s="1">
        <f>VC!BT2</f>
        <v>0</v>
      </c>
      <c r="BZ8" s="1">
        <f>VC!BU2</f>
        <v>0</v>
      </c>
      <c r="CA8" s="1">
        <f>VC!BV2</f>
        <v>0</v>
      </c>
      <c r="CB8" s="1">
        <f>VC!BW2</f>
        <v>0</v>
      </c>
      <c r="CC8" s="1">
        <f>VC!BX2</f>
        <v>0</v>
      </c>
      <c r="CD8" s="1">
        <f>VC!BY2</f>
        <v>0</v>
      </c>
      <c r="CE8" s="1">
        <f>VC!BZ2</f>
        <v>0</v>
      </c>
      <c r="CF8" s="1">
        <f>VC!CA2</f>
        <v>0</v>
      </c>
      <c r="CG8" s="1">
        <f>VC!CB2</f>
        <v>0</v>
      </c>
      <c r="CH8" s="1">
        <f>VC!CC2</f>
        <v>0</v>
      </c>
      <c r="CI8" s="1">
        <f>VC!CD2</f>
        <v>0</v>
      </c>
      <c r="CJ8" s="1">
        <f>VC!CE2</f>
        <v>0</v>
      </c>
      <c r="CK8" s="1">
        <f>VC!CF2</f>
        <v>0</v>
      </c>
      <c r="CL8" s="1">
        <f>VC!CG2</f>
        <v>0</v>
      </c>
      <c r="CM8" s="1">
        <f>VC!CH2</f>
        <v>0</v>
      </c>
      <c r="CN8" s="1">
        <f>VC!CI2</f>
        <v>0</v>
      </c>
      <c r="CO8" s="1">
        <f>VC!CJ2</f>
        <v>0</v>
      </c>
      <c r="CP8" s="1">
        <f>VC!CK2</f>
        <v>0</v>
      </c>
      <c r="CQ8" s="1">
        <f>VC!CL2</f>
        <v>0</v>
      </c>
      <c r="CR8" s="1">
        <f>VC!CM2</f>
        <v>0</v>
      </c>
      <c r="CS8" s="1" t="str">
        <f>VC!CN2</f>
        <v>E468D</v>
      </c>
      <c r="CT8" s="1">
        <f>VC!CO2</f>
        <v>0</v>
      </c>
      <c r="CU8" s="1">
        <f>VC!CP2</f>
        <v>0</v>
      </c>
      <c r="CV8" s="1">
        <f>VC!CQ2</f>
        <v>0</v>
      </c>
      <c r="CW8" s="1">
        <f>VC!CR2</f>
        <v>0</v>
      </c>
      <c r="CX8" s="1">
        <f>VC!CS2</f>
        <v>0</v>
      </c>
      <c r="CY8" s="1">
        <f>VC!CT2</f>
        <v>0</v>
      </c>
      <c r="CZ8" s="1">
        <f>VC!CU2</f>
        <v>0</v>
      </c>
      <c r="DA8" s="1">
        <f>VC!CV2</f>
        <v>0</v>
      </c>
      <c r="DB8" s="1">
        <f>VC!CW2</f>
        <v>0</v>
      </c>
      <c r="DC8" s="1">
        <f>VC!CX2</f>
        <v>0</v>
      </c>
      <c r="DD8" s="1">
        <f>VC!CY2</f>
        <v>0</v>
      </c>
      <c r="DE8" s="1">
        <f>VC!CZ2</f>
        <v>0</v>
      </c>
      <c r="DF8" s="1">
        <f>VC!DA2</f>
        <v>0</v>
      </c>
      <c r="DG8" s="1">
        <f>VC!DB2</f>
        <v>0</v>
      </c>
      <c r="DH8" s="1">
        <f>VC!DC2</f>
        <v>0</v>
      </c>
      <c r="DI8" s="1">
        <f>VC!DD2</f>
        <v>0</v>
      </c>
      <c r="DJ8" s="1">
        <f>VC!DE2</f>
        <v>0</v>
      </c>
      <c r="DK8" s="1">
        <f>VC!DF2</f>
        <v>0</v>
      </c>
      <c r="DL8" s="1">
        <f>VC!DG2</f>
        <v>0</v>
      </c>
      <c r="DM8" s="1">
        <f>VC!DH2</f>
        <v>0</v>
      </c>
      <c r="DN8" s="1">
        <f>VC!DI2</f>
        <v>0</v>
      </c>
      <c r="DO8" s="1">
        <f>VC!DJ2</f>
        <v>0</v>
      </c>
      <c r="DP8" s="1">
        <f>VC!DK2</f>
        <v>0</v>
      </c>
      <c r="DQ8" s="1">
        <f>VC!DL2</f>
        <v>0</v>
      </c>
      <c r="DR8" s="1" t="str">
        <f>VC!DM2</f>
        <v>S466Y</v>
      </c>
      <c r="DS8" s="1">
        <f>VC!DN2</f>
        <v>0</v>
      </c>
      <c r="DT8" s="1">
        <f>VC!DO2</f>
        <v>0</v>
      </c>
      <c r="DU8" s="1" t="str">
        <f>VC!DP2</f>
        <v>E468D</v>
      </c>
      <c r="DV8" s="1">
        <f>VC!DQ2</f>
        <v>0</v>
      </c>
      <c r="DW8" s="1" t="str">
        <f>VC!DR2</f>
        <v>E468D</v>
      </c>
      <c r="DX8" s="1">
        <f>VC!DS2</f>
        <v>0</v>
      </c>
      <c r="DY8" s="1">
        <f>VC!DT2</f>
        <v>0</v>
      </c>
      <c r="DZ8" s="1">
        <f>VC!DU2</f>
        <v>0</v>
      </c>
      <c r="EA8" s="1">
        <f>VC!DV2</f>
        <v>0</v>
      </c>
      <c r="EB8" s="1">
        <f>VC!DW2</f>
        <v>0</v>
      </c>
      <c r="EC8" s="1">
        <f>VC!DX2</f>
        <v>0</v>
      </c>
      <c r="ED8" s="1" t="str">
        <f>VC!DY2</f>
        <v>S466F</v>
      </c>
      <c r="EE8" s="1">
        <f>VC!DZ2</f>
        <v>0</v>
      </c>
      <c r="EF8" s="1">
        <f>VC!EA2</f>
        <v>0</v>
      </c>
      <c r="EG8" s="1">
        <f>VC!EB2</f>
        <v>0</v>
      </c>
      <c r="EH8" s="1">
        <f>VC!EC2</f>
        <v>0</v>
      </c>
      <c r="EI8" s="1">
        <f>VC!ED2</f>
        <v>0</v>
      </c>
      <c r="EJ8" s="1">
        <f>VC!EE2</f>
        <v>0</v>
      </c>
      <c r="EK8" s="1">
        <f>VC!EF2</f>
        <v>0</v>
      </c>
      <c r="EL8" s="1" t="str">
        <f>VC!EG2</f>
        <v>S466Y</v>
      </c>
      <c r="EM8" s="1">
        <f>VC!EH2</f>
        <v>0</v>
      </c>
      <c r="EN8" s="1">
        <f>VC!EI2</f>
        <v>0</v>
      </c>
      <c r="EO8" s="1">
        <f>VC!EJ2</f>
        <v>0</v>
      </c>
      <c r="EP8" s="1">
        <f>VC!EK2</f>
        <v>0</v>
      </c>
      <c r="EQ8" s="1">
        <f>VC!EL2</f>
        <v>0</v>
      </c>
      <c r="ER8" s="1">
        <f>VC!EM2</f>
        <v>0</v>
      </c>
      <c r="ES8" s="1">
        <f>VC!EN2</f>
        <v>0</v>
      </c>
      <c r="ET8" s="1">
        <f>VC!EO2</f>
        <v>0</v>
      </c>
      <c r="EU8" s="1">
        <f>VC!EP2</f>
        <v>0</v>
      </c>
      <c r="EV8" s="1">
        <f>VC!EQ2</f>
        <v>0</v>
      </c>
      <c r="EW8" s="1">
        <f>VC!ER2</f>
        <v>0</v>
      </c>
      <c r="EX8" s="1">
        <f>VC!ES2</f>
        <v>0</v>
      </c>
      <c r="EY8" s="1">
        <f>VC!ET2</f>
        <v>0</v>
      </c>
      <c r="EZ8" s="1">
        <f>VC!EU2</f>
        <v>0</v>
      </c>
      <c r="FA8" s="1">
        <f>VC!EV2</f>
        <v>0</v>
      </c>
      <c r="FB8" s="1" t="str">
        <f>VC!EW2</f>
        <v>S466F</v>
      </c>
      <c r="FC8" s="1">
        <f>VC!EX2</f>
        <v>0</v>
      </c>
      <c r="FD8" s="1">
        <f>VC!EY2</f>
        <v>0</v>
      </c>
      <c r="FE8" s="1" t="str">
        <f>VC!EZ2</f>
        <v>E468D</v>
      </c>
      <c r="FF8" s="1">
        <f>VC!FA2</f>
        <v>0</v>
      </c>
      <c r="FG8" s="1">
        <f>VC!FB2</f>
        <v>0</v>
      </c>
      <c r="FH8" s="1">
        <f>VC!FC2</f>
        <v>0</v>
      </c>
      <c r="FI8" s="1">
        <f>VC!FD2</f>
        <v>0</v>
      </c>
      <c r="FJ8" s="1">
        <f>VC!FE2</f>
        <v>0</v>
      </c>
      <c r="FK8" s="1">
        <f>VC!FF2</f>
        <v>0</v>
      </c>
      <c r="FL8" s="1">
        <f>VC!FG2</f>
        <v>0</v>
      </c>
      <c r="FM8" s="1">
        <f>VC!FH2</f>
        <v>0</v>
      </c>
      <c r="FN8" s="1">
        <f>VC!FI2</f>
        <v>0</v>
      </c>
      <c r="FO8" s="1">
        <f>VC!FJ2</f>
        <v>0</v>
      </c>
      <c r="FP8" s="1">
        <f>VC!FK2</f>
        <v>0</v>
      </c>
      <c r="FQ8" s="1">
        <f>VC!FL2</f>
        <v>0</v>
      </c>
      <c r="FR8" s="1">
        <f>VC!FM2</f>
        <v>0</v>
      </c>
      <c r="FS8" s="1">
        <f>VC!FN2</f>
        <v>0</v>
      </c>
      <c r="FT8" s="1">
        <f>VC!FO2</f>
        <v>0</v>
      </c>
      <c r="FU8" s="1" t="str">
        <f>VC!FP2</f>
        <v>E468D</v>
      </c>
      <c r="FV8" s="1">
        <f>VC!FQ2</f>
        <v>0</v>
      </c>
      <c r="FW8" s="1">
        <f>VC!FR2</f>
        <v>0</v>
      </c>
      <c r="FX8" s="1">
        <f>VC!FS2</f>
        <v>0</v>
      </c>
      <c r="FY8" s="1">
        <f>VC!FT2</f>
        <v>0</v>
      </c>
      <c r="FZ8" s="1">
        <f>VC!FU2</f>
        <v>0</v>
      </c>
      <c r="GA8" s="1">
        <f>VC!FV2</f>
        <v>0</v>
      </c>
      <c r="GB8" s="1" t="str">
        <f>VC!FW2</f>
        <v>E468D</v>
      </c>
      <c r="GC8" s="1">
        <f>VC!FX2</f>
        <v>0</v>
      </c>
      <c r="GD8" s="1">
        <f>VC!FY2</f>
        <v>0</v>
      </c>
      <c r="GE8" s="1">
        <f>VC!FZ2</f>
        <v>0</v>
      </c>
      <c r="GF8" s="1">
        <f>VC!GA2</f>
        <v>0</v>
      </c>
      <c r="GG8" s="1">
        <f>VC!GB2</f>
        <v>0</v>
      </c>
      <c r="GH8" s="1">
        <f>VC!GC2</f>
        <v>0</v>
      </c>
      <c r="GI8" s="1">
        <f>VC!GD2</f>
        <v>0</v>
      </c>
      <c r="GJ8" s="1">
        <f>VC!GE2</f>
        <v>0</v>
      </c>
      <c r="GK8" s="1">
        <f>VC!GF2</f>
        <v>0</v>
      </c>
      <c r="GL8" s="1" t="str">
        <f>VC!GG2</f>
        <v>S466F</v>
      </c>
      <c r="GM8" s="1">
        <f>VC!GH2</f>
        <v>0</v>
      </c>
      <c r="GN8" s="1">
        <f>VC!GI2</f>
        <v>0</v>
      </c>
      <c r="GO8" s="1">
        <f>VC!GJ2</f>
        <v>0</v>
      </c>
      <c r="GP8" s="1">
        <f>VC!GK2</f>
        <v>0</v>
      </c>
      <c r="GQ8" s="1">
        <f>VC!GL2</f>
        <v>0</v>
      </c>
      <c r="GR8" s="1">
        <f>VC!GM2</f>
        <v>0</v>
      </c>
      <c r="GS8" s="1">
        <f>VC!GN2</f>
        <v>0</v>
      </c>
      <c r="GT8" s="1">
        <f>VC!GO2</f>
        <v>0</v>
      </c>
      <c r="GU8" s="1">
        <f>VC!GP2</f>
        <v>0</v>
      </c>
      <c r="GV8" s="1">
        <f>VC!GQ2</f>
        <v>0</v>
      </c>
      <c r="GW8" s="1">
        <f>VC!GR2</f>
        <v>0</v>
      </c>
      <c r="GX8" s="1">
        <f>VC!GS2</f>
        <v>0</v>
      </c>
      <c r="GY8" s="1">
        <f>VC!GT2</f>
        <v>0</v>
      </c>
      <c r="GZ8" s="1">
        <f>VC!GU2</f>
        <v>0</v>
      </c>
      <c r="HA8" s="1">
        <f>VC!GV2</f>
        <v>0</v>
      </c>
      <c r="HB8" s="1">
        <f>VC!GW2</f>
        <v>0</v>
      </c>
      <c r="HC8" s="1">
        <f>VC!GX2</f>
        <v>0</v>
      </c>
    </row>
    <row r="9" spans="1:211" s="7" customFormat="1" x14ac:dyDescent="0.25">
      <c r="A9" s="32" t="s">
        <v>5</v>
      </c>
      <c r="B9" s="33" t="s">
        <v>6</v>
      </c>
      <c r="C9" s="34" t="s">
        <v>1</v>
      </c>
      <c r="D9" s="33" t="s">
        <v>76</v>
      </c>
      <c r="E9" s="37" t="s">
        <v>138</v>
      </c>
      <c r="F9" s="33" t="s">
        <v>74</v>
      </c>
      <c r="G9" s="35" t="s">
        <v>136</v>
      </c>
      <c r="H9" s="7">
        <f>VC!C4</f>
        <v>0</v>
      </c>
      <c r="I9" s="7">
        <f>VC!D4</f>
        <v>0</v>
      </c>
      <c r="J9" s="7">
        <f>VC!E4</f>
        <v>0</v>
      </c>
      <c r="K9" s="7">
        <f>VC!F4</f>
        <v>0</v>
      </c>
      <c r="L9" s="7">
        <f>VC!G4</f>
        <v>0</v>
      </c>
      <c r="M9" s="7">
        <f>VC!H4</f>
        <v>0</v>
      </c>
      <c r="N9" s="7">
        <f>VC!I4</f>
        <v>0</v>
      </c>
      <c r="O9" s="7">
        <f>VC!J4</f>
        <v>0</v>
      </c>
      <c r="P9" s="7">
        <f>VC!K4</f>
        <v>0</v>
      </c>
      <c r="Q9" s="7">
        <f>VC!L4</f>
        <v>0</v>
      </c>
      <c r="R9" s="7">
        <f>VC!M4</f>
        <v>0</v>
      </c>
      <c r="S9" s="7">
        <f>VC!N4</f>
        <v>0</v>
      </c>
      <c r="T9" s="7">
        <f>VC!O4</f>
        <v>0</v>
      </c>
      <c r="U9" s="7">
        <f>VC!P4</f>
        <v>0</v>
      </c>
      <c r="V9" s="7">
        <f>VC!Q4</f>
        <v>0</v>
      </c>
      <c r="W9" s="7">
        <f>VC!R4</f>
        <v>0</v>
      </c>
      <c r="X9" s="7">
        <f>VC!S4</f>
        <v>0</v>
      </c>
      <c r="Y9" s="7">
        <f>VC!T4</f>
        <v>0</v>
      </c>
      <c r="Z9" s="7">
        <f>VC!U4</f>
        <v>0</v>
      </c>
      <c r="AA9" s="7">
        <f>VC!V4</f>
        <v>0</v>
      </c>
      <c r="AB9" s="7" t="str">
        <f>VC!W4</f>
        <v>S92N</v>
      </c>
      <c r="AC9" s="7" t="str">
        <f>VC!X4</f>
        <v>aa11∆4</v>
      </c>
      <c r="AD9" s="7">
        <f>VC!Y4</f>
        <v>0</v>
      </c>
      <c r="AE9" s="7">
        <f>VC!Z4</f>
        <v>0</v>
      </c>
      <c r="AF9" s="7">
        <f>VC!AA4</f>
        <v>0</v>
      </c>
      <c r="AG9" s="7">
        <f>VC!AB4</f>
        <v>0</v>
      </c>
      <c r="AH9" s="7">
        <f>VC!AC4</f>
        <v>0</v>
      </c>
      <c r="AI9" s="7">
        <f>VC!AD4</f>
        <v>0</v>
      </c>
      <c r="AJ9" s="7">
        <f>VC!AE4</f>
        <v>0</v>
      </c>
      <c r="AK9" s="7" t="str">
        <f>VC!AF4</f>
        <v>L102P</v>
      </c>
      <c r="AL9" s="7">
        <f>VC!AG4</f>
        <v>0</v>
      </c>
      <c r="AM9" s="7">
        <f>VC!AH4</f>
        <v>0</v>
      </c>
      <c r="AN9" s="7">
        <f>VC!AI4</f>
        <v>0</v>
      </c>
      <c r="AO9" s="7" t="str">
        <f>VC!AJ4</f>
        <v>nt402∆11</v>
      </c>
      <c r="AP9" s="7">
        <f>VC!AK4</f>
        <v>0</v>
      </c>
      <c r="AQ9" s="7">
        <f>VC!AL4</f>
        <v>0</v>
      </c>
      <c r="AR9" s="7">
        <f>VC!AM4</f>
        <v>0</v>
      </c>
      <c r="AS9" s="7">
        <f>VC!AN4</f>
        <v>0</v>
      </c>
      <c r="AT9" s="7">
        <f>VC!AO4</f>
        <v>0</v>
      </c>
      <c r="AU9" s="7">
        <f>VC!AP4</f>
        <v>0</v>
      </c>
      <c r="AV9" s="7">
        <f>VC!AQ4</f>
        <v>0</v>
      </c>
      <c r="AW9" s="7">
        <f>VC!AR4</f>
        <v>0</v>
      </c>
      <c r="AX9" s="7">
        <f>VC!AS4</f>
        <v>0</v>
      </c>
      <c r="AY9" s="7">
        <f>VC!AT4</f>
        <v>0</v>
      </c>
      <c r="AZ9" s="7">
        <f>VC!AU4</f>
        <v>0</v>
      </c>
      <c r="BA9" s="7">
        <f>VC!AV4</f>
        <v>0</v>
      </c>
      <c r="BB9" s="7" t="str">
        <f>VC!AW4</f>
        <v>L95F</v>
      </c>
      <c r="BC9" s="7">
        <f>VC!AX4</f>
        <v>0</v>
      </c>
      <c r="BD9" s="7">
        <f>VC!AY4</f>
        <v>0</v>
      </c>
      <c r="BE9" s="7">
        <f>VC!AZ4</f>
        <v>0</v>
      </c>
      <c r="BF9" s="7">
        <f>VC!BA4</f>
        <v>0</v>
      </c>
      <c r="BG9" s="7">
        <f>VC!BB4</f>
        <v>0</v>
      </c>
      <c r="BH9" s="7">
        <f>VC!BC4</f>
        <v>0</v>
      </c>
      <c r="BI9" s="7">
        <f>VC!BD4</f>
        <v>0</v>
      </c>
      <c r="BJ9" s="7">
        <f>VC!BE4</f>
        <v>0</v>
      </c>
      <c r="BK9" s="7">
        <f>VC!BF4</f>
        <v>0</v>
      </c>
      <c r="BL9" s="7">
        <f>VC!BG4</f>
        <v>0</v>
      </c>
      <c r="BM9" s="7">
        <f>VC!BH4</f>
        <v>0</v>
      </c>
      <c r="BN9" s="7" t="str">
        <f>VC!BI4</f>
        <v>nt81InsT</v>
      </c>
      <c r="BO9" s="7">
        <f>VC!BJ4</f>
        <v>0</v>
      </c>
      <c r="BP9" s="7">
        <f>VC!BK4</f>
        <v>0</v>
      </c>
      <c r="BQ9" s="7">
        <f>VC!BL4</f>
        <v>0</v>
      </c>
      <c r="BR9" s="7">
        <f>VC!BM4</f>
        <v>0</v>
      </c>
      <c r="BS9" s="7">
        <f>VC!BN4</f>
        <v>0</v>
      </c>
      <c r="BT9" s="7">
        <f>VC!BO4</f>
        <v>0</v>
      </c>
      <c r="BU9" s="7">
        <f>VC!BP4</f>
        <v>0</v>
      </c>
      <c r="BV9" s="7">
        <f>VC!BQ4</f>
        <v>0</v>
      </c>
      <c r="BW9" s="7">
        <f>VC!BR4</f>
        <v>0</v>
      </c>
      <c r="BX9" s="7">
        <f>VC!BS4</f>
        <v>0</v>
      </c>
      <c r="BY9" s="7">
        <f>VC!BT4</f>
        <v>0</v>
      </c>
      <c r="BZ9" s="7">
        <f>VC!BU4</f>
        <v>0</v>
      </c>
      <c r="CA9" s="7" t="str">
        <f>VC!BV4</f>
        <v>nt266InsG</v>
      </c>
      <c r="CB9" s="7">
        <f>VC!BW4</f>
        <v>0</v>
      </c>
      <c r="CC9" s="7">
        <f>VC!BX4</f>
        <v>0</v>
      </c>
      <c r="CD9" s="7">
        <f>VC!BY4</f>
        <v>0</v>
      </c>
      <c r="CE9" s="7">
        <f>VC!BZ4</f>
        <v>0</v>
      </c>
      <c r="CF9" s="7" t="str">
        <f>VC!CA4</f>
        <v>R73L</v>
      </c>
      <c r="CG9" s="7">
        <f>VC!CB4</f>
        <v>0</v>
      </c>
      <c r="CH9" s="7">
        <f>VC!CC4</f>
        <v>0</v>
      </c>
      <c r="CI9" s="7">
        <f>VC!CD4</f>
        <v>0</v>
      </c>
      <c r="CJ9" s="7">
        <f>VC!CE4</f>
        <v>0</v>
      </c>
      <c r="CK9" s="7">
        <f>VC!CF4</f>
        <v>0</v>
      </c>
      <c r="CL9" s="7">
        <f>VC!CG4</f>
        <v>0</v>
      </c>
      <c r="CM9" s="7">
        <f>VC!CH4</f>
        <v>0</v>
      </c>
      <c r="CN9" s="7">
        <f>VC!CI4</f>
        <v>0</v>
      </c>
      <c r="CO9" s="7">
        <f>VC!CJ4</f>
        <v>0</v>
      </c>
      <c r="CP9" s="7">
        <f>VC!CK4</f>
        <v>0</v>
      </c>
      <c r="CQ9" s="7">
        <f>VC!CL4</f>
        <v>0</v>
      </c>
      <c r="CR9" s="7">
        <f>VC!CM4</f>
        <v>0</v>
      </c>
      <c r="CS9" s="7" t="str">
        <f>VC!CN4</f>
        <v>L95F</v>
      </c>
      <c r="CT9" s="7">
        <f>VC!CO4</f>
        <v>0</v>
      </c>
      <c r="CU9" s="7">
        <f>VC!CP4</f>
        <v>0</v>
      </c>
      <c r="CV9" s="7">
        <f>VC!CQ4</f>
        <v>0</v>
      </c>
      <c r="CW9" s="7" t="str">
        <f>VC!CR4</f>
        <v>nt161InsC</v>
      </c>
      <c r="CX9" s="7">
        <f>VC!CS4</f>
        <v>0</v>
      </c>
      <c r="CY9" s="7">
        <f>VC!CT4</f>
        <v>0</v>
      </c>
      <c r="CZ9" s="7">
        <f>VC!CU4</f>
        <v>0</v>
      </c>
      <c r="DA9" s="7">
        <f>VC!CV4</f>
        <v>0</v>
      </c>
      <c r="DB9" s="7">
        <f>VC!CW4</f>
        <v>0</v>
      </c>
      <c r="DC9" s="7">
        <f>VC!CX4</f>
        <v>0</v>
      </c>
      <c r="DD9" s="7">
        <f>VC!CY4</f>
        <v>0</v>
      </c>
      <c r="DE9" s="7">
        <f>VC!CZ4</f>
        <v>0</v>
      </c>
      <c r="DF9" s="7" t="str">
        <f>VC!DA4</f>
        <v>R82H</v>
      </c>
      <c r="DG9" s="7">
        <f>VC!DB4</f>
        <v>0</v>
      </c>
      <c r="DH9" s="7">
        <f>VC!DC4</f>
        <v>0</v>
      </c>
      <c r="DI9" s="7">
        <f>VC!DD4</f>
        <v>0</v>
      </c>
      <c r="DJ9" s="7">
        <f>VC!DE4</f>
        <v>0</v>
      </c>
      <c r="DK9" s="7">
        <f>VC!DF4</f>
        <v>0</v>
      </c>
      <c r="DL9" s="7">
        <f>VC!DG4</f>
        <v>0</v>
      </c>
      <c r="DM9" s="7">
        <f>VC!DH4</f>
        <v>0</v>
      </c>
      <c r="DN9" s="7">
        <f>VC!DI4</f>
        <v>0</v>
      </c>
      <c r="DO9" s="7">
        <f>VC!DJ4</f>
        <v>0</v>
      </c>
      <c r="DP9" s="7">
        <f>VC!DK4</f>
        <v>0</v>
      </c>
      <c r="DQ9" s="7">
        <f>VC!DL4</f>
        <v>0</v>
      </c>
      <c r="DR9" s="7">
        <f>VC!DM4</f>
        <v>0</v>
      </c>
      <c r="DS9" s="7">
        <f>VC!DN4</f>
        <v>0</v>
      </c>
      <c r="DT9" s="7">
        <f>VC!DO4</f>
        <v>0</v>
      </c>
      <c r="DU9" s="7">
        <f>VC!DP4</f>
        <v>0</v>
      </c>
      <c r="DV9" s="7">
        <f>VC!DQ4</f>
        <v>0</v>
      </c>
      <c r="DW9" s="7">
        <f>VC!DR4</f>
        <v>0</v>
      </c>
      <c r="DX9" s="7">
        <f>VC!DS4</f>
        <v>0</v>
      </c>
      <c r="DY9" s="7">
        <f>VC!DT4</f>
        <v>0</v>
      </c>
      <c r="DZ9" s="7">
        <f>VC!DU4</f>
        <v>0</v>
      </c>
      <c r="EA9" s="7">
        <f>VC!DV4</f>
        <v>0</v>
      </c>
      <c r="EB9" s="7">
        <f>VC!DW4</f>
        <v>0</v>
      </c>
      <c r="EC9" s="7">
        <f>VC!DX4</f>
        <v>0</v>
      </c>
      <c r="ED9" s="7">
        <f>VC!DY4</f>
        <v>0</v>
      </c>
      <c r="EE9" s="7">
        <f>VC!DZ4</f>
        <v>0</v>
      </c>
      <c r="EF9" s="7">
        <f>VC!EA4</f>
        <v>0</v>
      </c>
      <c r="EG9" s="7">
        <f>VC!EB4</f>
        <v>0</v>
      </c>
      <c r="EH9" s="7">
        <f>VC!EC4</f>
        <v>0</v>
      </c>
      <c r="EI9" s="7">
        <f>VC!ED4</f>
        <v>0</v>
      </c>
      <c r="EJ9" s="7">
        <f>VC!EE4</f>
        <v>0</v>
      </c>
      <c r="EK9" s="7" t="str">
        <f>VC!EF4</f>
        <v>nt217∆1</v>
      </c>
      <c r="EL9" s="7">
        <f>VC!EG4</f>
        <v>0</v>
      </c>
      <c r="EM9" s="7">
        <f>VC!EH4</f>
        <v>0</v>
      </c>
      <c r="EN9" s="7">
        <f>VC!EI4</f>
        <v>0</v>
      </c>
      <c r="EO9" s="7">
        <f>VC!EJ4</f>
        <v>0</v>
      </c>
      <c r="EP9" s="7">
        <f>VC!EK4</f>
        <v>0</v>
      </c>
      <c r="EQ9" s="7">
        <f>VC!EL4</f>
        <v>0</v>
      </c>
      <c r="ER9" s="7">
        <f>VC!EM4</f>
        <v>0</v>
      </c>
      <c r="ES9" s="7">
        <f>VC!EN4</f>
        <v>0</v>
      </c>
      <c r="ET9" s="7">
        <f>VC!EO4</f>
        <v>0</v>
      </c>
      <c r="EU9" s="7">
        <f>VC!EP4</f>
        <v>0</v>
      </c>
      <c r="EV9" s="7">
        <f>VC!EQ4</f>
        <v>0</v>
      </c>
      <c r="EW9" s="7" t="str">
        <f>VC!ER4</f>
        <v>N79S</v>
      </c>
      <c r="EX9" s="7">
        <f>VC!ES4</f>
        <v>0</v>
      </c>
      <c r="EY9" s="7">
        <f>VC!ET4</f>
        <v>0</v>
      </c>
      <c r="EZ9" s="7">
        <f>VC!EU4</f>
        <v>0</v>
      </c>
      <c r="FA9" s="7">
        <f>VC!EV4</f>
        <v>0</v>
      </c>
      <c r="FB9" s="7">
        <f>VC!EW4</f>
        <v>0</v>
      </c>
      <c r="FC9" s="7">
        <f>VC!EX4</f>
        <v>0</v>
      </c>
      <c r="FD9" s="7">
        <f>VC!EY4</f>
        <v>0</v>
      </c>
      <c r="FE9" s="7">
        <f>VC!EZ4</f>
        <v>0</v>
      </c>
      <c r="FF9" s="7">
        <f>VC!FA4</f>
        <v>0</v>
      </c>
      <c r="FG9" s="7">
        <f>VC!FB4</f>
        <v>0</v>
      </c>
      <c r="FH9" s="7">
        <f>VC!FC4</f>
        <v>0</v>
      </c>
      <c r="FI9" s="7">
        <f>VC!FD4</f>
        <v>0</v>
      </c>
      <c r="FJ9" s="7">
        <f>VC!FE4</f>
        <v>0</v>
      </c>
      <c r="FK9" s="7">
        <f>VC!FF4</f>
        <v>0</v>
      </c>
      <c r="FL9" s="7">
        <f>VC!FG4</f>
        <v>0</v>
      </c>
      <c r="FM9" s="7">
        <f>VC!FH4</f>
        <v>0</v>
      </c>
      <c r="FN9" s="7">
        <f>VC!FI4</f>
        <v>0</v>
      </c>
      <c r="FO9" s="7">
        <f>VC!FJ4</f>
        <v>0</v>
      </c>
      <c r="FP9" s="7">
        <f>VC!FK4</f>
        <v>0</v>
      </c>
      <c r="FQ9" s="7">
        <f>VC!FL4</f>
        <v>0</v>
      </c>
      <c r="FR9" s="7" t="str">
        <f>VC!FM4</f>
        <v>Q49X</v>
      </c>
      <c r="FS9" s="7">
        <f>VC!FN4</f>
        <v>0</v>
      </c>
      <c r="FT9" s="7">
        <f>VC!FO4</f>
        <v>0</v>
      </c>
      <c r="FU9" s="7">
        <f>VC!FP4</f>
        <v>0</v>
      </c>
      <c r="FV9" s="7">
        <f>VC!FQ4</f>
        <v>0</v>
      </c>
      <c r="FW9" s="7" t="str">
        <f>VC!FR4</f>
        <v>aa90∆4</v>
      </c>
      <c r="FX9" s="7">
        <f>VC!FS4</f>
        <v>0</v>
      </c>
      <c r="FY9" s="7">
        <f>VC!FT4</f>
        <v>0</v>
      </c>
      <c r="FZ9" s="7">
        <f>VC!FU4</f>
        <v>0</v>
      </c>
      <c r="GA9" s="7">
        <f>VC!FV4</f>
        <v>0</v>
      </c>
      <c r="GB9" s="7">
        <f>VC!FW4</f>
        <v>0</v>
      </c>
      <c r="GC9" s="7">
        <f>VC!FX4</f>
        <v>0</v>
      </c>
      <c r="GD9" s="7">
        <f>VC!FY4</f>
        <v>0</v>
      </c>
      <c r="GE9" s="7">
        <f>VC!FZ4</f>
        <v>0</v>
      </c>
      <c r="GF9" s="7">
        <f>VC!GA4</f>
        <v>0</v>
      </c>
      <c r="GG9" s="7">
        <f>VC!GB4</f>
        <v>0</v>
      </c>
      <c r="GH9" s="7">
        <f>VC!GC4</f>
        <v>0</v>
      </c>
      <c r="GI9" s="7">
        <f>VC!GD4</f>
        <v>0</v>
      </c>
      <c r="GJ9" s="7">
        <f>VC!GE4</f>
        <v>0</v>
      </c>
      <c r="GK9" s="7">
        <f>VC!GF4</f>
        <v>0</v>
      </c>
      <c r="GL9" s="7">
        <f>VC!GG4</f>
        <v>0</v>
      </c>
      <c r="GM9" s="7">
        <f>VC!GH4</f>
        <v>0</v>
      </c>
      <c r="GN9" s="7">
        <f>VC!GI4</f>
        <v>0</v>
      </c>
      <c r="GO9" s="7">
        <f>VC!GJ4</f>
        <v>0</v>
      </c>
      <c r="GP9" s="7">
        <f>VC!GK4</f>
        <v>0</v>
      </c>
      <c r="GQ9" s="7">
        <f>VC!GL4</f>
        <v>0</v>
      </c>
      <c r="GR9" s="7">
        <f>VC!GM4</f>
        <v>0</v>
      </c>
      <c r="GS9" s="7">
        <f>VC!GN4</f>
        <v>0</v>
      </c>
      <c r="GT9" s="7">
        <f>VC!GO4</f>
        <v>0</v>
      </c>
      <c r="GU9" s="7">
        <f>VC!GP4</f>
        <v>0</v>
      </c>
      <c r="GV9" s="7">
        <f>VC!GQ4</f>
        <v>0</v>
      </c>
      <c r="GW9" s="7">
        <f>VC!GR4</f>
        <v>0</v>
      </c>
      <c r="GX9" s="7">
        <f>VC!GS4</f>
        <v>0</v>
      </c>
      <c r="GY9" s="7">
        <f>VC!GT4</f>
        <v>0</v>
      </c>
      <c r="GZ9" s="7">
        <f>VC!GU4</f>
        <v>0</v>
      </c>
      <c r="HA9" s="7">
        <f>VC!GV4</f>
        <v>0</v>
      </c>
      <c r="HB9" s="7" t="str">
        <f>VC!GW4</f>
        <v>nt492InsACCC</v>
      </c>
      <c r="HC9" s="7">
        <f>VC!GX4</f>
        <v>0</v>
      </c>
    </row>
    <row r="10" spans="1:211" s="7" customFormat="1" x14ac:dyDescent="0.25">
      <c r="A10" s="36" t="s">
        <v>5</v>
      </c>
      <c r="B10" s="37" t="s">
        <v>6</v>
      </c>
      <c r="C10" s="38" t="s">
        <v>2</v>
      </c>
      <c r="D10" s="37" t="s">
        <v>76</v>
      </c>
      <c r="E10" s="37" t="s">
        <v>138</v>
      </c>
      <c r="F10" s="37" t="s">
        <v>74</v>
      </c>
      <c r="G10" s="39" t="s">
        <v>136</v>
      </c>
      <c r="H10" s="7">
        <f>VC!C4</f>
        <v>0</v>
      </c>
      <c r="I10" s="7">
        <f>VC!D4</f>
        <v>0</v>
      </c>
      <c r="J10" s="7">
        <f>VC!E4</f>
        <v>0</v>
      </c>
      <c r="K10" s="7">
        <f>VC!F4</f>
        <v>0</v>
      </c>
      <c r="L10" s="7">
        <f>VC!G4</f>
        <v>0</v>
      </c>
      <c r="M10" s="7">
        <f>VC!H4</f>
        <v>0</v>
      </c>
      <c r="N10" s="7">
        <f>VC!I4</f>
        <v>0</v>
      </c>
      <c r="O10" s="7">
        <f>VC!J4</f>
        <v>0</v>
      </c>
      <c r="P10" s="7">
        <f>VC!K4</f>
        <v>0</v>
      </c>
      <c r="Q10" s="7">
        <f>VC!L4</f>
        <v>0</v>
      </c>
      <c r="R10" s="7">
        <f>VC!M4</f>
        <v>0</v>
      </c>
      <c r="S10" s="7">
        <f>VC!N4</f>
        <v>0</v>
      </c>
      <c r="T10" s="7">
        <f>VC!O4</f>
        <v>0</v>
      </c>
      <c r="U10" s="7">
        <f>VC!P4</f>
        <v>0</v>
      </c>
      <c r="V10" s="7">
        <f>VC!Q4</f>
        <v>0</v>
      </c>
      <c r="W10" s="7">
        <f>VC!R4</f>
        <v>0</v>
      </c>
      <c r="X10" s="7">
        <f>VC!S4</f>
        <v>0</v>
      </c>
      <c r="Y10" s="7">
        <f>VC!T4</f>
        <v>0</v>
      </c>
      <c r="Z10" s="7">
        <f>VC!U4</f>
        <v>0</v>
      </c>
      <c r="AA10" s="7">
        <f>VC!V4</f>
        <v>0</v>
      </c>
      <c r="AB10" s="7" t="str">
        <f>VC!W4</f>
        <v>S92N</v>
      </c>
      <c r="AC10" s="7" t="str">
        <f>VC!X4</f>
        <v>aa11∆4</v>
      </c>
      <c r="AD10" s="7">
        <f>VC!Y4</f>
        <v>0</v>
      </c>
      <c r="AE10" s="7">
        <f>VC!Z4</f>
        <v>0</v>
      </c>
      <c r="AF10" s="7">
        <f>VC!AA4</f>
        <v>0</v>
      </c>
      <c r="AG10" s="7">
        <f>VC!AB4</f>
        <v>0</v>
      </c>
      <c r="AH10" s="7">
        <f>VC!AC4</f>
        <v>0</v>
      </c>
      <c r="AI10" s="7">
        <f>VC!AD4</f>
        <v>0</v>
      </c>
      <c r="AJ10" s="7">
        <f>VC!AE4</f>
        <v>0</v>
      </c>
      <c r="AK10" s="7" t="str">
        <f>VC!AF4</f>
        <v>L102P</v>
      </c>
      <c r="AL10" s="7">
        <f>VC!AG4</f>
        <v>0</v>
      </c>
      <c r="AM10" s="7">
        <f>VC!AH4</f>
        <v>0</v>
      </c>
      <c r="AN10" s="7">
        <f>VC!AI4</f>
        <v>0</v>
      </c>
      <c r="AO10" s="7" t="str">
        <f>VC!AJ4</f>
        <v>nt402∆11</v>
      </c>
      <c r="AP10" s="7">
        <f>VC!AK4</f>
        <v>0</v>
      </c>
      <c r="AQ10" s="7">
        <f>VC!AL4</f>
        <v>0</v>
      </c>
      <c r="AR10" s="7">
        <f>VC!AM4</f>
        <v>0</v>
      </c>
      <c r="AS10" s="7">
        <f>VC!AN4</f>
        <v>0</v>
      </c>
      <c r="AT10" s="7">
        <f>VC!AO4</f>
        <v>0</v>
      </c>
      <c r="AU10" s="7">
        <f>VC!AP4</f>
        <v>0</v>
      </c>
      <c r="AV10" s="7">
        <f>VC!AQ4</f>
        <v>0</v>
      </c>
      <c r="AW10" s="7">
        <f>VC!AR4</f>
        <v>0</v>
      </c>
      <c r="AX10" s="7">
        <f>VC!AS4</f>
        <v>0</v>
      </c>
      <c r="AY10" s="7">
        <f>VC!AT4</f>
        <v>0</v>
      </c>
      <c r="AZ10" s="7">
        <f>VC!AU4</f>
        <v>0</v>
      </c>
      <c r="BA10" s="7">
        <f>VC!AV4</f>
        <v>0</v>
      </c>
      <c r="BB10" s="7" t="str">
        <f>VC!AW4</f>
        <v>L95F</v>
      </c>
      <c r="BC10" s="7">
        <f>VC!AX4</f>
        <v>0</v>
      </c>
      <c r="BD10" s="7">
        <f>VC!AY4</f>
        <v>0</v>
      </c>
      <c r="BE10" s="7">
        <f>VC!AZ4</f>
        <v>0</v>
      </c>
      <c r="BF10" s="7">
        <f>VC!BA4</f>
        <v>0</v>
      </c>
      <c r="BG10" s="7">
        <f>VC!BB4</f>
        <v>0</v>
      </c>
      <c r="BH10" s="7">
        <f>VC!BC4</f>
        <v>0</v>
      </c>
      <c r="BI10" s="7">
        <f>VC!BD4</f>
        <v>0</v>
      </c>
      <c r="BJ10" s="7">
        <f>VC!BE4</f>
        <v>0</v>
      </c>
      <c r="BK10" s="7">
        <f>VC!BF4</f>
        <v>0</v>
      </c>
      <c r="BL10" s="7">
        <f>VC!BG4</f>
        <v>0</v>
      </c>
      <c r="BM10" s="7">
        <f>VC!BH4</f>
        <v>0</v>
      </c>
      <c r="BN10" s="7" t="str">
        <f>VC!BI4</f>
        <v>nt81InsT</v>
      </c>
      <c r="BO10" s="7">
        <f>VC!BJ4</f>
        <v>0</v>
      </c>
      <c r="BP10" s="7">
        <f>VC!BK4</f>
        <v>0</v>
      </c>
      <c r="BQ10" s="7">
        <f>VC!BL4</f>
        <v>0</v>
      </c>
      <c r="BR10" s="7">
        <f>VC!BM4</f>
        <v>0</v>
      </c>
      <c r="BS10" s="7">
        <f>VC!BN4</f>
        <v>0</v>
      </c>
      <c r="BT10" s="7">
        <f>VC!BO4</f>
        <v>0</v>
      </c>
      <c r="BU10" s="7">
        <f>VC!BP4</f>
        <v>0</v>
      </c>
      <c r="BV10" s="7">
        <f>VC!BQ4</f>
        <v>0</v>
      </c>
      <c r="BW10" s="7">
        <f>VC!BR4</f>
        <v>0</v>
      </c>
      <c r="BX10" s="7">
        <f>VC!BS4</f>
        <v>0</v>
      </c>
      <c r="BY10" s="7">
        <f>VC!BT4</f>
        <v>0</v>
      </c>
      <c r="BZ10" s="7">
        <f>VC!BU4</f>
        <v>0</v>
      </c>
      <c r="CA10" s="7" t="str">
        <f>VC!BV4</f>
        <v>nt266InsG</v>
      </c>
      <c r="CB10" s="7">
        <f>VC!BW4</f>
        <v>0</v>
      </c>
      <c r="CC10" s="7">
        <f>VC!BX4</f>
        <v>0</v>
      </c>
      <c r="CD10" s="7">
        <f>VC!BY4</f>
        <v>0</v>
      </c>
      <c r="CE10" s="7">
        <f>VC!BZ4</f>
        <v>0</v>
      </c>
      <c r="CF10" s="7" t="str">
        <f>VC!CA4</f>
        <v>R73L</v>
      </c>
      <c r="CG10" s="7">
        <f>VC!CB4</f>
        <v>0</v>
      </c>
      <c r="CH10" s="7">
        <f>VC!CC4</f>
        <v>0</v>
      </c>
      <c r="CI10" s="7">
        <f>VC!CD4</f>
        <v>0</v>
      </c>
      <c r="CJ10" s="7">
        <f>VC!CE4</f>
        <v>0</v>
      </c>
      <c r="CK10" s="7">
        <f>VC!CF4</f>
        <v>0</v>
      </c>
      <c r="CL10" s="7">
        <f>VC!CG4</f>
        <v>0</v>
      </c>
      <c r="CM10" s="7">
        <f>VC!CH4</f>
        <v>0</v>
      </c>
      <c r="CN10" s="7">
        <f>VC!CI4</f>
        <v>0</v>
      </c>
      <c r="CO10" s="7">
        <f>VC!CJ4</f>
        <v>0</v>
      </c>
      <c r="CP10" s="7">
        <f>VC!CK4</f>
        <v>0</v>
      </c>
      <c r="CQ10" s="7">
        <f>VC!CL4</f>
        <v>0</v>
      </c>
      <c r="CR10" s="7">
        <f>VC!CM4</f>
        <v>0</v>
      </c>
      <c r="CS10" s="7" t="str">
        <f>VC!CN4</f>
        <v>L95F</v>
      </c>
      <c r="CT10" s="7">
        <f>VC!CO4</f>
        <v>0</v>
      </c>
      <c r="CU10" s="7">
        <f>VC!CP4</f>
        <v>0</v>
      </c>
      <c r="CV10" s="7">
        <f>VC!CQ4</f>
        <v>0</v>
      </c>
      <c r="CW10" s="7" t="str">
        <f>VC!CR4</f>
        <v>nt161InsC</v>
      </c>
      <c r="CX10" s="7">
        <f>VC!CS4</f>
        <v>0</v>
      </c>
      <c r="CY10" s="7">
        <f>VC!CT4</f>
        <v>0</v>
      </c>
      <c r="CZ10" s="7">
        <f>VC!CU4</f>
        <v>0</v>
      </c>
      <c r="DA10" s="7">
        <f>VC!CV4</f>
        <v>0</v>
      </c>
      <c r="DB10" s="7">
        <f>VC!CW4</f>
        <v>0</v>
      </c>
      <c r="DC10" s="7">
        <f>VC!CX4</f>
        <v>0</v>
      </c>
      <c r="DD10" s="7">
        <f>VC!CY4</f>
        <v>0</v>
      </c>
      <c r="DE10" s="7">
        <f>VC!CZ4</f>
        <v>0</v>
      </c>
      <c r="DF10" s="7" t="str">
        <f>VC!DA4</f>
        <v>R82H</v>
      </c>
      <c r="DG10" s="7">
        <f>VC!DB4</f>
        <v>0</v>
      </c>
      <c r="DH10" s="7">
        <f>VC!DC4</f>
        <v>0</v>
      </c>
      <c r="DI10" s="7">
        <f>VC!DD4</f>
        <v>0</v>
      </c>
      <c r="DJ10" s="7">
        <f>VC!DE4</f>
        <v>0</v>
      </c>
      <c r="DK10" s="7">
        <f>VC!DF4</f>
        <v>0</v>
      </c>
      <c r="DL10" s="7">
        <f>VC!DG4</f>
        <v>0</v>
      </c>
      <c r="DM10" s="7">
        <f>VC!DH4</f>
        <v>0</v>
      </c>
      <c r="DN10" s="7">
        <f>VC!DI4</f>
        <v>0</v>
      </c>
      <c r="DO10" s="7">
        <f>VC!DJ4</f>
        <v>0</v>
      </c>
      <c r="DP10" s="7">
        <f>VC!DK4</f>
        <v>0</v>
      </c>
      <c r="DQ10" s="7">
        <f>VC!DL4</f>
        <v>0</v>
      </c>
      <c r="DR10" s="7">
        <f>VC!DM4</f>
        <v>0</v>
      </c>
      <c r="DS10" s="7">
        <f>VC!DN4</f>
        <v>0</v>
      </c>
      <c r="DT10" s="7">
        <f>VC!DO4</f>
        <v>0</v>
      </c>
      <c r="DU10" s="7">
        <f>VC!DP4</f>
        <v>0</v>
      </c>
      <c r="DV10" s="7">
        <f>VC!DQ4</f>
        <v>0</v>
      </c>
      <c r="DW10" s="7">
        <f>VC!DR4</f>
        <v>0</v>
      </c>
      <c r="DX10" s="7">
        <f>VC!DS4</f>
        <v>0</v>
      </c>
      <c r="DY10" s="7">
        <f>VC!DT4</f>
        <v>0</v>
      </c>
      <c r="DZ10" s="7">
        <f>VC!DU4</f>
        <v>0</v>
      </c>
      <c r="EA10" s="7">
        <f>VC!DV4</f>
        <v>0</v>
      </c>
      <c r="EB10" s="7">
        <f>VC!DW4</f>
        <v>0</v>
      </c>
      <c r="EC10" s="7">
        <f>VC!DX4</f>
        <v>0</v>
      </c>
      <c r="ED10" s="7">
        <f>VC!DY4</f>
        <v>0</v>
      </c>
      <c r="EE10" s="7">
        <f>VC!DZ4</f>
        <v>0</v>
      </c>
      <c r="EF10" s="7">
        <f>VC!EA4</f>
        <v>0</v>
      </c>
      <c r="EG10" s="7">
        <f>VC!EB4</f>
        <v>0</v>
      </c>
      <c r="EH10" s="7">
        <f>VC!EC4</f>
        <v>0</v>
      </c>
      <c r="EI10" s="7">
        <f>VC!ED4</f>
        <v>0</v>
      </c>
      <c r="EJ10" s="7">
        <f>VC!EE4</f>
        <v>0</v>
      </c>
      <c r="EK10" s="7" t="str">
        <f>VC!EF4</f>
        <v>nt217∆1</v>
      </c>
      <c r="EL10" s="7">
        <f>VC!EG4</f>
        <v>0</v>
      </c>
      <c r="EM10" s="7">
        <f>VC!EH4</f>
        <v>0</v>
      </c>
      <c r="EN10" s="7">
        <f>VC!EI4</f>
        <v>0</v>
      </c>
      <c r="EO10" s="7">
        <f>VC!EJ4</f>
        <v>0</v>
      </c>
      <c r="EP10" s="7">
        <f>VC!EK4</f>
        <v>0</v>
      </c>
      <c r="EQ10" s="7">
        <f>VC!EL4</f>
        <v>0</v>
      </c>
      <c r="ER10" s="7">
        <f>VC!EM4</f>
        <v>0</v>
      </c>
      <c r="ES10" s="7">
        <f>VC!EN4</f>
        <v>0</v>
      </c>
      <c r="ET10" s="7">
        <f>VC!EO4</f>
        <v>0</v>
      </c>
      <c r="EU10" s="7">
        <f>VC!EP4</f>
        <v>0</v>
      </c>
      <c r="EV10" s="7">
        <f>VC!EQ4</f>
        <v>0</v>
      </c>
      <c r="EW10" s="7" t="str">
        <f>VC!ER4</f>
        <v>N79S</v>
      </c>
      <c r="EX10" s="7">
        <f>VC!ES4</f>
        <v>0</v>
      </c>
      <c r="EY10" s="7">
        <f>VC!ET4</f>
        <v>0</v>
      </c>
      <c r="EZ10" s="7">
        <f>VC!EU4</f>
        <v>0</v>
      </c>
      <c r="FA10" s="7">
        <f>VC!EV4</f>
        <v>0</v>
      </c>
      <c r="FB10" s="7">
        <f>VC!EW4</f>
        <v>0</v>
      </c>
      <c r="FC10" s="7">
        <f>VC!EX4</f>
        <v>0</v>
      </c>
      <c r="FD10" s="7">
        <f>VC!EY4</f>
        <v>0</v>
      </c>
      <c r="FE10" s="7">
        <f>VC!EZ4</f>
        <v>0</v>
      </c>
      <c r="FF10" s="7">
        <f>VC!FA4</f>
        <v>0</v>
      </c>
      <c r="FG10" s="7">
        <f>VC!FB4</f>
        <v>0</v>
      </c>
      <c r="FH10" s="7">
        <f>VC!FC4</f>
        <v>0</v>
      </c>
      <c r="FI10" s="7">
        <f>VC!FD4</f>
        <v>0</v>
      </c>
      <c r="FJ10" s="7">
        <f>VC!FE4</f>
        <v>0</v>
      </c>
      <c r="FK10" s="7">
        <f>VC!FF4</f>
        <v>0</v>
      </c>
      <c r="FL10" s="7">
        <f>VC!FG4</f>
        <v>0</v>
      </c>
      <c r="FM10" s="7">
        <f>VC!FH4</f>
        <v>0</v>
      </c>
      <c r="FN10" s="7">
        <f>VC!FI4</f>
        <v>0</v>
      </c>
      <c r="FO10" s="7">
        <f>VC!FJ4</f>
        <v>0</v>
      </c>
      <c r="FP10" s="7">
        <f>VC!FK4</f>
        <v>0</v>
      </c>
      <c r="FQ10" s="7">
        <f>VC!FL4</f>
        <v>0</v>
      </c>
      <c r="FR10" s="7" t="str">
        <f>VC!FM4</f>
        <v>Q49X</v>
      </c>
      <c r="FS10" s="7">
        <f>VC!FN4</f>
        <v>0</v>
      </c>
      <c r="FT10" s="7">
        <f>VC!FO4</f>
        <v>0</v>
      </c>
      <c r="FU10" s="7">
        <f>VC!FP4</f>
        <v>0</v>
      </c>
      <c r="FV10" s="7">
        <f>VC!FQ4</f>
        <v>0</v>
      </c>
      <c r="FW10" s="7" t="str">
        <f>VC!FR4</f>
        <v>aa90∆4</v>
      </c>
      <c r="FX10" s="7">
        <f>VC!FS4</f>
        <v>0</v>
      </c>
      <c r="FY10" s="7">
        <f>VC!FT4</f>
        <v>0</v>
      </c>
      <c r="FZ10" s="7">
        <f>VC!FU4</f>
        <v>0</v>
      </c>
      <c r="GA10" s="7">
        <f>VC!FV4</f>
        <v>0</v>
      </c>
      <c r="GB10" s="7">
        <f>VC!FW4</f>
        <v>0</v>
      </c>
      <c r="GC10" s="7">
        <f>VC!FX4</f>
        <v>0</v>
      </c>
      <c r="GD10" s="7">
        <f>VC!FY4</f>
        <v>0</v>
      </c>
      <c r="GE10" s="7">
        <f>VC!FZ4</f>
        <v>0</v>
      </c>
      <c r="GF10" s="7">
        <f>VC!GA4</f>
        <v>0</v>
      </c>
      <c r="GG10" s="7">
        <f>VC!GB4</f>
        <v>0</v>
      </c>
      <c r="GH10" s="7">
        <f>VC!GC4</f>
        <v>0</v>
      </c>
      <c r="GI10" s="7">
        <f>VC!GD4</f>
        <v>0</v>
      </c>
      <c r="GJ10" s="7">
        <f>VC!GE4</f>
        <v>0</v>
      </c>
      <c r="GK10" s="7">
        <f>VC!GF4</f>
        <v>0</v>
      </c>
      <c r="GL10" s="7">
        <f>VC!GG4</f>
        <v>0</v>
      </c>
      <c r="GM10" s="7">
        <f>VC!GH4</f>
        <v>0</v>
      </c>
      <c r="GN10" s="7">
        <f>VC!GI4</f>
        <v>0</v>
      </c>
      <c r="GO10" s="7">
        <f>VC!GJ4</f>
        <v>0</v>
      </c>
      <c r="GP10" s="7">
        <f>VC!GK4</f>
        <v>0</v>
      </c>
      <c r="GQ10" s="7">
        <f>VC!GL4</f>
        <v>0</v>
      </c>
      <c r="GR10" s="7">
        <f>VC!GM4</f>
        <v>0</v>
      </c>
      <c r="GS10" s="7">
        <f>VC!GN4</f>
        <v>0</v>
      </c>
      <c r="GT10" s="7">
        <f>VC!GO4</f>
        <v>0</v>
      </c>
      <c r="GU10" s="7">
        <f>VC!GP4</f>
        <v>0</v>
      </c>
      <c r="GV10" s="7">
        <f>VC!GQ4</f>
        <v>0</v>
      </c>
      <c r="GW10" s="7">
        <f>VC!GR4</f>
        <v>0</v>
      </c>
      <c r="GX10" s="7">
        <f>VC!GS4</f>
        <v>0</v>
      </c>
      <c r="GY10" s="7">
        <f>VC!GT4</f>
        <v>0</v>
      </c>
      <c r="GZ10" s="7">
        <f>VC!GU4</f>
        <v>0</v>
      </c>
      <c r="HA10" s="7">
        <f>VC!GV4</f>
        <v>0</v>
      </c>
      <c r="HB10" s="7" t="str">
        <f>VC!GW4</f>
        <v>nt492InsACCC</v>
      </c>
      <c r="HC10" s="7">
        <f>VC!GX4</f>
        <v>0</v>
      </c>
    </row>
    <row r="11" spans="1:211" s="7" customFormat="1" x14ac:dyDescent="0.25">
      <c r="A11" s="36" t="s">
        <v>5</v>
      </c>
      <c r="B11" s="37" t="s">
        <v>6</v>
      </c>
      <c r="C11" s="38" t="s">
        <v>4</v>
      </c>
      <c r="D11" s="37" t="s">
        <v>76</v>
      </c>
      <c r="E11" s="37" t="s">
        <v>138</v>
      </c>
      <c r="F11" s="37" t="s">
        <v>74</v>
      </c>
      <c r="G11" s="39" t="s">
        <v>136</v>
      </c>
      <c r="H11" s="7">
        <f>VC!C4</f>
        <v>0</v>
      </c>
      <c r="I11" s="7">
        <f>VC!D4</f>
        <v>0</v>
      </c>
      <c r="J11" s="7">
        <f>VC!E4</f>
        <v>0</v>
      </c>
      <c r="K11" s="7">
        <f>VC!F4</f>
        <v>0</v>
      </c>
      <c r="L11" s="7">
        <f>VC!G4</f>
        <v>0</v>
      </c>
      <c r="M11" s="7">
        <f>VC!H4</f>
        <v>0</v>
      </c>
      <c r="N11" s="7">
        <f>VC!I4</f>
        <v>0</v>
      </c>
      <c r="O11" s="7">
        <f>VC!J4</f>
        <v>0</v>
      </c>
      <c r="P11" s="7">
        <f>VC!K4</f>
        <v>0</v>
      </c>
      <c r="Q11" s="7">
        <f>VC!L4</f>
        <v>0</v>
      </c>
      <c r="R11" s="7">
        <f>VC!M4</f>
        <v>0</v>
      </c>
      <c r="S11" s="7">
        <f>VC!N4</f>
        <v>0</v>
      </c>
      <c r="T11" s="7">
        <f>VC!O4</f>
        <v>0</v>
      </c>
      <c r="U11" s="7">
        <f>VC!P4</f>
        <v>0</v>
      </c>
      <c r="V11" s="7">
        <f>VC!Q4</f>
        <v>0</v>
      </c>
      <c r="W11" s="7">
        <f>VC!R4</f>
        <v>0</v>
      </c>
      <c r="X11" s="7">
        <f>VC!S4</f>
        <v>0</v>
      </c>
      <c r="Y11" s="7">
        <f>VC!T4</f>
        <v>0</v>
      </c>
      <c r="Z11" s="7">
        <f>VC!U4</f>
        <v>0</v>
      </c>
      <c r="AA11" s="7">
        <f>VC!V4</f>
        <v>0</v>
      </c>
      <c r="AB11" s="7" t="str">
        <f>VC!W4</f>
        <v>S92N</v>
      </c>
      <c r="AC11" s="7" t="str">
        <f>VC!X4</f>
        <v>aa11∆4</v>
      </c>
      <c r="AD11" s="7">
        <f>VC!Y4</f>
        <v>0</v>
      </c>
      <c r="AE11" s="7">
        <f>VC!Z4</f>
        <v>0</v>
      </c>
      <c r="AF11" s="7">
        <f>VC!AA4</f>
        <v>0</v>
      </c>
      <c r="AG11" s="7">
        <f>VC!AB4</f>
        <v>0</v>
      </c>
      <c r="AH11" s="7">
        <f>VC!AC4</f>
        <v>0</v>
      </c>
      <c r="AI11" s="7">
        <f>VC!AD4</f>
        <v>0</v>
      </c>
      <c r="AJ11" s="7">
        <f>VC!AE4</f>
        <v>0</v>
      </c>
      <c r="AK11" s="7" t="str">
        <f>VC!AF4</f>
        <v>L102P</v>
      </c>
      <c r="AL11" s="7">
        <f>VC!AG4</f>
        <v>0</v>
      </c>
      <c r="AM11" s="7">
        <f>VC!AH4</f>
        <v>0</v>
      </c>
      <c r="AN11" s="7">
        <f>VC!AI4</f>
        <v>0</v>
      </c>
      <c r="AO11" s="7" t="str">
        <f>VC!AJ4</f>
        <v>nt402∆11</v>
      </c>
      <c r="AP11" s="7">
        <f>VC!AK4</f>
        <v>0</v>
      </c>
      <c r="AQ11" s="7">
        <f>VC!AL4</f>
        <v>0</v>
      </c>
      <c r="AR11" s="7">
        <f>VC!AM4</f>
        <v>0</v>
      </c>
      <c r="AS11" s="7">
        <f>VC!AN4</f>
        <v>0</v>
      </c>
      <c r="AT11" s="7">
        <f>VC!AO4</f>
        <v>0</v>
      </c>
      <c r="AU11" s="7">
        <f>VC!AP4</f>
        <v>0</v>
      </c>
      <c r="AV11" s="7">
        <f>VC!AQ4</f>
        <v>0</v>
      </c>
      <c r="AW11" s="7">
        <f>VC!AR4</f>
        <v>0</v>
      </c>
      <c r="AX11" s="7">
        <f>VC!AS4</f>
        <v>0</v>
      </c>
      <c r="AY11" s="7">
        <f>VC!AT4</f>
        <v>0</v>
      </c>
      <c r="AZ11" s="7">
        <f>VC!AU4</f>
        <v>0</v>
      </c>
      <c r="BA11" s="7">
        <f>VC!AV4</f>
        <v>0</v>
      </c>
      <c r="BB11" s="7" t="str">
        <f>VC!AW4</f>
        <v>L95F</v>
      </c>
      <c r="BC11" s="7">
        <f>VC!AX4</f>
        <v>0</v>
      </c>
      <c r="BD11" s="7">
        <f>VC!AY4</f>
        <v>0</v>
      </c>
      <c r="BE11" s="7">
        <f>VC!AZ4</f>
        <v>0</v>
      </c>
      <c r="BF11" s="7">
        <f>VC!BA4</f>
        <v>0</v>
      </c>
      <c r="BG11" s="7">
        <f>VC!BB4</f>
        <v>0</v>
      </c>
      <c r="BH11" s="7">
        <f>VC!BC4</f>
        <v>0</v>
      </c>
      <c r="BI11" s="7">
        <f>VC!BD4</f>
        <v>0</v>
      </c>
      <c r="BJ11" s="7">
        <f>VC!BE4</f>
        <v>0</v>
      </c>
      <c r="BK11" s="7">
        <f>VC!BF4</f>
        <v>0</v>
      </c>
      <c r="BL11" s="7">
        <f>VC!BG4</f>
        <v>0</v>
      </c>
      <c r="BM11" s="7">
        <f>VC!BH4</f>
        <v>0</v>
      </c>
      <c r="BN11" s="7" t="str">
        <f>VC!BI4</f>
        <v>nt81InsT</v>
      </c>
      <c r="BO11" s="7">
        <f>VC!BJ4</f>
        <v>0</v>
      </c>
      <c r="BP11" s="7">
        <f>VC!BK4</f>
        <v>0</v>
      </c>
      <c r="BQ11" s="7">
        <f>VC!BL4</f>
        <v>0</v>
      </c>
      <c r="BR11" s="7">
        <f>VC!BM4</f>
        <v>0</v>
      </c>
      <c r="BS11" s="7">
        <f>VC!BN4</f>
        <v>0</v>
      </c>
      <c r="BT11" s="7">
        <f>VC!BO4</f>
        <v>0</v>
      </c>
      <c r="BU11" s="7">
        <f>VC!BP4</f>
        <v>0</v>
      </c>
      <c r="BV11" s="7">
        <f>VC!BQ4</f>
        <v>0</v>
      </c>
      <c r="BW11" s="7">
        <f>VC!BR4</f>
        <v>0</v>
      </c>
      <c r="BX11" s="7">
        <f>VC!BS4</f>
        <v>0</v>
      </c>
      <c r="BY11" s="7">
        <f>VC!BT4</f>
        <v>0</v>
      </c>
      <c r="BZ11" s="7">
        <f>VC!BU4</f>
        <v>0</v>
      </c>
      <c r="CA11" s="7" t="str">
        <f>VC!BV4</f>
        <v>nt266InsG</v>
      </c>
      <c r="CB11" s="7">
        <f>VC!BW4</f>
        <v>0</v>
      </c>
      <c r="CC11" s="7">
        <f>VC!BX4</f>
        <v>0</v>
      </c>
      <c r="CD11" s="7">
        <f>VC!BY4</f>
        <v>0</v>
      </c>
      <c r="CE11" s="7">
        <f>VC!BZ4</f>
        <v>0</v>
      </c>
      <c r="CF11" s="7" t="str">
        <f>VC!CA4</f>
        <v>R73L</v>
      </c>
      <c r="CG11" s="7">
        <f>VC!CB4</f>
        <v>0</v>
      </c>
      <c r="CH11" s="7">
        <f>VC!CC4</f>
        <v>0</v>
      </c>
      <c r="CI11" s="7">
        <f>VC!CD4</f>
        <v>0</v>
      </c>
      <c r="CJ11" s="7">
        <f>VC!CE4</f>
        <v>0</v>
      </c>
      <c r="CK11" s="7">
        <f>VC!CF4</f>
        <v>0</v>
      </c>
      <c r="CL11" s="7">
        <f>VC!CG4</f>
        <v>0</v>
      </c>
      <c r="CM11" s="7">
        <f>VC!CH4</f>
        <v>0</v>
      </c>
      <c r="CN11" s="7">
        <f>VC!CI4</f>
        <v>0</v>
      </c>
      <c r="CO11" s="7">
        <f>VC!CJ4</f>
        <v>0</v>
      </c>
      <c r="CP11" s="7">
        <f>VC!CK4</f>
        <v>0</v>
      </c>
      <c r="CQ11" s="7">
        <f>VC!CL4</f>
        <v>0</v>
      </c>
      <c r="CR11" s="7">
        <f>VC!CM4</f>
        <v>0</v>
      </c>
      <c r="CS11" s="7" t="str">
        <f>VC!CN4</f>
        <v>L95F</v>
      </c>
      <c r="CT11" s="7">
        <f>VC!CO4</f>
        <v>0</v>
      </c>
      <c r="CU11" s="7">
        <f>VC!CP4</f>
        <v>0</v>
      </c>
      <c r="CV11" s="7">
        <f>VC!CQ4</f>
        <v>0</v>
      </c>
      <c r="CW11" s="7" t="str">
        <f>VC!CR4</f>
        <v>nt161InsC</v>
      </c>
      <c r="CX11" s="7">
        <f>VC!CS4</f>
        <v>0</v>
      </c>
      <c r="CY11" s="7">
        <f>VC!CT4</f>
        <v>0</v>
      </c>
      <c r="CZ11" s="7">
        <f>VC!CU4</f>
        <v>0</v>
      </c>
      <c r="DA11" s="7">
        <f>VC!CV4</f>
        <v>0</v>
      </c>
      <c r="DB11" s="7">
        <f>VC!CW4</f>
        <v>0</v>
      </c>
      <c r="DC11" s="7">
        <f>VC!CX4</f>
        <v>0</v>
      </c>
      <c r="DD11" s="7">
        <f>VC!CY4</f>
        <v>0</v>
      </c>
      <c r="DE11" s="7">
        <f>VC!CZ4</f>
        <v>0</v>
      </c>
      <c r="DF11" s="7" t="str">
        <f>VC!DA4</f>
        <v>R82H</v>
      </c>
      <c r="DG11" s="7">
        <f>VC!DB4</f>
        <v>0</v>
      </c>
      <c r="DH11" s="7">
        <f>VC!DC4</f>
        <v>0</v>
      </c>
      <c r="DI11" s="7">
        <f>VC!DD4</f>
        <v>0</v>
      </c>
      <c r="DJ11" s="7">
        <f>VC!DE4</f>
        <v>0</v>
      </c>
      <c r="DK11" s="7">
        <f>VC!DF4</f>
        <v>0</v>
      </c>
      <c r="DL11" s="7">
        <f>VC!DG4</f>
        <v>0</v>
      </c>
      <c r="DM11" s="7">
        <f>VC!DH4</f>
        <v>0</v>
      </c>
      <c r="DN11" s="7">
        <f>VC!DI4</f>
        <v>0</v>
      </c>
      <c r="DO11" s="7">
        <f>VC!DJ4</f>
        <v>0</v>
      </c>
      <c r="DP11" s="7">
        <f>VC!DK4</f>
        <v>0</v>
      </c>
      <c r="DQ11" s="7">
        <f>VC!DL4</f>
        <v>0</v>
      </c>
      <c r="DR11" s="7">
        <f>VC!DM4</f>
        <v>0</v>
      </c>
      <c r="DS11" s="7">
        <f>VC!DN4</f>
        <v>0</v>
      </c>
      <c r="DT11" s="7">
        <f>VC!DO4</f>
        <v>0</v>
      </c>
      <c r="DU11" s="7">
        <f>VC!DP4</f>
        <v>0</v>
      </c>
      <c r="DV11" s="7">
        <f>VC!DQ4</f>
        <v>0</v>
      </c>
      <c r="DW11" s="7">
        <f>VC!DR4</f>
        <v>0</v>
      </c>
      <c r="DX11" s="7">
        <f>VC!DS4</f>
        <v>0</v>
      </c>
      <c r="DY11" s="7">
        <f>VC!DT4</f>
        <v>0</v>
      </c>
      <c r="DZ11" s="7">
        <f>VC!DU4</f>
        <v>0</v>
      </c>
      <c r="EA11" s="7">
        <f>VC!DV4</f>
        <v>0</v>
      </c>
      <c r="EB11" s="7">
        <f>VC!DW4</f>
        <v>0</v>
      </c>
      <c r="EC11" s="7">
        <f>VC!DX4</f>
        <v>0</v>
      </c>
      <c r="ED11" s="7">
        <f>VC!DY4</f>
        <v>0</v>
      </c>
      <c r="EE11" s="7">
        <f>VC!DZ4</f>
        <v>0</v>
      </c>
      <c r="EF11" s="7">
        <f>VC!EA4</f>
        <v>0</v>
      </c>
      <c r="EG11" s="7">
        <f>VC!EB4</f>
        <v>0</v>
      </c>
      <c r="EH11" s="7">
        <f>VC!EC4</f>
        <v>0</v>
      </c>
      <c r="EI11" s="7">
        <f>VC!ED4</f>
        <v>0</v>
      </c>
      <c r="EJ11" s="7">
        <f>VC!EE4</f>
        <v>0</v>
      </c>
      <c r="EK11" s="7" t="str">
        <f>VC!EF4</f>
        <v>nt217∆1</v>
      </c>
      <c r="EL11" s="7">
        <f>VC!EG4</f>
        <v>0</v>
      </c>
      <c r="EM11" s="7">
        <f>VC!EH4</f>
        <v>0</v>
      </c>
      <c r="EN11" s="7">
        <f>VC!EI4</f>
        <v>0</v>
      </c>
      <c r="EO11" s="7">
        <f>VC!EJ4</f>
        <v>0</v>
      </c>
      <c r="EP11" s="7">
        <f>VC!EK4</f>
        <v>0</v>
      </c>
      <c r="EQ11" s="7">
        <f>VC!EL4</f>
        <v>0</v>
      </c>
      <c r="ER11" s="7">
        <f>VC!EM4</f>
        <v>0</v>
      </c>
      <c r="ES11" s="7">
        <f>VC!EN4</f>
        <v>0</v>
      </c>
      <c r="ET11" s="7">
        <f>VC!EO4</f>
        <v>0</v>
      </c>
      <c r="EU11" s="7">
        <f>VC!EP4</f>
        <v>0</v>
      </c>
      <c r="EV11" s="7">
        <f>VC!EQ4</f>
        <v>0</v>
      </c>
      <c r="EW11" s="7" t="str">
        <f>VC!ER4</f>
        <v>N79S</v>
      </c>
      <c r="EX11" s="7">
        <f>VC!ES4</f>
        <v>0</v>
      </c>
      <c r="EY11" s="7">
        <f>VC!ET4</f>
        <v>0</v>
      </c>
      <c r="EZ11" s="7">
        <f>VC!EU4</f>
        <v>0</v>
      </c>
      <c r="FA11" s="7">
        <f>VC!EV4</f>
        <v>0</v>
      </c>
      <c r="FB11" s="7">
        <f>VC!EW4</f>
        <v>0</v>
      </c>
      <c r="FC11" s="7">
        <f>VC!EX4</f>
        <v>0</v>
      </c>
      <c r="FD11" s="7">
        <f>VC!EY4</f>
        <v>0</v>
      </c>
      <c r="FE11" s="7">
        <f>VC!EZ4</f>
        <v>0</v>
      </c>
      <c r="FF11" s="7">
        <f>VC!FA4</f>
        <v>0</v>
      </c>
      <c r="FG11" s="7">
        <f>VC!FB4</f>
        <v>0</v>
      </c>
      <c r="FH11" s="7">
        <f>VC!FC4</f>
        <v>0</v>
      </c>
      <c r="FI11" s="7">
        <f>VC!FD4</f>
        <v>0</v>
      </c>
      <c r="FJ11" s="7">
        <f>VC!FE4</f>
        <v>0</v>
      </c>
      <c r="FK11" s="7">
        <f>VC!FF4</f>
        <v>0</v>
      </c>
      <c r="FL11" s="7">
        <f>VC!FG4</f>
        <v>0</v>
      </c>
      <c r="FM11" s="7">
        <f>VC!FH4</f>
        <v>0</v>
      </c>
      <c r="FN11" s="7">
        <f>VC!FI4</f>
        <v>0</v>
      </c>
      <c r="FO11" s="7">
        <f>VC!FJ4</f>
        <v>0</v>
      </c>
      <c r="FP11" s="7">
        <f>VC!FK4</f>
        <v>0</v>
      </c>
      <c r="FQ11" s="7">
        <f>VC!FL4</f>
        <v>0</v>
      </c>
      <c r="FR11" s="7" t="str">
        <f>VC!FM4</f>
        <v>Q49X</v>
      </c>
      <c r="FS11" s="7">
        <f>VC!FN4</f>
        <v>0</v>
      </c>
      <c r="FT11" s="7">
        <f>VC!FO4</f>
        <v>0</v>
      </c>
      <c r="FU11" s="7">
        <f>VC!FP4</f>
        <v>0</v>
      </c>
      <c r="FV11" s="7">
        <f>VC!FQ4</f>
        <v>0</v>
      </c>
      <c r="FW11" s="7" t="str">
        <f>VC!FR4</f>
        <v>aa90∆4</v>
      </c>
      <c r="FX11" s="7">
        <f>VC!FS4</f>
        <v>0</v>
      </c>
      <c r="FY11" s="7">
        <f>VC!FT4</f>
        <v>0</v>
      </c>
      <c r="FZ11" s="7">
        <f>VC!FU4</f>
        <v>0</v>
      </c>
      <c r="GA11" s="7">
        <f>VC!FV4</f>
        <v>0</v>
      </c>
      <c r="GB11" s="7">
        <f>VC!FW4</f>
        <v>0</v>
      </c>
      <c r="GC11" s="7">
        <f>VC!FX4</f>
        <v>0</v>
      </c>
      <c r="GD11" s="7">
        <f>VC!FY4</f>
        <v>0</v>
      </c>
      <c r="GE11" s="7">
        <f>VC!FZ4</f>
        <v>0</v>
      </c>
      <c r="GF11" s="7">
        <f>VC!GA4</f>
        <v>0</v>
      </c>
      <c r="GG11" s="7">
        <f>VC!GB4</f>
        <v>0</v>
      </c>
      <c r="GH11" s="7">
        <f>VC!GC4</f>
        <v>0</v>
      </c>
      <c r="GI11" s="7">
        <f>VC!GD4</f>
        <v>0</v>
      </c>
      <c r="GJ11" s="7">
        <f>VC!GE4</f>
        <v>0</v>
      </c>
      <c r="GK11" s="7">
        <f>VC!GF4</f>
        <v>0</v>
      </c>
      <c r="GL11" s="7">
        <f>VC!GG4</f>
        <v>0</v>
      </c>
      <c r="GM11" s="7">
        <f>VC!GH4</f>
        <v>0</v>
      </c>
      <c r="GN11" s="7">
        <f>VC!GI4</f>
        <v>0</v>
      </c>
      <c r="GO11" s="7">
        <f>VC!GJ4</f>
        <v>0</v>
      </c>
      <c r="GP11" s="7">
        <f>VC!GK4</f>
        <v>0</v>
      </c>
      <c r="GQ11" s="7">
        <f>VC!GL4</f>
        <v>0</v>
      </c>
      <c r="GR11" s="7">
        <f>VC!GM4</f>
        <v>0</v>
      </c>
      <c r="GS11" s="7">
        <f>VC!GN4</f>
        <v>0</v>
      </c>
      <c r="GT11" s="7">
        <f>VC!GO4</f>
        <v>0</v>
      </c>
      <c r="GU11" s="7">
        <f>VC!GP4</f>
        <v>0</v>
      </c>
      <c r="GV11" s="7">
        <f>VC!GQ4</f>
        <v>0</v>
      </c>
      <c r="GW11" s="7">
        <f>VC!GR4</f>
        <v>0</v>
      </c>
      <c r="GX11" s="7">
        <f>VC!GS4</f>
        <v>0</v>
      </c>
      <c r="GY11" s="7">
        <f>VC!GT4</f>
        <v>0</v>
      </c>
      <c r="GZ11" s="7">
        <f>VC!GU4</f>
        <v>0</v>
      </c>
      <c r="HA11" s="7">
        <f>VC!GV4</f>
        <v>0</v>
      </c>
      <c r="HB11" s="7" t="str">
        <f>VC!GW4</f>
        <v>nt492InsACCC</v>
      </c>
      <c r="HC11" s="7">
        <f>VC!GX4</f>
        <v>0</v>
      </c>
    </row>
    <row r="12" spans="1:211" s="7" customFormat="1" ht="15.75" thickBot="1" x14ac:dyDescent="0.3">
      <c r="A12" s="40" t="s">
        <v>5</v>
      </c>
      <c r="B12" s="41" t="s">
        <v>6</v>
      </c>
      <c r="C12" s="42" t="s">
        <v>3</v>
      </c>
      <c r="D12" s="41" t="s">
        <v>76</v>
      </c>
      <c r="E12" s="41" t="s">
        <v>139</v>
      </c>
      <c r="F12" s="41" t="s">
        <v>74</v>
      </c>
      <c r="G12" s="43" t="s">
        <v>136</v>
      </c>
      <c r="H12" s="7">
        <f>VC!C4</f>
        <v>0</v>
      </c>
      <c r="I12" s="7">
        <f>VC!D4</f>
        <v>0</v>
      </c>
      <c r="J12" s="7">
        <f>VC!E4</f>
        <v>0</v>
      </c>
      <c r="K12" s="7">
        <f>VC!F4</f>
        <v>0</v>
      </c>
      <c r="L12" s="7">
        <f>VC!G4</f>
        <v>0</v>
      </c>
      <c r="M12" s="7">
        <f>VC!H4</f>
        <v>0</v>
      </c>
      <c r="N12" s="7">
        <f>VC!I4</f>
        <v>0</v>
      </c>
      <c r="O12" s="7">
        <f>VC!J4</f>
        <v>0</v>
      </c>
      <c r="P12" s="7">
        <f>VC!K4</f>
        <v>0</v>
      </c>
      <c r="Q12" s="7">
        <f>VC!L4</f>
        <v>0</v>
      </c>
      <c r="R12" s="7">
        <f>VC!M4</f>
        <v>0</v>
      </c>
      <c r="S12" s="7">
        <f>VC!N4</f>
        <v>0</v>
      </c>
      <c r="T12" s="7">
        <f>VC!O4</f>
        <v>0</v>
      </c>
      <c r="U12" s="7">
        <f>VC!P4</f>
        <v>0</v>
      </c>
      <c r="V12" s="7">
        <f>VC!Q4</f>
        <v>0</v>
      </c>
      <c r="W12" s="7">
        <f>VC!R4</f>
        <v>0</v>
      </c>
      <c r="X12" s="7">
        <f>VC!S4</f>
        <v>0</v>
      </c>
      <c r="Y12" s="7">
        <f>VC!T4</f>
        <v>0</v>
      </c>
      <c r="Z12" s="7">
        <f>VC!U4</f>
        <v>0</v>
      </c>
      <c r="AA12" s="7">
        <f>VC!V4</f>
        <v>0</v>
      </c>
      <c r="AB12" s="7" t="str">
        <f>VC!W4</f>
        <v>S92N</v>
      </c>
      <c r="AC12" s="7" t="str">
        <f>VC!X4</f>
        <v>aa11∆4</v>
      </c>
      <c r="AD12" s="7">
        <f>VC!Y4</f>
        <v>0</v>
      </c>
      <c r="AE12" s="7">
        <f>VC!Z4</f>
        <v>0</v>
      </c>
      <c r="AF12" s="7">
        <f>VC!AA4</f>
        <v>0</v>
      </c>
      <c r="AG12" s="7">
        <f>VC!AB4</f>
        <v>0</v>
      </c>
      <c r="AH12" s="7">
        <f>VC!AC4</f>
        <v>0</v>
      </c>
      <c r="AI12" s="7">
        <f>VC!AD4</f>
        <v>0</v>
      </c>
      <c r="AJ12" s="7">
        <f>VC!AE4</f>
        <v>0</v>
      </c>
      <c r="AK12" s="7" t="str">
        <f>VC!AF4</f>
        <v>L102P</v>
      </c>
      <c r="AL12" s="7">
        <f>VC!AG4</f>
        <v>0</v>
      </c>
      <c r="AM12" s="7">
        <f>VC!AH4</f>
        <v>0</v>
      </c>
      <c r="AN12" s="7">
        <f>VC!AI4</f>
        <v>0</v>
      </c>
      <c r="AO12" s="7" t="str">
        <f>VC!AJ4</f>
        <v>nt402∆11</v>
      </c>
      <c r="AP12" s="7">
        <f>VC!AK4</f>
        <v>0</v>
      </c>
      <c r="AQ12" s="7">
        <f>VC!AL4</f>
        <v>0</v>
      </c>
      <c r="AR12" s="7">
        <f>VC!AM4</f>
        <v>0</v>
      </c>
      <c r="AS12" s="7">
        <f>VC!AN4</f>
        <v>0</v>
      </c>
      <c r="AT12" s="7">
        <f>VC!AO4</f>
        <v>0</v>
      </c>
      <c r="AU12" s="7">
        <f>VC!AP4</f>
        <v>0</v>
      </c>
      <c r="AV12" s="7">
        <f>VC!AQ4</f>
        <v>0</v>
      </c>
      <c r="AW12" s="7">
        <f>VC!AR4</f>
        <v>0</v>
      </c>
      <c r="AX12" s="7">
        <f>VC!AS4</f>
        <v>0</v>
      </c>
      <c r="AY12" s="7">
        <f>VC!AT4</f>
        <v>0</v>
      </c>
      <c r="AZ12" s="7">
        <f>VC!AU4</f>
        <v>0</v>
      </c>
      <c r="BA12" s="7">
        <f>VC!AV4</f>
        <v>0</v>
      </c>
      <c r="BB12" s="7" t="str">
        <f>VC!AW4</f>
        <v>L95F</v>
      </c>
      <c r="BC12" s="7">
        <f>VC!AX4</f>
        <v>0</v>
      </c>
      <c r="BD12" s="7">
        <f>VC!AY4</f>
        <v>0</v>
      </c>
      <c r="BE12" s="7">
        <f>VC!AZ4</f>
        <v>0</v>
      </c>
      <c r="BF12" s="7">
        <f>VC!BA4</f>
        <v>0</v>
      </c>
      <c r="BG12" s="7">
        <f>VC!BB4</f>
        <v>0</v>
      </c>
      <c r="BH12" s="7">
        <f>VC!BC4</f>
        <v>0</v>
      </c>
      <c r="BI12" s="7">
        <f>VC!BD4</f>
        <v>0</v>
      </c>
      <c r="BJ12" s="7">
        <f>VC!BE4</f>
        <v>0</v>
      </c>
      <c r="BK12" s="7">
        <f>VC!BF4</f>
        <v>0</v>
      </c>
      <c r="BL12" s="7">
        <f>VC!BG4</f>
        <v>0</v>
      </c>
      <c r="BM12" s="7">
        <f>VC!BH4</f>
        <v>0</v>
      </c>
      <c r="BN12" s="7" t="str">
        <f>VC!BI4</f>
        <v>nt81InsT</v>
      </c>
      <c r="BO12" s="7">
        <f>VC!BJ4</f>
        <v>0</v>
      </c>
      <c r="BP12" s="7">
        <f>VC!BK4</f>
        <v>0</v>
      </c>
      <c r="BQ12" s="7">
        <f>VC!BL4</f>
        <v>0</v>
      </c>
      <c r="BR12" s="7">
        <f>VC!BM4</f>
        <v>0</v>
      </c>
      <c r="BS12" s="7">
        <f>VC!BN4</f>
        <v>0</v>
      </c>
      <c r="BT12" s="7">
        <f>VC!BO4</f>
        <v>0</v>
      </c>
      <c r="BU12" s="7">
        <f>VC!BP4</f>
        <v>0</v>
      </c>
      <c r="BV12" s="7">
        <f>VC!BQ4</f>
        <v>0</v>
      </c>
      <c r="BW12" s="7">
        <f>VC!BR4</f>
        <v>0</v>
      </c>
      <c r="BX12" s="7">
        <f>VC!BS4</f>
        <v>0</v>
      </c>
      <c r="BY12" s="7">
        <f>VC!BT4</f>
        <v>0</v>
      </c>
      <c r="BZ12" s="7">
        <f>VC!BU4</f>
        <v>0</v>
      </c>
      <c r="CA12" s="7" t="str">
        <f>VC!BV4</f>
        <v>nt266InsG</v>
      </c>
      <c r="CB12" s="7">
        <f>VC!BW4</f>
        <v>0</v>
      </c>
      <c r="CC12" s="7">
        <f>VC!BX4</f>
        <v>0</v>
      </c>
      <c r="CD12" s="7">
        <f>VC!BY4</f>
        <v>0</v>
      </c>
      <c r="CE12" s="7">
        <f>VC!BZ4</f>
        <v>0</v>
      </c>
      <c r="CF12" s="7" t="str">
        <f>VC!CA4</f>
        <v>R73L</v>
      </c>
      <c r="CG12" s="7">
        <f>VC!CB4</f>
        <v>0</v>
      </c>
      <c r="CH12" s="7">
        <f>VC!CC4</f>
        <v>0</v>
      </c>
      <c r="CI12" s="7">
        <f>VC!CD4</f>
        <v>0</v>
      </c>
      <c r="CJ12" s="7">
        <f>VC!CE4</f>
        <v>0</v>
      </c>
      <c r="CK12" s="7">
        <f>VC!CF4</f>
        <v>0</v>
      </c>
      <c r="CL12" s="7">
        <f>VC!CG4</f>
        <v>0</v>
      </c>
      <c r="CM12" s="7">
        <f>VC!CH4</f>
        <v>0</v>
      </c>
      <c r="CN12" s="7">
        <f>VC!CI4</f>
        <v>0</v>
      </c>
      <c r="CO12" s="7">
        <f>VC!CJ4</f>
        <v>0</v>
      </c>
      <c r="CP12" s="7">
        <f>VC!CK4</f>
        <v>0</v>
      </c>
      <c r="CQ12" s="7">
        <f>VC!CL4</f>
        <v>0</v>
      </c>
      <c r="CR12" s="7">
        <f>VC!CM4</f>
        <v>0</v>
      </c>
      <c r="CS12" s="7" t="str">
        <f>VC!CN4</f>
        <v>L95F</v>
      </c>
      <c r="CT12" s="7">
        <f>VC!CO4</f>
        <v>0</v>
      </c>
      <c r="CU12" s="7">
        <f>VC!CP4</f>
        <v>0</v>
      </c>
      <c r="CV12" s="7">
        <f>VC!CQ4</f>
        <v>0</v>
      </c>
      <c r="CW12" s="7" t="str">
        <f>VC!CR4</f>
        <v>nt161InsC</v>
      </c>
      <c r="CX12" s="7">
        <f>VC!CS4</f>
        <v>0</v>
      </c>
      <c r="CY12" s="7">
        <f>VC!CT4</f>
        <v>0</v>
      </c>
      <c r="CZ12" s="7">
        <f>VC!CU4</f>
        <v>0</v>
      </c>
      <c r="DA12" s="7">
        <f>VC!CV4</f>
        <v>0</v>
      </c>
      <c r="DB12" s="7">
        <f>VC!CW4</f>
        <v>0</v>
      </c>
      <c r="DC12" s="7">
        <f>VC!CX4</f>
        <v>0</v>
      </c>
      <c r="DD12" s="7">
        <f>VC!CY4</f>
        <v>0</v>
      </c>
      <c r="DE12" s="7">
        <f>VC!CZ4</f>
        <v>0</v>
      </c>
      <c r="DF12" s="7" t="str">
        <f>VC!DA4</f>
        <v>R82H</v>
      </c>
      <c r="DG12" s="7">
        <f>VC!DB4</f>
        <v>0</v>
      </c>
      <c r="DH12" s="7">
        <f>VC!DC4</f>
        <v>0</v>
      </c>
      <c r="DI12" s="7">
        <f>VC!DD4</f>
        <v>0</v>
      </c>
      <c r="DJ12" s="7">
        <f>VC!DE4</f>
        <v>0</v>
      </c>
      <c r="DK12" s="7">
        <f>VC!DF4</f>
        <v>0</v>
      </c>
      <c r="DL12" s="7">
        <f>VC!DG4</f>
        <v>0</v>
      </c>
      <c r="DM12" s="7">
        <f>VC!DH4</f>
        <v>0</v>
      </c>
      <c r="DN12" s="7">
        <f>VC!DI4</f>
        <v>0</v>
      </c>
      <c r="DO12" s="7">
        <f>VC!DJ4</f>
        <v>0</v>
      </c>
      <c r="DP12" s="7">
        <f>VC!DK4</f>
        <v>0</v>
      </c>
      <c r="DQ12" s="7">
        <f>VC!DL4</f>
        <v>0</v>
      </c>
      <c r="DR12" s="7">
        <f>VC!DM4</f>
        <v>0</v>
      </c>
      <c r="DS12" s="7">
        <f>VC!DN4</f>
        <v>0</v>
      </c>
      <c r="DT12" s="7">
        <f>VC!DO4</f>
        <v>0</v>
      </c>
      <c r="DU12" s="7">
        <f>VC!DP4</f>
        <v>0</v>
      </c>
      <c r="DV12" s="7">
        <f>VC!DQ4</f>
        <v>0</v>
      </c>
      <c r="DW12" s="7">
        <f>VC!DR4</f>
        <v>0</v>
      </c>
      <c r="DX12" s="7">
        <f>VC!DS4</f>
        <v>0</v>
      </c>
      <c r="DY12" s="7">
        <f>VC!DT4</f>
        <v>0</v>
      </c>
      <c r="DZ12" s="7">
        <f>VC!DU4</f>
        <v>0</v>
      </c>
      <c r="EA12" s="7">
        <f>VC!DV4</f>
        <v>0</v>
      </c>
      <c r="EB12" s="7">
        <f>VC!DW4</f>
        <v>0</v>
      </c>
      <c r="EC12" s="7">
        <f>VC!DX4</f>
        <v>0</v>
      </c>
      <c r="ED12" s="7">
        <f>VC!DY4</f>
        <v>0</v>
      </c>
      <c r="EE12" s="7">
        <f>VC!DZ4</f>
        <v>0</v>
      </c>
      <c r="EF12" s="7">
        <f>VC!EA4</f>
        <v>0</v>
      </c>
      <c r="EG12" s="7">
        <f>VC!EB4</f>
        <v>0</v>
      </c>
      <c r="EH12" s="7">
        <f>VC!EC4</f>
        <v>0</v>
      </c>
      <c r="EI12" s="7">
        <f>VC!ED4</f>
        <v>0</v>
      </c>
      <c r="EJ12" s="7">
        <f>VC!EE4</f>
        <v>0</v>
      </c>
      <c r="EK12" s="7" t="str">
        <f>VC!EF4</f>
        <v>nt217∆1</v>
      </c>
      <c r="EL12" s="7">
        <f>VC!EG4</f>
        <v>0</v>
      </c>
      <c r="EM12" s="7">
        <f>VC!EH4</f>
        <v>0</v>
      </c>
      <c r="EN12" s="7">
        <f>VC!EI4</f>
        <v>0</v>
      </c>
      <c r="EO12" s="7">
        <f>VC!EJ4</f>
        <v>0</v>
      </c>
      <c r="EP12" s="7">
        <f>VC!EK4</f>
        <v>0</v>
      </c>
      <c r="EQ12" s="7">
        <f>VC!EL4</f>
        <v>0</v>
      </c>
      <c r="ER12" s="7">
        <f>VC!EM4</f>
        <v>0</v>
      </c>
      <c r="ES12" s="7">
        <f>VC!EN4</f>
        <v>0</v>
      </c>
      <c r="ET12" s="7">
        <f>VC!EO4</f>
        <v>0</v>
      </c>
      <c r="EU12" s="7">
        <f>VC!EP4</f>
        <v>0</v>
      </c>
      <c r="EV12" s="7">
        <f>VC!EQ4</f>
        <v>0</v>
      </c>
      <c r="EW12" s="7" t="str">
        <f>VC!ER4</f>
        <v>N79S</v>
      </c>
      <c r="EX12" s="7">
        <f>VC!ES4</f>
        <v>0</v>
      </c>
      <c r="EY12" s="7">
        <f>VC!ET4</f>
        <v>0</v>
      </c>
      <c r="EZ12" s="7">
        <f>VC!EU4</f>
        <v>0</v>
      </c>
      <c r="FA12" s="7">
        <f>VC!EV4</f>
        <v>0</v>
      </c>
      <c r="FB12" s="7">
        <f>VC!EW4</f>
        <v>0</v>
      </c>
      <c r="FC12" s="7">
        <f>VC!EX4</f>
        <v>0</v>
      </c>
      <c r="FD12" s="7">
        <f>VC!EY4</f>
        <v>0</v>
      </c>
      <c r="FE12" s="7">
        <f>VC!EZ4</f>
        <v>0</v>
      </c>
      <c r="FF12" s="7">
        <f>VC!FA4</f>
        <v>0</v>
      </c>
      <c r="FG12" s="7">
        <f>VC!FB4</f>
        <v>0</v>
      </c>
      <c r="FH12" s="7">
        <f>VC!FC4</f>
        <v>0</v>
      </c>
      <c r="FI12" s="7">
        <f>VC!FD4</f>
        <v>0</v>
      </c>
      <c r="FJ12" s="7">
        <f>VC!FE4</f>
        <v>0</v>
      </c>
      <c r="FK12" s="7">
        <f>VC!FF4</f>
        <v>0</v>
      </c>
      <c r="FL12" s="7">
        <f>VC!FG4</f>
        <v>0</v>
      </c>
      <c r="FM12" s="7">
        <f>VC!FH4</f>
        <v>0</v>
      </c>
      <c r="FN12" s="7">
        <f>VC!FI4</f>
        <v>0</v>
      </c>
      <c r="FO12" s="7">
        <f>VC!FJ4</f>
        <v>0</v>
      </c>
      <c r="FP12" s="7">
        <f>VC!FK4</f>
        <v>0</v>
      </c>
      <c r="FQ12" s="7">
        <f>VC!FL4</f>
        <v>0</v>
      </c>
      <c r="FR12" s="7" t="str">
        <f>VC!FM4</f>
        <v>Q49X</v>
      </c>
      <c r="FS12" s="7">
        <f>VC!FN4</f>
        <v>0</v>
      </c>
      <c r="FT12" s="7">
        <f>VC!FO4</f>
        <v>0</v>
      </c>
      <c r="FU12" s="7">
        <f>VC!FP4</f>
        <v>0</v>
      </c>
      <c r="FV12" s="7">
        <f>VC!FQ4</f>
        <v>0</v>
      </c>
      <c r="FW12" s="7" t="str">
        <f>VC!FR4</f>
        <v>aa90∆4</v>
      </c>
      <c r="FX12" s="7">
        <f>VC!FS4</f>
        <v>0</v>
      </c>
      <c r="FY12" s="7">
        <f>VC!FT4</f>
        <v>0</v>
      </c>
      <c r="FZ12" s="7">
        <f>VC!FU4</f>
        <v>0</v>
      </c>
      <c r="GA12" s="7">
        <f>VC!FV4</f>
        <v>0</v>
      </c>
      <c r="GB12" s="7">
        <f>VC!FW4</f>
        <v>0</v>
      </c>
      <c r="GC12" s="7">
        <f>VC!FX4</f>
        <v>0</v>
      </c>
      <c r="GD12" s="7">
        <f>VC!FY4</f>
        <v>0</v>
      </c>
      <c r="GE12" s="7">
        <f>VC!FZ4</f>
        <v>0</v>
      </c>
      <c r="GF12" s="7">
        <f>VC!GA4</f>
        <v>0</v>
      </c>
      <c r="GG12" s="7">
        <f>VC!GB4</f>
        <v>0</v>
      </c>
      <c r="GH12" s="7">
        <f>VC!GC4</f>
        <v>0</v>
      </c>
      <c r="GI12" s="7">
        <f>VC!GD4</f>
        <v>0</v>
      </c>
      <c r="GJ12" s="7">
        <f>VC!GE4</f>
        <v>0</v>
      </c>
      <c r="GK12" s="7">
        <f>VC!GF4</f>
        <v>0</v>
      </c>
      <c r="GL12" s="7">
        <f>VC!GG4</f>
        <v>0</v>
      </c>
      <c r="GM12" s="7">
        <f>VC!GH4</f>
        <v>0</v>
      </c>
      <c r="GN12" s="7">
        <f>VC!GI4</f>
        <v>0</v>
      </c>
      <c r="GO12" s="7">
        <f>VC!GJ4</f>
        <v>0</v>
      </c>
      <c r="GP12" s="7">
        <f>VC!GK4</f>
        <v>0</v>
      </c>
      <c r="GQ12" s="7">
        <f>VC!GL4</f>
        <v>0</v>
      </c>
      <c r="GR12" s="7">
        <f>VC!GM4</f>
        <v>0</v>
      </c>
      <c r="GS12" s="7">
        <f>VC!GN4</f>
        <v>0</v>
      </c>
      <c r="GT12" s="7">
        <f>VC!GO4</f>
        <v>0</v>
      </c>
      <c r="GU12" s="7">
        <f>VC!GP4</f>
        <v>0</v>
      </c>
      <c r="GV12" s="7">
        <f>VC!GQ4</f>
        <v>0</v>
      </c>
      <c r="GW12" s="7">
        <f>VC!GR4</f>
        <v>0</v>
      </c>
      <c r="GX12" s="7">
        <f>VC!GS4</f>
        <v>0</v>
      </c>
      <c r="GY12" s="7">
        <f>VC!GT4</f>
        <v>0</v>
      </c>
      <c r="GZ12" s="7">
        <f>VC!GU4</f>
        <v>0</v>
      </c>
      <c r="HA12" s="7">
        <f>VC!GV4</f>
        <v>0</v>
      </c>
      <c r="HB12" s="7" t="str">
        <f>VC!GW4</f>
        <v>nt492InsACCC</v>
      </c>
      <c r="HC12" s="7">
        <f>VC!GX4</f>
        <v>0</v>
      </c>
    </row>
    <row r="13" spans="1:211" s="1" customFormat="1" x14ac:dyDescent="0.25">
      <c r="A13" s="65" t="s">
        <v>7</v>
      </c>
      <c r="B13" s="66" t="s">
        <v>8</v>
      </c>
      <c r="C13" s="67" t="s">
        <v>1</v>
      </c>
      <c r="D13" s="66" t="s">
        <v>77</v>
      </c>
      <c r="E13" s="45">
        <v>-0.5</v>
      </c>
      <c r="F13" s="66" t="s">
        <v>74</v>
      </c>
      <c r="G13" s="68" t="s">
        <v>137</v>
      </c>
      <c r="H13" s="1">
        <f>VC!C5</f>
        <v>0</v>
      </c>
      <c r="I13" s="1">
        <f>VC!D5</f>
        <v>0</v>
      </c>
      <c r="J13" s="1" t="str">
        <f>VC!E5</f>
        <v>D373N</v>
      </c>
      <c r="K13" s="1">
        <f>VC!F5</f>
        <v>0</v>
      </c>
      <c r="L13" s="1">
        <f>VC!G5</f>
        <v>0</v>
      </c>
      <c r="M13" s="1">
        <f>VC!H5</f>
        <v>0</v>
      </c>
      <c r="N13" s="1">
        <f>VC!I5</f>
        <v>0</v>
      </c>
      <c r="O13" s="1">
        <f>VC!J5</f>
        <v>0</v>
      </c>
      <c r="P13" s="1">
        <f>VC!K5</f>
        <v>0</v>
      </c>
      <c r="Q13" s="1">
        <f>VC!L5</f>
        <v>0</v>
      </c>
      <c r="R13" s="1">
        <f>VC!M5</f>
        <v>0</v>
      </c>
      <c r="S13" s="1">
        <f>VC!N5</f>
        <v>0</v>
      </c>
      <c r="T13" s="1">
        <f>VC!O5</f>
        <v>0</v>
      </c>
      <c r="U13" s="1">
        <f>VC!P5</f>
        <v>0</v>
      </c>
      <c r="V13" s="1">
        <f>VC!Q5</f>
        <v>0</v>
      </c>
      <c r="W13" s="1">
        <f>VC!R5</f>
        <v>0</v>
      </c>
      <c r="X13" s="1">
        <f>VC!S5</f>
        <v>0</v>
      </c>
      <c r="Y13" s="1">
        <f>VC!T5</f>
        <v>0</v>
      </c>
      <c r="Z13" s="1">
        <f>VC!U5</f>
        <v>0</v>
      </c>
      <c r="AA13" s="1">
        <f>VC!V5</f>
        <v>0</v>
      </c>
      <c r="AB13" s="1">
        <f>VC!W5</f>
        <v>0</v>
      </c>
      <c r="AC13" s="1">
        <f>VC!X5</f>
        <v>0</v>
      </c>
      <c r="AD13" s="1">
        <f>VC!Y5</f>
        <v>0</v>
      </c>
      <c r="AE13" s="1">
        <f>VC!Z5</f>
        <v>0</v>
      </c>
      <c r="AF13" s="1">
        <f>VC!AA5</f>
        <v>0</v>
      </c>
      <c r="AG13" s="1">
        <f>VC!AB5</f>
        <v>0</v>
      </c>
      <c r="AH13" s="1">
        <f>VC!AC5</f>
        <v>0</v>
      </c>
      <c r="AI13" s="1">
        <f>VC!AD5</f>
        <v>0</v>
      </c>
      <c r="AJ13" s="1">
        <f>VC!AE5</f>
        <v>0</v>
      </c>
      <c r="AK13" s="1">
        <f>VC!AF5</f>
        <v>0</v>
      </c>
      <c r="AL13" s="1">
        <f>VC!AG5</f>
        <v>0</v>
      </c>
      <c r="AM13" s="1">
        <f>VC!AH5</f>
        <v>0</v>
      </c>
      <c r="AN13" s="1">
        <f>VC!AI5</f>
        <v>0</v>
      </c>
      <c r="AO13" s="1">
        <f>VC!AJ5</f>
        <v>0</v>
      </c>
      <c r="AP13" s="1">
        <f>VC!AK5</f>
        <v>0</v>
      </c>
      <c r="AQ13" s="1">
        <f>VC!AL5</f>
        <v>0</v>
      </c>
      <c r="AR13" s="1">
        <f>VC!AM5</f>
        <v>0</v>
      </c>
      <c r="AS13" s="1">
        <f>VC!AN5</f>
        <v>0</v>
      </c>
      <c r="AT13" s="1">
        <f>VC!AO5</f>
        <v>0</v>
      </c>
      <c r="AU13" s="1">
        <f>VC!AP5</f>
        <v>0</v>
      </c>
      <c r="AV13" s="1">
        <f>VC!AQ5</f>
        <v>0</v>
      </c>
      <c r="AW13" s="1">
        <f>VC!AR5</f>
        <v>0</v>
      </c>
      <c r="AX13" s="1" t="str">
        <f>VC!AS5</f>
        <v>I63V</v>
      </c>
      <c r="AY13" s="1">
        <f>VC!AT5</f>
        <v>0</v>
      </c>
      <c r="AZ13" s="1">
        <f>VC!AU5</f>
        <v>0</v>
      </c>
      <c r="BA13" s="1">
        <f>VC!AV5</f>
        <v>0</v>
      </c>
      <c r="BB13" s="1">
        <f>VC!AW5</f>
        <v>0</v>
      </c>
      <c r="BC13" s="1">
        <f>VC!AX5</f>
        <v>0</v>
      </c>
      <c r="BD13" s="1">
        <f>VC!AY5</f>
        <v>0</v>
      </c>
      <c r="BE13" s="1">
        <f>VC!AZ5</f>
        <v>0</v>
      </c>
      <c r="BF13" s="1" t="str">
        <f>VC!BA5</f>
        <v>D373N</v>
      </c>
      <c r="BG13" s="1">
        <f>VC!BB5</f>
        <v>0</v>
      </c>
      <c r="BH13" s="1">
        <f>VC!BC5</f>
        <v>0</v>
      </c>
      <c r="BI13" s="1">
        <f>VC!BD5</f>
        <v>0</v>
      </c>
      <c r="BJ13" s="1">
        <f>VC!BE5</f>
        <v>0</v>
      </c>
      <c r="BK13" s="1">
        <f>VC!BF5</f>
        <v>0</v>
      </c>
      <c r="BL13" s="1">
        <f>VC!BG5</f>
        <v>0</v>
      </c>
      <c r="BM13" s="1" t="str">
        <f>VC!BH5</f>
        <v>K86E</v>
      </c>
      <c r="BN13" s="1">
        <f>VC!BI5</f>
        <v>0</v>
      </c>
      <c r="BO13" s="1">
        <f>VC!BJ5</f>
        <v>0</v>
      </c>
      <c r="BP13" s="1">
        <f>VC!BK5</f>
        <v>0</v>
      </c>
      <c r="BQ13" s="1">
        <f>VC!BL5</f>
        <v>0</v>
      </c>
      <c r="BR13" s="1">
        <f>VC!BM5</f>
        <v>0</v>
      </c>
      <c r="BS13" s="1">
        <f>VC!BN5</f>
        <v>0</v>
      </c>
      <c r="BT13" s="1" t="str">
        <f>VC!BO5</f>
        <v>D373N</v>
      </c>
      <c r="BU13" s="1">
        <f>VC!BP5</f>
        <v>0</v>
      </c>
      <c r="BV13" s="1">
        <f>VC!BQ5</f>
        <v>0</v>
      </c>
      <c r="BW13" s="1">
        <f>VC!BR5</f>
        <v>0</v>
      </c>
      <c r="BX13" s="1">
        <f>VC!BS5</f>
        <v>0</v>
      </c>
      <c r="BY13" s="1">
        <f>VC!BT5</f>
        <v>0</v>
      </c>
      <c r="BZ13" s="1">
        <f>VC!BU5</f>
        <v>0</v>
      </c>
      <c r="CA13" s="1">
        <f>VC!BV5</f>
        <v>0</v>
      </c>
      <c r="CB13" s="1">
        <f>VC!BW5</f>
        <v>0</v>
      </c>
      <c r="CC13" s="1">
        <f>VC!BX5</f>
        <v>0</v>
      </c>
      <c r="CD13" s="1">
        <f>VC!BY5</f>
        <v>0</v>
      </c>
      <c r="CE13" s="1">
        <f>VC!BZ5</f>
        <v>0</v>
      </c>
      <c r="CF13" s="1">
        <f>VC!CA5</f>
        <v>0</v>
      </c>
      <c r="CG13" s="1" t="str">
        <f>VC!CB5</f>
        <v>D373N</v>
      </c>
      <c r="CH13" s="1">
        <f>VC!CC5</f>
        <v>0</v>
      </c>
      <c r="CI13" s="1" t="str">
        <f>VC!CD5</f>
        <v>D373N</v>
      </c>
      <c r="CJ13" s="1">
        <f>VC!CE5</f>
        <v>0</v>
      </c>
      <c r="CK13" s="1">
        <f>VC!CF5</f>
        <v>0</v>
      </c>
      <c r="CL13" s="1">
        <f>VC!CG5</f>
        <v>0</v>
      </c>
      <c r="CM13" s="1">
        <f>VC!CH5</f>
        <v>0</v>
      </c>
      <c r="CN13" s="1" t="str">
        <f>VC!CI5</f>
        <v>Q143P</v>
      </c>
      <c r="CO13" s="1" t="str">
        <f>VC!CJ5</f>
        <v>N269S</v>
      </c>
      <c r="CP13" s="1">
        <f>VC!CK5</f>
        <v>0</v>
      </c>
      <c r="CQ13" s="1">
        <f>VC!CL5</f>
        <v>0</v>
      </c>
      <c r="CR13" s="1">
        <f>VC!CM5</f>
        <v>0</v>
      </c>
      <c r="CS13" s="1">
        <f>VC!CN5</f>
        <v>0</v>
      </c>
      <c r="CT13" s="1">
        <f>VC!CO5</f>
        <v>0</v>
      </c>
      <c r="CU13" s="1">
        <f>VC!CP5</f>
        <v>0</v>
      </c>
      <c r="CV13" s="1">
        <f>VC!CQ5</f>
        <v>0</v>
      </c>
      <c r="CW13" s="1">
        <f>VC!CR5</f>
        <v>0</v>
      </c>
      <c r="CX13" s="1" t="str">
        <f>VC!CS5</f>
        <v>A33T</v>
      </c>
      <c r="CY13" s="1">
        <f>VC!CT5</f>
        <v>0</v>
      </c>
      <c r="CZ13" s="1">
        <f>VC!CU5</f>
        <v>0</v>
      </c>
      <c r="DA13" s="1">
        <f>VC!CV5</f>
        <v>0</v>
      </c>
      <c r="DB13" s="1">
        <f>VC!CW5</f>
        <v>0</v>
      </c>
      <c r="DC13" s="1">
        <f>VC!CX5</f>
        <v>0</v>
      </c>
      <c r="DD13" s="1">
        <f>VC!CY5</f>
        <v>0</v>
      </c>
      <c r="DE13" s="1">
        <f>VC!CZ5</f>
        <v>0</v>
      </c>
      <c r="DF13" s="1">
        <f>VC!DA5</f>
        <v>0</v>
      </c>
      <c r="DG13" s="1">
        <f>VC!DB5</f>
        <v>0</v>
      </c>
      <c r="DH13" s="1">
        <f>VC!DC5</f>
        <v>0</v>
      </c>
      <c r="DI13" s="1">
        <f>VC!DD5</f>
        <v>0</v>
      </c>
      <c r="DJ13" s="1">
        <f>VC!DE5</f>
        <v>0</v>
      </c>
      <c r="DK13" s="1" t="str">
        <f>VC!DF5</f>
        <v>K86E</v>
      </c>
      <c r="DL13" s="1">
        <f>VC!DG5</f>
        <v>0</v>
      </c>
      <c r="DM13" s="1">
        <f>VC!DH5</f>
        <v>0</v>
      </c>
      <c r="DN13" s="1">
        <f>VC!DI5</f>
        <v>0</v>
      </c>
      <c r="DO13" s="1">
        <f>VC!DJ5</f>
        <v>0</v>
      </c>
      <c r="DP13" s="1">
        <f>VC!DK5</f>
        <v>0</v>
      </c>
      <c r="DQ13" s="1" t="str">
        <f>VC!DL5</f>
        <v>K76Q</v>
      </c>
      <c r="DR13" s="1">
        <f>VC!DM5</f>
        <v>0</v>
      </c>
      <c r="DS13" s="1">
        <f>VC!DN5</f>
        <v>0</v>
      </c>
      <c r="DT13" s="1">
        <f>VC!DO5</f>
        <v>0</v>
      </c>
      <c r="DU13" s="5" t="str">
        <f>VC!DP5</f>
        <v>Q104X</v>
      </c>
      <c r="DV13" s="1">
        <f>VC!DQ5</f>
        <v>0</v>
      </c>
      <c r="DW13" s="1">
        <f>VC!DR5</f>
        <v>0</v>
      </c>
      <c r="DX13" s="1">
        <f>VC!DS5</f>
        <v>0</v>
      </c>
      <c r="DY13" s="1">
        <f>VC!DT5</f>
        <v>0</v>
      </c>
      <c r="DZ13" s="1">
        <f>VC!DU5</f>
        <v>0</v>
      </c>
      <c r="EA13" s="1">
        <f>VC!DV5</f>
        <v>0</v>
      </c>
      <c r="EB13" s="1">
        <f>VC!DW5</f>
        <v>0</v>
      </c>
      <c r="EC13" s="1">
        <f>VC!DX5</f>
        <v>0</v>
      </c>
      <c r="ED13" s="1" t="str">
        <f>VC!DY5</f>
        <v>E53X</v>
      </c>
      <c r="EE13" s="1">
        <f>VC!DZ5</f>
        <v>0</v>
      </c>
      <c r="EF13" s="1" t="str">
        <f>VC!EA5</f>
        <v>A111T</v>
      </c>
      <c r="EG13" s="1" t="str">
        <f>VC!EB5</f>
        <v>A117V</v>
      </c>
      <c r="EH13" s="1">
        <f>VC!EC5</f>
        <v>0</v>
      </c>
      <c r="EI13" s="1">
        <f>VC!ED5</f>
        <v>0</v>
      </c>
      <c r="EJ13" s="1">
        <f>VC!EE5</f>
        <v>0</v>
      </c>
      <c r="EK13" s="1">
        <f>VC!EF5</f>
        <v>0</v>
      </c>
      <c r="EL13" s="1">
        <f>VC!EG5</f>
        <v>0</v>
      </c>
      <c r="EM13" s="1">
        <f>VC!EH5</f>
        <v>0</v>
      </c>
      <c r="EN13" s="1">
        <f>VC!EI5</f>
        <v>0</v>
      </c>
      <c r="EO13" s="1">
        <f>VC!EJ5</f>
        <v>0</v>
      </c>
      <c r="EP13" s="1">
        <f>VC!EK5</f>
        <v>0</v>
      </c>
      <c r="EQ13" s="1">
        <f>VC!EL5</f>
        <v>0</v>
      </c>
      <c r="ER13" s="1" t="str">
        <f>VC!EM5</f>
        <v>R326Q</v>
      </c>
      <c r="ES13" s="1">
        <f>VC!EN5</f>
        <v>0</v>
      </c>
      <c r="ET13" s="1">
        <f>VC!EO5</f>
        <v>0</v>
      </c>
      <c r="EU13" s="1">
        <f>VC!EP5</f>
        <v>0</v>
      </c>
      <c r="EV13" s="1" t="str">
        <f>VC!EQ5</f>
        <v>K86E</v>
      </c>
      <c r="EW13" s="1">
        <f>VC!ER5</f>
        <v>0</v>
      </c>
      <c r="EX13" s="1">
        <f>VC!ES5</f>
        <v>0</v>
      </c>
      <c r="EY13" s="1">
        <f>VC!ET5</f>
        <v>0</v>
      </c>
      <c r="EZ13" s="1">
        <f>VC!EU5</f>
        <v>0</v>
      </c>
      <c r="FA13" s="1">
        <f>VC!EV5</f>
        <v>0</v>
      </c>
      <c r="FB13" s="1">
        <f>VC!EW5</f>
        <v>0</v>
      </c>
      <c r="FC13" s="1">
        <f>VC!EX5</f>
        <v>0</v>
      </c>
      <c r="FD13" s="1">
        <f>VC!EY5</f>
        <v>0</v>
      </c>
      <c r="FE13" s="1">
        <f>VC!EZ5</f>
        <v>0</v>
      </c>
      <c r="FF13" s="1">
        <f>VC!FA5</f>
        <v>0</v>
      </c>
      <c r="FG13" s="1">
        <f>VC!FB5</f>
        <v>0</v>
      </c>
      <c r="FH13" s="1">
        <f>VC!FC5</f>
        <v>0</v>
      </c>
      <c r="FI13" s="1">
        <f>VC!FD5</f>
        <v>0</v>
      </c>
      <c r="FJ13" s="1">
        <f>VC!FE5</f>
        <v>0</v>
      </c>
      <c r="FK13" s="1">
        <f>VC!FF5</f>
        <v>0</v>
      </c>
      <c r="FL13" s="1">
        <f>VC!FG5</f>
        <v>0</v>
      </c>
      <c r="FM13" s="1">
        <f>VC!FH5</f>
        <v>0</v>
      </c>
      <c r="FN13" s="1">
        <f>VC!FI5</f>
        <v>0</v>
      </c>
      <c r="FO13" s="1">
        <f>VC!FJ5</f>
        <v>0</v>
      </c>
      <c r="FP13" s="1">
        <f>VC!FK5</f>
        <v>0</v>
      </c>
      <c r="FQ13" s="1">
        <f>VC!FL5</f>
        <v>0</v>
      </c>
      <c r="FR13" s="1">
        <f>VC!FM5</f>
        <v>0</v>
      </c>
      <c r="FS13" s="1">
        <f>VC!FN5</f>
        <v>0</v>
      </c>
      <c r="FT13" s="1">
        <f>VC!FO5</f>
        <v>0</v>
      </c>
      <c r="FU13" s="1">
        <f>VC!FP5</f>
        <v>0</v>
      </c>
      <c r="FV13" s="1">
        <f>VC!FQ5</f>
        <v>0</v>
      </c>
      <c r="FW13" s="1">
        <f>VC!FR5</f>
        <v>0</v>
      </c>
      <c r="FX13" s="1">
        <f>VC!FS5</f>
        <v>0</v>
      </c>
      <c r="FY13" s="1">
        <f>VC!FT5</f>
        <v>0</v>
      </c>
      <c r="FZ13" s="1">
        <f>VC!FU5</f>
        <v>0</v>
      </c>
      <c r="GA13" s="1">
        <f>VC!FV5</f>
        <v>0</v>
      </c>
      <c r="GB13" s="1">
        <f>VC!FW5</f>
        <v>0</v>
      </c>
      <c r="GC13" s="1">
        <f>VC!FX5</f>
        <v>0</v>
      </c>
      <c r="GD13" s="1">
        <f>VC!FY5</f>
        <v>0</v>
      </c>
      <c r="GE13" s="1">
        <f>VC!FZ5</f>
        <v>0</v>
      </c>
      <c r="GF13" s="1">
        <f>VC!GA5</f>
        <v>0</v>
      </c>
      <c r="GG13" s="1">
        <f>VC!GB5</f>
        <v>0</v>
      </c>
      <c r="GH13" s="1">
        <f>VC!GC5</f>
        <v>0</v>
      </c>
      <c r="GI13" s="1">
        <f>VC!GD5</f>
        <v>0</v>
      </c>
      <c r="GJ13" s="1">
        <f>VC!GE5</f>
        <v>0</v>
      </c>
      <c r="GK13" s="1">
        <f>VC!GF5</f>
        <v>0</v>
      </c>
      <c r="GL13" s="1">
        <f>VC!GG5</f>
        <v>0</v>
      </c>
      <c r="GM13" s="1">
        <f>VC!GH5</f>
        <v>0</v>
      </c>
      <c r="GN13" s="1">
        <f>VC!GI5</f>
        <v>0</v>
      </c>
      <c r="GO13" s="1">
        <f>VC!GJ5</f>
        <v>0</v>
      </c>
      <c r="GP13" s="1">
        <f>VC!GK5</f>
        <v>0</v>
      </c>
      <c r="GQ13" s="1">
        <f>VC!GL5</f>
        <v>0</v>
      </c>
      <c r="GR13" s="1">
        <f>VC!GM5</f>
        <v>0</v>
      </c>
      <c r="GS13" s="1">
        <f>VC!GN5</f>
        <v>0</v>
      </c>
      <c r="GT13" s="1">
        <f>VC!GO5</f>
        <v>0</v>
      </c>
      <c r="GU13" s="1" t="str">
        <f>VC!GP5</f>
        <v>N269S</v>
      </c>
      <c r="GV13" s="1">
        <f>VC!GQ5</f>
        <v>0</v>
      </c>
      <c r="GW13" s="1">
        <f>VC!GR5</f>
        <v>0</v>
      </c>
      <c r="GX13" s="1">
        <f>VC!GS5</f>
        <v>0</v>
      </c>
      <c r="GY13" s="1">
        <f>VC!GT5</f>
        <v>0</v>
      </c>
      <c r="GZ13" s="1">
        <f>VC!GU5</f>
        <v>0</v>
      </c>
      <c r="HA13" s="1">
        <f>VC!GV5</f>
        <v>0</v>
      </c>
      <c r="HB13" s="1">
        <f>VC!GW5</f>
        <v>0</v>
      </c>
      <c r="HC13" s="1">
        <f>VC!GX5</f>
        <v>0</v>
      </c>
    </row>
    <row r="14" spans="1:211" s="1" customFormat="1" x14ac:dyDescent="0.25">
      <c r="A14" s="44" t="s">
        <v>7</v>
      </c>
      <c r="B14" s="45" t="s">
        <v>8</v>
      </c>
      <c r="C14" s="46" t="s">
        <v>2</v>
      </c>
      <c r="D14" s="45" t="s">
        <v>77</v>
      </c>
      <c r="E14" s="45">
        <v>-0.5</v>
      </c>
      <c r="F14" s="45" t="s">
        <v>74</v>
      </c>
      <c r="G14" s="47" t="s">
        <v>137</v>
      </c>
      <c r="H14" s="1">
        <f>VC!C5</f>
        <v>0</v>
      </c>
      <c r="I14" s="1">
        <f>VC!D5</f>
        <v>0</v>
      </c>
      <c r="J14" s="1" t="str">
        <f>VC!E5</f>
        <v>D373N</v>
      </c>
      <c r="K14" s="1">
        <f>VC!F5</f>
        <v>0</v>
      </c>
      <c r="L14" s="1">
        <f>VC!G5</f>
        <v>0</v>
      </c>
      <c r="M14" s="1">
        <f>VC!H5</f>
        <v>0</v>
      </c>
      <c r="N14" s="1">
        <f>VC!I5</f>
        <v>0</v>
      </c>
      <c r="O14" s="1">
        <f>VC!J5</f>
        <v>0</v>
      </c>
      <c r="P14" s="1">
        <f>VC!K5</f>
        <v>0</v>
      </c>
      <c r="Q14" s="1">
        <f>VC!L5</f>
        <v>0</v>
      </c>
      <c r="R14" s="1">
        <f>VC!M5</f>
        <v>0</v>
      </c>
      <c r="S14" s="1">
        <f>VC!N5</f>
        <v>0</v>
      </c>
      <c r="T14" s="1">
        <f>VC!O5</f>
        <v>0</v>
      </c>
      <c r="U14" s="1">
        <f>VC!P5</f>
        <v>0</v>
      </c>
      <c r="V14" s="1">
        <f>VC!Q5</f>
        <v>0</v>
      </c>
      <c r="W14" s="1">
        <f>VC!R5</f>
        <v>0</v>
      </c>
      <c r="X14" s="1">
        <f>VC!S5</f>
        <v>0</v>
      </c>
      <c r="Y14" s="1">
        <f>VC!T5</f>
        <v>0</v>
      </c>
      <c r="Z14" s="1">
        <f>VC!U5</f>
        <v>0</v>
      </c>
      <c r="AA14" s="1">
        <f>VC!V5</f>
        <v>0</v>
      </c>
      <c r="AB14" s="1">
        <f>VC!W5</f>
        <v>0</v>
      </c>
      <c r="AC14" s="1">
        <f>VC!X5</f>
        <v>0</v>
      </c>
      <c r="AD14" s="1">
        <f>VC!Y5</f>
        <v>0</v>
      </c>
      <c r="AE14" s="1">
        <f>VC!Z5</f>
        <v>0</v>
      </c>
      <c r="AF14" s="1">
        <f>VC!AA5</f>
        <v>0</v>
      </c>
      <c r="AG14" s="1">
        <f>VC!AB5</f>
        <v>0</v>
      </c>
      <c r="AH14" s="1">
        <f>VC!AC5</f>
        <v>0</v>
      </c>
      <c r="AI14" s="1">
        <f>VC!AD5</f>
        <v>0</v>
      </c>
      <c r="AJ14" s="1">
        <f>VC!AE5</f>
        <v>0</v>
      </c>
      <c r="AK14" s="1">
        <f>VC!AF5</f>
        <v>0</v>
      </c>
      <c r="AL14" s="1">
        <f>VC!AG5</f>
        <v>0</v>
      </c>
      <c r="AM14" s="1">
        <f>VC!AH5</f>
        <v>0</v>
      </c>
      <c r="AN14" s="1">
        <f>VC!AI5</f>
        <v>0</v>
      </c>
      <c r="AO14" s="1">
        <f>VC!AJ5</f>
        <v>0</v>
      </c>
      <c r="AP14" s="1">
        <f>VC!AK5</f>
        <v>0</v>
      </c>
      <c r="AQ14" s="1">
        <f>VC!AL5</f>
        <v>0</v>
      </c>
      <c r="AR14" s="1">
        <f>VC!AM5</f>
        <v>0</v>
      </c>
      <c r="AS14" s="1">
        <f>VC!AN5</f>
        <v>0</v>
      </c>
      <c r="AT14" s="1">
        <f>VC!AO5</f>
        <v>0</v>
      </c>
      <c r="AU14" s="1">
        <f>VC!AP5</f>
        <v>0</v>
      </c>
      <c r="AV14" s="1">
        <f>VC!AQ5</f>
        <v>0</v>
      </c>
      <c r="AW14" s="1">
        <f>VC!AR5</f>
        <v>0</v>
      </c>
      <c r="AX14" s="1" t="str">
        <f>VC!AS5</f>
        <v>I63V</v>
      </c>
      <c r="AY14" s="1">
        <f>VC!AT5</f>
        <v>0</v>
      </c>
      <c r="AZ14" s="1">
        <f>VC!AU5</f>
        <v>0</v>
      </c>
      <c r="BA14" s="1">
        <f>VC!AV5</f>
        <v>0</v>
      </c>
      <c r="BB14" s="1">
        <f>VC!AW5</f>
        <v>0</v>
      </c>
      <c r="BC14" s="1">
        <f>VC!AX5</f>
        <v>0</v>
      </c>
      <c r="BD14" s="1">
        <f>VC!AY5</f>
        <v>0</v>
      </c>
      <c r="BE14" s="1">
        <f>VC!AZ5</f>
        <v>0</v>
      </c>
      <c r="BF14" s="1" t="str">
        <f>VC!BA5</f>
        <v>D373N</v>
      </c>
      <c r="BG14" s="1">
        <f>VC!BB5</f>
        <v>0</v>
      </c>
      <c r="BH14" s="1">
        <f>VC!BC5</f>
        <v>0</v>
      </c>
      <c r="BI14" s="1">
        <f>VC!BD5</f>
        <v>0</v>
      </c>
      <c r="BJ14" s="1">
        <f>VC!BE5</f>
        <v>0</v>
      </c>
      <c r="BK14" s="1">
        <f>VC!BF5</f>
        <v>0</v>
      </c>
      <c r="BL14" s="1">
        <f>VC!BG5</f>
        <v>0</v>
      </c>
      <c r="BM14" s="1" t="str">
        <f>VC!BH5</f>
        <v>K86E</v>
      </c>
      <c r="BN14" s="1">
        <f>VC!BI5</f>
        <v>0</v>
      </c>
      <c r="BO14" s="1">
        <f>VC!BJ5</f>
        <v>0</v>
      </c>
      <c r="BP14" s="1">
        <f>VC!BK5</f>
        <v>0</v>
      </c>
      <c r="BQ14" s="1">
        <f>VC!BL5</f>
        <v>0</v>
      </c>
      <c r="BR14" s="1">
        <f>VC!BM5</f>
        <v>0</v>
      </c>
      <c r="BS14" s="1">
        <f>VC!BN5</f>
        <v>0</v>
      </c>
      <c r="BT14" s="1" t="str">
        <f>VC!BO5</f>
        <v>D373N</v>
      </c>
      <c r="BU14" s="1">
        <f>VC!BP5</f>
        <v>0</v>
      </c>
      <c r="BV14" s="1">
        <f>VC!BQ5</f>
        <v>0</v>
      </c>
      <c r="BW14" s="1">
        <f>VC!BR5</f>
        <v>0</v>
      </c>
      <c r="BX14" s="1">
        <f>VC!BS5</f>
        <v>0</v>
      </c>
      <c r="BY14" s="1">
        <f>VC!BT5</f>
        <v>0</v>
      </c>
      <c r="BZ14" s="1">
        <f>VC!BU5</f>
        <v>0</v>
      </c>
      <c r="CA14" s="1">
        <f>VC!BV5</f>
        <v>0</v>
      </c>
      <c r="CB14" s="1">
        <f>VC!BW5</f>
        <v>0</v>
      </c>
      <c r="CC14" s="1">
        <f>VC!BX5</f>
        <v>0</v>
      </c>
      <c r="CD14" s="1">
        <f>VC!BY5</f>
        <v>0</v>
      </c>
      <c r="CE14" s="1">
        <f>VC!BZ5</f>
        <v>0</v>
      </c>
      <c r="CF14" s="1">
        <f>VC!CA5</f>
        <v>0</v>
      </c>
      <c r="CG14" s="1" t="str">
        <f>VC!CB5</f>
        <v>D373N</v>
      </c>
      <c r="CH14" s="1">
        <f>VC!CC5</f>
        <v>0</v>
      </c>
      <c r="CI14" s="1" t="str">
        <f>VC!CD5</f>
        <v>D373N</v>
      </c>
      <c r="CJ14" s="1">
        <f>VC!CE5</f>
        <v>0</v>
      </c>
      <c r="CK14" s="1">
        <f>VC!CF5</f>
        <v>0</v>
      </c>
      <c r="CL14" s="1">
        <f>VC!CG5</f>
        <v>0</v>
      </c>
      <c r="CM14" s="1">
        <f>VC!CH5</f>
        <v>0</v>
      </c>
      <c r="CN14" s="1" t="str">
        <f>VC!CI5</f>
        <v>Q143P</v>
      </c>
      <c r="CO14" s="1" t="str">
        <f>VC!CJ5</f>
        <v>N269S</v>
      </c>
      <c r="CP14" s="1">
        <f>VC!CK5</f>
        <v>0</v>
      </c>
      <c r="CQ14" s="1">
        <f>VC!CL5</f>
        <v>0</v>
      </c>
      <c r="CR14" s="1">
        <f>VC!CM5</f>
        <v>0</v>
      </c>
      <c r="CS14" s="1">
        <f>VC!CN5</f>
        <v>0</v>
      </c>
      <c r="CT14" s="1">
        <f>VC!CO5</f>
        <v>0</v>
      </c>
      <c r="CU14" s="1">
        <f>VC!CP5</f>
        <v>0</v>
      </c>
      <c r="CV14" s="1">
        <f>VC!CQ5</f>
        <v>0</v>
      </c>
      <c r="CW14" s="1">
        <f>VC!CR5</f>
        <v>0</v>
      </c>
      <c r="CX14" s="1" t="str">
        <f>VC!CS5</f>
        <v>A33T</v>
      </c>
      <c r="CY14" s="1">
        <f>VC!CT5</f>
        <v>0</v>
      </c>
      <c r="CZ14" s="1">
        <f>VC!CU5</f>
        <v>0</v>
      </c>
      <c r="DA14" s="1">
        <f>VC!CV5</f>
        <v>0</v>
      </c>
      <c r="DB14" s="1">
        <f>VC!CW5</f>
        <v>0</v>
      </c>
      <c r="DC14" s="1">
        <f>VC!CX5</f>
        <v>0</v>
      </c>
      <c r="DD14" s="1">
        <f>VC!CY5</f>
        <v>0</v>
      </c>
      <c r="DE14" s="1">
        <f>VC!CZ5</f>
        <v>0</v>
      </c>
      <c r="DF14" s="1">
        <f>VC!DA5</f>
        <v>0</v>
      </c>
      <c r="DG14" s="1">
        <f>VC!DB5</f>
        <v>0</v>
      </c>
      <c r="DH14" s="1">
        <f>VC!DC5</f>
        <v>0</v>
      </c>
      <c r="DI14" s="1">
        <f>VC!DD5</f>
        <v>0</v>
      </c>
      <c r="DJ14" s="1">
        <f>VC!DE5</f>
        <v>0</v>
      </c>
      <c r="DK14" s="1" t="str">
        <f>VC!DF5</f>
        <v>K86E</v>
      </c>
      <c r="DL14" s="1">
        <f>VC!DG5</f>
        <v>0</v>
      </c>
      <c r="DM14" s="1">
        <f>VC!DH5</f>
        <v>0</v>
      </c>
      <c r="DN14" s="1">
        <f>VC!DI5</f>
        <v>0</v>
      </c>
      <c r="DO14" s="1">
        <f>VC!DJ5</f>
        <v>0</v>
      </c>
      <c r="DP14" s="1">
        <f>VC!DK5</f>
        <v>0</v>
      </c>
      <c r="DQ14" s="1" t="str">
        <f>VC!DL5</f>
        <v>K76Q</v>
      </c>
      <c r="DR14" s="1">
        <f>VC!DM5</f>
        <v>0</v>
      </c>
      <c r="DS14" s="1">
        <f>VC!DN5</f>
        <v>0</v>
      </c>
      <c r="DT14" s="1">
        <f>VC!DO5</f>
        <v>0</v>
      </c>
      <c r="DU14" s="5" t="str">
        <f>VC!DP5</f>
        <v>Q104X</v>
      </c>
      <c r="DV14" s="1">
        <f>VC!DQ5</f>
        <v>0</v>
      </c>
      <c r="DW14" s="1">
        <f>VC!DR5</f>
        <v>0</v>
      </c>
      <c r="DX14" s="1">
        <f>VC!DS5</f>
        <v>0</v>
      </c>
      <c r="DY14" s="1">
        <f>VC!DT5</f>
        <v>0</v>
      </c>
      <c r="DZ14" s="1">
        <f>VC!DU5</f>
        <v>0</v>
      </c>
      <c r="EA14" s="1">
        <f>VC!DV5</f>
        <v>0</v>
      </c>
      <c r="EB14" s="1">
        <f>VC!DW5</f>
        <v>0</v>
      </c>
      <c r="EC14" s="1">
        <f>VC!DX5</f>
        <v>0</v>
      </c>
      <c r="ED14" s="1" t="str">
        <f>VC!DY5</f>
        <v>E53X</v>
      </c>
      <c r="EE14" s="1">
        <f>VC!DZ5</f>
        <v>0</v>
      </c>
      <c r="EF14" s="1" t="str">
        <f>VC!EA5</f>
        <v>A111T</v>
      </c>
      <c r="EG14" s="1" t="str">
        <f>VC!EB5</f>
        <v>A117V</v>
      </c>
      <c r="EH14" s="1">
        <f>VC!EC5</f>
        <v>0</v>
      </c>
      <c r="EI14" s="1">
        <f>VC!ED5</f>
        <v>0</v>
      </c>
      <c r="EJ14" s="1">
        <f>VC!EE5</f>
        <v>0</v>
      </c>
      <c r="EK14" s="1">
        <f>VC!EF5</f>
        <v>0</v>
      </c>
      <c r="EL14" s="1">
        <f>VC!EG5</f>
        <v>0</v>
      </c>
      <c r="EM14" s="1">
        <f>VC!EH5</f>
        <v>0</v>
      </c>
      <c r="EN14" s="1">
        <f>VC!EI5</f>
        <v>0</v>
      </c>
      <c r="EO14" s="1">
        <f>VC!EJ5</f>
        <v>0</v>
      </c>
      <c r="EP14" s="1">
        <f>VC!EK5</f>
        <v>0</v>
      </c>
      <c r="EQ14" s="1">
        <f>VC!EL5</f>
        <v>0</v>
      </c>
      <c r="ER14" s="1" t="str">
        <f>VC!EM5</f>
        <v>R326Q</v>
      </c>
      <c r="ES14" s="1">
        <f>VC!EN5</f>
        <v>0</v>
      </c>
      <c r="ET14" s="1">
        <f>VC!EO5</f>
        <v>0</v>
      </c>
      <c r="EU14" s="1">
        <f>VC!EP5</f>
        <v>0</v>
      </c>
      <c r="EV14" s="1" t="str">
        <f>VC!EQ5</f>
        <v>K86E</v>
      </c>
      <c r="EW14" s="1">
        <f>VC!ER5</f>
        <v>0</v>
      </c>
      <c r="EX14" s="1">
        <f>VC!ES5</f>
        <v>0</v>
      </c>
      <c r="EY14" s="1">
        <f>VC!ET5</f>
        <v>0</v>
      </c>
      <c r="EZ14" s="1">
        <f>VC!EU5</f>
        <v>0</v>
      </c>
      <c r="FA14" s="1">
        <f>VC!EV5</f>
        <v>0</v>
      </c>
      <c r="FB14" s="1">
        <f>VC!EW5</f>
        <v>0</v>
      </c>
      <c r="FC14" s="1">
        <f>VC!EX5</f>
        <v>0</v>
      </c>
      <c r="FD14" s="1">
        <f>VC!EY5</f>
        <v>0</v>
      </c>
      <c r="FE14" s="1">
        <f>VC!EZ5</f>
        <v>0</v>
      </c>
      <c r="FF14" s="1">
        <f>VC!FA5</f>
        <v>0</v>
      </c>
      <c r="FG14" s="1">
        <f>VC!FB5</f>
        <v>0</v>
      </c>
      <c r="FH14" s="1">
        <f>VC!FC5</f>
        <v>0</v>
      </c>
      <c r="FI14" s="1">
        <f>VC!FD5</f>
        <v>0</v>
      </c>
      <c r="FJ14" s="1">
        <f>VC!FE5</f>
        <v>0</v>
      </c>
      <c r="FK14" s="1">
        <f>VC!FF5</f>
        <v>0</v>
      </c>
      <c r="FL14" s="1">
        <f>VC!FG5</f>
        <v>0</v>
      </c>
      <c r="FM14" s="1">
        <f>VC!FH5</f>
        <v>0</v>
      </c>
      <c r="FN14" s="1">
        <f>VC!FI5</f>
        <v>0</v>
      </c>
      <c r="FO14" s="1">
        <f>VC!FJ5</f>
        <v>0</v>
      </c>
      <c r="FP14" s="1">
        <f>VC!FK5</f>
        <v>0</v>
      </c>
      <c r="FQ14" s="1">
        <f>VC!FL5</f>
        <v>0</v>
      </c>
      <c r="FR14" s="1">
        <f>VC!FM5</f>
        <v>0</v>
      </c>
      <c r="FS14" s="1">
        <f>VC!FN5</f>
        <v>0</v>
      </c>
      <c r="FT14" s="1">
        <f>VC!FO5</f>
        <v>0</v>
      </c>
      <c r="FU14" s="1">
        <f>VC!FP5</f>
        <v>0</v>
      </c>
      <c r="FV14" s="1">
        <f>VC!FQ5</f>
        <v>0</v>
      </c>
      <c r="FW14" s="1">
        <f>VC!FR5</f>
        <v>0</v>
      </c>
      <c r="FX14" s="1">
        <f>VC!FS5</f>
        <v>0</v>
      </c>
      <c r="FY14" s="1">
        <f>VC!FT5</f>
        <v>0</v>
      </c>
      <c r="FZ14" s="1">
        <f>VC!FU5</f>
        <v>0</v>
      </c>
      <c r="GA14" s="1">
        <f>VC!FV5</f>
        <v>0</v>
      </c>
      <c r="GB14" s="1">
        <f>VC!FW5</f>
        <v>0</v>
      </c>
      <c r="GC14" s="1">
        <f>VC!FX5</f>
        <v>0</v>
      </c>
      <c r="GD14" s="1">
        <f>VC!FY5</f>
        <v>0</v>
      </c>
      <c r="GE14" s="1">
        <f>VC!FZ5</f>
        <v>0</v>
      </c>
      <c r="GF14" s="1">
        <f>VC!GA5</f>
        <v>0</v>
      </c>
      <c r="GG14" s="1">
        <f>VC!GB5</f>
        <v>0</v>
      </c>
      <c r="GH14" s="1">
        <f>VC!GC5</f>
        <v>0</v>
      </c>
      <c r="GI14" s="1">
        <f>VC!GD5</f>
        <v>0</v>
      </c>
      <c r="GJ14" s="1">
        <f>VC!GE5</f>
        <v>0</v>
      </c>
      <c r="GK14" s="1">
        <f>VC!GF5</f>
        <v>0</v>
      </c>
      <c r="GL14" s="1">
        <f>VC!GG5</f>
        <v>0</v>
      </c>
      <c r="GM14" s="1">
        <f>VC!GH5</f>
        <v>0</v>
      </c>
      <c r="GN14" s="1">
        <f>VC!GI5</f>
        <v>0</v>
      </c>
      <c r="GO14" s="1">
        <f>VC!GJ5</f>
        <v>0</v>
      </c>
      <c r="GP14" s="1">
        <f>VC!GK5</f>
        <v>0</v>
      </c>
      <c r="GQ14" s="1">
        <f>VC!GL5</f>
        <v>0</v>
      </c>
      <c r="GR14" s="1">
        <f>VC!GM5</f>
        <v>0</v>
      </c>
      <c r="GS14" s="1">
        <f>VC!GN5</f>
        <v>0</v>
      </c>
      <c r="GT14" s="1">
        <f>VC!GO5</f>
        <v>0</v>
      </c>
      <c r="GU14" s="1" t="str">
        <f>VC!GP5</f>
        <v>N269S</v>
      </c>
      <c r="GV14" s="1">
        <f>VC!GQ5</f>
        <v>0</v>
      </c>
      <c r="GW14" s="1">
        <f>VC!GR5</f>
        <v>0</v>
      </c>
      <c r="GX14" s="1">
        <f>VC!GS5</f>
        <v>0</v>
      </c>
      <c r="GY14" s="1">
        <f>VC!GT5</f>
        <v>0</v>
      </c>
      <c r="GZ14" s="1">
        <f>VC!GU5</f>
        <v>0</v>
      </c>
      <c r="HA14" s="1">
        <f>VC!GV5</f>
        <v>0</v>
      </c>
      <c r="HB14" s="1">
        <f>VC!GW5</f>
        <v>0</v>
      </c>
      <c r="HC14" s="1">
        <f>VC!GX5</f>
        <v>0</v>
      </c>
    </row>
    <row r="15" spans="1:211" s="1" customFormat="1" x14ac:dyDescent="0.25">
      <c r="A15" s="44" t="s">
        <v>7</v>
      </c>
      <c r="B15" s="45" t="s">
        <v>8</v>
      </c>
      <c r="C15" s="46" t="s">
        <v>4</v>
      </c>
      <c r="D15" s="45" t="s">
        <v>77</v>
      </c>
      <c r="E15" s="45">
        <v>-0.5</v>
      </c>
      <c r="F15" s="45" t="s">
        <v>74</v>
      </c>
      <c r="G15" s="47" t="s">
        <v>137</v>
      </c>
      <c r="H15" s="1">
        <f>VC!C5</f>
        <v>0</v>
      </c>
      <c r="I15" s="1">
        <f>VC!D5</f>
        <v>0</v>
      </c>
      <c r="J15" s="1" t="str">
        <f>VC!E5</f>
        <v>D373N</v>
      </c>
      <c r="K15" s="1">
        <f>VC!F5</f>
        <v>0</v>
      </c>
      <c r="L15" s="1">
        <f>VC!G5</f>
        <v>0</v>
      </c>
      <c r="M15" s="1">
        <f>VC!H5</f>
        <v>0</v>
      </c>
      <c r="N15" s="1">
        <f>VC!I5</f>
        <v>0</v>
      </c>
      <c r="O15" s="1">
        <f>VC!J5</f>
        <v>0</v>
      </c>
      <c r="P15" s="1">
        <f>VC!K5</f>
        <v>0</v>
      </c>
      <c r="Q15" s="1">
        <f>VC!L5</f>
        <v>0</v>
      </c>
      <c r="R15" s="1">
        <f>VC!M5</f>
        <v>0</v>
      </c>
      <c r="S15" s="1">
        <f>VC!N5</f>
        <v>0</v>
      </c>
      <c r="T15" s="1">
        <f>VC!O5</f>
        <v>0</v>
      </c>
      <c r="U15" s="1">
        <f>VC!P5</f>
        <v>0</v>
      </c>
      <c r="V15" s="1">
        <f>VC!Q5</f>
        <v>0</v>
      </c>
      <c r="W15" s="1">
        <f>VC!R5</f>
        <v>0</v>
      </c>
      <c r="X15" s="1">
        <f>VC!S5</f>
        <v>0</v>
      </c>
      <c r="Y15" s="1">
        <f>VC!T5</f>
        <v>0</v>
      </c>
      <c r="Z15" s="1">
        <f>VC!U5</f>
        <v>0</v>
      </c>
      <c r="AA15" s="1">
        <f>VC!V5</f>
        <v>0</v>
      </c>
      <c r="AB15" s="1">
        <f>VC!W5</f>
        <v>0</v>
      </c>
      <c r="AC15" s="1">
        <f>VC!X5</f>
        <v>0</v>
      </c>
      <c r="AD15" s="1">
        <f>VC!Y5</f>
        <v>0</v>
      </c>
      <c r="AE15" s="1">
        <f>VC!Z5</f>
        <v>0</v>
      </c>
      <c r="AF15" s="1">
        <f>VC!AA5</f>
        <v>0</v>
      </c>
      <c r="AG15" s="1">
        <f>VC!AB5</f>
        <v>0</v>
      </c>
      <c r="AH15" s="1">
        <f>VC!AC5</f>
        <v>0</v>
      </c>
      <c r="AI15" s="1">
        <f>VC!AD5</f>
        <v>0</v>
      </c>
      <c r="AJ15" s="1">
        <f>VC!AE5</f>
        <v>0</v>
      </c>
      <c r="AK15" s="1">
        <f>VC!AF5</f>
        <v>0</v>
      </c>
      <c r="AL15" s="1">
        <f>VC!AG5</f>
        <v>0</v>
      </c>
      <c r="AM15" s="1">
        <f>VC!AH5</f>
        <v>0</v>
      </c>
      <c r="AN15" s="1">
        <f>VC!AI5</f>
        <v>0</v>
      </c>
      <c r="AO15" s="1">
        <f>VC!AJ5</f>
        <v>0</v>
      </c>
      <c r="AP15" s="1">
        <f>VC!AK5</f>
        <v>0</v>
      </c>
      <c r="AQ15" s="1">
        <f>VC!AL5</f>
        <v>0</v>
      </c>
      <c r="AR15" s="1">
        <f>VC!AM5</f>
        <v>0</v>
      </c>
      <c r="AS15" s="1">
        <f>VC!AN5</f>
        <v>0</v>
      </c>
      <c r="AT15" s="1">
        <f>VC!AO5</f>
        <v>0</v>
      </c>
      <c r="AU15" s="1">
        <f>VC!AP5</f>
        <v>0</v>
      </c>
      <c r="AV15" s="1">
        <f>VC!AQ5</f>
        <v>0</v>
      </c>
      <c r="AW15" s="1">
        <f>VC!AR5</f>
        <v>0</v>
      </c>
      <c r="AX15" s="1" t="str">
        <f>VC!AS5</f>
        <v>I63V</v>
      </c>
      <c r="AY15" s="1">
        <f>VC!AT5</f>
        <v>0</v>
      </c>
      <c r="AZ15" s="1">
        <f>VC!AU5</f>
        <v>0</v>
      </c>
      <c r="BA15" s="1">
        <f>VC!AV5</f>
        <v>0</v>
      </c>
      <c r="BB15" s="1">
        <f>VC!AW5</f>
        <v>0</v>
      </c>
      <c r="BC15" s="1">
        <f>VC!AX5</f>
        <v>0</v>
      </c>
      <c r="BD15" s="1">
        <f>VC!AY5</f>
        <v>0</v>
      </c>
      <c r="BE15" s="1">
        <f>VC!AZ5</f>
        <v>0</v>
      </c>
      <c r="BF15" s="1" t="str">
        <f>VC!BA5</f>
        <v>D373N</v>
      </c>
      <c r="BG15" s="1">
        <f>VC!BB5</f>
        <v>0</v>
      </c>
      <c r="BH15" s="1">
        <f>VC!BC5</f>
        <v>0</v>
      </c>
      <c r="BI15" s="1">
        <f>VC!BD5</f>
        <v>0</v>
      </c>
      <c r="BJ15" s="1">
        <f>VC!BE5</f>
        <v>0</v>
      </c>
      <c r="BK15" s="1">
        <f>VC!BF5</f>
        <v>0</v>
      </c>
      <c r="BL15" s="1">
        <f>VC!BG5</f>
        <v>0</v>
      </c>
      <c r="BM15" s="1" t="str">
        <f>VC!BH5</f>
        <v>K86E</v>
      </c>
      <c r="BN15" s="1">
        <f>VC!BI5</f>
        <v>0</v>
      </c>
      <c r="BO15" s="1">
        <f>VC!BJ5</f>
        <v>0</v>
      </c>
      <c r="BP15" s="1">
        <f>VC!BK5</f>
        <v>0</v>
      </c>
      <c r="BQ15" s="1">
        <f>VC!BL5</f>
        <v>0</v>
      </c>
      <c r="BR15" s="1">
        <f>VC!BM5</f>
        <v>0</v>
      </c>
      <c r="BS15" s="1">
        <f>VC!BN5</f>
        <v>0</v>
      </c>
      <c r="BT15" s="1" t="str">
        <f>VC!BO5</f>
        <v>D373N</v>
      </c>
      <c r="BU15" s="1">
        <f>VC!BP5</f>
        <v>0</v>
      </c>
      <c r="BV15" s="1">
        <f>VC!BQ5</f>
        <v>0</v>
      </c>
      <c r="BW15" s="1">
        <f>VC!BR5</f>
        <v>0</v>
      </c>
      <c r="BX15" s="1">
        <f>VC!BS5</f>
        <v>0</v>
      </c>
      <c r="BY15" s="1">
        <f>VC!BT5</f>
        <v>0</v>
      </c>
      <c r="BZ15" s="1">
        <f>VC!BU5</f>
        <v>0</v>
      </c>
      <c r="CA15" s="1">
        <f>VC!BV5</f>
        <v>0</v>
      </c>
      <c r="CB15" s="1">
        <f>VC!BW5</f>
        <v>0</v>
      </c>
      <c r="CC15" s="1">
        <f>VC!BX5</f>
        <v>0</v>
      </c>
      <c r="CD15" s="1">
        <f>VC!BY5</f>
        <v>0</v>
      </c>
      <c r="CE15" s="1">
        <f>VC!BZ5</f>
        <v>0</v>
      </c>
      <c r="CF15" s="1">
        <f>VC!CA5</f>
        <v>0</v>
      </c>
      <c r="CG15" s="1" t="str">
        <f>VC!CB5</f>
        <v>D373N</v>
      </c>
      <c r="CH15" s="1">
        <f>VC!CC5</f>
        <v>0</v>
      </c>
      <c r="CI15" s="1" t="str">
        <f>VC!CD5</f>
        <v>D373N</v>
      </c>
      <c r="CJ15" s="1">
        <f>VC!CE5</f>
        <v>0</v>
      </c>
      <c r="CK15" s="1">
        <f>VC!CF5</f>
        <v>0</v>
      </c>
      <c r="CL15" s="1">
        <f>VC!CG5</f>
        <v>0</v>
      </c>
      <c r="CM15" s="1">
        <f>VC!CH5</f>
        <v>0</v>
      </c>
      <c r="CN15" s="1" t="str">
        <f>VC!CI5</f>
        <v>Q143P</v>
      </c>
      <c r="CO15" s="1" t="str">
        <f>VC!CJ5</f>
        <v>N269S</v>
      </c>
      <c r="CP15" s="1">
        <f>VC!CK5</f>
        <v>0</v>
      </c>
      <c r="CQ15" s="1">
        <f>VC!CL5</f>
        <v>0</v>
      </c>
      <c r="CR15" s="1">
        <f>VC!CM5</f>
        <v>0</v>
      </c>
      <c r="CS15" s="1">
        <f>VC!CN5</f>
        <v>0</v>
      </c>
      <c r="CT15" s="1">
        <f>VC!CO5</f>
        <v>0</v>
      </c>
      <c r="CU15" s="1">
        <f>VC!CP5</f>
        <v>0</v>
      </c>
      <c r="CV15" s="1">
        <f>VC!CQ5</f>
        <v>0</v>
      </c>
      <c r="CW15" s="1">
        <f>VC!CR5</f>
        <v>0</v>
      </c>
      <c r="CX15" s="1" t="str">
        <f>VC!CS5</f>
        <v>A33T</v>
      </c>
      <c r="CY15" s="1">
        <f>VC!CT5</f>
        <v>0</v>
      </c>
      <c r="CZ15" s="1">
        <f>VC!CU5</f>
        <v>0</v>
      </c>
      <c r="DA15" s="1">
        <f>VC!CV5</f>
        <v>0</v>
      </c>
      <c r="DB15" s="1">
        <f>VC!CW5</f>
        <v>0</v>
      </c>
      <c r="DC15" s="1">
        <f>VC!CX5</f>
        <v>0</v>
      </c>
      <c r="DD15" s="1">
        <f>VC!CY5</f>
        <v>0</v>
      </c>
      <c r="DE15" s="1">
        <f>VC!CZ5</f>
        <v>0</v>
      </c>
      <c r="DF15" s="1">
        <f>VC!DA5</f>
        <v>0</v>
      </c>
      <c r="DG15" s="1">
        <f>VC!DB5</f>
        <v>0</v>
      </c>
      <c r="DH15" s="1">
        <f>VC!DC5</f>
        <v>0</v>
      </c>
      <c r="DI15" s="1">
        <f>VC!DD5</f>
        <v>0</v>
      </c>
      <c r="DJ15" s="1">
        <f>VC!DE5</f>
        <v>0</v>
      </c>
      <c r="DK15" s="1" t="str">
        <f>VC!DF5</f>
        <v>K86E</v>
      </c>
      <c r="DL15" s="1">
        <f>VC!DG5</f>
        <v>0</v>
      </c>
      <c r="DM15" s="1">
        <f>VC!DH5</f>
        <v>0</v>
      </c>
      <c r="DN15" s="1">
        <f>VC!DI5</f>
        <v>0</v>
      </c>
      <c r="DO15" s="1">
        <f>VC!DJ5</f>
        <v>0</v>
      </c>
      <c r="DP15" s="1">
        <f>VC!DK5</f>
        <v>0</v>
      </c>
      <c r="DQ15" s="1" t="str">
        <f>VC!DL5</f>
        <v>K76Q</v>
      </c>
      <c r="DR15" s="1">
        <f>VC!DM5</f>
        <v>0</v>
      </c>
      <c r="DS15" s="1">
        <f>VC!DN5</f>
        <v>0</v>
      </c>
      <c r="DT15" s="1">
        <f>VC!DO5</f>
        <v>0</v>
      </c>
      <c r="DU15" s="5" t="str">
        <f>VC!DP5</f>
        <v>Q104X</v>
      </c>
      <c r="DV15" s="1">
        <f>VC!DQ5</f>
        <v>0</v>
      </c>
      <c r="DW15" s="1">
        <f>VC!DR5</f>
        <v>0</v>
      </c>
      <c r="DX15" s="1">
        <f>VC!DS5</f>
        <v>0</v>
      </c>
      <c r="DY15" s="1">
        <f>VC!DT5</f>
        <v>0</v>
      </c>
      <c r="DZ15" s="1">
        <f>VC!DU5</f>
        <v>0</v>
      </c>
      <c r="EA15" s="1">
        <f>VC!DV5</f>
        <v>0</v>
      </c>
      <c r="EB15" s="1">
        <f>VC!DW5</f>
        <v>0</v>
      </c>
      <c r="EC15" s="1">
        <f>VC!DX5</f>
        <v>0</v>
      </c>
      <c r="ED15" s="1" t="str">
        <f>VC!DY5</f>
        <v>E53X</v>
      </c>
      <c r="EE15" s="1">
        <f>VC!DZ5</f>
        <v>0</v>
      </c>
      <c r="EF15" s="1" t="str">
        <f>VC!EA5</f>
        <v>A111T</v>
      </c>
      <c r="EG15" s="1" t="str">
        <f>VC!EB5</f>
        <v>A117V</v>
      </c>
      <c r="EH15" s="1">
        <f>VC!EC5</f>
        <v>0</v>
      </c>
      <c r="EI15" s="1">
        <f>VC!ED5</f>
        <v>0</v>
      </c>
      <c r="EJ15" s="1">
        <f>VC!EE5</f>
        <v>0</v>
      </c>
      <c r="EK15" s="1">
        <f>VC!EF5</f>
        <v>0</v>
      </c>
      <c r="EL15" s="1">
        <f>VC!EG5</f>
        <v>0</v>
      </c>
      <c r="EM15" s="1">
        <f>VC!EH5</f>
        <v>0</v>
      </c>
      <c r="EN15" s="1">
        <f>VC!EI5</f>
        <v>0</v>
      </c>
      <c r="EO15" s="1">
        <f>VC!EJ5</f>
        <v>0</v>
      </c>
      <c r="EP15" s="1">
        <f>VC!EK5</f>
        <v>0</v>
      </c>
      <c r="EQ15" s="1">
        <f>VC!EL5</f>
        <v>0</v>
      </c>
      <c r="ER15" s="1" t="str">
        <f>VC!EM5</f>
        <v>R326Q</v>
      </c>
      <c r="ES15" s="1">
        <f>VC!EN5</f>
        <v>0</v>
      </c>
      <c r="ET15" s="1">
        <f>VC!EO5</f>
        <v>0</v>
      </c>
      <c r="EU15" s="1">
        <f>VC!EP5</f>
        <v>0</v>
      </c>
      <c r="EV15" s="1" t="str">
        <f>VC!EQ5</f>
        <v>K86E</v>
      </c>
      <c r="EW15" s="1">
        <f>VC!ER5</f>
        <v>0</v>
      </c>
      <c r="EX15" s="1">
        <f>VC!ES5</f>
        <v>0</v>
      </c>
      <c r="EY15" s="1">
        <f>VC!ET5</f>
        <v>0</v>
      </c>
      <c r="EZ15" s="1">
        <f>VC!EU5</f>
        <v>0</v>
      </c>
      <c r="FA15" s="1">
        <f>VC!EV5</f>
        <v>0</v>
      </c>
      <c r="FB15" s="1">
        <f>VC!EW5</f>
        <v>0</v>
      </c>
      <c r="FC15" s="1">
        <f>VC!EX5</f>
        <v>0</v>
      </c>
      <c r="FD15" s="1">
        <f>VC!EY5</f>
        <v>0</v>
      </c>
      <c r="FE15" s="1">
        <f>VC!EZ5</f>
        <v>0</v>
      </c>
      <c r="FF15" s="1">
        <f>VC!FA5</f>
        <v>0</v>
      </c>
      <c r="FG15" s="1">
        <f>VC!FB5</f>
        <v>0</v>
      </c>
      <c r="FH15" s="1">
        <f>VC!FC5</f>
        <v>0</v>
      </c>
      <c r="FI15" s="1">
        <f>VC!FD5</f>
        <v>0</v>
      </c>
      <c r="FJ15" s="1">
        <f>VC!FE5</f>
        <v>0</v>
      </c>
      <c r="FK15" s="1">
        <f>VC!FF5</f>
        <v>0</v>
      </c>
      <c r="FL15" s="1">
        <f>VC!FG5</f>
        <v>0</v>
      </c>
      <c r="FM15" s="1">
        <f>VC!FH5</f>
        <v>0</v>
      </c>
      <c r="FN15" s="1">
        <f>VC!FI5</f>
        <v>0</v>
      </c>
      <c r="FO15" s="1">
        <f>VC!FJ5</f>
        <v>0</v>
      </c>
      <c r="FP15" s="1">
        <f>VC!FK5</f>
        <v>0</v>
      </c>
      <c r="FQ15" s="1">
        <f>VC!FL5</f>
        <v>0</v>
      </c>
      <c r="FR15" s="1">
        <f>VC!FM5</f>
        <v>0</v>
      </c>
      <c r="FS15" s="1">
        <f>VC!FN5</f>
        <v>0</v>
      </c>
      <c r="FT15" s="1">
        <f>VC!FO5</f>
        <v>0</v>
      </c>
      <c r="FU15" s="1">
        <f>VC!FP5</f>
        <v>0</v>
      </c>
      <c r="FV15" s="1">
        <f>VC!FQ5</f>
        <v>0</v>
      </c>
      <c r="FW15" s="1">
        <f>VC!FR5</f>
        <v>0</v>
      </c>
      <c r="FX15" s="1">
        <f>VC!FS5</f>
        <v>0</v>
      </c>
      <c r="FY15" s="1">
        <f>VC!FT5</f>
        <v>0</v>
      </c>
      <c r="FZ15" s="1">
        <f>VC!FU5</f>
        <v>0</v>
      </c>
      <c r="GA15" s="1">
        <f>VC!FV5</f>
        <v>0</v>
      </c>
      <c r="GB15" s="1">
        <f>VC!FW5</f>
        <v>0</v>
      </c>
      <c r="GC15" s="1">
        <f>VC!FX5</f>
        <v>0</v>
      </c>
      <c r="GD15" s="1">
        <f>VC!FY5</f>
        <v>0</v>
      </c>
      <c r="GE15" s="1">
        <f>VC!FZ5</f>
        <v>0</v>
      </c>
      <c r="GF15" s="1">
        <f>VC!GA5</f>
        <v>0</v>
      </c>
      <c r="GG15" s="1">
        <f>VC!GB5</f>
        <v>0</v>
      </c>
      <c r="GH15" s="1">
        <f>VC!GC5</f>
        <v>0</v>
      </c>
      <c r="GI15" s="1">
        <f>VC!GD5</f>
        <v>0</v>
      </c>
      <c r="GJ15" s="1">
        <f>VC!GE5</f>
        <v>0</v>
      </c>
      <c r="GK15" s="1">
        <f>VC!GF5</f>
        <v>0</v>
      </c>
      <c r="GL15" s="1">
        <f>VC!GG5</f>
        <v>0</v>
      </c>
      <c r="GM15" s="1">
        <f>VC!GH5</f>
        <v>0</v>
      </c>
      <c r="GN15" s="1">
        <f>VC!GI5</f>
        <v>0</v>
      </c>
      <c r="GO15" s="1">
        <f>VC!GJ5</f>
        <v>0</v>
      </c>
      <c r="GP15" s="1">
        <f>VC!GK5</f>
        <v>0</v>
      </c>
      <c r="GQ15" s="1">
        <f>VC!GL5</f>
        <v>0</v>
      </c>
      <c r="GR15" s="1">
        <f>VC!GM5</f>
        <v>0</v>
      </c>
      <c r="GS15" s="1">
        <f>VC!GN5</f>
        <v>0</v>
      </c>
      <c r="GT15" s="1">
        <f>VC!GO5</f>
        <v>0</v>
      </c>
      <c r="GU15" s="1" t="str">
        <f>VC!GP5</f>
        <v>N269S</v>
      </c>
      <c r="GV15" s="1">
        <f>VC!GQ5</f>
        <v>0</v>
      </c>
      <c r="GW15" s="1">
        <f>VC!GR5</f>
        <v>0</v>
      </c>
      <c r="GX15" s="1">
        <f>VC!GS5</f>
        <v>0</v>
      </c>
      <c r="GY15" s="1">
        <f>VC!GT5</f>
        <v>0</v>
      </c>
      <c r="GZ15" s="1">
        <f>VC!GU5</f>
        <v>0</v>
      </c>
      <c r="HA15" s="1">
        <f>VC!GV5</f>
        <v>0</v>
      </c>
      <c r="HB15" s="1">
        <f>VC!GW5</f>
        <v>0</v>
      </c>
      <c r="HC15" s="1">
        <f>VC!GX5</f>
        <v>0</v>
      </c>
    </row>
    <row r="16" spans="1:211" s="1" customFormat="1" x14ac:dyDescent="0.25">
      <c r="A16" s="44" t="s">
        <v>7</v>
      </c>
      <c r="B16" s="45" t="s">
        <v>8</v>
      </c>
      <c r="C16" s="46" t="s">
        <v>3</v>
      </c>
      <c r="D16" s="45" t="s">
        <v>77</v>
      </c>
      <c r="E16" s="45">
        <v>-0.25</v>
      </c>
      <c r="F16" s="45" t="s">
        <v>74</v>
      </c>
      <c r="G16" s="47" t="s">
        <v>137</v>
      </c>
      <c r="H16" s="1">
        <f>VC!C5</f>
        <v>0</v>
      </c>
      <c r="I16" s="1">
        <f>VC!D5</f>
        <v>0</v>
      </c>
      <c r="J16" s="1" t="str">
        <f>VC!E5</f>
        <v>D373N</v>
      </c>
      <c r="K16" s="1">
        <f>VC!F5</f>
        <v>0</v>
      </c>
      <c r="L16" s="1">
        <f>VC!G5</f>
        <v>0</v>
      </c>
      <c r="M16" s="1">
        <f>VC!H5</f>
        <v>0</v>
      </c>
      <c r="N16" s="1">
        <f>VC!I5</f>
        <v>0</v>
      </c>
      <c r="O16" s="1">
        <f>VC!J5</f>
        <v>0</v>
      </c>
      <c r="P16" s="1">
        <f>VC!K5</f>
        <v>0</v>
      </c>
      <c r="Q16" s="1">
        <f>VC!L5</f>
        <v>0</v>
      </c>
      <c r="R16" s="1">
        <f>VC!M5</f>
        <v>0</v>
      </c>
      <c r="S16" s="1">
        <f>VC!N5</f>
        <v>0</v>
      </c>
      <c r="T16" s="1">
        <f>VC!O5</f>
        <v>0</v>
      </c>
      <c r="U16" s="1">
        <f>VC!P5</f>
        <v>0</v>
      </c>
      <c r="V16" s="1">
        <f>VC!Q5</f>
        <v>0</v>
      </c>
      <c r="W16" s="1">
        <f>VC!R5</f>
        <v>0</v>
      </c>
      <c r="X16" s="1">
        <f>VC!S5</f>
        <v>0</v>
      </c>
      <c r="Y16" s="1">
        <f>VC!T5</f>
        <v>0</v>
      </c>
      <c r="Z16" s="1">
        <f>VC!U5</f>
        <v>0</v>
      </c>
      <c r="AA16" s="1">
        <f>VC!V5</f>
        <v>0</v>
      </c>
      <c r="AB16" s="1">
        <f>VC!W5</f>
        <v>0</v>
      </c>
      <c r="AC16" s="1">
        <f>VC!X5</f>
        <v>0</v>
      </c>
      <c r="AD16" s="1">
        <f>VC!Y5</f>
        <v>0</v>
      </c>
      <c r="AE16" s="1">
        <f>VC!Z5</f>
        <v>0</v>
      </c>
      <c r="AF16" s="1">
        <f>VC!AA5</f>
        <v>0</v>
      </c>
      <c r="AG16" s="1">
        <f>VC!AB5</f>
        <v>0</v>
      </c>
      <c r="AH16" s="1">
        <f>VC!AC5</f>
        <v>0</v>
      </c>
      <c r="AI16" s="1">
        <f>VC!AD5</f>
        <v>0</v>
      </c>
      <c r="AJ16" s="1">
        <f>VC!AE5</f>
        <v>0</v>
      </c>
      <c r="AK16" s="1">
        <f>VC!AF5</f>
        <v>0</v>
      </c>
      <c r="AL16" s="1">
        <f>VC!AG5</f>
        <v>0</v>
      </c>
      <c r="AM16" s="1">
        <f>VC!AH5</f>
        <v>0</v>
      </c>
      <c r="AN16" s="1">
        <f>VC!AI5</f>
        <v>0</v>
      </c>
      <c r="AO16" s="1">
        <f>VC!AJ5</f>
        <v>0</v>
      </c>
      <c r="AP16" s="1">
        <f>VC!AK5</f>
        <v>0</v>
      </c>
      <c r="AQ16" s="1">
        <f>VC!AL5</f>
        <v>0</v>
      </c>
      <c r="AR16" s="1">
        <f>VC!AM5</f>
        <v>0</v>
      </c>
      <c r="AS16" s="1">
        <f>VC!AN5</f>
        <v>0</v>
      </c>
      <c r="AT16" s="1">
        <f>VC!AO5</f>
        <v>0</v>
      </c>
      <c r="AU16" s="1">
        <f>VC!AP5</f>
        <v>0</v>
      </c>
      <c r="AV16" s="1">
        <f>VC!AQ5</f>
        <v>0</v>
      </c>
      <c r="AW16" s="1">
        <f>VC!AR5</f>
        <v>0</v>
      </c>
      <c r="AX16" s="1" t="str">
        <f>VC!AS5</f>
        <v>I63V</v>
      </c>
      <c r="AY16" s="1">
        <f>VC!AT5</f>
        <v>0</v>
      </c>
      <c r="AZ16" s="1">
        <f>VC!AU5</f>
        <v>0</v>
      </c>
      <c r="BA16" s="1">
        <f>VC!AV5</f>
        <v>0</v>
      </c>
      <c r="BB16" s="1">
        <f>VC!AW5</f>
        <v>0</v>
      </c>
      <c r="BC16" s="1">
        <f>VC!AX5</f>
        <v>0</v>
      </c>
      <c r="BD16" s="1">
        <f>VC!AY5</f>
        <v>0</v>
      </c>
      <c r="BE16" s="1">
        <f>VC!AZ5</f>
        <v>0</v>
      </c>
      <c r="BF16" s="1" t="str">
        <f>VC!BA5</f>
        <v>D373N</v>
      </c>
      <c r="BG16" s="1">
        <f>VC!BB5</f>
        <v>0</v>
      </c>
      <c r="BH16" s="1">
        <f>VC!BC5</f>
        <v>0</v>
      </c>
      <c r="BI16" s="1">
        <f>VC!BD5</f>
        <v>0</v>
      </c>
      <c r="BJ16" s="1">
        <f>VC!BE5</f>
        <v>0</v>
      </c>
      <c r="BK16" s="1">
        <f>VC!BF5</f>
        <v>0</v>
      </c>
      <c r="BL16" s="1">
        <f>VC!BG5</f>
        <v>0</v>
      </c>
      <c r="BM16" s="1" t="str">
        <f>VC!BH5</f>
        <v>K86E</v>
      </c>
      <c r="BN16" s="1">
        <f>VC!BI5</f>
        <v>0</v>
      </c>
      <c r="BO16" s="1">
        <f>VC!BJ5</f>
        <v>0</v>
      </c>
      <c r="BP16" s="1">
        <f>VC!BK5</f>
        <v>0</v>
      </c>
      <c r="BQ16" s="1">
        <f>VC!BL5</f>
        <v>0</v>
      </c>
      <c r="BR16" s="1">
        <f>VC!BM5</f>
        <v>0</v>
      </c>
      <c r="BS16" s="1">
        <f>VC!BN5</f>
        <v>0</v>
      </c>
      <c r="BT16" s="1" t="str">
        <f>VC!BO5</f>
        <v>D373N</v>
      </c>
      <c r="BU16" s="1">
        <f>VC!BP5</f>
        <v>0</v>
      </c>
      <c r="BV16" s="1">
        <f>VC!BQ5</f>
        <v>0</v>
      </c>
      <c r="BW16" s="1">
        <f>VC!BR5</f>
        <v>0</v>
      </c>
      <c r="BX16" s="1">
        <f>VC!BS5</f>
        <v>0</v>
      </c>
      <c r="BY16" s="1">
        <f>VC!BT5</f>
        <v>0</v>
      </c>
      <c r="BZ16" s="1">
        <f>VC!BU5</f>
        <v>0</v>
      </c>
      <c r="CA16" s="1">
        <f>VC!BV5</f>
        <v>0</v>
      </c>
      <c r="CB16" s="1">
        <f>VC!BW5</f>
        <v>0</v>
      </c>
      <c r="CC16" s="1">
        <f>VC!BX5</f>
        <v>0</v>
      </c>
      <c r="CD16" s="1">
        <f>VC!BY5</f>
        <v>0</v>
      </c>
      <c r="CE16" s="1">
        <f>VC!BZ5</f>
        <v>0</v>
      </c>
      <c r="CF16" s="1">
        <f>VC!CA5</f>
        <v>0</v>
      </c>
      <c r="CG16" s="1" t="str">
        <f>VC!CB5</f>
        <v>D373N</v>
      </c>
      <c r="CH16" s="1">
        <f>VC!CC5</f>
        <v>0</v>
      </c>
      <c r="CI16" s="1" t="str">
        <f>VC!CD5</f>
        <v>D373N</v>
      </c>
      <c r="CJ16" s="1">
        <f>VC!CE5</f>
        <v>0</v>
      </c>
      <c r="CK16" s="1">
        <f>VC!CF5</f>
        <v>0</v>
      </c>
      <c r="CL16" s="1">
        <f>VC!CG5</f>
        <v>0</v>
      </c>
      <c r="CM16" s="1">
        <f>VC!CH5</f>
        <v>0</v>
      </c>
      <c r="CN16" s="1" t="str">
        <f>VC!CI5</f>
        <v>Q143P</v>
      </c>
      <c r="CO16" s="1" t="str">
        <f>VC!CJ5</f>
        <v>N269S</v>
      </c>
      <c r="CP16" s="1">
        <f>VC!CK5</f>
        <v>0</v>
      </c>
      <c r="CQ16" s="1">
        <f>VC!CL5</f>
        <v>0</v>
      </c>
      <c r="CR16" s="1">
        <f>VC!CM5</f>
        <v>0</v>
      </c>
      <c r="CS16" s="1">
        <f>VC!CN5</f>
        <v>0</v>
      </c>
      <c r="CT16" s="1">
        <f>VC!CO5</f>
        <v>0</v>
      </c>
      <c r="CU16" s="1">
        <f>VC!CP5</f>
        <v>0</v>
      </c>
      <c r="CV16" s="1">
        <f>VC!CQ5</f>
        <v>0</v>
      </c>
      <c r="CW16" s="1">
        <f>VC!CR5</f>
        <v>0</v>
      </c>
      <c r="CX16" s="1" t="str">
        <f>VC!CS5</f>
        <v>A33T</v>
      </c>
      <c r="CY16" s="1">
        <f>VC!CT5</f>
        <v>0</v>
      </c>
      <c r="CZ16" s="1">
        <f>VC!CU5</f>
        <v>0</v>
      </c>
      <c r="DA16" s="1">
        <f>VC!CV5</f>
        <v>0</v>
      </c>
      <c r="DB16" s="1">
        <f>VC!CW5</f>
        <v>0</v>
      </c>
      <c r="DC16" s="1">
        <f>VC!CX5</f>
        <v>0</v>
      </c>
      <c r="DD16" s="1">
        <f>VC!CY5</f>
        <v>0</v>
      </c>
      <c r="DE16" s="1">
        <f>VC!CZ5</f>
        <v>0</v>
      </c>
      <c r="DF16" s="1">
        <f>VC!DA5</f>
        <v>0</v>
      </c>
      <c r="DG16" s="1">
        <f>VC!DB5</f>
        <v>0</v>
      </c>
      <c r="DH16" s="1">
        <f>VC!DC5</f>
        <v>0</v>
      </c>
      <c r="DI16" s="1">
        <f>VC!DD5</f>
        <v>0</v>
      </c>
      <c r="DJ16" s="1">
        <f>VC!DE5</f>
        <v>0</v>
      </c>
      <c r="DK16" s="1" t="str">
        <f>VC!DF5</f>
        <v>K86E</v>
      </c>
      <c r="DL16" s="1">
        <f>VC!DG5</f>
        <v>0</v>
      </c>
      <c r="DM16" s="1">
        <f>VC!DH5</f>
        <v>0</v>
      </c>
      <c r="DN16" s="1">
        <f>VC!DI5</f>
        <v>0</v>
      </c>
      <c r="DO16" s="1">
        <f>VC!DJ5</f>
        <v>0</v>
      </c>
      <c r="DP16" s="1">
        <f>VC!DK5</f>
        <v>0</v>
      </c>
      <c r="DQ16" s="1" t="str">
        <f>VC!DL5</f>
        <v>K76Q</v>
      </c>
      <c r="DR16" s="1">
        <f>VC!DM5</f>
        <v>0</v>
      </c>
      <c r="DS16" s="1">
        <f>VC!DN5</f>
        <v>0</v>
      </c>
      <c r="DT16" s="1">
        <f>VC!DO5</f>
        <v>0</v>
      </c>
      <c r="DU16" s="5" t="str">
        <f>VC!DP5</f>
        <v>Q104X</v>
      </c>
      <c r="DV16" s="1">
        <f>VC!DQ5</f>
        <v>0</v>
      </c>
      <c r="DW16" s="1">
        <f>VC!DR5</f>
        <v>0</v>
      </c>
      <c r="DX16" s="1">
        <f>VC!DS5</f>
        <v>0</v>
      </c>
      <c r="DY16" s="1">
        <f>VC!DT5</f>
        <v>0</v>
      </c>
      <c r="DZ16" s="1">
        <f>VC!DU5</f>
        <v>0</v>
      </c>
      <c r="EA16" s="1">
        <f>VC!DV5</f>
        <v>0</v>
      </c>
      <c r="EB16" s="1">
        <f>VC!DW5</f>
        <v>0</v>
      </c>
      <c r="EC16" s="1">
        <f>VC!DX5</f>
        <v>0</v>
      </c>
      <c r="ED16" s="1" t="str">
        <f>VC!DY5</f>
        <v>E53X</v>
      </c>
      <c r="EE16" s="1">
        <f>VC!DZ5</f>
        <v>0</v>
      </c>
      <c r="EF16" s="1" t="str">
        <f>VC!EA5</f>
        <v>A111T</v>
      </c>
      <c r="EG16" s="1" t="str">
        <f>VC!EB5</f>
        <v>A117V</v>
      </c>
      <c r="EH16" s="1">
        <f>VC!EC5</f>
        <v>0</v>
      </c>
      <c r="EI16" s="1">
        <f>VC!ED5</f>
        <v>0</v>
      </c>
      <c r="EJ16" s="1">
        <f>VC!EE5</f>
        <v>0</v>
      </c>
      <c r="EK16" s="1">
        <f>VC!EF5</f>
        <v>0</v>
      </c>
      <c r="EL16" s="1">
        <f>VC!EG5</f>
        <v>0</v>
      </c>
      <c r="EM16" s="1">
        <f>VC!EH5</f>
        <v>0</v>
      </c>
      <c r="EN16" s="1">
        <f>VC!EI5</f>
        <v>0</v>
      </c>
      <c r="EO16" s="1">
        <f>VC!EJ5</f>
        <v>0</v>
      </c>
      <c r="EP16" s="1">
        <f>VC!EK5</f>
        <v>0</v>
      </c>
      <c r="EQ16" s="1">
        <f>VC!EL5</f>
        <v>0</v>
      </c>
      <c r="ER16" s="1" t="str">
        <f>VC!EM5</f>
        <v>R326Q</v>
      </c>
      <c r="ES16" s="1">
        <f>VC!EN5</f>
        <v>0</v>
      </c>
      <c r="ET16" s="1">
        <f>VC!EO5</f>
        <v>0</v>
      </c>
      <c r="EU16" s="1">
        <f>VC!EP5</f>
        <v>0</v>
      </c>
      <c r="EV16" s="1" t="str">
        <f>VC!EQ5</f>
        <v>K86E</v>
      </c>
      <c r="EW16" s="1">
        <f>VC!ER5</f>
        <v>0</v>
      </c>
      <c r="EX16" s="1">
        <f>VC!ES5</f>
        <v>0</v>
      </c>
      <c r="EY16" s="1">
        <f>VC!ET5</f>
        <v>0</v>
      </c>
      <c r="EZ16" s="1">
        <f>VC!EU5</f>
        <v>0</v>
      </c>
      <c r="FA16" s="1">
        <f>VC!EV5</f>
        <v>0</v>
      </c>
      <c r="FB16" s="1">
        <f>VC!EW5</f>
        <v>0</v>
      </c>
      <c r="FC16" s="1">
        <f>VC!EX5</f>
        <v>0</v>
      </c>
      <c r="FD16" s="1">
        <f>VC!EY5</f>
        <v>0</v>
      </c>
      <c r="FE16" s="1">
        <f>VC!EZ5</f>
        <v>0</v>
      </c>
      <c r="FF16" s="1">
        <f>VC!FA5</f>
        <v>0</v>
      </c>
      <c r="FG16" s="1">
        <f>VC!FB5</f>
        <v>0</v>
      </c>
      <c r="FH16" s="1">
        <f>VC!FC5</f>
        <v>0</v>
      </c>
      <c r="FI16" s="1">
        <f>VC!FD5</f>
        <v>0</v>
      </c>
      <c r="FJ16" s="1">
        <f>VC!FE5</f>
        <v>0</v>
      </c>
      <c r="FK16" s="1">
        <f>VC!FF5</f>
        <v>0</v>
      </c>
      <c r="FL16" s="1">
        <f>VC!FG5</f>
        <v>0</v>
      </c>
      <c r="FM16" s="1">
        <f>VC!FH5</f>
        <v>0</v>
      </c>
      <c r="FN16" s="1">
        <f>VC!FI5</f>
        <v>0</v>
      </c>
      <c r="FO16" s="1">
        <f>VC!FJ5</f>
        <v>0</v>
      </c>
      <c r="FP16" s="1">
        <f>VC!FK5</f>
        <v>0</v>
      </c>
      <c r="FQ16" s="1">
        <f>VC!FL5</f>
        <v>0</v>
      </c>
      <c r="FR16" s="1">
        <f>VC!FM5</f>
        <v>0</v>
      </c>
      <c r="FS16" s="1">
        <f>VC!FN5</f>
        <v>0</v>
      </c>
      <c r="FT16" s="1">
        <f>VC!FO5</f>
        <v>0</v>
      </c>
      <c r="FU16" s="1">
        <f>VC!FP5</f>
        <v>0</v>
      </c>
      <c r="FV16" s="1">
        <f>VC!FQ5</f>
        <v>0</v>
      </c>
      <c r="FW16" s="1">
        <f>VC!FR5</f>
        <v>0</v>
      </c>
      <c r="FX16" s="1">
        <f>VC!FS5</f>
        <v>0</v>
      </c>
      <c r="FY16" s="1">
        <f>VC!FT5</f>
        <v>0</v>
      </c>
      <c r="FZ16" s="1">
        <f>VC!FU5</f>
        <v>0</v>
      </c>
      <c r="GA16" s="1">
        <f>VC!FV5</f>
        <v>0</v>
      </c>
      <c r="GB16" s="1">
        <f>VC!FW5</f>
        <v>0</v>
      </c>
      <c r="GC16" s="1">
        <f>VC!FX5</f>
        <v>0</v>
      </c>
      <c r="GD16" s="1">
        <f>VC!FY5</f>
        <v>0</v>
      </c>
      <c r="GE16" s="1">
        <f>VC!FZ5</f>
        <v>0</v>
      </c>
      <c r="GF16" s="1">
        <f>VC!GA5</f>
        <v>0</v>
      </c>
      <c r="GG16" s="1">
        <f>VC!GB5</f>
        <v>0</v>
      </c>
      <c r="GH16" s="1">
        <f>VC!GC5</f>
        <v>0</v>
      </c>
      <c r="GI16" s="1">
        <f>VC!GD5</f>
        <v>0</v>
      </c>
      <c r="GJ16" s="1">
        <f>VC!GE5</f>
        <v>0</v>
      </c>
      <c r="GK16" s="1">
        <f>VC!GF5</f>
        <v>0</v>
      </c>
      <c r="GL16" s="1">
        <f>VC!GG5</f>
        <v>0</v>
      </c>
      <c r="GM16" s="1">
        <f>VC!GH5</f>
        <v>0</v>
      </c>
      <c r="GN16" s="1">
        <f>VC!GI5</f>
        <v>0</v>
      </c>
      <c r="GO16" s="1">
        <f>VC!GJ5</f>
        <v>0</v>
      </c>
      <c r="GP16" s="1">
        <f>VC!GK5</f>
        <v>0</v>
      </c>
      <c r="GQ16" s="1">
        <f>VC!GL5</f>
        <v>0</v>
      </c>
      <c r="GR16" s="1">
        <f>VC!GM5</f>
        <v>0</v>
      </c>
      <c r="GS16" s="1">
        <f>VC!GN5</f>
        <v>0</v>
      </c>
      <c r="GT16" s="1">
        <f>VC!GO5</f>
        <v>0</v>
      </c>
      <c r="GU16" s="1" t="str">
        <f>VC!GP5</f>
        <v>N269S</v>
      </c>
      <c r="GV16" s="1">
        <f>VC!GQ5</f>
        <v>0</v>
      </c>
      <c r="GW16" s="1">
        <f>VC!GR5</f>
        <v>0</v>
      </c>
      <c r="GX16" s="1">
        <f>VC!GS5</f>
        <v>0</v>
      </c>
      <c r="GY16" s="1">
        <f>VC!GT5</f>
        <v>0</v>
      </c>
      <c r="GZ16" s="1">
        <f>VC!GU5</f>
        <v>0</v>
      </c>
      <c r="HA16" s="1">
        <f>VC!GV5</f>
        <v>0</v>
      </c>
      <c r="HB16" s="1">
        <f>VC!GW5</f>
        <v>0</v>
      </c>
      <c r="HC16" s="1">
        <f>VC!GX5</f>
        <v>0</v>
      </c>
    </row>
    <row r="17" spans="1:211" s="7" customFormat="1" x14ac:dyDescent="0.25">
      <c r="A17" s="44" t="s">
        <v>9</v>
      </c>
      <c r="B17" s="45" t="s">
        <v>10</v>
      </c>
      <c r="C17" s="46" t="s">
        <v>1</v>
      </c>
      <c r="D17" s="45" t="s">
        <v>77</v>
      </c>
      <c r="E17" s="45">
        <v>-0.5</v>
      </c>
      <c r="F17" s="45" t="s">
        <v>74</v>
      </c>
      <c r="G17" s="47" t="s">
        <v>137</v>
      </c>
      <c r="H17" s="7">
        <f>VC!C6</f>
        <v>0</v>
      </c>
      <c r="I17" s="7">
        <f>VC!D6</f>
        <v>0</v>
      </c>
      <c r="J17" s="7">
        <f>VC!E6</f>
        <v>0</v>
      </c>
      <c r="K17" s="7">
        <f>VC!F6</f>
        <v>0</v>
      </c>
      <c r="L17" s="7">
        <f>VC!G6</f>
        <v>0</v>
      </c>
      <c r="M17" s="7">
        <f>VC!H6</f>
        <v>0</v>
      </c>
      <c r="N17" s="7" t="str">
        <f>VC!I6</f>
        <v>G957D</v>
      </c>
      <c r="O17" s="7">
        <f>VC!J6</f>
        <v>0</v>
      </c>
      <c r="P17" s="7">
        <f>VC!K6</f>
        <v>0</v>
      </c>
      <c r="Q17" s="7">
        <f>VC!L6</f>
        <v>0</v>
      </c>
      <c r="R17" s="7">
        <f>VC!M6</f>
        <v>0</v>
      </c>
      <c r="S17" s="7">
        <f>VC!N6</f>
        <v>0</v>
      </c>
      <c r="T17" s="7">
        <f>VC!O6</f>
        <v>0</v>
      </c>
      <c r="U17" s="7">
        <f>VC!P6</f>
        <v>0</v>
      </c>
      <c r="V17" s="7">
        <f>VC!Q6</f>
        <v>0</v>
      </c>
      <c r="W17" s="7">
        <f>VC!R6</f>
        <v>0</v>
      </c>
      <c r="X17" s="7">
        <f>VC!S6</f>
        <v>0</v>
      </c>
      <c r="Y17" s="7">
        <f>VC!T6</f>
        <v>0</v>
      </c>
      <c r="Z17" s="7">
        <f>VC!U6</f>
        <v>0</v>
      </c>
      <c r="AA17" s="7" t="str">
        <f>VC!V6</f>
        <v>G957D</v>
      </c>
      <c r="AB17" s="7">
        <f>VC!W6</f>
        <v>0</v>
      </c>
      <c r="AC17" s="7">
        <f>VC!X6</f>
        <v>0</v>
      </c>
      <c r="AD17" s="7">
        <f>VC!Y6</f>
        <v>0</v>
      </c>
      <c r="AE17" s="7">
        <f>VC!Z6</f>
        <v>0</v>
      </c>
      <c r="AF17" s="7">
        <f>VC!AA6</f>
        <v>0</v>
      </c>
      <c r="AG17" s="7">
        <f>VC!AB6</f>
        <v>0</v>
      </c>
      <c r="AH17" s="7">
        <f>VC!AC6</f>
        <v>0</v>
      </c>
      <c r="AI17" s="7">
        <f>VC!AD6</f>
        <v>0</v>
      </c>
      <c r="AJ17" s="7">
        <f>VC!AE6</f>
        <v>0</v>
      </c>
      <c r="AK17" s="7">
        <f>VC!AF6</f>
        <v>0</v>
      </c>
      <c r="AL17" s="7">
        <f>VC!AG6</f>
        <v>0</v>
      </c>
      <c r="AM17" s="7" t="str">
        <f>VC!AH6</f>
        <v>G957D; V1042A</v>
      </c>
      <c r="AN17" s="7">
        <f>VC!AI6</f>
        <v>0</v>
      </c>
      <c r="AO17" s="7">
        <f>VC!AJ6</f>
        <v>0</v>
      </c>
      <c r="AP17" s="7">
        <f>VC!AK6</f>
        <v>0</v>
      </c>
      <c r="AQ17" s="7">
        <f>VC!AL6</f>
        <v>0</v>
      </c>
      <c r="AR17" s="7">
        <f>VC!AM6</f>
        <v>0</v>
      </c>
      <c r="AS17" s="7">
        <f>VC!AN6</f>
        <v>0</v>
      </c>
      <c r="AT17" s="7">
        <f>VC!AO6</f>
        <v>0</v>
      </c>
      <c r="AU17" s="7">
        <f>VC!AP6</f>
        <v>0</v>
      </c>
      <c r="AV17" s="7">
        <f>VC!AQ6</f>
        <v>0</v>
      </c>
      <c r="AW17" s="7">
        <f>VC!AR6</f>
        <v>0</v>
      </c>
      <c r="AX17" s="7">
        <f>VC!AS6</f>
        <v>0</v>
      </c>
      <c r="AY17" s="7">
        <f>VC!AT6</f>
        <v>0</v>
      </c>
      <c r="AZ17" s="7">
        <f>VC!AU6</f>
        <v>0</v>
      </c>
      <c r="BA17" s="7">
        <f>VC!AV6</f>
        <v>0</v>
      </c>
      <c r="BB17" s="7">
        <f>VC!AW6</f>
        <v>0</v>
      </c>
      <c r="BC17" s="7">
        <f>VC!AX6</f>
        <v>0</v>
      </c>
      <c r="BD17" s="7">
        <f>VC!AY6</f>
        <v>0</v>
      </c>
      <c r="BE17" s="7">
        <f>VC!AZ6</f>
        <v>0</v>
      </c>
      <c r="BF17" s="7">
        <f>VC!BA6</f>
        <v>0</v>
      </c>
      <c r="BG17" s="7" t="str">
        <f>VC!BB6</f>
        <v>G957D</v>
      </c>
      <c r="BH17" s="7">
        <f>VC!BC6</f>
        <v>0</v>
      </c>
      <c r="BI17" s="7">
        <f>VC!BD6</f>
        <v>0</v>
      </c>
      <c r="BJ17" s="7">
        <f>VC!BE6</f>
        <v>0</v>
      </c>
      <c r="BK17" s="7">
        <f>VC!BF6</f>
        <v>0</v>
      </c>
      <c r="BL17" s="7">
        <f>VC!BG6</f>
        <v>0</v>
      </c>
      <c r="BM17" s="7">
        <f>VC!BH6</f>
        <v>0</v>
      </c>
      <c r="BN17" s="7">
        <f>VC!BI6</f>
        <v>0</v>
      </c>
      <c r="BO17" s="7" t="str">
        <f>VC!BJ6</f>
        <v>E422X</v>
      </c>
      <c r="BP17" s="7">
        <f>VC!BK6</f>
        <v>0</v>
      </c>
      <c r="BQ17" s="7" t="str">
        <f>VC!BL6</f>
        <v>Q319X</v>
      </c>
      <c r="BR17" s="7">
        <f>VC!BM6</f>
        <v>0</v>
      </c>
      <c r="BS17" s="7">
        <f>VC!BN6</f>
        <v>0</v>
      </c>
      <c r="BT17" s="7">
        <f>VC!BO6</f>
        <v>0</v>
      </c>
      <c r="BU17" s="7">
        <f>VC!BP6</f>
        <v>0</v>
      </c>
      <c r="BV17" s="7">
        <f>VC!BQ6</f>
        <v>0</v>
      </c>
      <c r="BW17" s="7">
        <f>VC!BR6</f>
        <v>0</v>
      </c>
      <c r="BX17" s="7">
        <f>VC!BS6</f>
        <v>0</v>
      </c>
      <c r="BY17" s="7">
        <f>VC!BT6</f>
        <v>0</v>
      </c>
      <c r="BZ17" s="7">
        <f>VC!BU6</f>
        <v>0</v>
      </c>
      <c r="CA17" s="7">
        <f>VC!BV6</f>
        <v>0</v>
      </c>
      <c r="CB17" s="7">
        <f>VC!BW6</f>
        <v>0</v>
      </c>
      <c r="CC17" s="7">
        <f>VC!BX6</f>
        <v>0</v>
      </c>
      <c r="CD17" s="7">
        <f>VC!BY6</f>
        <v>0</v>
      </c>
      <c r="CE17" s="7">
        <f>VC!BZ6</f>
        <v>0</v>
      </c>
      <c r="CF17" s="7">
        <f>VC!CA6</f>
        <v>0</v>
      </c>
      <c r="CG17" s="7">
        <f>VC!CB6</f>
        <v>0</v>
      </c>
      <c r="CH17" s="7">
        <f>VC!CC6</f>
        <v>0</v>
      </c>
      <c r="CI17" s="7">
        <f>VC!CD6</f>
        <v>0</v>
      </c>
      <c r="CJ17" s="7">
        <f>VC!CE6</f>
        <v>0</v>
      </c>
      <c r="CK17" s="8" t="str">
        <f>VC!CF6</f>
        <v>nt1135∆1</v>
      </c>
      <c r="CL17" s="7">
        <f>VC!CG6</f>
        <v>0</v>
      </c>
      <c r="CM17" s="7">
        <f>VC!CH6</f>
        <v>0</v>
      </c>
      <c r="CN17" s="7">
        <f>VC!CI6</f>
        <v>0</v>
      </c>
      <c r="CO17" s="7">
        <f>VC!CJ6</f>
        <v>0</v>
      </c>
      <c r="CP17" s="7">
        <f>VC!CK6</f>
        <v>0</v>
      </c>
      <c r="CQ17" s="7" t="str">
        <f>VC!CL6</f>
        <v>A735D</v>
      </c>
      <c r="CR17" s="7">
        <f>VC!CM6</f>
        <v>0</v>
      </c>
      <c r="CS17" s="7">
        <f>VC!CN6</f>
        <v>0</v>
      </c>
      <c r="CT17" s="7">
        <f>VC!CO6</f>
        <v>0</v>
      </c>
      <c r="CU17" s="7">
        <f>VC!CP6</f>
        <v>0</v>
      </c>
      <c r="CV17" s="7">
        <f>VC!CQ6</f>
        <v>0</v>
      </c>
      <c r="CW17" s="7">
        <f>VC!CR6</f>
        <v>0</v>
      </c>
      <c r="CX17" s="7">
        <f>VC!CS6</f>
        <v>0</v>
      </c>
      <c r="CY17" s="7">
        <f>VC!CT6</f>
        <v>0</v>
      </c>
      <c r="CZ17" s="7" t="str">
        <f>VC!CU6</f>
        <v>G957D</v>
      </c>
      <c r="DA17" s="7">
        <f>VC!CV6</f>
        <v>0</v>
      </c>
      <c r="DB17" s="7">
        <f>VC!CW6</f>
        <v>0</v>
      </c>
      <c r="DC17" s="7">
        <f>VC!CX6</f>
        <v>0</v>
      </c>
      <c r="DD17" s="7">
        <f>VC!CY6</f>
        <v>0</v>
      </c>
      <c r="DE17" s="7">
        <f>VC!CZ6</f>
        <v>0</v>
      </c>
      <c r="DF17" s="7">
        <f>VC!DA6</f>
        <v>0</v>
      </c>
      <c r="DG17" s="7">
        <f>VC!DB6</f>
        <v>0</v>
      </c>
      <c r="DH17" s="7">
        <f>VC!DC6</f>
        <v>0</v>
      </c>
      <c r="DI17" s="7">
        <f>VC!DD6</f>
        <v>0</v>
      </c>
      <c r="DJ17" s="7" t="str">
        <f>VC!DE6</f>
        <v>G957D</v>
      </c>
      <c r="DK17" s="7">
        <f>VC!DF6</f>
        <v>0</v>
      </c>
      <c r="DL17" s="7">
        <f>VC!DG6</f>
        <v>0</v>
      </c>
      <c r="DM17" s="7">
        <f>VC!DH6</f>
        <v>0</v>
      </c>
      <c r="DN17" s="7">
        <f>VC!DI6</f>
        <v>0</v>
      </c>
      <c r="DO17" s="7">
        <f>VC!DJ6</f>
        <v>0</v>
      </c>
      <c r="DP17" s="7">
        <f>VC!DK6</f>
        <v>0</v>
      </c>
      <c r="DQ17" s="7">
        <f>VC!DL6</f>
        <v>0</v>
      </c>
      <c r="DR17" s="7">
        <f>VC!DM6</f>
        <v>0</v>
      </c>
      <c r="DS17" s="7">
        <f>VC!DN6</f>
        <v>0</v>
      </c>
      <c r="DT17" s="7">
        <f>VC!DO6</f>
        <v>0</v>
      </c>
      <c r="DU17" s="7">
        <f>VC!DP6</f>
        <v>0</v>
      </c>
      <c r="DV17" s="7">
        <f>VC!DQ6</f>
        <v>0</v>
      </c>
      <c r="DW17" s="7">
        <f>VC!DR6</f>
        <v>0</v>
      </c>
      <c r="DX17" s="7">
        <f>VC!DS6</f>
        <v>0</v>
      </c>
      <c r="DY17" s="7">
        <f>VC!DT6</f>
        <v>0</v>
      </c>
      <c r="DZ17" s="7">
        <f>VC!DU6</f>
        <v>0</v>
      </c>
      <c r="EA17" s="8" t="str">
        <f>VC!DV6</f>
        <v>nt881InsGG</v>
      </c>
      <c r="EB17" s="7" t="str">
        <f>VC!DW6</f>
        <v>G957D</v>
      </c>
      <c r="EC17" s="7">
        <f>VC!DX6</f>
        <v>0</v>
      </c>
      <c r="ED17" s="7">
        <f>VC!DY6</f>
        <v>0</v>
      </c>
      <c r="EE17" s="7">
        <f>VC!DZ6</f>
        <v>0</v>
      </c>
      <c r="EF17" s="7" t="str">
        <f>VC!EA6</f>
        <v>G957D</v>
      </c>
      <c r="EG17" s="7" t="str">
        <f>VC!EB6</f>
        <v>nt2936∆1</v>
      </c>
      <c r="EH17" s="7">
        <f>VC!EC6</f>
        <v>0</v>
      </c>
      <c r="EI17" s="7">
        <f>VC!ED6</f>
        <v>0</v>
      </c>
      <c r="EJ17" s="7">
        <f>VC!EE6</f>
        <v>0</v>
      </c>
      <c r="EK17" s="7">
        <f>VC!EF6</f>
        <v>0</v>
      </c>
      <c r="EL17" s="7">
        <f>VC!EG6</f>
        <v>0</v>
      </c>
      <c r="EM17" s="7">
        <f>VC!EH6</f>
        <v>0</v>
      </c>
      <c r="EN17" s="7">
        <f>VC!EI6</f>
        <v>0</v>
      </c>
      <c r="EO17" s="7">
        <f>VC!EJ6</f>
        <v>0</v>
      </c>
      <c r="EP17" s="7">
        <f>VC!EK6</f>
        <v>0</v>
      </c>
      <c r="EQ17" s="7">
        <f>VC!EL6</f>
        <v>0</v>
      </c>
      <c r="ER17" s="7">
        <f>VC!EM6</f>
        <v>0</v>
      </c>
      <c r="ES17" s="7">
        <f>VC!EN6</f>
        <v>0</v>
      </c>
      <c r="ET17" s="7" t="str">
        <f>VC!EO6</f>
        <v>nt3018∆5</v>
      </c>
      <c r="EU17" s="7">
        <f>VC!EP6</f>
        <v>0</v>
      </c>
      <c r="EV17" s="7">
        <f>VC!EQ6</f>
        <v>0</v>
      </c>
      <c r="EW17" s="7" t="str">
        <f>VC!ER6</f>
        <v>A707S; I963V</v>
      </c>
      <c r="EX17" s="7">
        <f>VC!ES6</f>
        <v>0</v>
      </c>
      <c r="EY17" s="7" t="str">
        <f>VC!ET6</f>
        <v>T98A</v>
      </c>
      <c r="EZ17" s="7">
        <f>VC!EU6</f>
        <v>0</v>
      </c>
      <c r="FA17" s="7" t="str">
        <f>VC!EV6</f>
        <v>G957D</v>
      </c>
      <c r="FB17" s="7" t="str">
        <f>VC!EW6</f>
        <v>G860D</v>
      </c>
      <c r="FC17" s="7">
        <f>VC!EX6</f>
        <v>0</v>
      </c>
      <c r="FD17" s="7" t="str">
        <f>VC!EY6</f>
        <v>G957D</v>
      </c>
      <c r="FE17" s="7" t="str">
        <f>VC!EZ6</f>
        <v>G957D</v>
      </c>
      <c r="FF17" s="7">
        <f>VC!FA6</f>
        <v>0</v>
      </c>
      <c r="FG17" s="7">
        <f>VC!FB6</f>
        <v>0</v>
      </c>
      <c r="FH17" s="7">
        <f>VC!FC6</f>
        <v>0</v>
      </c>
      <c r="FI17" s="7">
        <f>VC!FD6</f>
        <v>0</v>
      </c>
      <c r="FJ17" s="7">
        <f>VC!FE6</f>
        <v>0</v>
      </c>
      <c r="FK17" s="7">
        <f>VC!FF6</f>
        <v>0</v>
      </c>
      <c r="FL17" s="7" t="str">
        <f>VC!FG6</f>
        <v>G957D</v>
      </c>
      <c r="FM17" s="7">
        <f>VC!FH6</f>
        <v>0</v>
      </c>
      <c r="FN17" s="7" t="str">
        <f>VC!FI6</f>
        <v>G957D</v>
      </c>
      <c r="FO17" s="7">
        <f>VC!FJ6</f>
        <v>0</v>
      </c>
      <c r="FP17" s="7">
        <f>VC!FK6</f>
        <v>0</v>
      </c>
      <c r="FQ17" s="7">
        <f>VC!FL6</f>
        <v>0</v>
      </c>
      <c r="FR17" s="7">
        <f>VC!FM6</f>
        <v>0</v>
      </c>
      <c r="FS17" s="7">
        <f>VC!FN6</f>
        <v>0</v>
      </c>
      <c r="FT17" s="7">
        <f>VC!FO6</f>
        <v>0</v>
      </c>
      <c r="FU17" s="7">
        <f>VC!FP6</f>
        <v>0</v>
      </c>
      <c r="FV17" s="7">
        <f>VC!FQ6</f>
        <v>0</v>
      </c>
      <c r="FW17" s="7">
        <f>VC!FR6</f>
        <v>0</v>
      </c>
      <c r="FX17" s="7">
        <f>VC!FS6</f>
        <v>0</v>
      </c>
      <c r="FY17" s="7">
        <f>VC!FT6</f>
        <v>0</v>
      </c>
      <c r="FZ17" s="7">
        <f>VC!FU6</f>
        <v>0</v>
      </c>
      <c r="GA17" s="7">
        <f>VC!FV6</f>
        <v>0</v>
      </c>
      <c r="GB17" s="7">
        <f>VC!FW6</f>
        <v>0</v>
      </c>
      <c r="GC17" s="7">
        <f>VC!FX6</f>
        <v>0</v>
      </c>
      <c r="GD17" s="7">
        <f>VC!FY6</f>
        <v>0</v>
      </c>
      <c r="GE17" s="7">
        <f>VC!FZ6</f>
        <v>0</v>
      </c>
      <c r="GF17" s="7">
        <f>VC!GA6</f>
        <v>0</v>
      </c>
      <c r="GG17" s="7">
        <f>VC!GB6</f>
        <v>0</v>
      </c>
      <c r="GH17" s="7">
        <f>VC!GC6</f>
        <v>0</v>
      </c>
      <c r="GI17" s="7">
        <f>VC!GD6</f>
        <v>0</v>
      </c>
      <c r="GJ17" s="7">
        <f>VC!GE6</f>
        <v>0</v>
      </c>
      <c r="GK17" s="7">
        <f>VC!GF6</f>
        <v>0</v>
      </c>
      <c r="GL17" s="7">
        <f>VC!GG6</f>
        <v>0</v>
      </c>
      <c r="GM17" s="7">
        <f>VC!GH6</f>
        <v>0</v>
      </c>
      <c r="GN17" s="7">
        <f>VC!GI6</f>
        <v>0</v>
      </c>
      <c r="GO17" s="7">
        <f>VC!GJ6</f>
        <v>0</v>
      </c>
      <c r="GP17" s="7">
        <f>VC!GK6</f>
        <v>0</v>
      </c>
      <c r="GQ17" s="7" t="str">
        <f>VC!GL6</f>
        <v>A539T</v>
      </c>
      <c r="GR17" s="7">
        <f>VC!GM6</f>
        <v>0</v>
      </c>
      <c r="GS17" s="7" t="str">
        <f>VC!GN6</f>
        <v>G957D</v>
      </c>
      <c r="GT17" s="7">
        <f>VC!GO6</f>
        <v>0</v>
      </c>
      <c r="GU17" s="7">
        <f>VC!GP6</f>
        <v>0</v>
      </c>
      <c r="GV17" s="7">
        <f>VC!GQ6</f>
        <v>0</v>
      </c>
      <c r="GW17" s="7">
        <f>VC!GR6</f>
        <v>0</v>
      </c>
      <c r="GX17" s="7" t="str">
        <f>VC!GS6</f>
        <v>P190L</v>
      </c>
      <c r="GY17" s="7">
        <f>VC!GT6</f>
        <v>0</v>
      </c>
      <c r="GZ17" s="7">
        <f>VC!GU6</f>
        <v>0</v>
      </c>
      <c r="HA17" s="7">
        <f>VC!GV6</f>
        <v>0</v>
      </c>
      <c r="HB17" s="7">
        <f>VC!GW6</f>
        <v>0</v>
      </c>
      <c r="HC17" s="7">
        <f>VC!GX6</f>
        <v>0</v>
      </c>
    </row>
    <row r="18" spans="1:211" s="7" customFormat="1" x14ac:dyDescent="0.25">
      <c r="A18" s="44" t="s">
        <v>9</v>
      </c>
      <c r="B18" s="45" t="s">
        <v>10</v>
      </c>
      <c r="C18" s="46" t="s">
        <v>2</v>
      </c>
      <c r="D18" s="45" t="s">
        <v>77</v>
      </c>
      <c r="E18" s="45">
        <v>-0.5</v>
      </c>
      <c r="F18" s="45" t="s">
        <v>74</v>
      </c>
      <c r="G18" s="47" t="s">
        <v>137</v>
      </c>
      <c r="H18" s="7">
        <f>VC!C6</f>
        <v>0</v>
      </c>
      <c r="I18" s="7">
        <f>VC!D6</f>
        <v>0</v>
      </c>
      <c r="J18" s="7">
        <f>VC!E6</f>
        <v>0</v>
      </c>
      <c r="K18" s="7">
        <f>VC!F6</f>
        <v>0</v>
      </c>
      <c r="L18" s="7">
        <f>VC!G6</f>
        <v>0</v>
      </c>
      <c r="M18" s="7">
        <f>VC!H6</f>
        <v>0</v>
      </c>
      <c r="N18" s="7" t="str">
        <f>VC!I6</f>
        <v>G957D</v>
      </c>
      <c r="O18" s="7">
        <f>VC!J6</f>
        <v>0</v>
      </c>
      <c r="P18" s="7">
        <f>VC!K6</f>
        <v>0</v>
      </c>
      <c r="Q18" s="7">
        <f>VC!L6</f>
        <v>0</v>
      </c>
      <c r="R18" s="7">
        <f>VC!M6</f>
        <v>0</v>
      </c>
      <c r="S18" s="7">
        <f>VC!N6</f>
        <v>0</v>
      </c>
      <c r="T18" s="7">
        <f>VC!O6</f>
        <v>0</v>
      </c>
      <c r="U18" s="7">
        <f>VC!P6</f>
        <v>0</v>
      </c>
      <c r="V18" s="7">
        <f>VC!Q6</f>
        <v>0</v>
      </c>
      <c r="W18" s="7">
        <f>VC!R6</f>
        <v>0</v>
      </c>
      <c r="X18" s="7">
        <f>VC!S6</f>
        <v>0</v>
      </c>
      <c r="Y18" s="7">
        <f>VC!T6</f>
        <v>0</v>
      </c>
      <c r="Z18" s="7">
        <f>VC!U6</f>
        <v>0</v>
      </c>
      <c r="AA18" s="7" t="str">
        <f>VC!V6</f>
        <v>G957D</v>
      </c>
      <c r="AB18" s="7">
        <f>VC!W6</f>
        <v>0</v>
      </c>
      <c r="AC18" s="7">
        <f>VC!X6</f>
        <v>0</v>
      </c>
      <c r="AD18" s="7">
        <f>VC!Y6</f>
        <v>0</v>
      </c>
      <c r="AE18" s="7">
        <f>VC!Z6</f>
        <v>0</v>
      </c>
      <c r="AF18" s="7">
        <f>VC!AA6</f>
        <v>0</v>
      </c>
      <c r="AG18" s="7">
        <f>VC!AB6</f>
        <v>0</v>
      </c>
      <c r="AH18" s="7">
        <f>VC!AC6</f>
        <v>0</v>
      </c>
      <c r="AI18" s="7">
        <f>VC!AD6</f>
        <v>0</v>
      </c>
      <c r="AJ18" s="7">
        <f>VC!AE6</f>
        <v>0</v>
      </c>
      <c r="AK18" s="7">
        <f>VC!AF6</f>
        <v>0</v>
      </c>
      <c r="AL18" s="7">
        <f>VC!AG6</f>
        <v>0</v>
      </c>
      <c r="AM18" s="7" t="str">
        <f>VC!AH6</f>
        <v>G957D; V1042A</v>
      </c>
      <c r="AN18" s="7">
        <f>VC!AI6</f>
        <v>0</v>
      </c>
      <c r="AO18" s="7">
        <f>VC!AJ6</f>
        <v>0</v>
      </c>
      <c r="AP18" s="7">
        <f>VC!AK6</f>
        <v>0</v>
      </c>
      <c r="AQ18" s="7">
        <f>VC!AL6</f>
        <v>0</v>
      </c>
      <c r="AR18" s="7">
        <f>VC!AM6</f>
        <v>0</v>
      </c>
      <c r="AS18" s="7">
        <f>VC!AN6</f>
        <v>0</v>
      </c>
      <c r="AT18" s="7">
        <f>VC!AO6</f>
        <v>0</v>
      </c>
      <c r="AU18" s="7">
        <f>VC!AP6</f>
        <v>0</v>
      </c>
      <c r="AV18" s="7">
        <f>VC!AQ6</f>
        <v>0</v>
      </c>
      <c r="AW18" s="7">
        <f>VC!AR6</f>
        <v>0</v>
      </c>
      <c r="AX18" s="7">
        <f>VC!AS6</f>
        <v>0</v>
      </c>
      <c r="AY18" s="7">
        <f>VC!AT6</f>
        <v>0</v>
      </c>
      <c r="AZ18" s="7">
        <f>VC!AU6</f>
        <v>0</v>
      </c>
      <c r="BA18" s="7">
        <f>VC!AV6</f>
        <v>0</v>
      </c>
      <c r="BB18" s="7">
        <f>VC!AW6</f>
        <v>0</v>
      </c>
      <c r="BC18" s="7">
        <f>VC!AX6</f>
        <v>0</v>
      </c>
      <c r="BD18" s="7">
        <f>VC!AY6</f>
        <v>0</v>
      </c>
      <c r="BE18" s="7">
        <f>VC!AZ6</f>
        <v>0</v>
      </c>
      <c r="BF18" s="7">
        <f>VC!BA6</f>
        <v>0</v>
      </c>
      <c r="BG18" s="7" t="str">
        <f>VC!BB6</f>
        <v>G957D</v>
      </c>
      <c r="BH18" s="7">
        <f>VC!BC6</f>
        <v>0</v>
      </c>
      <c r="BI18" s="7">
        <f>VC!BD6</f>
        <v>0</v>
      </c>
      <c r="BJ18" s="7">
        <f>VC!BE6</f>
        <v>0</v>
      </c>
      <c r="BK18" s="7">
        <f>VC!BF6</f>
        <v>0</v>
      </c>
      <c r="BL18" s="7">
        <f>VC!BG6</f>
        <v>0</v>
      </c>
      <c r="BM18" s="7">
        <f>VC!BH6</f>
        <v>0</v>
      </c>
      <c r="BN18" s="7">
        <f>VC!BI6</f>
        <v>0</v>
      </c>
      <c r="BO18" s="7" t="str">
        <f>VC!BJ6</f>
        <v>E422X</v>
      </c>
      <c r="BP18" s="7">
        <f>VC!BK6</f>
        <v>0</v>
      </c>
      <c r="BQ18" s="7" t="str">
        <f>VC!BL6</f>
        <v>Q319X</v>
      </c>
      <c r="BR18" s="7">
        <f>VC!BM6</f>
        <v>0</v>
      </c>
      <c r="BS18" s="7">
        <f>VC!BN6</f>
        <v>0</v>
      </c>
      <c r="BT18" s="7">
        <f>VC!BO6</f>
        <v>0</v>
      </c>
      <c r="BU18" s="7">
        <f>VC!BP6</f>
        <v>0</v>
      </c>
      <c r="BV18" s="7">
        <f>VC!BQ6</f>
        <v>0</v>
      </c>
      <c r="BW18" s="7">
        <f>VC!BR6</f>
        <v>0</v>
      </c>
      <c r="BX18" s="7">
        <f>VC!BS6</f>
        <v>0</v>
      </c>
      <c r="BY18" s="7">
        <f>VC!BT6</f>
        <v>0</v>
      </c>
      <c r="BZ18" s="7">
        <f>VC!BU6</f>
        <v>0</v>
      </c>
      <c r="CA18" s="7">
        <f>VC!BV6</f>
        <v>0</v>
      </c>
      <c r="CB18" s="7">
        <f>VC!BW6</f>
        <v>0</v>
      </c>
      <c r="CC18" s="7">
        <f>VC!BX6</f>
        <v>0</v>
      </c>
      <c r="CD18" s="7">
        <f>VC!BY6</f>
        <v>0</v>
      </c>
      <c r="CE18" s="7">
        <f>VC!BZ6</f>
        <v>0</v>
      </c>
      <c r="CF18" s="7">
        <f>VC!CA6</f>
        <v>0</v>
      </c>
      <c r="CG18" s="7">
        <f>VC!CB6</f>
        <v>0</v>
      </c>
      <c r="CH18" s="7">
        <f>VC!CC6</f>
        <v>0</v>
      </c>
      <c r="CI18" s="7">
        <f>VC!CD6</f>
        <v>0</v>
      </c>
      <c r="CJ18" s="7">
        <f>VC!CE6</f>
        <v>0</v>
      </c>
      <c r="CK18" s="8" t="str">
        <f>VC!CF6</f>
        <v>nt1135∆1</v>
      </c>
      <c r="CL18" s="7">
        <f>VC!CG6</f>
        <v>0</v>
      </c>
      <c r="CM18" s="7">
        <f>VC!CH6</f>
        <v>0</v>
      </c>
      <c r="CN18" s="7">
        <f>VC!CI6</f>
        <v>0</v>
      </c>
      <c r="CO18" s="7">
        <f>VC!CJ6</f>
        <v>0</v>
      </c>
      <c r="CP18" s="7">
        <f>VC!CK6</f>
        <v>0</v>
      </c>
      <c r="CQ18" s="7" t="str">
        <f>VC!CL6</f>
        <v>A735D</v>
      </c>
      <c r="CR18" s="7">
        <f>VC!CM6</f>
        <v>0</v>
      </c>
      <c r="CS18" s="7">
        <f>VC!CN6</f>
        <v>0</v>
      </c>
      <c r="CT18" s="7">
        <f>VC!CO6</f>
        <v>0</v>
      </c>
      <c r="CU18" s="7">
        <f>VC!CP6</f>
        <v>0</v>
      </c>
      <c r="CV18" s="7">
        <f>VC!CQ6</f>
        <v>0</v>
      </c>
      <c r="CW18" s="7">
        <f>VC!CR6</f>
        <v>0</v>
      </c>
      <c r="CX18" s="7">
        <f>VC!CS6</f>
        <v>0</v>
      </c>
      <c r="CY18" s="7">
        <f>VC!CT6</f>
        <v>0</v>
      </c>
      <c r="CZ18" s="7" t="str">
        <f>VC!CU6</f>
        <v>G957D</v>
      </c>
      <c r="DA18" s="7">
        <f>VC!CV6</f>
        <v>0</v>
      </c>
      <c r="DB18" s="7">
        <f>VC!CW6</f>
        <v>0</v>
      </c>
      <c r="DC18" s="7">
        <f>VC!CX6</f>
        <v>0</v>
      </c>
      <c r="DD18" s="7">
        <f>VC!CY6</f>
        <v>0</v>
      </c>
      <c r="DE18" s="7">
        <f>VC!CZ6</f>
        <v>0</v>
      </c>
      <c r="DF18" s="7">
        <f>VC!DA6</f>
        <v>0</v>
      </c>
      <c r="DG18" s="7">
        <f>VC!DB6</f>
        <v>0</v>
      </c>
      <c r="DH18" s="7">
        <f>VC!DC6</f>
        <v>0</v>
      </c>
      <c r="DI18" s="7">
        <f>VC!DD6</f>
        <v>0</v>
      </c>
      <c r="DJ18" s="7" t="str">
        <f>VC!DE6</f>
        <v>G957D</v>
      </c>
      <c r="DK18" s="7">
        <f>VC!DF6</f>
        <v>0</v>
      </c>
      <c r="DL18" s="7">
        <f>VC!DG6</f>
        <v>0</v>
      </c>
      <c r="DM18" s="7">
        <f>VC!DH6</f>
        <v>0</v>
      </c>
      <c r="DN18" s="7">
        <f>VC!DI6</f>
        <v>0</v>
      </c>
      <c r="DO18" s="7">
        <f>VC!DJ6</f>
        <v>0</v>
      </c>
      <c r="DP18" s="7">
        <f>VC!DK6</f>
        <v>0</v>
      </c>
      <c r="DQ18" s="7">
        <f>VC!DL6</f>
        <v>0</v>
      </c>
      <c r="DR18" s="7">
        <f>VC!DM6</f>
        <v>0</v>
      </c>
      <c r="DS18" s="7">
        <f>VC!DN6</f>
        <v>0</v>
      </c>
      <c r="DT18" s="7">
        <f>VC!DO6</f>
        <v>0</v>
      </c>
      <c r="DU18" s="7">
        <f>VC!DP6</f>
        <v>0</v>
      </c>
      <c r="DV18" s="7">
        <f>VC!DQ6</f>
        <v>0</v>
      </c>
      <c r="DW18" s="7">
        <f>VC!DR6</f>
        <v>0</v>
      </c>
      <c r="DX18" s="7">
        <f>VC!DS6</f>
        <v>0</v>
      </c>
      <c r="DY18" s="7">
        <f>VC!DT6</f>
        <v>0</v>
      </c>
      <c r="DZ18" s="7">
        <f>VC!DU6</f>
        <v>0</v>
      </c>
      <c r="EA18" s="8" t="str">
        <f>VC!DV6</f>
        <v>nt881InsGG</v>
      </c>
      <c r="EB18" s="7" t="str">
        <f>VC!DW6</f>
        <v>G957D</v>
      </c>
      <c r="EC18" s="7">
        <f>VC!DX6</f>
        <v>0</v>
      </c>
      <c r="ED18" s="7">
        <f>VC!DY6</f>
        <v>0</v>
      </c>
      <c r="EE18" s="7">
        <f>VC!DZ6</f>
        <v>0</v>
      </c>
      <c r="EF18" s="7" t="str">
        <f>VC!EA6</f>
        <v>G957D</v>
      </c>
      <c r="EG18" s="7" t="str">
        <f>VC!EB6</f>
        <v>nt2936∆1</v>
      </c>
      <c r="EH18" s="7">
        <f>VC!EC6</f>
        <v>0</v>
      </c>
      <c r="EI18" s="7">
        <f>VC!ED6</f>
        <v>0</v>
      </c>
      <c r="EJ18" s="7">
        <f>VC!EE6</f>
        <v>0</v>
      </c>
      <c r="EK18" s="7">
        <f>VC!EF6</f>
        <v>0</v>
      </c>
      <c r="EL18" s="7">
        <f>VC!EG6</f>
        <v>0</v>
      </c>
      <c r="EM18" s="7">
        <f>VC!EH6</f>
        <v>0</v>
      </c>
      <c r="EN18" s="7">
        <f>VC!EI6</f>
        <v>0</v>
      </c>
      <c r="EO18" s="7">
        <f>VC!EJ6</f>
        <v>0</v>
      </c>
      <c r="EP18" s="7">
        <f>VC!EK6</f>
        <v>0</v>
      </c>
      <c r="EQ18" s="7">
        <f>VC!EL6</f>
        <v>0</v>
      </c>
      <c r="ER18" s="7">
        <f>VC!EM6</f>
        <v>0</v>
      </c>
      <c r="ES18" s="7">
        <f>VC!EN6</f>
        <v>0</v>
      </c>
      <c r="ET18" s="7" t="str">
        <f>VC!EO6</f>
        <v>nt3018∆5</v>
      </c>
      <c r="EU18" s="7">
        <f>VC!EP6</f>
        <v>0</v>
      </c>
      <c r="EV18" s="7">
        <f>VC!EQ6</f>
        <v>0</v>
      </c>
      <c r="EW18" s="7" t="str">
        <f>VC!ER6</f>
        <v>A707S; I963V</v>
      </c>
      <c r="EX18" s="7">
        <f>VC!ES6</f>
        <v>0</v>
      </c>
      <c r="EY18" s="7" t="str">
        <f>VC!ET6</f>
        <v>T98A</v>
      </c>
      <c r="EZ18" s="7">
        <f>VC!EU6</f>
        <v>0</v>
      </c>
      <c r="FA18" s="7" t="str">
        <f>VC!EV6</f>
        <v>G957D</v>
      </c>
      <c r="FB18" s="7" t="str">
        <f>VC!EW6</f>
        <v>G860D</v>
      </c>
      <c r="FC18" s="7">
        <f>VC!EX6</f>
        <v>0</v>
      </c>
      <c r="FD18" s="7" t="str">
        <f>VC!EY6</f>
        <v>G957D</v>
      </c>
      <c r="FE18" s="7" t="str">
        <f>VC!EZ6</f>
        <v>G957D</v>
      </c>
      <c r="FF18" s="7">
        <f>VC!FA6</f>
        <v>0</v>
      </c>
      <c r="FG18" s="7">
        <f>VC!FB6</f>
        <v>0</v>
      </c>
      <c r="FH18" s="7">
        <f>VC!FC6</f>
        <v>0</v>
      </c>
      <c r="FI18" s="7">
        <f>VC!FD6</f>
        <v>0</v>
      </c>
      <c r="FJ18" s="7">
        <f>VC!FE6</f>
        <v>0</v>
      </c>
      <c r="FK18" s="7">
        <f>VC!FF6</f>
        <v>0</v>
      </c>
      <c r="FL18" s="7" t="str">
        <f>VC!FG6</f>
        <v>G957D</v>
      </c>
      <c r="FM18" s="7">
        <f>VC!FH6</f>
        <v>0</v>
      </c>
      <c r="FN18" s="7" t="str">
        <f>VC!FI6</f>
        <v>G957D</v>
      </c>
      <c r="FO18" s="7">
        <f>VC!FJ6</f>
        <v>0</v>
      </c>
      <c r="FP18" s="7">
        <f>VC!FK6</f>
        <v>0</v>
      </c>
      <c r="FQ18" s="7">
        <f>VC!FL6</f>
        <v>0</v>
      </c>
      <c r="FR18" s="7">
        <f>VC!FM6</f>
        <v>0</v>
      </c>
      <c r="FS18" s="7">
        <f>VC!FN6</f>
        <v>0</v>
      </c>
      <c r="FT18" s="7">
        <f>VC!FO6</f>
        <v>0</v>
      </c>
      <c r="FU18" s="7">
        <f>VC!FP6</f>
        <v>0</v>
      </c>
      <c r="FV18" s="7">
        <f>VC!FQ6</f>
        <v>0</v>
      </c>
      <c r="FW18" s="7">
        <f>VC!FR6</f>
        <v>0</v>
      </c>
      <c r="FX18" s="7">
        <f>VC!FS6</f>
        <v>0</v>
      </c>
      <c r="FY18" s="7">
        <f>VC!FT6</f>
        <v>0</v>
      </c>
      <c r="FZ18" s="7">
        <f>VC!FU6</f>
        <v>0</v>
      </c>
      <c r="GA18" s="7">
        <f>VC!FV6</f>
        <v>0</v>
      </c>
      <c r="GB18" s="7">
        <f>VC!FW6</f>
        <v>0</v>
      </c>
      <c r="GC18" s="7">
        <f>VC!FX6</f>
        <v>0</v>
      </c>
      <c r="GD18" s="7">
        <f>VC!FY6</f>
        <v>0</v>
      </c>
      <c r="GE18" s="7">
        <f>VC!FZ6</f>
        <v>0</v>
      </c>
      <c r="GF18" s="7">
        <f>VC!GA6</f>
        <v>0</v>
      </c>
      <c r="GG18" s="7">
        <f>VC!GB6</f>
        <v>0</v>
      </c>
      <c r="GH18" s="7">
        <f>VC!GC6</f>
        <v>0</v>
      </c>
      <c r="GI18" s="7">
        <f>VC!GD6</f>
        <v>0</v>
      </c>
      <c r="GJ18" s="7">
        <f>VC!GE6</f>
        <v>0</v>
      </c>
      <c r="GK18" s="7">
        <f>VC!GF6</f>
        <v>0</v>
      </c>
      <c r="GL18" s="7">
        <f>VC!GG6</f>
        <v>0</v>
      </c>
      <c r="GM18" s="7">
        <f>VC!GH6</f>
        <v>0</v>
      </c>
      <c r="GN18" s="7">
        <f>VC!GI6</f>
        <v>0</v>
      </c>
      <c r="GO18" s="7">
        <f>VC!GJ6</f>
        <v>0</v>
      </c>
      <c r="GP18" s="7">
        <f>VC!GK6</f>
        <v>0</v>
      </c>
      <c r="GQ18" s="7" t="str">
        <f>VC!GL6</f>
        <v>A539T</v>
      </c>
      <c r="GR18" s="7">
        <f>VC!GM6</f>
        <v>0</v>
      </c>
      <c r="GS18" s="7" t="str">
        <f>VC!GN6</f>
        <v>G957D</v>
      </c>
      <c r="GT18" s="7">
        <f>VC!GO6</f>
        <v>0</v>
      </c>
      <c r="GU18" s="7">
        <f>VC!GP6</f>
        <v>0</v>
      </c>
      <c r="GV18" s="7">
        <f>VC!GQ6</f>
        <v>0</v>
      </c>
      <c r="GW18" s="7">
        <f>VC!GR6</f>
        <v>0</v>
      </c>
      <c r="GX18" s="7" t="str">
        <f>VC!GS6</f>
        <v>P190L</v>
      </c>
      <c r="GY18" s="7">
        <f>VC!GT6</f>
        <v>0</v>
      </c>
      <c r="GZ18" s="7">
        <f>VC!GU6</f>
        <v>0</v>
      </c>
      <c r="HA18" s="7">
        <f>VC!GV6</f>
        <v>0</v>
      </c>
      <c r="HB18" s="7">
        <f>VC!GW6</f>
        <v>0</v>
      </c>
      <c r="HC18" s="7">
        <f>VC!GX6</f>
        <v>0</v>
      </c>
    </row>
    <row r="19" spans="1:211" s="7" customFormat="1" x14ac:dyDescent="0.25">
      <c r="A19" s="44" t="s">
        <v>9</v>
      </c>
      <c r="B19" s="45" t="s">
        <v>10</v>
      </c>
      <c r="C19" s="46" t="s">
        <v>4</v>
      </c>
      <c r="D19" s="45" t="s">
        <v>77</v>
      </c>
      <c r="E19" s="45">
        <v>-0.5</v>
      </c>
      <c r="F19" s="45" t="s">
        <v>74</v>
      </c>
      <c r="G19" s="47" t="s">
        <v>137</v>
      </c>
      <c r="H19" s="7">
        <f>VC!C6</f>
        <v>0</v>
      </c>
      <c r="I19" s="7">
        <f>VC!D6</f>
        <v>0</v>
      </c>
      <c r="J19" s="7">
        <f>VC!E6</f>
        <v>0</v>
      </c>
      <c r="K19" s="7">
        <f>VC!F6</f>
        <v>0</v>
      </c>
      <c r="L19" s="7">
        <f>VC!G6</f>
        <v>0</v>
      </c>
      <c r="M19" s="7">
        <f>VC!H6</f>
        <v>0</v>
      </c>
      <c r="N19" s="7" t="str">
        <f>VC!I6</f>
        <v>G957D</v>
      </c>
      <c r="O19" s="7">
        <f>VC!J6</f>
        <v>0</v>
      </c>
      <c r="P19" s="7">
        <f>VC!K6</f>
        <v>0</v>
      </c>
      <c r="Q19" s="7">
        <f>VC!L6</f>
        <v>0</v>
      </c>
      <c r="R19" s="7">
        <f>VC!M6</f>
        <v>0</v>
      </c>
      <c r="S19" s="7">
        <f>VC!N6</f>
        <v>0</v>
      </c>
      <c r="T19" s="7">
        <f>VC!O6</f>
        <v>0</v>
      </c>
      <c r="U19" s="7">
        <f>VC!P6</f>
        <v>0</v>
      </c>
      <c r="V19" s="7">
        <f>VC!Q6</f>
        <v>0</v>
      </c>
      <c r="W19" s="7">
        <f>VC!R6</f>
        <v>0</v>
      </c>
      <c r="X19" s="7">
        <f>VC!S6</f>
        <v>0</v>
      </c>
      <c r="Y19" s="7">
        <f>VC!T6</f>
        <v>0</v>
      </c>
      <c r="Z19" s="7">
        <f>VC!U6</f>
        <v>0</v>
      </c>
      <c r="AA19" s="7" t="str">
        <f>VC!V6</f>
        <v>G957D</v>
      </c>
      <c r="AB19" s="7">
        <f>VC!W6</f>
        <v>0</v>
      </c>
      <c r="AC19" s="7">
        <f>VC!X6</f>
        <v>0</v>
      </c>
      <c r="AD19" s="7">
        <f>VC!Y6</f>
        <v>0</v>
      </c>
      <c r="AE19" s="7">
        <f>VC!Z6</f>
        <v>0</v>
      </c>
      <c r="AF19" s="7">
        <f>VC!AA6</f>
        <v>0</v>
      </c>
      <c r="AG19" s="7">
        <f>VC!AB6</f>
        <v>0</v>
      </c>
      <c r="AH19" s="7">
        <f>VC!AC6</f>
        <v>0</v>
      </c>
      <c r="AI19" s="7">
        <f>VC!AD6</f>
        <v>0</v>
      </c>
      <c r="AJ19" s="7">
        <f>VC!AE6</f>
        <v>0</v>
      </c>
      <c r="AK19" s="7">
        <f>VC!AF6</f>
        <v>0</v>
      </c>
      <c r="AL19" s="7">
        <f>VC!AG6</f>
        <v>0</v>
      </c>
      <c r="AM19" s="7" t="str">
        <f>VC!AH6</f>
        <v>G957D; V1042A</v>
      </c>
      <c r="AN19" s="7">
        <f>VC!AI6</f>
        <v>0</v>
      </c>
      <c r="AO19" s="7">
        <f>VC!AJ6</f>
        <v>0</v>
      </c>
      <c r="AP19" s="7">
        <f>VC!AK6</f>
        <v>0</v>
      </c>
      <c r="AQ19" s="7">
        <f>VC!AL6</f>
        <v>0</v>
      </c>
      <c r="AR19" s="7">
        <f>VC!AM6</f>
        <v>0</v>
      </c>
      <c r="AS19" s="7">
        <f>VC!AN6</f>
        <v>0</v>
      </c>
      <c r="AT19" s="7">
        <f>VC!AO6</f>
        <v>0</v>
      </c>
      <c r="AU19" s="7">
        <f>VC!AP6</f>
        <v>0</v>
      </c>
      <c r="AV19" s="7">
        <f>VC!AQ6</f>
        <v>0</v>
      </c>
      <c r="AW19" s="7">
        <f>VC!AR6</f>
        <v>0</v>
      </c>
      <c r="AX19" s="7">
        <f>VC!AS6</f>
        <v>0</v>
      </c>
      <c r="AY19" s="7">
        <f>VC!AT6</f>
        <v>0</v>
      </c>
      <c r="AZ19" s="7">
        <f>VC!AU6</f>
        <v>0</v>
      </c>
      <c r="BA19" s="7">
        <f>VC!AV6</f>
        <v>0</v>
      </c>
      <c r="BB19" s="7">
        <f>VC!AW6</f>
        <v>0</v>
      </c>
      <c r="BC19" s="7">
        <f>VC!AX6</f>
        <v>0</v>
      </c>
      <c r="BD19" s="7">
        <f>VC!AY6</f>
        <v>0</v>
      </c>
      <c r="BE19" s="7">
        <f>VC!AZ6</f>
        <v>0</v>
      </c>
      <c r="BF19" s="7">
        <f>VC!BA6</f>
        <v>0</v>
      </c>
      <c r="BG19" s="7" t="str">
        <f>VC!BB6</f>
        <v>G957D</v>
      </c>
      <c r="BH19" s="7">
        <f>VC!BC6</f>
        <v>0</v>
      </c>
      <c r="BI19" s="7">
        <f>VC!BD6</f>
        <v>0</v>
      </c>
      <c r="BJ19" s="7">
        <f>VC!BE6</f>
        <v>0</v>
      </c>
      <c r="BK19" s="7">
        <f>VC!BF6</f>
        <v>0</v>
      </c>
      <c r="BL19" s="7">
        <f>VC!BG6</f>
        <v>0</v>
      </c>
      <c r="BM19" s="7">
        <f>VC!BH6</f>
        <v>0</v>
      </c>
      <c r="BN19" s="7">
        <f>VC!BI6</f>
        <v>0</v>
      </c>
      <c r="BO19" s="7" t="str">
        <f>VC!BJ6</f>
        <v>E422X</v>
      </c>
      <c r="BP19" s="7">
        <f>VC!BK6</f>
        <v>0</v>
      </c>
      <c r="BQ19" s="7" t="str">
        <f>VC!BL6</f>
        <v>Q319X</v>
      </c>
      <c r="BR19" s="7">
        <f>VC!BM6</f>
        <v>0</v>
      </c>
      <c r="BS19" s="7">
        <f>VC!BN6</f>
        <v>0</v>
      </c>
      <c r="BT19" s="7">
        <f>VC!BO6</f>
        <v>0</v>
      </c>
      <c r="BU19" s="7">
        <f>VC!BP6</f>
        <v>0</v>
      </c>
      <c r="BV19" s="7">
        <f>VC!BQ6</f>
        <v>0</v>
      </c>
      <c r="BW19" s="7">
        <f>VC!BR6</f>
        <v>0</v>
      </c>
      <c r="BX19" s="7">
        <f>VC!BS6</f>
        <v>0</v>
      </c>
      <c r="BY19" s="7">
        <f>VC!BT6</f>
        <v>0</v>
      </c>
      <c r="BZ19" s="7">
        <f>VC!BU6</f>
        <v>0</v>
      </c>
      <c r="CA19" s="7">
        <f>VC!BV6</f>
        <v>0</v>
      </c>
      <c r="CB19" s="7">
        <f>VC!BW6</f>
        <v>0</v>
      </c>
      <c r="CC19" s="7">
        <f>VC!BX6</f>
        <v>0</v>
      </c>
      <c r="CD19" s="7">
        <f>VC!BY6</f>
        <v>0</v>
      </c>
      <c r="CE19" s="7">
        <f>VC!BZ6</f>
        <v>0</v>
      </c>
      <c r="CF19" s="7">
        <f>VC!CA6</f>
        <v>0</v>
      </c>
      <c r="CG19" s="7">
        <f>VC!CB6</f>
        <v>0</v>
      </c>
      <c r="CH19" s="7">
        <f>VC!CC6</f>
        <v>0</v>
      </c>
      <c r="CI19" s="7">
        <f>VC!CD6</f>
        <v>0</v>
      </c>
      <c r="CJ19" s="7">
        <f>VC!CE6</f>
        <v>0</v>
      </c>
      <c r="CK19" s="8" t="str">
        <f>VC!CF6</f>
        <v>nt1135∆1</v>
      </c>
      <c r="CL19" s="7">
        <f>VC!CG6</f>
        <v>0</v>
      </c>
      <c r="CM19" s="7">
        <f>VC!CH6</f>
        <v>0</v>
      </c>
      <c r="CN19" s="7">
        <f>VC!CI6</f>
        <v>0</v>
      </c>
      <c r="CO19" s="7">
        <f>VC!CJ6</f>
        <v>0</v>
      </c>
      <c r="CP19" s="7">
        <f>VC!CK6</f>
        <v>0</v>
      </c>
      <c r="CQ19" s="7" t="str">
        <f>VC!CL6</f>
        <v>A735D</v>
      </c>
      <c r="CR19" s="7">
        <f>VC!CM6</f>
        <v>0</v>
      </c>
      <c r="CS19" s="7">
        <f>VC!CN6</f>
        <v>0</v>
      </c>
      <c r="CT19" s="7">
        <f>VC!CO6</f>
        <v>0</v>
      </c>
      <c r="CU19" s="7">
        <f>VC!CP6</f>
        <v>0</v>
      </c>
      <c r="CV19" s="7">
        <f>VC!CQ6</f>
        <v>0</v>
      </c>
      <c r="CW19" s="7">
        <f>VC!CR6</f>
        <v>0</v>
      </c>
      <c r="CX19" s="7">
        <f>VC!CS6</f>
        <v>0</v>
      </c>
      <c r="CY19" s="7">
        <f>VC!CT6</f>
        <v>0</v>
      </c>
      <c r="CZ19" s="7" t="str">
        <f>VC!CU6</f>
        <v>G957D</v>
      </c>
      <c r="DA19" s="7">
        <f>VC!CV6</f>
        <v>0</v>
      </c>
      <c r="DB19" s="7">
        <f>VC!CW6</f>
        <v>0</v>
      </c>
      <c r="DC19" s="7">
        <f>VC!CX6</f>
        <v>0</v>
      </c>
      <c r="DD19" s="7">
        <f>VC!CY6</f>
        <v>0</v>
      </c>
      <c r="DE19" s="7">
        <f>VC!CZ6</f>
        <v>0</v>
      </c>
      <c r="DF19" s="7">
        <f>VC!DA6</f>
        <v>0</v>
      </c>
      <c r="DG19" s="7">
        <f>VC!DB6</f>
        <v>0</v>
      </c>
      <c r="DH19" s="7">
        <f>VC!DC6</f>
        <v>0</v>
      </c>
      <c r="DI19" s="7">
        <f>VC!DD6</f>
        <v>0</v>
      </c>
      <c r="DJ19" s="7" t="str">
        <f>VC!DE6</f>
        <v>G957D</v>
      </c>
      <c r="DK19" s="7">
        <f>VC!DF6</f>
        <v>0</v>
      </c>
      <c r="DL19" s="7">
        <f>VC!DG6</f>
        <v>0</v>
      </c>
      <c r="DM19" s="7">
        <f>VC!DH6</f>
        <v>0</v>
      </c>
      <c r="DN19" s="7">
        <f>VC!DI6</f>
        <v>0</v>
      </c>
      <c r="DO19" s="7">
        <f>VC!DJ6</f>
        <v>0</v>
      </c>
      <c r="DP19" s="7">
        <f>VC!DK6</f>
        <v>0</v>
      </c>
      <c r="DQ19" s="7">
        <f>VC!DL6</f>
        <v>0</v>
      </c>
      <c r="DR19" s="7">
        <f>VC!DM6</f>
        <v>0</v>
      </c>
      <c r="DS19" s="7">
        <f>VC!DN6</f>
        <v>0</v>
      </c>
      <c r="DT19" s="7">
        <f>VC!DO6</f>
        <v>0</v>
      </c>
      <c r="DU19" s="7">
        <f>VC!DP6</f>
        <v>0</v>
      </c>
      <c r="DV19" s="7">
        <f>VC!DQ6</f>
        <v>0</v>
      </c>
      <c r="DW19" s="7">
        <f>VC!DR6</f>
        <v>0</v>
      </c>
      <c r="DX19" s="7">
        <f>VC!DS6</f>
        <v>0</v>
      </c>
      <c r="DY19" s="7">
        <f>VC!DT6</f>
        <v>0</v>
      </c>
      <c r="DZ19" s="7">
        <f>VC!DU6</f>
        <v>0</v>
      </c>
      <c r="EA19" s="8" t="str">
        <f>VC!DV6</f>
        <v>nt881InsGG</v>
      </c>
      <c r="EB19" s="7" t="str">
        <f>VC!DW6</f>
        <v>G957D</v>
      </c>
      <c r="EC19" s="7">
        <f>VC!DX6</f>
        <v>0</v>
      </c>
      <c r="ED19" s="7">
        <f>VC!DY6</f>
        <v>0</v>
      </c>
      <c r="EE19" s="7">
        <f>VC!DZ6</f>
        <v>0</v>
      </c>
      <c r="EF19" s="7" t="str">
        <f>VC!EA6</f>
        <v>G957D</v>
      </c>
      <c r="EG19" s="7" t="str">
        <f>VC!EB6</f>
        <v>nt2936∆1</v>
      </c>
      <c r="EH19" s="7">
        <f>VC!EC6</f>
        <v>0</v>
      </c>
      <c r="EI19" s="7">
        <f>VC!ED6</f>
        <v>0</v>
      </c>
      <c r="EJ19" s="7">
        <f>VC!EE6</f>
        <v>0</v>
      </c>
      <c r="EK19" s="7">
        <f>VC!EF6</f>
        <v>0</v>
      </c>
      <c r="EL19" s="7">
        <f>VC!EG6</f>
        <v>0</v>
      </c>
      <c r="EM19" s="7">
        <f>VC!EH6</f>
        <v>0</v>
      </c>
      <c r="EN19" s="7">
        <f>VC!EI6</f>
        <v>0</v>
      </c>
      <c r="EO19" s="7">
        <f>VC!EJ6</f>
        <v>0</v>
      </c>
      <c r="EP19" s="7">
        <f>VC!EK6</f>
        <v>0</v>
      </c>
      <c r="EQ19" s="7">
        <f>VC!EL6</f>
        <v>0</v>
      </c>
      <c r="ER19" s="7">
        <f>VC!EM6</f>
        <v>0</v>
      </c>
      <c r="ES19" s="7">
        <f>VC!EN6</f>
        <v>0</v>
      </c>
      <c r="ET19" s="7" t="str">
        <f>VC!EO6</f>
        <v>nt3018∆5</v>
      </c>
      <c r="EU19" s="7">
        <f>VC!EP6</f>
        <v>0</v>
      </c>
      <c r="EV19" s="7">
        <f>VC!EQ6</f>
        <v>0</v>
      </c>
      <c r="EW19" s="7" t="str">
        <f>VC!ER6</f>
        <v>A707S; I963V</v>
      </c>
      <c r="EX19" s="7">
        <f>VC!ES6</f>
        <v>0</v>
      </c>
      <c r="EY19" s="7" t="str">
        <f>VC!ET6</f>
        <v>T98A</v>
      </c>
      <c r="EZ19" s="7">
        <f>VC!EU6</f>
        <v>0</v>
      </c>
      <c r="FA19" s="7" t="str">
        <f>VC!EV6</f>
        <v>G957D</v>
      </c>
      <c r="FB19" s="7" t="str">
        <f>VC!EW6</f>
        <v>G860D</v>
      </c>
      <c r="FC19" s="7">
        <f>VC!EX6</f>
        <v>0</v>
      </c>
      <c r="FD19" s="7" t="str">
        <f>VC!EY6</f>
        <v>G957D</v>
      </c>
      <c r="FE19" s="7" t="str">
        <f>VC!EZ6</f>
        <v>G957D</v>
      </c>
      <c r="FF19" s="7">
        <f>VC!FA6</f>
        <v>0</v>
      </c>
      <c r="FG19" s="7">
        <f>VC!FB6</f>
        <v>0</v>
      </c>
      <c r="FH19" s="7">
        <f>VC!FC6</f>
        <v>0</v>
      </c>
      <c r="FI19" s="7">
        <f>VC!FD6</f>
        <v>0</v>
      </c>
      <c r="FJ19" s="7">
        <f>VC!FE6</f>
        <v>0</v>
      </c>
      <c r="FK19" s="7">
        <f>VC!FF6</f>
        <v>0</v>
      </c>
      <c r="FL19" s="7" t="str">
        <f>VC!FG6</f>
        <v>G957D</v>
      </c>
      <c r="FM19" s="7">
        <f>VC!FH6</f>
        <v>0</v>
      </c>
      <c r="FN19" s="7" t="str">
        <f>VC!FI6</f>
        <v>G957D</v>
      </c>
      <c r="FO19" s="7">
        <f>VC!FJ6</f>
        <v>0</v>
      </c>
      <c r="FP19" s="7">
        <f>VC!FK6</f>
        <v>0</v>
      </c>
      <c r="FQ19" s="7">
        <f>VC!FL6</f>
        <v>0</v>
      </c>
      <c r="FR19" s="7">
        <f>VC!FM6</f>
        <v>0</v>
      </c>
      <c r="FS19" s="7">
        <f>VC!FN6</f>
        <v>0</v>
      </c>
      <c r="FT19" s="7">
        <f>VC!FO6</f>
        <v>0</v>
      </c>
      <c r="FU19" s="7">
        <f>VC!FP6</f>
        <v>0</v>
      </c>
      <c r="FV19" s="7">
        <f>VC!FQ6</f>
        <v>0</v>
      </c>
      <c r="FW19" s="7">
        <f>VC!FR6</f>
        <v>0</v>
      </c>
      <c r="FX19" s="7">
        <f>VC!FS6</f>
        <v>0</v>
      </c>
      <c r="FY19" s="7">
        <f>VC!FT6</f>
        <v>0</v>
      </c>
      <c r="FZ19" s="7">
        <f>VC!FU6</f>
        <v>0</v>
      </c>
      <c r="GA19" s="7">
        <f>VC!FV6</f>
        <v>0</v>
      </c>
      <c r="GB19" s="7">
        <f>VC!FW6</f>
        <v>0</v>
      </c>
      <c r="GC19" s="7">
        <f>VC!FX6</f>
        <v>0</v>
      </c>
      <c r="GD19" s="7">
        <f>VC!FY6</f>
        <v>0</v>
      </c>
      <c r="GE19" s="7">
        <f>VC!FZ6</f>
        <v>0</v>
      </c>
      <c r="GF19" s="7">
        <f>VC!GA6</f>
        <v>0</v>
      </c>
      <c r="GG19" s="7">
        <f>VC!GB6</f>
        <v>0</v>
      </c>
      <c r="GH19" s="7">
        <f>VC!GC6</f>
        <v>0</v>
      </c>
      <c r="GI19" s="7">
        <f>VC!GD6</f>
        <v>0</v>
      </c>
      <c r="GJ19" s="7">
        <f>VC!GE6</f>
        <v>0</v>
      </c>
      <c r="GK19" s="7">
        <f>VC!GF6</f>
        <v>0</v>
      </c>
      <c r="GL19" s="7">
        <f>VC!GG6</f>
        <v>0</v>
      </c>
      <c r="GM19" s="7">
        <f>VC!GH6</f>
        <v>0</v>
      </c>
      <c r="GN19" s="7">
        <f>VC!GI6</f>
        <v>0</v>
      </c>
      <c r="GO19" s="7">
        <f>VC!GJ6</f>
        <v>0</v>
      </c>
      <c r="GP19" s="7">
        <f>VC!GK6</f>
        <v>0</v>
      </c>
      <c r="GQ19" s="7" t="str">
        <f>VC!GL6</f>
        <v>A539T</v>
      </c>
      <c r="GR19" s="7">
        <f>VC!GM6</f>
        <v>0</v>
      </c>
      <c r="GS19" s="7" t="str">
        <f>VC!GN6</f>
        <v>G957D</v>
      </c>
      <c r="GT19" s="7">
        <f>VC!GO6</f>
        <v>0</v>
      </c>
      <c r="GU19" s="7">
        <f>VC!GP6</f>
        <v>0</v>
      </c>
      <c r="GV19" s="7">
        <f>VC!GQ6</f>
        <v>0</v>
      </c>
      <c r="GW19" s="7">
        <f>VC!GR6</f>
        <v>0</v>
      </c>
      <c r="GX19" s="7" t="str">
        <f>VC!GS6</f>
        <v>P190L</v>
      </c>
      <c r="GY19" s="7">
        <f>VC!GT6</f>
        <v>0</v>
      </c>
      <c r="GZ19" s="7">
        <f>VC!GU6</f>
        <v>0</v>
      </c>
      <c r="HA19" s="7">
        <f>VC!GV6</f>
        <v>0</v>
      </c>
      <c r="HB19" s="7">
        <f>VC!GW6</f>
        <v>0</v>
      </c>
      <c r="HC19" s="7">
        <f>VC!GX6</f>
        <v>0</v>
      </c>
    </row>
    <row r="20" spans="1:211" s="7" customFormat="1" x14ac:dyDescent="0.25">
      <c r="A20" s="44" t="s">
        <v>9</v>
      </c>
      <c r="B20" s="45" t="s">
        <v>10</v>
      </c>
      <c r="C20" s="46" t="s">
        <v>3</v>
      </c>
      <c r="D20" s="45" t="s">
        <v>77</v>
      </c>
      <c r="E20" s="45">
        <v>-0.25</v>
      </c>
      <c r="F20" s="45" t="s">
        <v>74</v>
      </c>
      <c r="G20" s="47" t="s">
        <v>137</v>
      </c>
      <c r="H20" s="7">
        <f>VC!C6</f>
        <v>0</v>
      </c>
      <c r="I20" s="7">
        <f>VC!D6</f>
        <v>0</v>
      </c>
      <c r="J20" s="7">
        <f>VC!E6</f>
        <v>0</v>
      </c>
      <c r="K20" s="7">
        <f>VC!F6</f>
        <v>0</v>
      </c>
      <c r="L20" s="7">
        <f>VC!G6</f>
        <v>0</v>
      </c>
      <c r="M20" s="7">
        <f>VC!H6</f>
        <v>0</v>
      </c>
      <c r="N20" s="7" t="str">
        <f>VC!I6</f>
        <v>G957D</v>
      </c>
      <c r="O20" s="7">
        <f>VC!J6</f>
        <v>0</v>
      </c>
      <c r="P20" s="7">
        <f>VC!K6</f>
        <v>0</v>
      </c>
      <c r="Q20" s="7">
        <f>VC!L6</f>
        <v>0</v>
      </c>
      <c r="R20" s="7">
        <f>VC!M6</f>
        <v>0</v>
      </c>
      <c r="S20" s="7">
        <f>VC!N6</f>
        <v>0</v>
      </c>
      <c r="T20" s="7">
        <f>VC!O6</f>
        <v>0</v>
      </c>
      <c r="U20" s="7">
        <f>VC!P6</f>
        <v>0</v>
      </c>
      <c r="V20" s="7">
        <f>VC!Q6</f>
        <v>0</v>
      </c>
      <c r="W20" s="7">
        <f>VC!R6</f>
        <v>0</v>
      </c>
      <c r="X20" s="7">
        <f>VC!S6</f>
        <v>0</v>
      </c>
      <c r="Y20" s="7">
        <f>VC!T6</f>
        <v>0</v>
      </c>
      <c r="Z20" s="7">
        <f>VC!U6</f>
        <v>0</v>
      </c>
      <c r="AA20" s="7" t="str">
        <f>VC!V6</f>
        <v>G957D</v>
      </c>
      <c r="AB20" s="7">
        <f>VC!W6</f>
        <v>0</v>
      </c>
      <c r="AC20" s="7">
        <f>VC!X6</f>
        <v>0</v>
      </c>
      <c r="AD20" s="7">
        <f>VC!Y6</f>
        <v>0</v>
      </c>
      <c r="AE20" s="7">
        <f>VC!Z6</f>
        <v>0</v>
      </c>
      <c r="AF20" s="7">
        <f>VC!AA6</f>
        <v>0</v>
      </c>
      <c r="AG20" s="7">
        <f>VC!AB6</f>
        <v>0</v>
      </c>
      <c r="AH20" s="7">
        <f>VC!AC6</f>
        <v>0</v>
      </c>
      <c r="AI20" s="7">
        <f>VC!AD6</f>
        <v>0</v>
      </c>
      <c r="AJ20" s="7">
        <f>VC!AE6</f>
        <v>0</v>
      </c>
      <c r="AK20" s="7">
        <f>VC!AF6</f>
        <v>0</v>
      </c>
      <c r="AL20" s="7">
        <f>VC!AG6</f>
        <v>0</v>
      </c>
      <c r="AM20" s="7" t="str">
        <f>VC!AH6</f>
        <v>G957D; V1042A</v>
      </c>
      <c r="AN20" s="7">
        <f>VC!AI6</f>
        <v>0</v>
      </c>
      <c r="AO20" s="7">
        <f>VC!AJ6</f>
        <v>0</v>
      </c>
      <c r="AP20" s="7">
        <f>VC!AK6</f>
        <v>0</v>
      </c>
      <c r="AQ20" s="7">
        <f>VC!AL6</f>
        <v>0</v>
      </c>
      <c r="AR20" s="7">
        <f>VC!AM6</f>
        <v>0</v>
      </c>
      <c r="AS20" s="7">
        <f>VC!AN6</f>
        <v>0</v>
      </c>
      <c r="AT20" s="7">
        <f>VC!AO6</f>
        <v>0</v>
      </c>
      <c r="AU20" s="7">
        <f>VC!AP6</f>
        <v>0</v>
      </c>
      <c r="AV20" s="7">
        <f>VC!AQ6</f>
        <v>0</v>
      </c>
      <c r="AW20" s="7">
        <f>VC!AR6</f>
        <v>0</v>
      </c>
      <c r="AX20" s="7">
        <f>VC!AS6</f>
        <v>0</v>
      </c>
      <c r="AY20" s="7">
        <f>VC!AT6</f>
        <v>0</v>
      </c>
      <c r="AZ20" s="7">
        <f>VC!AU6</f>
        <v>0</v>
      </c>
      <c r="BA20" s="7">
        <f>VC!AV6</f>
        <v>0</v>
      </c>
      <c r="BB20" s="7">
        <f>VC!AW6</f>
        <v>0</v>
      </c>
      <c r="BC20" s="7">
        <f>VC!AX6</f>
        <v>0</v>
      </c>
      <c r="BD20" s="7">
        <f>VC!AY6</f>
        <v>0</v>
      </c>
      <c r="BE20" s="7">
        <f>VC!AZ6</f>
        <v>0</v>
      </c>
      <c r="BF20" s="7">
        <f>VC!BA6</f>
        <v>0</v>
      </c>
      <c r="BG20" s="7" t="str">
        <f>VC!BB6</f>
        <v>G957D</v>
      </c>
      <c r="BH20" s="7">
        <f>VC!BC6</f>
        <v>0</v>
      </c>
      <c r="BI20" s="7">
        <f>VC!BD6</f>
        <v>0</v>
      </c>
      <c r="BJ20" s="7">
        <f>VC!BE6</f>
        <v>0</v>
      </c>
      <c r="BK20" s="7">
        <f>VC!BF6</f>
        <v>0</v>
      </c>
      <c r="BL20" s="7">
        <f>VC!BG6</f>
        <v>0</v>
      </c>
      <c r="BM20" s="7">
        <f>VC!BH6</f>
        <v>0</v>
      </c>
      <c r="BN20" s="7">
        <f>VC!BI6</f>
        <v>0</v>
      </c>
      <c r="BO20" s="7" t="str">
        <f>VC!BJ6</f>
        <v>E422X</v>
      </c>
      <c r="BP20" s="7">
        <f>VC!BK6</f>
        <v>0</v>
      </c>
      <c r="BQ20" s="7" t="str">
        <f>VC!BL6</f>
        <v>Q319X</v>
      </c>
      <c r="BR20" s="7">
        <f>VC!BM6</f>
        <v>0</v>
      </c>
      <c r="BS20" s="7">
        <f>VC!BN6</f>
        <v>0</v>
      </c>
      <c r="BT20" s="7">
        <f>VC!BO6</f>
        <v>0</v>
      </c>
      <c r="BU20" s="7">
        <f>VC!BP6</f>
        <v>0</v>
      </c>
      <c r="BV20" s="7">
        <f>VC!BQ6</f>
        <v>0</v>
      </c>
      <c r="BW20" s="7">
        <f>VC!BR6</f>
        <v>0</v>
      </c>
      <c r="BX20" s="7">
        <f>VC!BS6</f>
        <v>0</v>
      </c>
      <c r="BY20" s="7">
        <f>VC!BT6</f>
        <v>0</v>
      </c>
      <c r="BZ20" s="7">
        <f>VC!BU6</f>
        <v>0</v>
      </c>
      <c r="CA20" s="7">
        <f>VC!BV6</f>
        <v>0</v>
      </c>
      <c r="CB20" s="7">
        <f>VC!BW6</f>
        <v>0</v>
      </c>
      <c r="CC20" s="7">
        <f>VC!BX6</f>
        <v>0</v>
      </c>
      <c r="CD20" s="7">
        <f>VC!BY6</f>
        <v>0</v>
      </c>
      <c r="CE20" s="7">
        <f>VC!BZ6</f>
        <v>0</v>
      </c>
      <c r="CF20" s="7">
        <f>VC!CA6</f>
        <v>0</v>
      </c>
      <c r="CG20" s="7">
        <f>VC!CB6</f>
        <v>0</v>
      </c>
      <c r="CH20" s="7">
        <f>VC!CC6</f>
        <v>0</v>
      </c>
      <c r="CI20" s="7">
        <f>VC!CD6</f>
        <v>0</v>
      </c>
      <c r="CJ20" s="7">
        <f>VC!CE6</f>
        <v>0</v>
      </c>
      <c r="CK20" s="8" t="str">
        <f>VC!CF6</f>
        <v>nt1135∆1</v>
      </c>
      <c r="CL20" s="7">
        <f>VC!CG6</f>
        <v>0</v>
      </c>
      <c r="CM20" s="7">
        <f>VC!CH6</f>
        <v>0</v>
      </c>
      <c r="CN20" s="7">
        <f>VC!CI6</f>
        <v>0</v>
      </c>
      <c r="CO20" s="7">
        <f>VC!CJ6</f>
        <v>0</v>
      </c>
      <c r="CP20" s="7">
        <f>VC!CK6</f>
        <v>0</v>
      </c>
      <c r="CQ20" s="7" t="str">
        <f>VC!CL6</f>
        <v>A735D</v>
      </c>
      <c r="CR20" s="7">
        <f>VC!CM6</f>
        <v>0</v>
      </c>
      <c r="CS20" s="7">
        <f>VC!CN6</f>
        <v>0</v>
      </c>
      <c r="CT20" s="7">
        <f>VC!CO6</f>
        <v>0</v>
      </c>
      <c r="CU20" s="7">
        <f>VC!CP6</f>
        <v>0</v>
      </c>
      <c r="CV20" s="7">
        <f>VC!CQ6</f>
        <v>0</v>
      </c>
      <c r="CW20" s="7">
        <f>VC!CR6</f>
        <v>0</v>
      </c>
      <c r="CX20" s="7">
        <f>VC!CS6</f>
        <v>0</v>
      </c>
      <c r="CY20" s="7">
        <f>VC!CT6</f>
        <v>0</v>
      </c>
      <c r="CZ20" s="7" t="str">
        <f>VC!CU6</f>
        <v>G957D</v>
      </c>
      <c r="DA20" s="7">
        <f>VC!CV6</f>
        <v>0</v>
      </c>
      <c r="DB20" s="7">
        <f>VC!CW6</f>
        <v>0</v>
      </c>
      <c r="DC20" s="7">
        <f>VC!CX6</f>
        <v>0</v>
      </c>
      <c r="DD20" s="7">
        <f>VC!CY6</f>
        <v>0</v>
      </c>
      <c r="DE20" s="7">
        <f>VC!CZ6</f>
        <v>0</v>
      </c>
      <c r="DF20" s="7">
        <f>VC!DA6</f>
        <v>0</v>
      </c>
      <c r="DG20" s="7">
        <f>VC!DB6</f>
        <v>0</v>
      </c>
      <c r="DH20" s="7">
        <f>VC!DC6</f>
        <v>0</v>
      </c>
      <c r="DI20" s="7">
        <f>VC!DD6</f>
        <v>0</v>
      </c>
      <c r="DJ20" s="7" t="str">
        <f>VC!DE6</f>
        <v>G957D</v>
      </c>
      <c r="DK20" s="7">
        <f>VC!DF6</f>
        <v>0</v>
      </c>
      <c r="DL20" s="7">
        <f>VC!DG6</f>
        <v>0</v>
      </c>
      <c r="DM20" s="7">
        <f>VC!DH6</f>
        <v>0</v>
      </c>
      <c r="DN20" s="7">
        <f>VC!DI6</f>
        <v>0</v>
      </c>
      <c r="DO20" s="7">
        <f>VC!DJ6</f>
        <v>0</v>
      </c>
      <c r="DP20" s="7">
        <f>VC!DK6</f>
        <v>0</v>
      </c>
      <c r="DQ20" s="7">
        <f>VC!DL6</f>
        <v>0</v>
      </c>
      <c r="DR20" s="7">
        <f>VC!DM6</f>
        <v>0</v>
      </c>
      <c r="DS20" s="7">
        <f>VC!DN6</f>
        <v>0</v>
      </c>
      <c r="DT20" s="7">
        <f>VC!DO6</f>
        <v>0</v>
      </c>
      <c r="DU20" s="7">
        <f>VC!DP6</f>
        <v>0</v>
      </c>
      <c r="DV20" s="7">
        <f>VC!DQ6</f>
        <v>0</v>
      </c>
      <c r="DW20" s="7">
        <f>VC!DR6</f>
        <v>0</v>
      </c>
      <c r="DX20" s="7">
        <f>VC!DS6</f>
        <v>0</v>
      </c>
      <c r="DY20" s="7">
        <f>VC!DT6</f>
        <v>0</v>
      </c>
      <c r="DZ20" s="7">
        <f>VC!DU6</f>
        <v>0</v>
      </c>
      <c r="EA20" s="8" t="str">
        <f>VC!DV6</f>
        <v>nt881InsGG</v>
      </c>
      <c r="EB20" s="7" t="str">
        <f>VC!DW6</f>
        <v>G957D</v>
      </c>
      <c r="EC20" s="7">
        <f>VC!DX6</f>
        <v>0</v>
      </c>
      <c r="ED20" s="7">
        <f>VC!DY6</f>
        <v>0</v>
      </c>
      <c r="EE20" s="7">
        <f>VC!DZ6</f>
        <v>0</v>
      </c>
      <c r="EF20" s="7" t="str">
        <f>VC!EA6</f>
        <v>G957D</v>
      </c>
      <c r="EG20" s="7" t="str">
        <f>VC!EB6</f>
        <v>nt2936∆1</v>
      </c>
      <c r="EH20" s="7">
        <f>VC!EC6</f>
        <v>0</v>
      </c>
      <c r="EI20" s="7">
        <f>VC!ED6</f>
        <v>0</v>
      </c>
      <c r="EJ20" s="7">
        <f>VC!EE6</f>
        <v>0</v>
      </c>
      <c r="EK20" s="7">
        <f>VC!EF6</f>
        <v>0</v>
      </c>
      <c r="EL20" s="7">
        <f>VC!EG6</f>
        <v>0</v>
      </c>
      <c r="EM20" s="7">
        <f>VC!EH6</f>
        <v>0</v>
      </c>
      <c r="EN20" s="7">
        <f>VC!EI6</f>
        <v>0</v>
      </c>
      <c r="EO20" s="7">
        <f>VC!EJ6</f>
        <v>0</v>
      </c>
      <c r="EP20" s="7">
        <f>VC!EK6</f>
        <v>0</v>
      </c>
      <c r="EQ20" s="7">
        <f>VC!EL6</f>
        <v>0</v>
      </c>
      <c r="ER20" s="7">
        <f>VC!EM6</f>
        <v>0</v>
      </c>
      <c r="ES20" s="7">
        <f>VC!EN6</f>
        <v>0</v>
      </c>
      <c r="ET20" s="7" t="str">
        <f>VC!EO6</f>
        <v>nt3018∆5</v>
      </c>
      <c r="EU20" s="7">
        <f>VC!EP6</f>
        <v>0</v>
      </c>
      <c r="EV20" s="7">
        <f>VC!EQ6</f>
        <v>0</v>
      </c>
      <c r="EW20" s="7" t="str">
        <f>VC!ER6</f>
        <v>A707S; I963V</v>
      </c>
      <c r="EX20" s="7">
        <f>VC!ES6</f>
        <v>0</v>
      </c>
      <c r="EY20" s="7" t="str">
        <f>VC!ET6</f>
        <v>T98A</v>
      </c>
      <c r="EZ20" s="7">
        <f>VC!EU6</f>
        <v>0</v>
      </c>
      <c r="FA20" s="7" t="str">
        <f>VC!EV6</f>
        <v>G957D</v>
      </c>
      <c r="FB20" s="7" t="str">
        <f>VC!EW6</f>
        <v>G860D</v>
      </c>
      <c r="FC20" s="7">
        <f>VC!EX6</f>
        <v>0</v>
      </c>
      <c r="FD20" s="7" t="str">
        <f>VC!EY6</f>
        <v>G957D</v>
      </c>
      <c r="FE20" s="7" t="str">
        <f>VC!EZ6</f>
        <v>G957D</v>
      </c>
      <c r="FF20" s="7">
        <f>VC!FA6</f>
        <v>0</v>
      </c>
      <c r="FG20" s="7">
        <f>VC!FB6</f>
        <v>0</v>
      </c>
      <c r="FH20" s="7">
        <f>VC!FC6</f>
        <v>0</v>
      </c>
      <c r="FI20" s="7">
        <f>VC!FD6</f>
        <v>0</v>
      </c>
      <c r="FJ20" s="7">
        <f>VC!FE6</f>
        <v>0</v>
      </c>
      <c r="FK20" s="7">
        <f>VC!FF6</f>
        <v>0</v>
      </c>
      <c r="FL20" s="7" t="str">
        <f>VC!FG6</f>
        <v>G957D</v>
      </c>
      <c r="FM20" s="7">
        <f>VC!FH6</f>
        <v>0</v>
      </c>
      <c r="FN20" s="7" t="str">
        <f>VC!FI6</f>
        <v>G957D</v>
      </c>
      <c r="FO20" s="7">
        <f>VC!FJ6</f>
        <v>0</v>
      </c>
      <c r="FP20" s="7">
        <f>VC!FK6</f>
        <v>0</v>
      </c>
      <c r="FQ20" s="7">
        <f>VC!FL6</f>
        <v>0</v>
      </c>
      <c r="FR20" s="7">
        <f>VC!FM6</f>
        <v>0</v>
      </c>
      <c r="FS20" s="7">
        <f>VC!FN6</f>
        <v>0</v>
      </c>
      <c r="FT20" s="7">
        <f>VC!FO6</f>
        <v>0</v>
      </c>
      <c r="FU20" s="7">
        <f>VC!FP6</f>
        <v>0</v>
      </c>
      <c r="FV20" s="7">
        <f>VC!FQ6</f>
        <v>0</v>
      </c>
      <c r="FW20" s="7">
        <f>VC!FR6</f>
        <v>0</v>
      </c>
      <c r="FX20" s="7">
        <f>VC!FS6</f>
        <v>0</v>
      </c>
      <c r="FY20" s="7">
        <f>VC!FT6</f>
        <v>0</v>
      </c>
      <c r="FZ20" s="7">
        <f>VC!FU6</f>
        <v>0</v>
      </c>
      <c r="GA20" s="7">
        <f>VC!FV6</f>
        <v>0</v>
      </c>
      <c r="GB20" s="7">
        <f>VC!FW6</f>
        <v>0</v>
      </c>
      <c r="GC20" s="7">
        <f>VC!FX6</f>
        <v>0</v>
      </c>
      <c r="GD20" s="7">
        <f>VC!FY6</f>
        <v>0</v>
      </c>
      <c r="GE20" s="7">
        <f>VC!FZ6</f>
        <v>0</v>
      </c>
      <c r="GF20" s="7">
        <f>VC!GA6</f>
        <v>0</v>
      </c>
      <c r="GG20" s="7">
        <f>VC!GB6</f>
        <v>0</v>
      </c>
      <c r="GH20" s="7">
        <f>VC!GC6</f>
        <v>0</v>
      </c>
      <c r="GI20" s="7">
        <f>VC!GD6</f>
        <v>0</v>
      </c>
      <c r="GJ20" s="7">
        <f>VC!GE6</f>
        <v>0</v>
      </c>
      <c r="GK20" s="7">
        <f>VC!GF6</f>
        <v>0</v>
      </c>
      <c r="GL20" s="7">
        <f>VC!GG6</f>
        <v>0</v>
      </c>
      <c r="GM20" s="7">
        <f>VC!GH6</f>
        <v>0</v>
      </c>
      <c r="GN20" s="7">
        <f>VC!GI6</f>
        <v>0</v>
      </c>
      <c r="GO20" s="7">
        <f>VC!GJ6</f>
        <v>0</v>
      </c>
      <c r="GP20" s="7">
        <f>VC!GK6</f>
        <v>0</v>
      </c>
      <c r="GQ20" s="7" t="str">
        <f>VC!GL6</f>
        <v>A539T</v>
      </c>
      <c r="GR20" s="7">
        <f>VC!GM6</f>
        <v>0</v>
      </c>
      <c r="GS20" s="7" t="str">
        <f>VC!GN6</f>
        <v>G957D</v>
      </c>
      <c r="GT20" s="7">
        <f>VC!GO6</f>
        <v>0</v>
      </c>
      <c r="GU20" s="7">
        <f>VC!GP6</f>
        <v>0</v>
      </c>
      <c r="GV20" s="7">
        <f>VC!GQ6</f>
        <v>0</v>
      </c>
      <c r="GW20" s="7">
        <f>VC!GR6</f>
        <v>0</v>
      </c>
      <c r="GX20" s="7" t="str">
        <f>VC!GS6</f>
        <v>P190L</v>
      </c>
      <c r="GY20" s="7">
        <f>VC!GT6</f>
        <v>0</v>
      </c>
      <c r="GZ20" s="7">
        <f>VC!GU6</f>
        <v>0</v>
      </c>
      <c r="HA20" s="7">
        <f>VC!GV6</f>
        <v>0</v>
      </c>
      <c r="HB20" s="7">
        <f>VC!GW6</f>
        <v>0</v>
      </c>
      <c r="HC20" s="7">
        <f>VC!GX6</f>
        <v>0</v>
      </c>
    </row>
    <row r="21" spans="1:211" s="1" customFormat="1" x14ac:dyDescent="0.25">
      <c r="A21" s="73" t="s">
        <v>11</v>
      </c>
      <c r="B21" s="46" t="s">
        <v>12</v>
      </c>
      <c r="C21" s="46" t="s">
        <v>0</v>
      </c>
      <c r="D21" s="46" t="s">
        <v>77</v>
      </c>
      <c r="E21" s="45">
        <v>-0.5</v>
      </c>
      <c r="F21" s="45" t="s">
        <v>74</v>
      </c>
      <c r="G21" s="47" t="s">
        <v>137</v>
      </c>
      <c r="H21" s="1">
        <f>VC!C7</f>
        <v>0</v>
      </c>
      <c r="I21" s="1">
        <f>VC!D7</f>
        <v>0</v>
      </c>
      <c r="J21" s="1">
        <f>VC!E7</f>
        <v>0</v>
      </c>
      <c r="K21" s="1">
        <f>VC!F7</f>
        <v>0</v>
      </c>
      <c r="L21" s="1">
        <f>VC!G7</f>
        <v>0</v>
      </c>
      <c r="M21" s="1">
        <f>VC!H7</f>
        <v>0</v>
      </c>
      <c r="N21" s="1">
        <f>VC!I7</f>
        <v>0</v>
      </c>
      <c r="O21" s="1">
        <f>VC!J7</f>
        <v>0</v>
      </c>
      <c r="P21" s="1">
        <f>VC!K7</f>
        <v>0</v>
      </c>
      <c r="Q21" s="1">
        <f>VC!L7</f>
        <v>0</v>
      </c>
      <c r="R21" s="1">
        <f>VC!M7</f>
        <v>0</v>
      </c>
      <c r="S21" s="1">
        <f>VC!N7</f>
        <v>0</v>
      </c>
      <c r="T21" s="1">
        <f>VC!O7</f>
        <v>0</v>
      </c>
      <c r="U21" s="1">
        <f>VC!P7</f>
        <v>0</v>
      </c>
      <c r="V21" s="1">
        <f>VC!Q7</f>
        <v>0</v>
      </c>
      <c r="W21" s="1">
        <f>VC!R7</f>
        <v>0</v>
      </c>
      <c r="X21" s="1">
        <f>VC!S7</f>
        <v>0</v>
      </c>
      <c r="Y21" s="1">
        <f>VC!T7</f>
        <v>0</v>
      </c>
      <c r="Z21" s="1">
        <f>VC!U7</f>
        <v>0</v>
      </c>
      <c r="AA21" s="1">
        <f>VC!V7</f>
        <v>0</v>
      </c>
      <c r="AB21" s="1">
        <f>VC!W7</f>
        <v>0</v>
      </c>
      <c r="AC21" s="1">
        <f>VC!X7</f>
        <v>0</v>
      </c>
      <c r="AD21" s="1">
        <f>VC!Y7</f>
        <v>0</v>
      </c>
      <c r="AE21" s="1">
        <f>VC!Z7</f>
        <v>0</v>
      </c>
      <c r="AF21" s="1">
        <f>VC!AA7</f>
        <v>0</v>
      </c>
      <c r="AG21" s="1">
        <f>VC!AB7</f>
        <v>0</v>
      </c>
      <c r="AH21" s="1">
        <f>VC!AC7</f>
        <v>0</v>
      </c>
      <c r="AI21" s="1">
        <f>VC!AD7</f>
        <v>0</v>
      </c>
      <c r="AJ21" s="1">
        <f>VC!AE7</f>
        <v>0</v>
      </c>
      <c r="AK21" s="1">
        <f>VC!AF7</f>
        <v>0</v>
      </c>
      <c r="AL21" s="1">
        <f>VC!AG7</f>
        <v>0</v>
      </c>
      <c r="AM21" s="1">
        <f>VC!AH7</f>
        <v>0</v>
      </c>
      <c r="AN21" s="1">
        <f>VC!AI7</f>
        <v>0</v>
      </c>
      <c r="AO21" s="1">
        <f>VC!AJ7</f>
        <v>0</v>
      </c>
      <c r="AP21" s="1">
        <f>VC!AK7</f>
        <v>0</v>
      </c>
      <c r="AQ21" s="1">
        <f>VC!AL7</f>
        <v>0</v>
      </c>
      <c r="AR21" s="1">
        <f>VC!AM7</f>
        <v>0</v>
      </c>
      <c r="AS21" s="1">
        <f>VC!AN7</f>
        <v>0</v>
      </c>
      <c r="AT21" s="1">
        <f>VC!AO7</f>
        <v>0</v>
      </c>
      <c r="AU21" s="1">
        <f>VC!AP7</f>
        <v>0</v>
      </c>
      <c r="AV21" s="1">
        <f>VC!AQ7</f>
        <v>0</v>
      </c>
      <c r="AW21" s="1">
        <f>VC!AR7</f>
        <v>0</v>
      </c>
      <c r="AX21" s="1">
        <f>VC!AS7</f>
        <v>0</v>
      </c>
      <c r="AY21" s="1">
        <f>VC!AT7</f>
        <v>0</v>
      </c>
      <c r="AZ21" s="1">
        <f>VC!AU7</f>
        <v>0</v>
      </c>
      <c r="BA21" s="1">
        <f>VC!AV7</f>
        <v>0</v>
      </c>
      <c r="BB21" s="1">
        <f>VC!AW7</f>
        <v>0</v>
      </c>
      <c r="BC21" s="1">
        <f>VC!AX7</f>
        <v>0</v>
      </c>
      <c r="BD21" s="1">
        <f>VC!AY7</f>
        <v>0</v>
      </c>
      <c r="BE21" s="1">
        <f>VC!AZ7</f>
        <v>0</v>
      </c>
      <c r="BF21" s="1">
        <f>VC!BA7</f>
        <v>0</v>
      </c>
      <c r="BG21" s="1">
        <f>VC!BB7</f>
        <v>0</v>
      </c>
      <c r="BH21" s="1">
        <f>VC!BC7</f>
        <v>0</v>
      </c>
      <c r="BI21" s="1">
        <f>VC!BD7</f>
        <v>0</v>
      </c>
      <c r="BJ21" s="1">
        <f>VC!BE7</f>
        <v>0</v>
      </c>
      <c r="BK21" s="1">
        <f>VC!BF7</f>
        <v>0</v>
      </c>
      <c r="BL21" s="1">
        <f>VC!BG7</f>
        <v>0</v>
      </c>
      <c r="BM21" s="1">
        <f>VC!BH7</f>
        <v>0</v>
      </c>
      <c r="BN21" s="1" t="str">
        <f>VC!BI7</f>
        <v>nt1451InsC</v>
      </c>
      <c r="BO21" s="1">
        <f>VC!BJ7</f>
        <v>0</v>
      </c>
      <c r="BP21" s="1">
        <f>VC!BK7</f>
        <v>0</v>
      </c>
      <c r="BQ21" s="1">
        <f>VC!BL7</f>
        <v>0</v>
      </c>
      <c r="BR21" s="1">
        <f>VC!BM7</f>
        <v>0</v>
      </c>
      <c r="BS21" s="1">
        <f>VC!BN7</f>
        <v>0</v>
      </c>
      <c r="BT21" s="1">
        <f>VC!BO7</f>
        <v>0</v>
      </c>
      <c r="BU21" s="1">
        <f>VC!BP7</f>
        <v>0</v>
      </c>
      <c r="BV21" s="1">
        <f>VC!BQ7</f>
        <v>0</v>
      </c>
      <c r="BW21" s="1">
        <f>VC!BR7</f>
        <v>0</v>
      </c>
      <c r="BX21" s="1">
        <f>VC!BS7</f>
        <v>0</v>
      </c>
      <c r="BY21" s="1">
        <f>VC!BT7</f>
        <v>0</v>
      </c>
      <c r="BZ21" s="1">
        <f>VC!BU7</f>
        <v>0</v>
      </c>
      <c r="CA21" s="1">
        <f>VC!BV7</f>
        <v>0</v>
      </c>
      <c r="CB21" s="1">
        <f>VC!BW7</f>
        <v>0</v>
      </c>
      <c r="CC21" s="1">
        <f>VC!BX7</f>
        <v>0</v>
      </c>
      <c r="CD21" s="1">
        <f>VC!BY7</f>
        <v>0</v>
      </c>
      <c r="CE21" s="1">
        <f>VC!BZ7</f>
        <v>0</v>
      </c>
      <c r="CF21" s="1">
        <f>VC!CA7</f>
        <v>0</v>
      </c>
      <c r="CG21" s="1">
        <f>VC!CB7</f>
        <v>0</v>
      </c>
      <c r="CH21" s="1">
        <f>VC!CC7</f>
        <v>0</v>
      </c>
      <c r="CI21" s="1">
        <f>VC!CD7</f>
        <v>0</v>
      </c>
      <c r="CJ21" s="1">
        <f>VC!CE7</f>
        <v>0</v>
      </c>
      <c r="CK21" s="1">
        <f>VC!CF7</f>
        <v>0</v>
      </c>
      <c r="CL21" s="1">
        <f>VC!CG7</f>
        <v>0</v>
      </c>
      <c r="CM21" s="1">
        <f>VC!CH7</f>
        <v>0</v>
      </c>
      <c r="CN21" s="1">
        <f>VC!CI7</f>
        <v>0</v>
      </c>
      <c r="CO21" s="1">
        <f>VC!CJ7</f>
        <v>0</v>
      </c>
      <c r="CP21" s="1" t="str">
        <f>VC!CK7</f>
        <v>T198P</v>
      </c>
      <c r="CQ21" s="1">
        <f>VC!CL7</f>
        <v>0</v>
      </c>
      <c r="CR21" s="1">
        <f>VC!CM7</f>
        <v>0</v>
      </c>
      <c r="CS21" s="1">
        <f>VC!CN7</f>
        <v>0</v>
      </c>
      <c r="CT21" s="1">
        <f>VC!CO7</f>
        <v>0</v>
      </c>
      <c r="CU21" s="1">
        <f>VC!CP7</f>
        <v>0</v>
      </c>
      <c r="CV21" s="1" t="str">
        <f>VC!CQ7</f>
        <v>T180I</v>
      </c>
      <c r="CW21" s="1">
        <f>VC!CR7</f>
        <v>0</v>
      </c>
      <c r="CX21" s="1">
        <f>VC!CS7</f>
        <v>0</v>
      </c>
      <c r="CY21" s="1">
        <f>VC!CT7</f>
        <v>0</v>
      </c>
      <c r="CZ21" s="1">
        <f>VC!CU7</f>
        <v>0</v>
      </c>
      <c r="DA21" s="1">
        <f>VC!CV7</f>
        <v>0</v>
      </c>
      <c r="DB21" s="1">
        <f>VC!CW7</f>
        <v>0</v>
      </c>
      <c r="DC21" s="1">
        <f>VC!CX7</f>
        <v>0</v>
      </c>
      <c r="DD21" s="1">
        <f>VC!CY7</f>
        <v>0</v>
      </c>
      <c r="DE21" s="1">
        <f>VC!CZ7</f>
        <v>0</v>
      </c>
      <c r="DF21" s="1">
        <f>VC!DA7</f>
        <v>0</v>
      </c>
      <c r="DG21" s="1">
        <f>VC!DB7</f>
        <v>0</v>
      </c>
      <c r="DH21" s="1">
        <f>VC!DC7</f>
        <v>0</v>
      </c>
      <c r="DI21" s="1">
        <f>VC!DD7</f>
        <v>0</v>
      </c>
      <c r="DJ21" s="1">
        <f>VC!DE7</f>
        <v>0</v>
      </c>
      <c r="DK21" s="1">
        <f>VC!DF7</f>
        <v>0</v>
      </c>
      <c r="DL21" s="1">
        <f>VC!DG7</f>
        <v>0</v>
      </c>
      <c r="DM21" s="1">
        <f>VC!DH7</f>
        <v>0</v>
      </c>
      <c r="DN21" s="1">
        <f>VC!DI7</f>
        <v>0</v>
      </c>
      <c r="DO21" s="1">
        <f>VC!DJ7</f>
        <v>0</v>
      </c>
      <c r="DP21" s="1">
        <f>VC!DK7</f>
        <v>0</v>
      </c>
      <c r="DQ21" s="1">
        <f>VC!DL7</f>
        <v>0</v>
      </c>
      <c r="DR21" s="1" t="str">
        <f>VC!DM7</f>
        <v>nt501∆5</v>
      </c>
      <c r="DS21" s="1">
        <f>VC!DN7</f>
        <v>0</v>
      </c>
      <c r="DT21" s="1">
        <f>VC!DO7</f>
        <v>0</v>
      </c>
      <c r="DU21" s="1">
        <f>VC!DP7</f>
        <v>0</v>
      </c>
      <c r="DV21" s="1">
        <f>VC!DQ7</f>
        <v>0</v>
      </c>
      <c r="DW21" s="1">
        <f>VC!DR7</f>
        <v>0</v>
      </c>
      <c r="DX21" s="1">
        <f>VC!DS7</f>
        <v>0</v>
      </c>
      <c r="DY21" s="1">
        <f>VC!DT7</f>
        <v>0</v>
      </c>
      <c r="DZ21" s="1">
        <f>VC!DU7</f>
        <v>0</v>
      </c>
      <c r="EA21" s="1">
        <f>VC!DV7</f>
        <v>0</v>
      </c>
      <c r="EB21" s="1">
        <f>VC!DW7</f>
        <v>0</v>
      </c>
      <c r="EC21" s="1">
        <f>VC!DX7</f>
        <v>0</v>
      </c>
      <c r="ED21" s="1">
        <f>VC!DY7</f>
        <v>0</v>
      </c>
      <c r="EE21" s="1">
        <f>VC!DZ7</f>
        <v>0</v>
      </c>
      <c r="EF21" s="1">
        <f>VC!EA7</f>
        <v>0</v>
      </c>
      <c r="EG21" s="1">
        <f>VC!EB7</f>
        <v>0</v>
      </c>
      <c r="EH21" s="1">
        <f>VC!EC7</f>
        <v>0</v>
      </c>
      <c r="EI21" s="1">
        <f>VC!ED7</f>
        <v>0</v>
      </c>
      <c r="EJ21" s="1">
        <f>VC!EE7</f>
        <v>0</v>
      </c>
      <c r="EK21" s="1">
        <f>VC!EF7</f>
        <v>0</v>
      </c>
      <c r="EL21" s="1">
        <f>VC!EG7</f>
        <v>0</v>
      </c>
      <c r="EM21" s="1">
        <f>VC!EH7</f>
        <v>0</v>
      </c>
      <c r="EN21" s="1">
        <f>VC!EI7</f>
        <v>0</v>
      </c>
      <c r="EO21" s="1">
        <f>VC!EJ7</f>
        <v>0</v>
      </c>
      <c r="EP21" s="1">
        <f>VC!EK7</f>
        <v>0</v>
      </c>
      <c r="EQ21" s="1">
        <f>VC!EL7</f>
        <v>0</v>
      </c>
      <c r="ER21" s="1">
        <f>VC!EM7</f>
        <v>0</v>
      </c>
      <c r="ES21" s="1">
        <f>VC!EN7</f>
        <v>0</v>
      </c>
      <c r="ET21" s="1">
        <f>VC!EO7</f>
        <v>0</v>
      </c>
      <c r="EU21" s="1">
        <f>VC!EP7</f>
        <v>0</v>
      </c>
      <c r="EV21" s="1">
        <f>VC!EQ7</f>
        <v>0</v>
      </c>
      <c r="EW21" s="1" t="str">
        <f>VC!ER7</f>
        <v>Q265E</v>
      </c>
      <c r="EX21" s="1">
        <f>VC!ES7</f>
        <v>0</v>
      </c>
      <c r="EY21" s="1">
        <f>VC!ET7</f>
        <v>0</v>
      </c>
      <c r="EZ21" s="1">
        <f>VC!EU7</f>
        <v>0</v>
      </c>
      <c r="FA21" s="1">
        <f>VC!EV7</f>
        <v>0</v>
      </c>
      <c r="FB21" s="1">
        <f>VC!EW7</f>
        <v>0</v>
      </c>
      <c r="FC21" s="1">
        <f>VC!EX7</f>
        <v>0</v>
      </c>
      <c r="FD21" s="1">
        <f>VC!EY7</f>
        <v>0</v>
      </c>
      <c r="FE21" s="1">
        <f>VC!EZ7</f>
        <v>0</v>
      </c>
      <c r="FF21" s="1">
        <f>VC!FA7</f>
        <v>0</v>
      </c>
      <c r="FG21" s="1">
        <f>VC!FB7</f>
        <v>0</v>
      </c>
      <c r="FH21" s="1">
        <f>VC!FC7</f>
        <v>0</v>
      </c>
      <c r="FI21" s="1">
        <f>VC!FD7</f>
        <v>0</v>
      </c>
      <c r="FJ21" s="1">
        <f>VC!FE7</f>
        <v>0</v>
      </c>
      <c r="FK21" s="1">
        <f>VC!FF7</f>
        <v>0</v>
      </c>
      <c r="FL21" s="1">
        <f>VC!FG7</f>
        <v>0</v>
      </c>
      <c r="FM21" s="1">
        <f>VC!FH7</f>
        <v>0</v>
      </c>
      <c r="FN21" s="1">
        <f>VC!FI7</f>
        <v>0</v>
      </c>
      <c r="FO21" s="1">
        <f>VC!FJ7</f>
        <v>0</v>
      </c>
      <c r="FP21" s="1">
        <f>VC!FK7</f>
        <v>0</v>
      </c>
      <c r="FQ21" s="1">
        <f>VC!FL7</f>
        <v>0</v>
      </c>
      <c r="FR21" s="1">
        <f>VC!FM7</f>
        <v>0</v>
      </c>
      <c r="FS21" s="1">
        <f>VC!FN7</f>
        <v>0</v>
      </c>
      <c r="FT21" s="1">
        <f>VC!FO7</f>
        <v>0</v>
      </c>
      <c r="FU21" s="1">
        <f>VC!FP7</f>
        <v>0</v>
      </c>
      <c r="FV21" s="1">
        <f>VC!FQ7</f>
        <v>0</v>
      </c>
      <c r="FW21" s="1">
        <f>VC!FR7</f>
        <v>0</v>
      </c>
      <c r="FX21" s="1">
        <f>VC!FS7</f>
        <v>0</v>
      </c>
      <c r="FY21" s="1">
        <f>VC!FT7</f>
        <v>0</v>
      </c>
      <c r="FZ21" s="1">
        <f>VC!FU7</f>
        <v>0</v>
      </c>
      <c r="GA21" s="1">
        <f>VC!FV7</f>
        <v>0</v>
      </c>
      <c r="GB21" s="1">
        <f>VC!FW7</f>
        <v>0</v>
      </c>
      <c r="GC21" s="1">
        <f>VC!FX7</f>
        <v>0</v>
      </c>
      <c r="GD21" s="1">
        <f>VC!FY7</f>
        <v>0</v>
      </c>
      <c r="GE21" s="1">
        <f>VC!FZ7</f>
        <v>0</v>
      </c>
      <c r="GF21" s="1">
        <f>VC!GA7</f>
        <v>0</v>
      </c>
      <c r="GG21" s="1">
        <f>VC!GB7</f>
        <v>0</v>
      </c>
      <c r="GH21" s="1">
        <f>VC!GC7</f>
        <v>0</v>
      </c>
      <c r="GI21" s="1">
        <f>VC!GD7</f>
        <v>0</v>
      </c>
      <c r="GJ21" s="1">
        <f>VC!GE7</f>
        <v>0</v>
      </c>
      <c r="GK21" s="1">
        <f>VC!GF7</f>
        <v>0</v>
      </c>
      <c r="GL21" s="1">
        <f>VC!GG7</f>
        <v>0</v>
      </c>
      <c r="GM21" s="1">
        <f>VC!GH7</f>
        <v>0</v>
      </c>
      <c r="GN21" s="1">
        <f>VC!GI7</f>
        <v>0</v>
      </c>
      <c r="GO21" s="1">
        <f>VC!GJ7</f>
        <v>0</v>
      </c>
      <c r="GP21" s="1">
        <f>VC!GK7</f>
        <v>0</v>
      </c>
      <c r="GQ21" s="1">
        <f>VC!GL7</f>
        <v>0</v>
      </c>
      <c r="GR21" s="1">
        <f>VC!GM7</f>
        <v>0</v>
      </c>
      <c r="GS21" s="1">
        <f>VC!GN7</f>
        <v>0</v>
      </c>
      <c r="GT21" s="1">
        <f>VC!GO7</f>
        <v>0</v>
      </c>
      <c r="GU21" s="1">
        <f>VC!GP7</f>
        <v>0</v>
      </c>
      <c r="GV21" s="1">
        <f>VC!GQ7</f>
        <v>0</v>
      </c>
      <c r="GW21" s="1">
        <f>VC!GR7</f>
        <v>0</v>
      </c>
      <c r="GX21" s="1">
        <f>VC!GS7</f>
        <v>0</v>
      </c>
      <c r="GY21" s="1">
        <f>VC!GT7</f>
        <v>0</v>
      </c>
      <c r="GZ21" s="1">
        <f>VC!GU7</f>
        <v>0</v>
      </c>
      <c r="HA21" s="1">
        <f>VC!GV7</f>
        <v>0</v>
      </c>
      <c r="HB21" s="1">
        <f>VC!GW7</f>
        <v>0</v>
      </c>
      <c r="HC21" s="1">
        <f>VC!GX7</f>
        <v>0</v>
      </c>
    </row>
    <row r="22" spans="1:211" s="1" customFormat="1" x14ac:dyDescent="0.25">
      <c r="A22" s="44" t="s">
        <v>11</v>
      </c>
      <c r="B22" s="45" t="s">
        <v>12</v>
      </c>
      <c r="C22" s="46" t="s">
        <v>1</v>
      </c>
      <c r="D22" s="45" t="s">
        <v>77</v>
      </c>
      <c r="E22" s="45">
        <v>-0.5</v>
      </c>
      <c r="F22" s="45" t="s">
        <v>74</v>
      </c>
      <c r="G22" s="47" t="s">
        <v>137</v>
      </c>
      <c r="H22" s="1">
        <f>VC!C7</f>
        <v>0</v>
      </c>
      <c r="I22" s="1">
        <f>VC!D7</f>
        <v>0</v>
      </c>
      <c r="J22" s="1">
        <f>VC!E7</f>
        <v>0</v>
      </c>
      <c r="K22" s="1">
        <f>VC!F7</f>
        <v>0</v>
      </c>
      <c r="L22" s="1">
        <f>VC!G7</f>
        <v>0</v>
      </c>
      <c r="M22" s="1">
        <f>VC!H7</f>
        <v>0</v>
      </c>
      <c r="N22" s="1">
        <f>VC!I7</f>
        <v>0</v>
      </c>
      <c r="O22" s="1">
        <f>VC!J7</f>
        <v>0</v>
      </c>
      <c r="P22" s="1">
        <f>VC!K7</f>
        <v>0</v>
      </c>
      <c r="Q22" s="1">
        <f>VC!L7</f>
        <v>0</v>
      </c>
      <c r="R22" s="1">
        <f>VC!M7</f>
        <v>0</v>
      </c>
      <c r="S22" s="1">
        <f>VC!N7</f>
        <v>0</v>
      </c>
      <c r="T22" s="1">
        <f>VC!O7</f>
        <v>0</v>
      </c>
      <c r="U22" s="1">
        <f>VC!P7</f>
        <v>0</v>
      </c>
      <c r="V22" s="1">
        <f>VC!Q7</f>
        <v>0</v>
      </c>
      <c r="W22" s="1">
        <f>VC!R7</f>
        <v>0</v>
      </c>
      <c r="X22" s="1">
        <f>VC!S7</f>
        <v>0</v>
      </c>
      <c r="Y22" s="1">
        <f>VC!T7</f>
        <v>0</v>
      </c>
      <c r="Z22" s="1">
        <f>VC!U7</f>
        <v>0</v>
      </c>
      <c r="AA22" s="1">
        <f>VC!V7</f>
        <v>0</v>
      </c>
      <c r="AB22" s="1">
        <f>VC!W7</f>
        <v>0</v>
      </c>
      <c r="AC22" s="1">
        <f>VC!X7</f>
        <v>0</v>
      </c>
      <c r="AD22" s="1">
        <f>VC!Y7</f>
        <v>0</v>
      </c>
      <c r="AE22" s="1">
        <f>VC!Z7</f>
        <v>0</v>
      </c>
      <c r="AF22" s="1">
        <f>VC!AA7</f>
        <v>0</v>
      </c>
      <c r="AG22" s="1">
        <f>VC!AB7</f>
        <v>0</v>
      </c>
      <c r="AH22" s="1">
        <f>VC!AC7</f>
        <v>0</v>
      </c>
      <c r="AI22" s="1">
        <f>VC!AD7</f>
        <v>0</v>
      </c>
      <c r="AJ22" s="1">
        <f>VC!AE7</f>
        <v>0</v>
      </c>
      <c r="AK22" s="1">
        <f>VC!AF7</f>
        <v>0</v>
      </c>
      <c r="AL22" s="1">
        <f>VC!AG7</f>
        <v>0</v>
      </c>
      <c r="AM22" s="1">
        <f>VC!AH7</f>
        <v>0</v>
      </c>
      <c r="AN22" s="1">
        <f>VC!AI7</f>
        <v>0</v>
      </c>
      <c r="AO22" s="1">
        <f>VC!AJ7</f>
        <v>0</v>
      </c>
      <c r="AP22" s="1">
        <f>VC!AK7</f>
        <v>0</v>
      </c>
      <c r="AQ22" s="1">
        <f>VC!AL7</f>
        <v>0</v>
      </c>
      <c r="AR22" s="1">
        <f>VC!AM7</f>
        <v>0</v>
      </c>
      <c r="AS22" s="1">
        <f>VC!AN7</f>
        <v>0</v>
      </c>
      <c r="AT22" s="1">
        <f>VC!AO7</f>
        <v>0</v>
      </c>
      <c r="AU22" s="1">
        <f>VC!AP7</f>
        <v>0</v>
      </c>
      <c r="AV22" s="1">
        <f>VC!AQ7</f>
        <v>0</v>
      </c>
      <c r="AW22" s="1">
        <f>VC!AR7</f>
        <v>0</v>
      </c>
      <c r="AX22" s="1">
        <f>VC!AS7</f>
        <v>0</v>
      </c>
      <c r="AY22" s="1">
        <f>VC!AT7</f>
        <v>0</v>
      </c>
      <c r="AZ22" s="1">
        <f>VC!AU7</f>
        <v>0</v>
      </c>
      <c r="BA22" s="1">
        <f>VC!AV7</f>
        <v>0</v>
      </c>
      <c r="BB22" s="1">
        <f>VC!AW7</f>
        <v>0</v>
      </c>
      <c r="BC22" s="1">
        <f>VC!AX7</f>
        <v>0</v>
      </c>
      <c r="BD22" s="1">
        <f>VC!AY7</f>
        <v>0</v>
      </c>
      <c r="BE22" s="1">
        <f>VC!AZ7</f>
        <v>0</v>
      </c>
      <c r="BF22" s="1">
        <f>VC!BA7</f>
        <v>0</v>
      </c>
      <c r="BG22" s="1">
        <f>VC!BB7</f>
        <v>0</v>
      </c>
      <c r="BH22" s="1">
        <f>VC!BC7</f>
        <v>0</v>
      </c>
      <c r="BI22" s="1">
        <f>VC!BD7</f>
        <v>0</v>
      </c>
      <c r="BJ22" s="1">
        <f>VC!BE7</f>
        <v>0</v>
      </c>
      <c r="BK22" s="1">
        <f>VC!BF7</f>
        <v>0</v>
      </c>
      <c r="BL22" s="1">
        <f>VC!BG7</f>
        <v>0</v>
      </c>
      <c r="BM22" s="1">
        <f>VC!BH7</f>
        <v>0</v>
      </c>
      <c r="BN22" s="1" t="str">
        <f>VC!BI7</f>
        <v>nt1451InsC</v>
      </c>
      <c r="BO22" s="1">
        <f>VC!BJ7</f>
        <v>0</v>
      </c>
      <c r="BP22" s="1">
        <f>VC!BK7</f>
        <v>0</v>
      </c>
      <c r="BQ22" s="1">
        <f>VC!BL7</f>
        <v>0</v>
      </c>
      <c r="BR22" s="1">
        <f>VC!BM7</f>
        <v>0</v>
      </c>
      <c r="BS22" s="1">
        <f>VC!BN7</f>
        <v>0</v>
      </c>
      <c r="BT22" s="1">
        <f>VC!BO7</f>
        <v>0</v>
      </c>
      <c r="BU22" s="1">
        <f>VC!BP7</f>
        <v>0</v>
      </c>
      <c r="BV22" s="1">
        <f>VC!BQ7</f>
        <v>0</v>
      </c>
      <c r="BW22" s="1">
        <f>VC!BR7</f>
        <v>0</v>
      </c>
      <c r="BX22" s="1">
        <f>VC!BS7</f>
        <v>0</v>
      </c>
      <c r="BY22" s="1">
        <f>VC!BT7</f>
        <v>0</v>
      </c>
      <c r="BZ22" s="1">
        <f>VC!BU7</f>
        <v>0</v>
      </c>
      <c r="CA22" s="1">
        <f>VC!BV7</f>
        <v>0</v>
      </c>
      <c r="CB22" s="1">
        <f>VC!BW7</f>
        <v>0</v>
      </c>
      <c r="CC22" s="1">
        <f>VC!BX7</f>
        <v>0</v>
      </c>
      <c r="CD22" s="1">
        <f>VC!BY7</f>
        <v>0</v>
      </c>
      <c r="CE22" s="1">
        <f>VC!BZ7</f>
        <v>0</v>
      </c>
      <c r="CF22" s="1">
        <f>VC!CA7</f>
        <v>0</v>
      </c>
      <c r="CG22" s="1">
        <f>VC!CB7</f>
        <v>0</v>
      </c>
      <c r="CH22" s="1">
        <f>VC!CC7</f>
        <v>0</v>
      </c>
      <c r="CI22" s="1">
        <f>VC!CD7</f>
        <v>0</v>
      </c>
      <c r="CJ22" s="1">
        <f>VC!CE7</f>
        <v>0</v>
      </c>
      <c r="CK22" s="1">
        <f>VC!CF7</f>
        <v>0</v>
      </c>
      <c r="CL22" s="1">
        <f>VC!CG7</f>
        <v>0</v>
      </c>
      <c r="CM22" s="1">
        <f>VC!CH7</f>
        <v>0</v>
      </c>
      <c r="CN22" s="1">
        <f>VC!CI7</f>
        <v>0</v>
      </c>
      <c r="CO22" s="1">
        <f>VC!CJ7</f>
        <v>0</v>
      </c>
      <c r="CP22" s="1" t="str">
        <f>VC!CK7</f>
        <v>T198P</v>
      </c>
      <c r="CQ22" s="1">
        <f>VC!CL7</f>
        <v>0</v>
      </c>
      <c r="CR22" s="1">
        <f>VC!CM7</f>
        <v>0</v>
      </c>
      <c r="CS22" s="1">
        <f>VC!CN7</f>
        <v>0</v>
      </c>
      <c r="CT22" s="1">
        <f>VC!CO7</f>
        <v>0</v>
      </c>
      <c r="CU22" s="1">
        <f>VC!CP7</f>
        <v>0</v>
      </c>
      <c r="CV22" s="1" t="str">
        <f>VC!CQ7</f>
        <v>T180I</v>
      </c>
      <c r="CW22" s="1">
        <f>VC!CR7</f>
        <v>0</v>
      </c>
      <c r="CX22" s="1">
        <f>VC!CS7</f>
        <v>0</v>
      </c>
      <c r="CY22" s="1">
        <f>VC!CT7</f>
        <v>0</v>
      </c>
      <c r="CZ22" s="1">
        <f>VC!CU7</f>
        <v>0</v>
      </c>
      <c r="DA22" s="1">
        <f>VC!CV7</f>
        <v>0</v>
      </c>
      <c r="DB22" s="1">
        <f>VC!CW7</f>
        <v>0</v>
      </c>
      <c r="DC22" s="1">
        <f>VC!CX7</f>
        <v>0</v>
      </c>
      <c r="DD22" s="1">
        <f>VC!CY7</f>
        <v>0</v>
      </c>
      <c r="DE22" s="1">
        <f>VC!CZ7</f>
        <v>0</v>
      </c>
      <c r="DF22" s="1">
        <f>VC!DA7</f>
        <v>0</v>
      </c>
      <c r="DG22" s="1">
        <f>VC!DB7</f>
        <v>0</v>
      </c>
      <c r="DH22" s="1">
        <f>VC!DC7</f>
        <v>0</v>
      </c>
      <c r="DI22" s="1">
        <f>VC!DD7</f>
        <v>0</v>
      </c>
      <c r="DJ22" s="1">
        <f>VC!DE7</f>
        <v>0</v>
      </c>
      <c r="DK22" s="1">
        <f>VC!DF7</f>
        <v>0</v>
      </c>
      <c r="DL22" s="1">
        <f>VC!DG7</f>
        <v>0</v>
      </c>
      <c r="DM22" s="1">
        <f>VC!DH7</f>
        <v>0</v>
      </c>
      <c r="DN22" s="1">
        <f>VC!DI7</f>
        <v>0</v>
      </c>
      <c r="DO22" s="1">
        <f>VC!DJ7</f>
        <v>0</v>
      </c>
      <c r="DP22" s="1">
        <f>VC!DK7</f>
        <v>0</v>
      </c>
      <c r="DQ22" s="1">
        <f>VC!DL7</f>
        <v>0</v>
      </c>
      <c r="DR22" s="1" t="str">
        <f>VC!DM7</f>
        <v>nt501∆5</v>
      </c>
      <c r="DS22" s="1">
        <f>VC!DN7</f>
        <v>0</v>
      </c>
      <c r="DT22" s="1">
        <f>VC!DO7</f>
        <v>0</v>
      </c>
      <c r="DU22" s="1">
        <f>VC!DP7</f>
        <v>0</v>
      </c>
      <c r="DV22" s="1">
        <f>VC!DQ7</f>
        <v>0</v>
      </c>
      <c r="DW22" s="1">
        <f>VC!DR7</f>
        <v>0</v>
      </c>
      <c r="DX22" s="1">
        <f>VC!DS7</f>
        <v>0</v>
      </c>
      <c r="DY22" s="1">
        <f>VC!DT7</f>
        <v>0</v>
      </c>
      <c r="DZ22" s="1">
        <f>VC!DU7</f>
        <v>0</v>
      </c>
      <c r="EA22" s="1">
        <f>VC!DV7</f>
        <v>0</v>
      </c>
      <c r="EB22" s="1">
        <f>VC!DW7</f>
        <v>0</v>
      </c>
      <c r="EC22" s="1">
        <f>VC!DX7</f>
        <v>0</v>
      </c>
      <c r="ED22" s="1">
        <f>VC!DY7</f>
        <v>0</v>
      </c>
      <c r="EE22" s="1">
        <f>VC!DZ7</f>
        <v>0</v>
      </c>
      <c r="EF22" s="1">
        <f>VC!EA7</f>
        <v>0</v>
      </c>
      <c r="EG22" s="1">
        <f>VC!EB7</f>
        <v>0</v>
      </c>
      <c r="EH22" s="1">
        <f>VC!EC7</f>
        <v>0</v>
      </c>
      <c r="EI22" s="1">
        <f>VC!ED7</f>
        <v>0</v>
      </c>
      <c r="EJ22" s="1">
        <f>VC!EE7</f>
        <v>0</v>
      </c>
      <c r="EK22" s="1">
        <f>VC!EF7</f>
        <v>0</v>
      </c>
      <c r="EL22" s="1">
        <f>VC!EG7</f>
        <v>0</v>
      </c>
      <c r="EM22" s="1">
        <f>VC!EH7</f>
        <v>0</v>
      </c>
      <c r="EN22" s="1">
        <f>VC!EI7</f>
        <v>0</v>
      </c>
      <c r="EO22" s="1">
        <f>VC!EJ7</f>
        <v>0</v>
      </c>
      <c r="EP22" s="1">
        <f>VC!EK7</f>
        <v>0</v>
      </c>
      <c r="EQ22" s="1">
        <f>VC!EL7</f>
        <v>0</v>
      </c>
      <c r="ER22" s="1">
        <f>VC!EM7</f>
        <v>0</v>
      </c>
      <c r="ES22" s="1">
        <f>VC!EN7</f>
        <v>0</v>
      </c>
      <c r="ET22" s="1">
        <f>VC!EO7</f>
        <v>0</v>
      </c>
      <c r="EU22" s="1">
        <f>VC!EP7</f>
        <v>0</v>
      </c>
      <c r="EV22" s="1">
        <f>VC!EQ7</f>
        <v>0</v>
      </c>
      <c r="EW22" s="1" t="str">
        <f>VC!ER7</f>
        <v>Q265E</v>
      </c>
      <c r="EX22" s="1">
        <f>VC!ES7</f>
        <v>0</v>
      </c>
      <c r="EY22" s="1">
        <f>VC!ET7</f>
        <v>0</v>
      </c>
      <c r="EZ22" s="1">
        <f>VC!EU7</f>
        <v>0</v>
      </c>
      <c r="FA22" s="1">
        <f>VC!EV7</f>
        <v>0</v>
      </c>
      <c r="FB22" s="1">
        <f>VC!EW7</f>
        <v>0</v>
      </c>
      <c r="FC22" s="1">
        <f>VC!EX7</f>
        <v>0</v>
      </c>
      <c r="FD22" s="1">
        <f>VC!EY7</f>
        <v>0</v>
      </c>
      <c r="FE22" s="1">
        <f>VC!EZ7</f>
        <v>0</v>
      </c>
      <c r="FF22" s="1">
        <f>VC!FA7</f>
        <v>0</v>
      </c>
      <c r="FG22" s="1">
        <f>VC!FB7</f>
        <v>0</v>
      </c>
      <c r="FH22" s="1">
        <f>VC!FC7</f>
        <v>0</v>
      </c>
      <c r="FI22" s="1">
        <f>VC!FD7</f>
        <v>0</v>
      </c>
      <c r="FJ22" s="1">
        <f>VC!FE7</f>
        <v>0</v>
      </c>
      <c r="FK22" s="1">
        <f>VC!FF7</f>
        <v>0</v>
      </c>
      <c r="FL22" s="1">
        <f>VC!FG7</f>
        <v>0</v>
      </c>
      <c r="FM22" s="1">
        <f>VC!FH7</f>
        <v>0</v>
      </c>
      <c r="FN22" s="1">
        <f>VC!FI7</f>
        <v>0</v>
      </c>
      <c r="FO22" s="1">
        <f>VC!FJ7</f>
        <v>0</v>
      </c>
      <c r="FP22" s="1">
        <f>VC!FK7</f>
        <v>0</v>
      </c>
      <c r="FQ22" s="1">
        <f>VC!FL7</f>
        <v>0</v>
      </c>
      <c r="FR22" s="1">
        <f>VC!FM7</f>
        <v>0</v>
      </c>
      <c r="FS22" s="1">
        <f>VC!FN7</f>
        <v>0</v>
      </c>
      <c r="FT22" s="1">
        <f>VC!FO7</f>
        <v>0</v>
      </c>
      <c r="FU22" s="1">
        <f>VC!FP7</f>
        <v>0</v>
      </c>
      <c r="FV22" s="1">
        <f>VC!FQ7</f>
        <v>0</v>
      </c>
      <c r="FW22" s="1">
        <f>VC!FR7</f>
        <v>0</v>
      </c>
      <c r="FX22" s="1">
        <f>VC!FS7</f>
        <v>0</v>
      </c>
      <c r="FY22" s="1">
        <f>VC!FT7</f>
        <v>0</v>
      </c>
      <c r="FZ22" s="1">
        <f>VC!FU7</f>
        <v>0</v>
      </c>
      <c r="GA22" s="1">
        <f>VC!FV7</f>
        <v>0</v>
      </c>
      <c r="GB22" s="1">
        <f>VC!FW7</f>
        <v>0</v>
      </c>
      <c r="GC22" s="1">
        <f>VC!FX7</f>
        <v>0</v>
      </c>
      <c r="GD22" s="1">
        <f>VC!FY7</f>
        <v>0</v>
      </c>
      <c r="GE22" s="1">
        <f>VC!FZ7</f>
        <v>0</v>
      </c>
      <c r="GF22" s="1">
        <f>VC!GA7</f>
        <v>0</v>
      </c>
      <c r="GG22" s="1">
        <f>VC!GB7</f>
        <v>0</v>
      </c>
      <c r="GH22" s="1">
        <f>VC!GC7</f>
        <v>0</v>
      </c>
      <c r="GI22" s="1">
        <f>VC!GD7</f>
        <v>0</v>
      </c>
      <c r="GJ22" s="1">
        <f>VC!GE7</f>
        <v>0</v>
      </c>
      <c r="GK22" s="1">
        <f>VC!GF7</f>
        <v>0</v>
      </c>
      <c r="GL22" s="1">
        <f>VC!GG7</f>
        <v>0</v>
      </c>
      <c r="GM22" s="1">
        <f>VC!GH7</f>
        <v>0</v>
      </c>
      <c r="GN22" s="1">
        <f>VC!GI7</f>
        <v>0</v>
      </c>
      <c r="GO22" s="1">
        <f>VC!GJ7</f>
        <v>0</v>
      </c>
      <c r="GP22" s="1">
        <f>VC!GK7</f>
        <v>0</v>
      </c>
      <c r="GQ22" s="1">
        <f>VC!GL7</f>
        <v>0</v>
      </c>
      <c r="GR22" s="1">
        <f>VC!GM7</f>
        <v>0</v>
      </c>
      <c r="GS22" s="1">
        <f>VC!GN7</f>
        <v>0</v>
      </c>
      <c r="GT22" s="1">
        <f>VC!GO7</f>
        <v>0</v>
      </c>
      <c r="GU22" s="1">
        <f>VC!GP7</f>
        <v>0</v>
      </c>
      <c r="GV22" s="1">
        <f>VC!GQ7</f>
        <v>0</v>
      </c>
      <c r="GW22" s="1">
        <f>VC!GR7</f>
        <v>0</v>
      </c>
      <c r="GX22" s="1">
        <f>VC!GS7</f>
        <v>0</v>
      </c>
      <c r="GY22" s="1">
        <f>VC!GT7</f>
        <v>0</v>
      </c>
      <c r="GZ22" s="1">
        <f>VC!GU7</f>
        <v>0</v>
      </c>
      <c r="HA22" s="1">
        <f>VC!GV7</f>
        <v>0</v>
      </c>
      <c r="HB22" s="1">
        <f>VC!GW7</f>
        <v>0</v>
      </c>
      <c r="HC22" s="1">
        <f>VC!GX7</f>
        <v>0</v>
      </c>
    </row>
    <row r="23" spans="1:211" s="1" customFormat="1" x14ac:dyDescent="0.25">
      <c r="A23" s="44" t="s">
        <v>11</v>
      </c>
      <c r="B23" s="45" t="s">
        <v>12</v>
      </c>
      <c r="C23" s="46" t="s">
        <v>2</v>
      </c>
      <c r="D23" s="45" t="s">
        <v>77</v>
      </c>
      <c r="E23" s="45">
        <v>-0.5</v>
      </c>
      <c r="F23" s="45" t="s">
        <v>74</v>
      </c>
      <c r="G23" s="47" t="s">
        <v>137</v>
      </c>
      <c r="H23" s="1">
        <f>VC!C7</f>
        <v>0</v>
      </c>
      <c r="I23" s="1">
        <f>VC!D7</f>
        <v>0</v>
      </c>
      <c r="J23" s="1">
        <f>VC!E7</f>
        <v>0</v>
      </c>
      <c r="K23" s="1">
        <f>VC!F7</f>
        <v>0</v>
      </c>
      <c r="L23" s="1">
        <f>VC!G7</f>
        <v>0</v>
      </c>
      <c r="M23" s="1">
        <f>VC!H7</f>
        <v>0</v>
      </c>
      <c r="N23" s="1">
        <f>VC!I7</f>
        <v>0</v>
      </c>
      <c r="O23" s="1">
        <f>VC!J7</f>
        <v>0</v>
      </c>
      <c r="P23" s="1">
        <f>VC!K7</f>
        <v>0</v>
      </c>
      <c r="Q23" s="1">
        <f>VC!L7</f>
        <v>0</v>
      </c>
      <c r="R23" s="1">
        <f>VC!M7</f>
        <v>0</v>
      </c>
      <c r="S23" s="1">
        <f>VC!N7</f>
        <v>0</v>
      </c>
      <c r="T23" s="1">
        <f>VC!O7</f>
        <v>0</v>
      </c>
      <c r="U23" s="1">
        <f>VC!P7</f>
        <v>0</v>
      </c>
      <c r="V23" s="1">
        <f>VC!Q7</f>
        <v>0</v>
      </c>
      <c r="W23" s="1">
        <f>VC!R7</f>
        <v>0</v>
      </c>
      <c r="X23" s="1">
        <f>VC!S7</f>
        <v>0</v>
      </c>
      <c r="Y23" s="1">
        <f>VC!T7</f>
        <v>0</v>
      </c>
      <c r="Z23" s="1">
        <f>VC!U7</f>
        <v>0</v>
      </c>
      <c r="AA23" s="1">
        <f>VC!V7</f>
        <v>0</v>
      </c>
      <c r="AB23" s="1">
        <f>VC!W7</f>
        <v>0</v>
      </c>
      <c r="AC23" s="1">
        <f>VC!X7</f>
        <v>0</v>
      </c>
      <c r="AD23" s="1">
        <f>VC!Y7</f>
        <v>0</v>
      </c>
      <c r="AE23" s="1">
        <f>VC!Z7</f>
        <v>0</v>
      </c>
      <c r="AF23" s="1">
        <f>VC!AA7</f>
        <v>0</v>
      </c>
      <c r="AG23" s="1">
        <f>VC!AB7</f>
        <v>0</v>
      </c>
      <c r="AH23" s="1">
        <f>VC!AC7</f>
        <v>0</v>
      </c>
      <c r="AI23" s="1">
        <f>VC!AD7</f>
        <v>0</v>
      </c>
      <c r="AJ23" s="1">
        <f>VC!AE7</f>
        <v>0</v>
      </c>
      <c r="AK23" s="1">
        <f>VC!AF7</f>
        <v>0</v>
      </c>
      <c r="AL23" s="1">
        <f>VC!AG7</f>
        <v>0</v>
      </c>
      <c r="AM23" s="1">
        <f>VC!AH7</f>
        <v>0</v>
      </c>
      <c r="AN23" s="1">
        <f>VC!AI7</f>
        <v>0</v>
      </c>
      <c r="AO23" s="1">
        <f>VC!AJ7</f>
        <v>0</v>
      </c>
      <c r="AP23" s="1">
        <f>VC!AK7</f>
        <v>0</v>
      </c>
      <c r="AQ23" s="1">
        <f>VC!AL7</f>
        <v>0</v>
      </c>
      <c r="AR23" s="1">
        <f>VC!AM7</f>
        <v>0</v>
      </c>
      <c r="AS23" s="1">
        <f>VC!AN7</f>
        <v>0</v>
      </c>
      <c r="AT23" s="1">
        <f>VC!AO7</f>
        <v>0</v>
      </c>
      <c r="AU23" s="1">
        <f>VC!AP7</f>
        <v>0</v>
      </c>
      <c r="AV23" s="1">
        <f>VC!AQ7</f>
        <v>0</v>
      </c>
      <c r="AW23" s="1">
        <f>VC!AR7</f>
        <v>0</v>
      </c>
      <c r="AX23" s="1">
        <f>VC!AS7</f>
        <v>0</v>
      </c>
      <c r="AY23" s="1">
        <f>VC!AT7</f>
        <v>0</v>
      </c>
      <c r="AZ23" s="1">
        <f>VC!AU7</f>
        <v>0</v>
      </c>
      <c r="BA23" s="1">
        <f>VC!AV7</f>
        <v>0</v>
      </c>
      <c r="BB23" s="1">
        <f>VC!AW7</f>
        <v>0</v>
      </c>
      <c r="BC23" s="1">
        <f>VC!AX7</f>
        <v>0</v>
      </c>
      <c r="BD23" s="1">
        <f>VC!AY7</f>
        <v>0</v>
      </c>
      <c r="BE23" s="1">
        <f>VC!AZ7</f>
        <v>0</v>
      </c>
      <c r="BF23" s="1">
        <f>VC!BA7</f>
        <v>0</v>
      </c>
      <c r="BG23" s="1">
        <f>VC!BB7</f>
        <v>0</v>
      </c>
      <c r="BH23" s="1">
        <f>VC!BC7</f>
        <v>0</v>
      </c>
      <c r="BI23" s="1">
        <f>VC!BD7</f>
        <v>0</v>
      </c>
      <c r="BJ23" s="1">
        <f>VC!BE7</f>
        <v>0</v>
      </c>
      <c r="BK23" s="1">
        <f>VC!BF7</f>
        <v>0</v>
      </c>
      <c r="BL23" s="1">
        <f>VC!BG7</f>
        <v>0</v>
      </c>
      <c r="BM23" s="1">
        <f>VC!BH7</f>
        <v>0</v>
      </c>
      <c r="BN23" s="1" t="str">
        <f>VC!BI7</f>
        <v>nt1451InsC</v>
      </c>
      <c r="BO23" s="1">
        <f>VC!BJ7</f>
        <v>0</v>
      </c>
      <c r="BP23" s="1">
        <f>VC!BK7</f>
        <v>0</v>
      </c>
      <c r="BQ23" s="1">
        <f>VC!BL7</f>
        <v>0</v>
      </c>
      <c r="BR23" s="1">
        <f>VC!BM7</f>
        <v>0</v>
      </c>
      <c r="BS23" s="1">
        <f>VC!BN7</f>
        <v>0</v>
      </c>
      <c r="BT23" s="1">
        <f>VC!BO7</f>
        <v>0</v>
      </c>
      <c r="BU23" s="1">
        <f>VC!BP7</f>
        <v>0</v>
      </c>
      <c r="BV23" s="1">
        <f>VC!BQ7</f>
        <v>0</v>
      </c>
      <c r="BW23" s="1">
        <f>VC!BR7</f>
        <v>0</v>
      </c>
      <c r="BX23" s="1">
        <f>VC!BS7</f>
        <v>0</v>
      </c>
      <c r="BY23" s="1">
        <f>VC!BT7</f>
        <v>0</v>
      </c>
      <c r="BZ23" s="1">
        <f>VC!BU7</f>
        <v>0</v>
      </c>
      <c r="CA23" s="1">
        <f>VC!BV7</f>
        <v>0</v>
      </c>
      <c r="CB23" s="1">
        <f>VC!BW7</f>
        <v>0</v>
      </c>
      <c r="CC23" s="1">
        <f>VC!BX7</f>
        <v>0</v>
      </c>
      <c r="CD23" s="1">
        <f>VC!BY7</f>
        <v>0</v>
      </c>
      <c r="CE23" s="1">
        <f>VC!BZ7</f>
        <v>0</v>
      </c>
      <c r="CF23" s="1">
        <f>VC!CA7</f>
        <v>0</v>
      </c>
      <c r="CG23" s="1">
        <f>VC!CB7</f>
        <v>0</v>
      </c>
      <c r="CH23" s="1">
        <f>VC!CC7</f>
        <v>0</v>
      </c>
      <c r="CI23" s="1">
        <f>VC!CD7</f>
        <v>0</v>
      </c>
      <c r="CJ23" s="1">
        <f>VC!CE7</f>
        <v>0</v>
      </c>
      <c r="CK23" s="1">
        <f>VC!CF7</f>
        <v>0</v>
      </c>
      <c r="CL23" s="1">
        <f>VC!CG7</f>
        <v>0</v>
      </c>
      <c r="CM23" s="1">
        <f>VC!CH7</f>
        <v>0</v>
      </c>
      <c r="CN23" s="1">
        <f>VC!CI7</f>
        <v>0</v>
      </c>
      <c r="CO23" s="1">
        <f>VC!CJ7</f>
        <v>0</v>
      </c>
      <c r="CP23" s="1" t="str">
        <f>VC!CK7</f>
        <v>T198P</v>
      </c>
      <c r="CQ23" s="1">
        <f>VC!CL7</f>
        <v>0</v>
      </c>
      <c r="CR23" s="1">
        <f>VC!CM7</f>
        <v>0</v>
      </c>
      <c r="CS23" s="1">
        <f>VC!CN7</f>
        <v>0</v>
      </c>
      <c r="CT23" s="1">
        <f>VC!CO7</f>
        <v>0</v>
      </c>
      <c r="CU23" s="1">
        <f>VC!CP7</f>
        <v>0</v>
      </c>
      <c r="CV23" s="1" t="str">
        <f>VC!CQ7</f>
        <v>T180I</v>
      </c>
      <c r="CW23" s="1">
        <f>VC!CR7</f>
        <v>0</v>
      </c>
      <c r="CX23" s="1">
        <f>VC!CS7</f>
        <v>0</v>
      </c>
      <c r="CY23" s="1">
        <f>VC!CT7</f>
        <v>0</v>
      </c>
      <c r="CZ23" s="1">
        <f>VC!CU7</f>
        <v>0</v>
      </c>
      <c r="DA23" s="1">
        <f>VC!CV7</f>
        <v>0</v>
      </c>
      <c r="DB23" s="1">
        <f>VC!CW7</f>
        <v>0</v>
      </c>
      <c r="DC23" s="1">
        <f>VC!CX7</f>
        <v>0</v>
      </c>
      <c r="DD23" s="1">
        <f>VC!CY7</f>
        <v>0</v>
      </c>
      <c r="DE23" s="1">
        <f>VC!CZ7</f>
        <v>0</v>
      </c>
      <c r="DF23" s="1">
        <f>VC!DA7</f>
        <v>0</v>
      </c>
      <c r="DG23" s="1">
        <f>VC!DB7</f>
        <v>0</v>
      </c>
      <c r="DH23" s="1">
        <f>VC!DC7</f>
        <v>0</v>
      </c>
      <c r="DI23" s="1">
        <f>VC!DD7</f>
        <v>0</v>
      </c>
      <c r="DJ23" s="1">
        <f>VC!DE7</f>
        <v>0</v>
      </c>
      <c r="DK23" s="1">
        <f>VC!DF7</f>
        <v>0</v>
      </c>
      <c r="DL23" s="1">
        <f>VC!DG7</f>
        <v>0</v>
      </c>
      <c r="DM23" s="1">
        <f>VC!DH7</f>
        <v>0</v>
      </c>
      <c r="DN23" s="1">
        <f>VC!DI7</f>
        <v>0</v>
      </c>
      <c r="DO23" s="1">
        <f>VC!DJ7</f>
        <v>0</v>
      </c>
      <c r="DP23" s="1">
        <f>VC!DK7</f>
        <v>0</v>
      </c>
      <c r="DQ23" s="1">
        <f>VC!DL7</f>
        <v>0</v>
      </c>
      <c r="DR23" s="1" t="str">
        <f>VC!DM7</f>
        <v>nt501∆5</v>
      </c>
      <c r="DS23" s="1">
        <f>VC!DN7</f>
        <v>0</v>
      </c>
      <c r="DT23" s="1">
        <f>VC!DO7</f>
        <v>0</v>
      </c>
      <c r="DU23" s="1">
        <f>VC!DP7</f>
        <v>0</v>
      </c>
      <c r="DV23" s="1">
        <f>VC!DQ7</f>
        <v>0</v>
      </c>
      <c r="DW23" s="1">
        <f>VC!DR7</f>
        <v>0</v>
      </c>
      <c r="DX23" s="1">
        <f>VC!DS7</f>
        <v>0</v>
      </c>
      <c r="DY23" s="1">
        <f>VC!DT7</f>
        <v>0</v>
      </c>
      <c r="DZ23" s="1">
        <f>VC!DU7</f>
        <v>0</v>
      </c>
      <c r="EA23" s="1">
        <f>VC!DV7</f>
        <v>0</v>
      </c>
      <c r="EB23" s="1">
        <f>VC!DW7</f>
        <v>0</v>
      </c>
      <c r="EC23" s="1">
        <f>VC!DX7</f>
        <v>0</v>
      </c>
      <c r="ED23" s="1">
        <f>VC!DY7</f>
        <v>0</v>
      </c>
      <c r="EE23" s="1">
        <f>VC!DZ7</f>
        <v>0</v>
      </c>
      <c r="EF23" s="1">
        <f>VC!EA7</f>
        <v>0</v>
      </c>
      <c r="EG23" s="1">
        <f>VC!EB7</f>
        <v>0</v>
      </c>
      <c r="EH23" s="1">
        <f>VC!EC7</f>
        <v>0</v>
      </c>
      <c r="EI23" s="1">
        <f>VC!ED7</f>
        <v>0</v>
      </c>
      <c r="EJ23" s="1">
        <f>VC!EE7</f>
        <v>0</v>
      </c>
      <c r="EK23" s="1">
        <f>VC!EF7</f>
        <v>0</v>
      </c>
      <c r="EL23" s="1">
        <f>VC!EG7</f>
        <v>0</v>
      </c>
      <c r="EM23" s="1">
        <f>VC!EH7</f>
        <v>0</v>
      </c>
      <c r="EN23" s="1">
        <f>VC!EI7</f>
        <v>0</v>
      </c>
      <c r="EO23" s="1">
        <f>VC!EJ7</f>
        <v>0</v>
      </c>
      <c r="EP23" s="1">
        <f>VC!EK7</f>
        <v>0</v>
      </c>
      <c r="EQ23" s="1">
        <f>VC!EL7</f>
        <v>0</v>
      </c>
      <c r="ER23" s="1">
        <f>VC!EM7</f>
        <v>0</v>
      </c>
      <c r="ES23" s="1">
        <f>VC!EN7</f>
        <v>0</v>
      </c>
      <c r="ET23" s="1">
        <f>VC!EO7</f>
        <v>0</v>
      </c>
      <c r="EU23" s="1">
        <f>VC!EP7</f>
        <v>0</v>
      </c>
      <c r="EV23" s="1">
        <f>VC!EQ7</f>
        <v>0</v>
      </c>
      <c r="EW23" s="1" t="str">
        <f>VC!ER7</f>
        <v>Q265E</v>
      </c>
      <c r="EX23" s="1">
        <f>VC!ES7</f>
        <v>0</v>
      </c>
      <c r="EY23" s="1">
        <f>VC!ET7</f>
        <v>0</v>
      </c>
      <c r="EZ23" s="1">
        <f>VC!EU7</f>
        <v>0</v>
      </c>
      <c r="FA23" s="1">
        <f>VC!EV7</f>
        <v>0</v>
      </c>
      <c r="FB23" s="1">
        <f>VC!EW7</f>
        <v>0</v>
      </c>
      <c r="FC23" s="1">
        <f>VC!EX7</f>
        <v>0</v>
      </c>
      <c r="FD23" s="1">
        <f>VC!EY7</f>
        <v>0</v>
      </c>
      <c r="FE23" s="1">
        <f>VC!EZ7</f>
        <v>0</v>
      </c>
      <c r="FF23" s="1">
        <f>VC!FA7</f>
        <v>0</v>
      </c>
      <c r="FG23" s="1">
        <f>VC!FB7</f>
        <v>0</v>
      </c>
      <c r="FH23" s="1">
        <f>VC!FC7</f>
        <v>0</v>
      </c>
      <c r="FI23" s="1">
        <f>VC!FD7</f>
        <v>0</v>
      </c>
      <c r="FJ23" s="1">
        <f>VC!FE7</f>
        <v>0</v>
      </c>
      <c r="FK23" s="1">
        <f>VC!FF7</f>
        <v>0</v>
      </c>
      <c r="FL23" s="1">
        <f>VC!FG7</f>
        <v>0</v>
      </c>
      <c r="FM23" s="1">
        <f>VC!FH7</f>
        <v>0</v>
      </c>
      <c r="FN23" s="1">
        <f>VC!FI7</f>
        <v>0</v>
      </c>
      <c r="FO23" s="1">
        <f>VC!FJ7</f>
        <v>0</v>
      </c>
      <c r="FP23" s="1">
        <f>VC!FK7</f>
        <v>0</v>
      </c>
      <c r="FQ23" s="1">
        <f>VC!FL7</f>
        <v>0</v>
      </c>
      <c r="FR23" s="1">
        <f>VC!FM7</f>
        <v>0</v>
      </c>
      <c r="FS23" s="1">
        <f>VC!FN7</f>
        <v>0</v>
      </c>
      <c r="FT23" s="1">
        <f>VC!FO7</f>
        <v>0</v>
      </c>
      <c r="FU23" s="1">
        <f>VC!FP7</f>
        <v>0</v>
      </c>
      <c r="FV23" s="1">
        <f>VC!FQ7</f>
        <v>0</v>
      </c>
      <c r="FW23" s="1">
        <f>VC!FR7</f>
        <v>0</v>
      </c>
      <c r="FX23" s="1">
        <f>VC!FS7</f>
        <v>0</v>
      </c>
      <c r="FY23" s="1">
        <f>VC!FT7</f>
        <v>0</v>
      </c>
      <c r="FZ23" s="1">
        <f>VC!FU7</f>
        <v>0</v>
      </c>
      <c r="GA23" s="1">
        <f>VC!FV7</f>
        <v>0</v>
      </c>
      <c r="GB23" s="1">
        <f>VC!FW7</f>
        <v>0</v>
      </c>
      <c r="GC23" s="1">
        <f>VC!FX7</f>
        <v>0</v>
      </c>
      <c r="GD23" s="1">
        <f>VC!FY7</f>
        <v>0</v>
      </c>
      <c r="GE23" s="1">
        <f>VC!FZ7</f>
        <v>0</v>
      </c>
      <c r="GF23" s="1">
        <f>VC!GA7</f>
        <v>0</v>
      </c>
      <c r="GG23" s="1">
        <f>VC!GB7</f>
        <v>0</v>
      </c>
      <c r="GH23" s="1">
        <f>VC!GC7</f>
        <v>0</v>
      </c>
      <c r="GI23" s="1">
        <f>VC!GD7</f>
        <v>0</v>
      </c>
      <c r="GJ23" s="1">
        <f>VC!GE7</f>
        <v>0</v>
      </c>
      <c r="GK23" s="1">
        <f>VC!GF7</f>
        <v>0</v>
      </c>
      <c r="GL23" s="1">
        <f>VC!GG7</f>
        <v>0</v>
      </c>
      <c r="GM23" s="1">
        <f>VC!GH7</f>
        <v>0</v>
      </c>
      <c r="GN23" s="1">
        <f>VC!GI7</f>
        <v>0</v>
      </c>
      <c r="GO23" s="1">
        <f>VC!GJ7</f>
        <v>0</v>
      </c>
      <c r="GP23" s="1">
        <f>VC!GK7</f>
        <v>0</v>
      </c>
      <c r="GQ23" s="1">
        <f>VC!GL7</f>
        <v>0</v>
      </c>
      <c r="GR23" s="1">
        <f>VC!GM7</f>
        <v>0</v>
      </c>
      <c r="GS23" s="1">
        <f>VC!GN7</f>
        <v>0</v>
      </c>
      <c r="GT23" s="1">
        <f>VC!GO7</f>
        <v>0</v>
      </c>
      <c r="GU23" s="1">
        <f>VC!GP7</f>
        <v>0</v>
      </c>
      <c r="GV23" s="1">
        <f>VC!GQ7</f>
        <v>0</v>
      </c>
      <c r="GW23" s="1">
        <f>VC!GR7</f>
        <v>0</v>
      </c>
      <c r="GX23" s="1">
        <f>VC!GS7</f>
        <v>0</v>
      </c>
      <c r="GY23" s="1">
        <f>VC!GT7</f>
        <v>0</v>
      </c>
      <c r="GZ23" s="1">
        <f>VC!GU7</f>
        <v>0</v>
      </c>
      <c r="HA23" s="1">
        <f>VC!GV7</f>
        <v>0</v>
      </c>
      <c r="HB23" s="1">
        <f>VC!GW7</f>
        <v>0</v>
      </c>
      <c r="HC23" s="1">
        <f>VC!GX7</f>
        <v>0</v>
      </c>
    </row>
    <row r="24" spans="1:211" s="1" customFormat="1" x14ac:dyDescent="0.25">
      <c r="A24" s="44" t="s">
        <v>11</v>
      </c>
      <c r="B24" s="45" t="s">
        <v>12</v>
      </c>
      <c r="C24" s="46" t="s">
        <v>4</v>
      </c>
      <c r="D24" s="45" t="s">
        <v>77</v>
      </c>
      <c r="E24" s="45">
        <v>-0.5</v>
      </c>
      <c r="F24" s="45" t="s">
        <v>74</v>
      </c>
      <c r="G24" s="47" t="s">
        <v>137</v>
      </c>
      <c r="H24" s="1">
        <f>VC!C7</f>
        <v>0</v>
      </c>
      <c r="I24" s="1">
        <f>VC!D7</f>
        <v>0</v>
      </c>
      <c r="J24" s="1">
        <f>VC!E7</f>
        <v>0</v>
      </c>
      <c r="K24" s="1">
        <f>VC!F7</f>
        <v>0</v>
      </c>
      <c r="L24" s="1">
        <f>VC!G7</f>
        <v>0</v>
      </c>
      <c r="M24" s="1">
        <f>VC!H7</f>
        <v>0</v>
      </c>
      <c r="N24" s="1">
        <f>VC!I7</f>
        <v>0</v>
      </c>
      <c r="O24" s="1">
        <f>VC!J7</f>
        <v>0</v>
      </c>
      <c r="P24" s="1">
        <f>VC!K7</f>
        <v>0</v>
      </c>
      <c r="Q24" s="1">
        <f>VC!L7</f>
        <v>0</v>
      </c>
      <c r="R24" s="1">
        <f>VC!M7</f>
        <v>0</v>
      </c>
      <c r="S24" s="1">
        <f>VC!N7</f>
        <v>0</v>
      </c>
      <c r="T24" s="1">
        <f>VC!O7</f>
        <v>0</v>
      </c>
      <c r="U24" s="1">
        <f>VC!P7</f>
        <v>0</v>
      </c>
      <c r="V24" s="1">
        <f>VC!Q7</f>
        <v>0</v>
      </c>
      <c r="W24" s="1">
        <f>VC!R7</f>
        <v>0</v>
      </c>
      <c r="X24" s="1">
        <f>VC!S7</f>
        <v>0</v>
      </c>
      <c r="Y24" s="1">
        <f>VC!T7</f>
        <v>0</v>
      </c>
      <c r="Z24" s="1">
        <f>VC!U7</f>
        <v>0</v>
      </c>
      <c r="AA24" s="1">
        <f>VC!V7</f>
        <v>0</v>
      </c>
      <c r="AB24" s="1">
        <f>VC!W7</f>
        <v>0</v>
      </c>
      <c r="AC24" s="1">
        <f>VC!X7</f>
        <v>0</v>
      </c>
      <c r="AD24" s="1">
        <f>VC!Y7</f>
        <v>0</v>
      </c>
      <c r="AE24" s="1">
        <f>VC!Z7</f>
        <v>0</v>
      </c>
      <c r="AF24" s="1">
        <f>VC!AA7</f>
        <v>0</v>
      </c>
      <c r="AG24" s="1">
        <f>VC!AB7</f>
        <v>0</v>
      </c>
      <c r="AH24" s="1">
        <f>VC!AC7</f>
        <v>0</v>
      </c>
      <c r="AI24" s="1">
        <f>VC!AD7</f>
        <v>0</v>
      </c>
      <c r="AJ24" s="1">
        <f>VC!AE7</f>
        <v>0</v>
      </c>
      <c r="AK24" s="1">
        <f>VC!AF7</f>
        <v>0</v>
      </c>
      <c r="AL24" s="1">
        <f>VC!AG7</f>
        <v>0</v>
      </c>
      <c r="AM24" s="1">
        <f>VC!AH7</f>
        <v>0</v>
      </c>
      <c r="AN24" s="1">
        <f>VC!AI7</f>
        <v>0</v>
      </c>
      <c r="AO24" s="1">
        <f>VC!AJ7</f>
        <v>0</v>
      </c>
      <c r="AP24" s="1">
        <f>VC!AK7</f>
        <v>0</v>
      </c>
      <c r="AQ24" s="1">
        <f>VC!AL7</f>
        <v>0</v>
      </c>
      <c r="AR24" s="1">
        <f>VC!AM7</f>
        <v>0</v>
      </c>
      <c r="AS24" s="1">
        <f>VC!AN7</f>
        <v>0</v>
      </c>
      <c r="AT24" s="1">
        <f>VC!AO7</f>
        <v>0</v>
      </c>
      <c r="AU24" s="1">
        <f>VC!AP7</f>
        <v>0</v>
      </c>
      <c r="AV24" s="1">
        <f>VC!AQ7</f>
        <v>0</v>
      </c>
      <c r="AW24" s="1">
        <f>VC!AR7</f>
        <v>0</v>
      </c>
      <c r="AX24" s="1">
        <f>VC!AS7</f>
        <v>0</v>
      </c>
      <c r="AY24" s="1">
        <f>VC!AT7</f>
        <v>0</v>
      </c>
      <c r="AZ24" s="1">
        <f>VC!AU7</f>
        <v>0</v>
      </c>
      <c r="BA24" s="1">
        <f>VC!AV7</f>
        <v>0</v>
      </c>
      <c r="BB24" s="1">
        <f>VC!AW7</f>
        <v>0</v>
      </c>
      <c r="BC24" s="1">
        <f>VC!AX7</f>
        <v>0</v>
      </c>
      <c r="BD24" s="1">
        <f>VC!AY7</f>
        <v>0</v>
      </c>
      <c r="BE24" s="1">
        <f>VC!AZ7</f>
        <v>0</v>
      </c>
      <c r="BF24" s="1">
        <f>VC!BA7</f>
        <v>0</v>
      </c>
      <c r="BG24" s="1">
        <f>VC!BB7</f>
        <v>0</v>
      </c>
      <c r="BH24" s="1">
        <f>VC!BC7</f>
        <v>0</v>
      </c>
      <c r="BI24" s="1">
        <f>VC!BD7</f>
        <v>0</v>
      </c>
      <c r="BJ24" s="1">
        <f>VC!BE7</f>
        <v>0</v>
      </c>
      <c r="BK24" s="1">
        <f>VC!BF7</f>
        <v>0</v>
      </c>
      <c r="BL24" s="1">
        <f>VC!BG7</f>
        <v>0</v>
      </c>
      <c r="BM24" s="1">
        <f>VC!BH7</f>
        <v>0</v>
      </c>
      <c r="BN24" s="1" t="str">
        <f>VC!BI7</f>
        <v>nt1451InsC</v>
      </c>
      <c r="BO24" s="1">
        <f>VC!BJ7</f>
        <v>0</v>
      </c>
      <c r="BP24" s="1">
        <f>VC!BK7</f>
        <v>0</v>
      </c>
      <c r="BQ24" s="1">
        <f>VC!BL7</f>
        <v>0</v>
      </c>
      <c r="BR24" s="1">
        <f>VC!BM7</f>
        <v>0</v>
      </c>
      <c r="BS24" s="1">
        <f>VC!BN7</f>
        <v>0</v>
      </c>
      <c r="BT24" s="1">
        <f>VC!BO7</f>
        <v>0</v>
      </c>
      <c r="BU24" s="1">
        <f>VC!BP7</f>
        <v>0</v>
      </c>
      <c r="BV24" s="1">
        <f>VC!BQ7</f>
        <v>0</v>
      </c>
      <c r="BW24" s="1">
        <f>VC!BR7</f>
        <v>0</v>
      </c>
      <c r="BX24" s="1">
        <f>VC!BS7</f>
        <v>0</v>
      </c>
      <c r="BY24" s="1">
        <f>VC!BT7</f>
        <v>0</v>
      </c>
      <c r="BZ24" s="1">
        <f>VC!BU7</f>
        <v>0</v>
      </c>
      <c r="CA24" s="1">
        <f>VC!BV7</f>
        <v>0</v>
      </c>
      <c r="CB24" s="1">
        <f>VC!BW7</f>
        <v>0</v>
      </c>
      <c r="CC24" s="1">
        <f>VC!BX7</f>
        <v>0</v>
      </c>
      <c r="CD24" s="1">
        <f>VC!BY7</f>
        <v>0</v>
      </c>
      <c r="CE24" s="1">
        <f>VC!BZ7</f>
        <v>0</v>
      </c>
      <c r="CF24" s="1">
        <f>VC!CA7</f>
        <v>0</v>
      </c>
      <c r="CG24" s="1">
        <f>VC!CB7</f>
        <v>0</v>
      </c>
      <c r="CH24" s="1">
        <f>VC!CC7</f>
        <v>0</v>
      </c>
      <c r="CI24" s="1">
        <f>VC!CD7</f>
        <v>0</v>
      </c>
      <c r="CJ24" s="1">
        <f>VC!CE7</f>
        <v>0</v>
      </c>
      <c r="CK24" s="1">
        <f>VC!CF7</f>
        <v>0</v>
      </c>
      <c r="CL24" s="1">
        <f>VC!CG7</f>
        <v>0</v>
      </c>
      <c r="CM24" s="1">
        <f>VC!CH7</f>
        <v>0</v>
      </c>
      <c r="CN24" s="1">
        <f>VC!CI7</f>
        <v>0</v>
      </c>
      <c r="CO24" s="1">
        <f>VC!CJ7</f>
        <v>0</v>
      </c>
      <c r="CP24" s="1" t="str">
        <f>VC!CK7</f>
        <v>T198P</v>
      </c>
      <c r="CQ24" s="1">
        <f>VC!CL7</f>
        <v>0</v>
      </c>
      <c r="CR24" s="1">
        <f>VC!CM7</f>
        <v>0</v>
      </c>
      <c r="CS24" s="1">
        <f>VC!CN7</f>
        <v>0</v>
      </c>
      <c r="CT24" s="1">
        <f>VC!CO7</f>
        <v>0</v>
      </c>
      <c r="CU24" s="1">
        <f>VC!CP7</f>
        <v>0</v>
      </c>
      <c r="CV24" s="1" t="str">
        <f>VC!CQ7</f>
        <v>T180I</v>
      </c>
      <c r="CW24" s="1">
        <f>VC!CR7</f>
        <v>0</v>
      </c>
      <c r="CX24" s="1">
        <f>VC!CS7</f>
        <v>0</v>
      </c>
      <c r="CY24" s="1">
        <f>VC!CT7</f>
        <v>0</v>
      </c>
      <c r="CZ24" s="1">
        <f>VC!CU7</f>
        <v>0</v>
      </c>
      <c r="DA24" s="1">
        <f>VC!CV7</f>
        <v>0</v>
      </c>
      <c r="DB24" s="1">
        <f>VC!CW7</f>
        <v>0</v>
      </c>
      <c r="DC24" s="1">
        <f>VC!CX7</f>
        <v>0</v>
      </c>
      <c r="DD24" s="1">
        <f>VC!CY7</f>
        <v>0</v>
      </c>
      <c r="DE24" s="1">
        <f>VC!CZ7</f>
        <v>0</v>
      </c>
      <c r="DF24" s="1">
        <f>VC!DA7</f>
        <v>0</v>
      </c>
      <c r="DG24" s="1">
        <f>VC!DB7</f>
        <v>0</v>
      </c>
      <c r="DH24" s="1">
        <f>VC!DC7</f>
        <v>0</v>
      </c>
      <c r="DI24" s="1">
        <f>VC!DD7</f>
        <v>0</v>
      </c>
      <c r="DJ24" s="1">
        <f>VC!DE7</f>
        <v>0</v>
      </c>
      <c r="DK24" s="1">
        <f>VC!DF7</f>
        <v>0</v>
      </c>
      <c r="DL24" s="1">
        <f>VC!DG7</f>
        <v>0</v>
      </c>
      <c r="DM24" s="1">
        <f>VC!DH7</f>
        <v>0</v>
      </c>
      <c r="DN24" s="1">
        <f>VC!DI7</f>
        <v>0</v>
      </c>
      <c r="DO24" s="1">
        <f>VC!DJ7</f>
        <v>0</v>
      </c>
      <c r="DP24" s="1">
        <f>VC!DK7</f>
        <v>0</v>
      </c>
      <c r="DQ24" s="1">
        <f>VC!DL7</f>
        <v>0</v>
      </c>
      <c r="DR24" s="1" t="str">
        <f>VC!DM7</f>
        <v>nt501∆5</v>
      </c>
      <c r="DS24" s="1">
        <f>VC!DN7</f>
        <v>0</v>
      </c>
      <c r="DT24" s="1">
        <f>VC!DO7</f>
        <v>0</v>
      </c>
      <c r="DU24" s="1">
        <f>VC!DP7</f>
        <v>0</v>
      </c>
      <c r="DV24" s="1">
        <f>VC!DQ7</f>
        <v>0</v>
      </c>
      <c r="DW24" s="1">
        <f>VC!DR7</f>
        <v>0</v>
      </c>
      <c r="DX24" s="1">
        <f>VC!DS7</f>
        <v>0</v>
      </c>
      <c r="DY24" s="1">
        <f>VC!DT7</f>
        <v>0</v>
      </c>
      <c r="DZ24" s="1">
        <f>VC!DU7</f>
        <v>0</v>
      </c>
      <c r="EA24" s="1">
        <f>VC!DV7</f>
        <v>0</v>
      </c>
      <c r="EB24" s="1">
        <f>VC!DW7</f>
        <v>0</v>
      </c>
      <c r="EC24" s="1">
        <f>VC!DX7</f>
        <v>0</v>
      </c>
      <c r="ED24" s="1">
        <f>VC!DY7</f>
        <v>0</v>
      </c>
      <c r="EE24" s="1">
        <f>VC!DZ7</f>
        <v>0</v>
      </c>
      <c r="EF24" s="1">
        <f>VC!EA7</f>
        <v>0</v>
      </c>
      <c r="EG24" s="1">
        <f>VC!EB7</f>
        <v>0</v>
      </c>
      <c r="EH24" s="1">
        <f>VC!EC7</f>
        <v>0</v>
      </c>
      <c r="EI24" s="1">
        <f>VC!ED7</f>
        <v>0</v>
      </c>
      <c r="EJ24" s="1">
        <f>VC!EE7</f>
        <v>0</v>
      </c>
      <c r="EK24" s="1">
        <f>VC!EF7</f>
        <v>0</v>
      </c>
      <c r="EL24" s="1">
        <f>VC!EG7</f>
        <v>0</v>
      </c>
      <c r="EM24" s="1">
        <f>VC!EH7</f>
        <v>0</v>
      </c>
      <c r="EN24" s="1">
        <f>VC!EI7</f>
        <v>0</v>
      </c>
      <c r="EO24" s="1">
        <f>VC!EJ7</f>
        <v>0</v>
      </c>
      <c r="EP24" s="1">
        <f>VC!EK7</f>
        <v>0</v>
      </c>
      <c r="EQ24" s="1">
        <f>VC!EL7</f>
        <v>0</v>
      </c>
      <c r="ER24" s="1">
        <f>VC!EM7</f>
        <v>0</v>
      </c>
      <c r="ES24" s="1">
        <f>VC!EN7</f>
        <v>0</v>
      </c>
      <c r="ET24" s="1">
        <f>VC!EO7</f>
        <v>0</v>
      </c>
      <c r="EU24" s="1">
        <f>VC!EP7</f>
        <v>0</v>
      </c>
      <c r="EV24" s="1">
        <f>VC!EQ7</f>
        <v>0</v>
      </c>
      <c r="EW24" s="1" t="str">
        <f>VC!ER7</f>
        <v>Q265E</v>
      </c>
      <c r="EX24" s="1">
        <f>VC!ES7</f>
        <v>0</v>
      </c>
      <c r="EY24" s="1">
        <f>VC!ET7</f>
        <v>0</v>
      </c>
      <c r="EZ24" s="1">
        <f>VC!EU7</f>
        <v>0</v>
      </c>
      <c r="FA24" s="1">
        <f>VC!EV7</f>
        <v>0</v>
      </c>
      <c r="FB24" s="1">
        <f>VC!EW7</f>
        <v>0</v>
      </c>
      <c r="FC24" s="1">
        <f>VC!EX7</f>
        <v>0</v>
      </c>
      <c r="FD24" s="1">
        <f>VC!EY7</f>
        <v>0</v>
      </c>
      <c r="FE24" s="1">
        <f>VC!EZ7</f>
        <v>0</v>
      </c>
      <c r="FF24" s="1">
        <f>VC!FA7</f>
        <v>0</v>
      </c>
      <c r="FG24" s="1">
        <f>VC!FB7</f>
        <v>0</v>
      </c>
      <c r="FH24" s="1">
        <f>VC!FC7</f>
        <v>0</v>
      </c>
      <c r="FI24" s="1">
        <f>VC!FD7</f>
        <v>0</v>
      </c>
      <c r="FJ24" s="1">
        <f>VC!FE7</f>
        <v>0</v>
      </c>
      <c r="FK24" s="1">
        <f>VC!FF7</f>
        <v>0</v>
      </c>
      <c r="FL24" s="1">
        <f>VC!FG7</f>
        <v>0</v>
      </c>
      <c r="FM24" s="1">
        <f>VC!FH7</f>
        <v>0</v>
      </c>
      <c r="FN24" s="1">
        <f>VC!FI7</f>
        <v>0</v>
      </c>
      <c r="FO24" s="1">
        <f>VC!FJ7</f>
        <v>0</v>
      </c>
      <c r="FP24" s="1">
        <f>VC!FK7</f>
        <v>0</v>
      </c>
      <c r="FQ24" s="1">
        <f>VC!FL7</f>
        <v>0</v>
      </c>
      <c r="FR24" s="1">
        <f>VC!FM7</f>
        <v>0</v>
      </c>
      <c r="FS24" s="1">
        <f>VC!FN7</f>
        <v>0</v>
      </c>
      <c r="FT24" s="1">
        <f>VC!FO7</f>
        <v>0</v>
      </c>
      <c r="FU24" s="1">
        <f>VC!FP7</f>
        <v>0</v>
      </c>
      <c r="FV24" s="1">
        <f>VC!FQ7</f>
        <v>0</v>
      </c>
      <c r="FW24" s="1">
        <f>VC!FR7</f>
        <v>0</v>
      </c>
      <c r="FX24" s="1">
        <f>VC!FS7</f>
        <v>0</v>
      </c>
      <c r="FY24" s="1">
        <f>VC!FT7</f>
        <v>0</v>
      </c>
      <c r="FZ24" s="1">
        <f>VC!FU7</f>
        <v>0</v>
      </c>
      <c r="GA24" s="1">
        <f>VC!FV7</f>
        <v>0</v>
      </c>
      <c r="GB24" s="1">
        <f>VC!FW7</f>
        <v>0</v>
      </c>
      <c r="GC24" s="1">
        <f>VC!FX7</f>
        <v>0</v>
      </c>
      <c r="GD24" s="1">
        <f>VC!FY7</f>
        <v>0</v>
      </c>
      <c r="GE24" s="1">
        <f>VC!FZ7</f>
        <v>0</v>
      </c>
      <c r="GF24" s="1">
        <f>VC!GA7</f>
        <v>0</v>
      </c>
      <c r="GG24" s="1">
        <f>VC!GB7</f>
        <v>0</v>
      </c>
      <c r="GH24" s="1">
        <f>VC!GC7</f>
        <v>0</v>
      </c>
      <c r="GI24" s="1">
        <f>VC!GD7</f>
        <v>0</v>
      </c>
      <c r="GJ24" s="1">
        <f>VC!GE7</f>
        <v>0</v>
      </c>
      <c r="GK24" s="1">
        <f>VC!GF7</f>
        <v>0</v>
      </c>
      <c r="GL24" s="1">
        <f>VC!GG7</f>
        <v>0</v>
      </c>
      <c r="GM24" s="1">
        <f>VC!GH7</f>
        <v>0</v>
      </c>
      <c r="GN24" s="1">
        <f>VC!GI7</f>
        <v>0</v>
      </c>
      <c r="GO24" s="1">
        <f>VC!GJ7</f>
        <v>0</v>
      </c>
      <c r="GP24" s="1">
        <f>VC!GK7</f>
        <v>0</v>
      </c>
      <c r="GQ24" s="1">
        <f>VC!GL7</f>
        <v>0</v>
      </c>
      <c r="GR24" s="1">
        <f>VC!GM7</f>
        <v>0</v>
      </c>
      <c r="GS24" s="1">
        <f>VC!GN7</f>
        <v>0</v>
      </c>
      <c r="GT24" s="1">
        <f>VC!GO7</f>
        <v>0</v>
      </c>
      <c r="GU24" s="1">
        <f>VC!GP7</f>
        <v>0</v>
      </c>
      <c r="GV24" s="1">
        <f>VC!GQ7</f>
        <v>0</v>
      </c>
      <c r="GW24" s="1">
        <f>VC!GR7</f>
        <v>0</v>
      </c>
      <c r="GX24" s="1">
        <f>VC!GS7</f>
        <v>0</v>
      </c>
      <c r="GY24" s="1">
        <f>VC!GT7</f>
        <v>0</v>
      </c>
      <c r="GZ24" s="1">
        <f>VC!GU7</f>
        <v>0</v>
      </c>
      <c r="HA24" s="1">
        <f>VC!GV7</f>
        <v>0</v>
      </c>
      <c r="HB24" s="1">
        <f>VC!GW7</f>
        <v>0</v>
      </c>
      <c r="HC24" s="1">
        <f>VC!GX7</f>
        <v>0</v>
      </c>
    </row>
    <row r="25" spans="1:211" s="1" customFormat="1" ht="15.75" thickBot="1" x14ac:dyDescent="0.3">
      <c r="A25" s="69" t="s">
        <v>11</v>
      </c>
      <c r="B25" s="70" t="s">
        <v>12</v>
      </c>
      <c r="C25" s="71" t="s">
        <v>3</v>
      </c>
      <c r="D25" s="70" t="s">
        <v>77</v>
      </c>
      <c r="E25" s="70">
        <v>-0.25</v>
      </c>
      <c r="F25" s="70" t="s">
        <v>74</v>
      </c>
      <c r="G25" s="72" t="s">
        <v>137</v>
      </c>
      <c r="H25" s="1">
        <f>VC!C7</f>
        <v>0</v>
      </c>
      <c r="I25" s="1">
        <f>VC!D7</f>
        <v>0</v>
      </c>
      <c r="J25" s="1">
        <f>VC!E7</f>
        <v>0</v>
      </c>
      <c r="K25" s="1">
        <f>VC!F7</f>
        <v>0</v>
      </c>
      <c r="L25" s="1">
        <f>VC!G7</f>
        <v>0</v>
      </c>
      <c r="M25" s="1">
        <f>VC!H7</f>
        <v>0</v>
      </c>
      <c r="N25" s="1">
        <f>VC!I7</f>
        <v>0</v>
      </c>
      <c r="O25" s="1">
        <f>VC!J7</f>
        <v>0</v>
      </c>
      <c r="P25" s="1">
        <f>VC!K7</f>
        <v>0</v>
      </c>
      <c r="Q25" s="1">
        <f>VC!L7</f>
        <v>0</v>
      </c>
      <c r="R25" s="1">
        <f>VC!M7</f>
        <v>0</v>
      </c>
      <c r="S25" s="1">
        <f>VC!N7</f>
        <v>0</v>
      </c>
      <c r="T25" s="1">
        <f>VC!O7</f>
        <v>0</v>
      </c>
      <c r="U25" s="1">
        <f>VC!P7</f>
        <v>0</v>
      </c>
      <c r="V25" s="1">
        <f>VC!Q7</f>
        <v>0</v>
      </c>
      <c r="W25" s="1">
        <f>VC!R7</f>
        <v>0</v>
      </c>
      <c r="X25" s="1">
        <f>VC!S7</f>
        <v>0</v>
      </c>
      <c r="Y25" s="1">
        <f>VC!T7</f>
        <v>0</v>
      </c>
      <c r="Z25" s="1">
        <f>VC!U7</f>
        <v>0</v>
      </c>
      <c r="AA25" s="1">
        <f>VC!V7</f>
        <v>0</v>
      </c>
      <c r="AB25" s="1">
        <f>VC!W7</f>
        <v>0</v>
      </c>
      <c r="AC25" s="1">
        <f>VC!X7</f>
        <v>0</v>
      </c>
      <c r="AD25" s="1">
        <f>VC!Y7</f>
        <v>0</v>
      </c>
      <c r="AE25" s="1">
        <f>VC!Z7</f>
        <v>0</v>
      </c>
      <c r="AF25" s="1">
        <f>VC!AA7</f>
        <v>0</v>
      </c>
      <c r="AG25" s="1">
        <f>VC!AB7</f>
        <v>0</v>
      </c>
      <c r="AH25" s="1">
        <f>VC!AC7</f>
        <v>0</v>
      </c>
      <c r="AI25" s="1">
        <f>VC!AD7</f>
        <v>0</v>
      </c>
      <c r="AJ25" s="1">
        <f>VC!AE7</f>
        <v>0</v>
      </c>
      <c r="AK25" s="1">
        <f>VC!AF7</f>
        <v>0</v>
      </c>
      <c r="AL25" s="1">
        <f>VC!AG7</f>
        <v>0</v>
      </c>
      <c r="AM25" s="1">
        <f>VC!AH7</f>
        <v>0</v>
      </c>
      <c r="AN25" s="1">
        <f>VC!AI7</f>
        <v>0</v>
      </c>
      <c r="AO25" s="1">
        <f>VC!AJ7</f>
        <v>0</v>
      </c>
      <c r="AP25" s="1">
        <f>VC!AK7</f>
        <v>0</v>
      </c>
      <c r="AQ25" s="1">
        <f>VC!AL7</f>
        <v>0</v>
      </c>
      <c r="AR25" s="1">
        <f>VC!AM7</f>
        <v>0</v>
      </c>
      <c r="AS25" s="1">
        <f>VC!AN7</f>
        <v>0</v>
      </c>
      <c r="AT25" s="1">
        <f>VC!AO7</f>
        <v>0</v>
      </c>
      <c r="AU25" s="1">
        <f>VC!AP7</f>
        <v>0</v>
      </c>
      <c r="AV25" s="1">
        <f>VC!AQ7</f>
        <v>0</v>
      </c>
      <c r="AW25" s="1">
        <f>VC!AR7</f>
        <v>0</v>
      </c>
      <c r="AX25" s="1">
        <f>VC!AS7</f>
        <v>0</v>
      </c>
      <c r="AY25" s="1">
        <f>VC!AT7</f>
        <v>0</v>
      </c>
      <c r="AZ25" s="1">
        <f>VC!AU7</f>
        <v>0</v>
      </c>
      <c r="BA25" s="1">
        <f>VC!AV7</f>
        <v>0</v>
      </c>
      <c r="BB25" s="1">
        <f>VC!AW7</f>
        <v>0</v>
      </c>
      <c r="BC25" s="1">
        <f>VC!AX7</f>
        <v>0</v>
      </c>
      <c r="BD25" s="1">
        <f>VC!AY7</f>
        <v>0</v>
      </c>
      <c r="BE25" s="1">
        <f>VC!AZ7</f>
        <v>0</v>
      </c>
      <c r="BF25" s="1">
        <f>VC!BA7</f>
        <v>0</v>
      </c>
      <c r="BG25" s="1">
        <f>VC!BB7</f>
        <v>0</v>
      </c>
      <c r="BH25" s="1">
        <f>VC!BC7</f>
        <v>0</v>
      </c>
      <c r="BI25" s="1">
        <f>VC!BD7</f>
        <v>0</v>
      </c>
      <c r="BJ25" s="1">
        <f>VC!BE7</f>
        <v>0</v>
      </c>
      <c r="BK25" s="1">
        <f>VC!BF7</f>
        <v>0</v>
      </c>
      <c r="BL25" s="1">
        <f>VC!BG7</f>
        <v>0</v>
      </c>
      <c r="BM25" s="1">
        <f>VC!BH7</f>
        <v>0</v>
      </c>
      <c r="BN25" s="1" t="str">
        <f>VC!BI7</f>
        <v>nt1451InsC</v>
      </c>
      <c r="BO25" s="1">
        <f>VC!BJ7</f>
        <v>0</v>
      </c>
      <c r="BP25" s="1">
        <f>VC!BK7</f>
        <v>0</v>
      </c>
      <c r="BQ25" s="1">
        <f>VC!BL7</f>
        <v>0</v>
      </c>
      <c r="BR25" s="1">
        <f>VC!BM7</f>
        <v>0</v>
      </c>
      <c r="BS25" s="1">
        <f>VC!BN7</f>
        <v>0</v>
      </c>
      <c r="BT25" s="1">
        <f>VC!BO7</f>
        <v>0</v>
      </c>
      <c r="BU25" s="1">
        <f>VC!BP7</f>
        <v>0</v>
      </c>
      <c r="BV25" s="1">
        <f>VC!BQ7</f>
        <v>0</v>
      </c>
      <c r="BW25" s="1">
        <f>VC!BR7</f>
        <v>0</v>
      </c>
      <c r="BX25" s="1">
        <f>VC!BS7</f>
        <v>0</v>
      </c>
      <c r="BY25" s="1">
        <f>VC!BT7</f>
        <v>0</v>
      </c>
      <c r="BZ25" s="1">
        <f>VC!BU7</f>
        <v>0</v>
      </c>
      <c r="CA25" s="1">
        <f>VC!BV7</f>
        <v>0</v>
      </c>
      <c r="CB25" s="1">
        <f>VC!BW7</f>
        <v>0</v>
      </c>
      <c r="CC25" s="1">
        <f>VC!BX7</f>
        <v>0</v>
      </c>
      <c r="CD25" s="1">
        <f>VC!BY7</f>
        <v>0</v>
      </c>
      <c r="CE25" s="1">
        <f>VC!BZ7</f>
        <v>0</v>
      </c>
      <c r="CF25" s="1">
        <f>VC!CA7</f>
        <v>0</v>
      </c>
      <c r="CG25" s="1">
        <f>VC!CB7</f>
        <v>0</v>
      </c>
      <c r="CH25" s="1">
        <f>VC!CC7</f>
        <v>0</v>
      </c>
      <c r="CI25" s="1">
        <f>VC!CD7</f>
        <v>0</v>
      </c>
      <c r="CJ25" s="1">
        <f>VC!CE7</f>
        <v>0</v>
      </c>
      <c r="CK25" s="1">
        <f>VC!CF7</f>
        <v>0</v>
      </c>
      <c r="CL25" s="1">
        <f>VC!CG7</f>
        <v>0</v>
      </c>
      <c r="CM25" s="1">
        <f>VC!CH7</f>
        <v>0</v>
      </c>
      <c r="CN25" s="1">
        <f>VC!CI7</f>
        <v>0</v>
      </c>
      <c r="CO25" s="1">
        <f>VC!CJ7</f>
        <v>0</v>
      </c>
      <c r="CP25" s="1" t="str">
        <f>VC!CK7</f>
        <v>T198P</v>
      </c>
      <c r="CQ25" s="1">
        <f>VC!CL7</f>
        <v>0</v>
      </c>
      <c r="CR25" s="1">
        <f>VC!CM7</f>
        <v>0</v>
      </c>
      <c r="CS25" s="1">
        <f>VC!CN7</f>
        <v>0</v>
      </c>
      <c r="CT25" s="1">
        <f>VC!CO7</f>
        <v>0</v>
      </c>
      <c r="CU25" s="1">
        <f>VC!CP7</f>
        <v>0</v>
      </c>
      <c r="CV25" s="1" t="str">
        <f>VC!CQ7</f>
        <v>T180I</v>
      </c>
      <c r="CW25" s="1">
        <f>VC!CR7</f>
        <v>0</v>
      </c>
      <c r="CX25" s="1">
        <f>VC!CS7</f>
        <v>0</v>
      </c>
      <c r="CY25" s="1">
        <f>VC!CT7</f>
        <v>0</v>
      </c>
      <c r="CZ25" s="1">
        <f>VC!CU7</f>
        <v>0</v>
      </c>
      <c r="DA25" s="1">
        <f>VC!CV7</f>
        <v>0</v>
      </c>
      <c r="DB25" s="1">
        <f>VC!CW7</f>
        <v>0</v>
      </c>
      <c r="DC25" s="1">
        <f>VC!CX7</f>
        <v>0</v>
      </c>
      <c r="DD25" s="1">
        <f>VC!CY7</f>
        <v>0</v>
      </c>
      <c r="DE25" s="1">
        <f>VC!CZ7</f>
        <v>0</v>
      </c>
      <c r="DF25" s="1">
        <f>VC!DA7</f>
        <v>0</v>
      </c>
      <c r="DG25" s="1">
        <f>VC!DB7</f>
        <v>0</v>
      </c>
      <c r="DH25" s="1">
        <f>VC!DC7</f>
        <v>0</v>
      </c>
      <c r="DI25" s="1">
        <f>VC!DD7</f>
        <v>0</v>
      </c>
      <c r="DJ25" s="1">
        <f>VC!DE7</f>
        <v>0</v>
      </c>
      <c r="DK25" s="1">
        <f>VC!DF7</f>
        <v>0</v>
      </c>
      <c r="DL25" s="1">
        <f>VC!DG7</f>
        <v>0</v>
      </c>
      <c r="DM25" s="1">
        <f>VC!DH7</f>
        <v>0</v>
      </c>
      <c r="DN25" s="1">
        <f>VC!DI7</f>
        <v>0</v>
      </c>
      <c r="DO25" s="1">
        <f>VC!DJ7</f>
        <v>0</v>
      </c>
      <c r="DP25" s="1">
        <f>VC!DK7</f>
        <v>0</v>
      </c>
      <c r="DQ25" s="1">
        <f>VC!DL7</f>
        <v>0</v>
      </c>
      <c r="DR25" s="1" t="str">
        <f>VC!DM7</f>
        <v>nt501∆5</v>
      </c>
      <c r="DS25" s="1">
        <f>VC!DN7</f>
        <v>0</v>
      </c>
      <c r="DT25" s="1">
        <f>VC!DO7</f>
        <v>0</v>
      </c>
      <c r="DU25" s="1">
        <f>VC!DP7</f>
        <v>0</v>
      </c>
      <c r="DV25" s="1">
        <f>VC!DQ7</f>
        <v>0</v>
      </c>
      <c r="DW25" s="1">
        <f>VC!DR7</f>
        <v>0</v>
      </c>
      <c r="DX25" s="1">
        <f>VC!DS7</f>
        <v>0</v>
      </c>
      <c r="DY25" s="1">
        <f>VC!DT7</f>
        <v>0</v>
      </c>
      <c r="DZ25" s="1">
        <f>VC!DU7</f>
        <v>0</v>
      </c>
      <c r="EA25" s="1">
        <f>VC!DV7</f>
        <v>0</v>
      </c>
      <c r="EB25" s="1">
        <f>VC!DW7</f>
        <v>0</v>
      </c>
      <c r="EC25" s="1">
        <f>VC!DX7</f>
        <v>0</v>
      </c>
      <c r="ED25" s="1">
        <f>VC!DY7</f>
        <v>0</v>
      </c>
      <c r="EE25" s="1">
        <f>VC!DZ7</f>
        <v>0</v>
      </c>
      <c r="EF25" s="1">
        <f>VC!EA7</f>
        <v>0</v>
      </c>
      <c r="EG25" s="1">
        <f>VC!EB7</f>
        <v>0</v>
      </c>
      <c r="EH25" s="1">
        <f>VC!EC7</f>
        <v>0</v>
      </c>
      <c r="EI25" s="1">
        <f>VC!ED7</f>
        <v>0</v>
      </c>
      <c r="EJ25" s="1">
        <f>VC!EE7</f>
        <v>0</v>
      </c>
      <c r="EK25" s="1">
        <f>VC!EF7</f>
        <v>0</v>
      </c>
      <c r="EL25" s="1">
        <f>VC!EG7</f>
        <v>0</v>
      </c>
      <c r="EM25" s="1">
        <f>VC!EH7</f>
        <v>0</v>
      </c>
      <c r="EN25" s="1">
        <f>VC!EI7</f>
        <v>0</v>
      </c>
      <c r="EO25" s="1">
        <f>VC!EJ7</f>
        <v>0</v>
      </c>
      <c r="EP25" s="1">
        <f>VC!EK7</f>
        <v>0</v>
      </c>
      <c r="EQ25" s="1">
        <f>VC!EL7</f>
        <v>0</v>
      </c>
      <c r="ER25" s="1">
        <f>VC!EM7</f>
        <v>0</v>
      </c>
      <c r="ES25" s="1">
        <f>VC!EN7</f>
        <v>0</v>
      </c>
      <c r="ET25" s="1">
        <f>VC!EO7</f>
        <v>0</v>
      </c>
      <c r="EU25" s="1">
        <f>VC!EP7</f>
        <v>0</v>
      </c>
      <c r="EV25" s="1">
        <f>VC!EQ7</f>
        <v>0</v>
      </c>
      <c r="EW25" s="1" t="str">
        <f>VC!ER7</f>
        <v>Q265E</v>
      </c>
      <c r="EX25" s="1">
        <f>VC!ES7</f>
        <v>0</v>
      </c>
      <c r="EY25" s="1">
        <f>VC!ET7</f>
        <v>0</v>
      </c>
      <c r="EZ25" s="1">
        <f>VC!EU7</f>
        <v>0</v>
      </c>
      <c r="FA25" s="1">
        <f>VC!EV7</f>
        <v>0</v>
      </c>
      <c r="FB25" s="1">
        <f>VC!EW7</f>
        <v>0</v>
      </c>
      <c r="FC25" s="1">
        <f>VC!EX7</f>
        <v>0</v>
      </c>
      <c r="FD25" s="1">
        <f>VC!EY7</f>
        <v>0</v>
      </c>
      <c r="FE25" s="1">
        <f>VC!EZ7</f>
        <v>0</v>
      </c>
      <c r="FF25" s="1">
        <f>VC!FA7</f>
        <v>0</v>
      </c>
      <c r="FG25" s="1">
        <f>VC!FB7</f>
        <v>0</v>
      </c>
      <c r="FH25" s="1">
        <f>VC!FC7</f>
        <v>0</v>
      </c>
      <c r="FI25" s="1">
        <f>VC!FD7</f>
        <v>0</v>
      </c>
      <c r="FJ25" s="1">
        <f>VC!FE7</f>
        <v>0</v>
      </c>
      <c r="FK25" s="1">
        <f>VC!FF7</f>
        <v>0</v>
      </c>
      <c r="FL25" s="1">
        <f>VC!FG7</f>
        <v>0</v>
      </c>
      <c r="FM25" s="1">
        <f>VC!FH7</f>
        <v>0</v>
      </c>
      <c r="FN25" s="1">
        <f>VC!FI7</f>
        <v>0</v>
      </c>
      <c r="FO25" s="1">
        <f>VC!FJ7</f>
        <v>0</v>
      </c>
      <c r="FP25" s="1">
        <f>VC!FK7</f>
        <v>0</v>
      </c>
      <c r="FQ25" s="1">
        <f>VC!FL7</f>
        <v>0</v>
      </c>
      <c r="FR25" s="1">
        <f>VC!FM7</f>
        <v>0</v>
      </c>
      <c r="FS25" s="1">
        <f>VC!FN7</f>
        <v>0</v>
      </c>
      <c r="FT25" s="1">
        <f>VC!FO7</f>
        <v>0</v>
      </c>
      <c r="FU25" s="1">
        <f>VC!FP7</f>
        <v>0</v>
      </c>
      <c r="FV25" s="1">
        <f>VC!FQ7</f>
        <v>0</v>
      </c>
      <c r="FW25" s="1">
        <f>VC!FR7</f>
        <v>0</v>
      </c>
      <c r="FX25" s="1">
        <f>VC!FS7</f>
        <v>0</v>
      </c>
      <c r="FY25" s="1">
        <f>VC!FT7</f>
        <v>0</v>
      </c>
      <c r="FZ25" s="1">
        <f>VC!FU7</f>
        <v>0</v>
      </c>
      <c r="GA25" s="1">
        <f>VC!FV7</f>
        <v>0</v>
      </c>
      <c r="GB25" s="1">
        <f>VC!FW7</f>
        <v>0</v>
      </c>
      <c r="GC25" s="1">
        <f>VC!FX7</f>
        <v>0</v>
      </c>
      <c r="GD25" s="1">
        <f>VC!FY7</f>
        <v>0</v>
      </c>
      <c r="GE25" s="1">
        <f>VC!FZ7</f>
        <v>0</v>
      </c>
      <c r="GF25" s="1">
        <f>VC!GA7</f>
        <v>0</v>
      </c>
      <c r="GG25" s="1">
        <f>VC!GB7</f>
        <v>0</v>
      </c>
      <c r="GH25" s="1">
        <f>VC!GC7</f>
        <v>0</v>
      </c>
      <c r="GI25" s="1">
        <f>VC!GD7</f>
        <v>0</v>
      </c>
      <c r="GJ25" s="1">
        <f>VC!GE7</f>
        <v>0</v>
      </c>
      <c r="GK25" s="1">
        <f>VC!GF7</f>
        <v>0</v>
      </c>
      <c r="GL25" s="1">
        <f>VC!GG7</f>
        <v>0</v>
      </c>
      <c r="GM25" s="1">
        <f>VC!GH7</f>
        <v>0</v>
      </c>
      <c r="GN25" s="1">
        <f>VC!GI7</f>
        <v>0</v>
      </c>
      <c r="GO25" s="1">
        <f>VC!GJ7</f>
        <v>0</v>
      </c>
      <c r="GP25" s="1">
        <f>VC!GK7</f>
        <v>0</v>
      </c>
      <c r="GQ25" s="1">
        <f>VC!GL7</f>
        <v>0</v>
      </c>
      <c r="GR25" s="1">
        <f>VC!GM7</f>
        <v>0</v>
      </c>
      <c r="GS25" s="1">
        <f>VC!GN7</f>
        <v>0</v>
      </c>
      <c r="GT25" s="1">
        <f>VC!GO7</f>
        <v>0</v>
      </c>
      <c r="GU25" s="1">
        <f>VC!GP7</f>
        <v>0</v>
      </c>
      <c r="GV25" s="1">
        <f>VC!GQ7</f>
        <v>0</v>
      </c>
      <c r="GW25" s="1">
        <f>VC!GR7</f>
        <v>0</v>
      </c>
      <c r="GX25" s="1">
        <f>VC!GS7</f>
        <v>0</v>
      </c>
      <c r="GY25" s="1">
        <f>VC!GT7</f>
        <v>0</v>
      </c>
      <c r="GZ25" s="1">
        <f>VC!GU7</f>
        <v>0</v>
      </c>
      <c r="HA25" s="1">
        <f>VC!GV7</f>
        <v>0</v>
      </c>
      <c r="HB25" s="1">
        <f>VC!GW7</f>
        <v>0</v>
      </c>
      <c r="HC25" s="1">
        <f>VC!GX7</f>
        <v>0</v>
      </c>
    </row>
    <row r="26" spans="1:211" s="7" customFormat="1" x14ac:dyDescent="0.25">
      <c r="A26" s="7" t="s">
        <v>13</v>
      </c>
      <c r="B26" s="7" t="s">
        <v>14</v>
      </c>
      <c r="C26" s="8" t="s">
        <v>1</v>
      </c>
      <c r="D26" s="7" t="s">
        <v>76</v>
      </c>
      <c r="E26" s="7" t="s">
        <v>139</v>
      </c>
      <c r="F26" s="7" t="s">
        <v>74</v>
      </c>
      <c r="G26" s="7" t="s">
        <v>136</v>
      </c>
      <c r="H26" s="7">
        <f>VC!C8</f>
        <v>0</v>
      </c>
      <c r="I26" s="7">
        <f>VC!D8</f>
        <v>0</v>
      </c>
      <c r="J26" s="7">
        <f>VC!E8</f>
        <v>0</v>
      </c>
      <c r="K26" s="7">
        <f>VC!F8</f>
        <v>0</v>
      </c>
      <c r="L26" s="7">
        <f>VC!G8</f>
        <v>0</v>
      </c>
      <c r="M26" s="7">
        <f>VC!H8</f>
        <v>0</v>
      </c>
      <c r="N26" s="7">
        <f>VC!I8</f>
        <v>0</v>
      </c>
      <c r="O26" s="7">
        <f>VC!J8</f>
        <v>0</v>
      </c>
      <c r="P26" s="7">
        <f>VC!K8</f>
        <v>0</v>
      </c>
      <c r="Q26" s="7">
        <f>VC!L8</f>
        <v>0</v>
      </c>
      <c r="R26" s="7">
        <f>VC!M8</f>
        <v>0</v>
      </c>
      <c r="S26" s="7" t="str">
        <f>VC!N8</f>
        <v>I67T</v>
      </c>
      <c r="T26" s="7">
        <f>VC!O8</f>
        <v>0</v>
      </c>
      <c r="U26" s="7" t="str">
        <f>VC!P8</f>
        <v>R66C</v>
      </c>
      <c r="V26" s="7">
        <f>VC!Q8</f>
        <v>0</v>
      </c>
      <c r="W26" s="7">
        <f>VC!R8</f>
        <v>0</v>
      </c>
      <c r="X26" s="7">
        <f>VC!S8</f>
        <v>0</v>
      </c>
      <c r="Y26" s="7">
        <f>VC!T8</f>
        <v>0</v>
      </c>
      <c r="Z26" s="7">
        <f>VC!U8</f>
        <v>0</v>
      </c>
      <c r="AA26" s="7">
        <f>VC!V8</f>
        <v>0</v>
      </c>
      <c r="AB26" s="7">
        <f>VC!W8</f>
        <v>0</v>
      </c>
      <c r="AC26" s="7">
        <f>VC!X8</f>
        <v>0</v>
      </c>
      <c r="AD26" s="7">
        <f>VC!Y8</f>
        <v>0</v>
      </c>
      <c r="AE26" s="7">
        <f>VC!Z8</f>
        <v>0</v>
      </c>
      <c r="AF26" s="7">
        <f>VC!AA8</f>
        <v>0</v>
      </c>
      <c r="AG26" s="7" t="str">
        <f>VC!AB8</f>
        <v>I67T</v>
      </c>
      <c r="AH26" s="7">
        <f>VC!AC8</f>
        <v>0</v>
      </c>
      <c r="AI26" s="7">
        <f>VC!AD8</f>
        <v>0</v>
      </c>
      <c r="AJ26" s="7" t="str">
        <f>VC!AE8</f>
        <v>A51T</v>
      </c>
      <c r="AK26" s="7">
        <f>VC!AF8</f>
        <v>0</v>
      </c>
      <c r="AL26" s="7">
        <f>VC!AG8</f>
        <v>0</v>
      </c>
      <c r="AM26" s="7">
        <f>VC!AH8</f>
        <v>0</v>
      </c>
      <c r="AN26" s="7">
        <f>VC!AI8</f>
        <v>0</v>
      </c>
      <c r="AO26" s="7">
        <f>VC!AJ8</f>
        <v>0</v>
      </c>
      <c r="AP26" s="7">
        <f>VC!AK8</f>
        <v>0</v>
      </c>
      <c r="AQ26" s="7">
        <f>VC!AL8</f>
        <v>0</v>
      </c>
      <c r="AR26" s="7">
        <f>VC!AM8</f>
        <v>0</v>
      </c>
      <c r="AS26" s="7">
        <f>VC!AN8</f>
        <v>0</v>
      </c>
      <c r="AT26" s="7">
        <f>VC!AO8</f>
        <v>0</v>
      </c>
      <c r="AU26" s="7">
        <f>VC!AP8</f>
        <v>0</v>
      </c>
      <c r="AV26" s="7">
        <f>VC!AQ8</f>
        <v>0</v>
      </c>
      <c r="AW26" s="7">
        <f>VC!AR8</f>
        <v>0</v>
      </c>
      <c r="AX26" s="7">
        <f>VC!AS8</f>
        <v>0</v>
      </c>
      <c r="AY26" s="7">
        <f>VC!AT8</f>
        <v>0</v>
      </c>
      <c r="AZ26" s="7">
        <f>VC!AU8</f>
        <v>0</v>
      </c>
      <c r="BA26" s="7">
        <f>VC!AV8</f>
        <v>0</v>
      </c>
      <c r="BB26" s="7">
        <f>VC!AW8</f>
        <v>0</v>
      </c>
      <c r="BC26" s="7">
        <f>VC!AX8</f>
        <v>0</v>
      </c>
      <c r="BD26" s="7">
        <f>VC!AY8</f>
        <v>0</v>
      </c>
      <c r="BE26" s="7">
        <f>VC!AZ8</f>
        <v>0</v>
      </c>
      <c r="BF26" s="7">
        <f>VC!BA8</f>
        <v>0</v>
      </c>
      <c r="BG26" s="7" t="str">
        <f>VC!BB8</f>
        <v>P55S</v>
      </c>
      <c r="BH26" s="7">
        <f>VC!BC8</f>
        <v>0</v>
      </c>
      <c r="BI26" s="7">
        <f>VC!BD8</f>
        <v>0</v>
      </c>
      <c r="BJ26" s="7" t="str">
        <f>VC!BE8</f>
        <v>R66C</v>
      </c>
      <c r="BK26" s="7">
        <f>VC!BF8</f>
        <v>0</v>
      </c>
      <c r="BL26" s="7">
        <f>VC!BG8</f>
        <v>0</v>
      </c>
      <c r="BM26" s="7">
        <f>VC!BH8</f>
        <v>0</v>
      </c>
      <c r="BN26" s="7">
        <f>VC!BI8</f>
        <v>0</v>
      </c>
      <c r="BO26" s="7">
        <f>VC!BJ8</f>
        <v>0</v>
      </c>
      <c r="BP26" s="7">
        <f>VC!BK8</f>
        <v>0</v>
      </c>
      <c r="BQ26" s="7">
        <f>VC!BL8</f>
        <v>0</v>
      </c>
      <c r="BR26" s="7">
        <f>VC!BM8</f>
        <v>0</v>
      </c>
      <c r="BS26" s="7">
        <f>VC!BN8</f>
        <v>0</v>
      </c>
      <c r="BT26" s="7">
        <f>VC!BO8</f>
        <v>0</v>
      </c>
      <c r="BU26" s="7">
        <f>VC!BP8</f>
        <v>0</v>
      </c>
      <c r="BV26" s="7">
        <f>VC!BQ8</f>
        <v>0</v>
      </c>
      <c r="BW26" s="7">
        <f>VC!BR8</f>
        <v>0</v>
      </c>
      <c r="BX26" s="7" t="str">
        <f>VC!BS8</f>
        <v>I67T</v>
      </c>
      <c r="BY26" s="7">
        <f>VC!BT8</f>
        <v>0</v>
      </c>
      <c r="BZ26" s="7">
        <f>VC!BU8</f>
        <v>0</v>
      </c>
      <c r="CA26" s="7">
        <f>VC!BV8</f>
        <v>0</v>
      </c>
      <c r="CB26" s="7">
        <f>VC!BW8</f>
        <v>0</v>
      </c>
      <c r="CC26" s="7">
        <f>VC!BX8</f>
        <v>0</v>
      </c>
      <c r="CD26" s="7">
        <f>VC!BY8</f>
        <v>0</v>
      </c>
      <c r="CE26" s="7">
        <f>VC!BZ8</f>
        <v>0</v>
      </c>
      <c r="CF26" s="7">
        <f>VC!CA8</f>
        <v>0</v>
      </c>
      <c r="CG26" s="7" t="str">
        <f>VC!CB8</f>
        <v>I67T</v>
      </c>
      <c r="CH26" s="7">
        <f>VC!CC8</f>
        <v>0</v>
      </c>
      <c r="CI26" s="7" t="str">
        <f>VC!CD8</f>
        <v>I67T</v>
      </c>
      <c r="CJ26" s="7">
        <f>VC!CE8</f>
        <v>0</v>
      </c>
      <c r="CK26" s="7">
        <f>VC!CF8</f>
        <v>0</v>
      </c>
      <c r="CL26" s="7">
        <f>VC!CG8</f>
        <v>0</v>
      </c>
      <c r="CM26" s="7">
        <f>VC!CH8</f>
        <v>0</v>
      </c>
      <c r="CN26" s="7">
        <f>VC!CI8</f>
        <v>0</v>
      </c>
      <c r="CO26" s="7">
        <f>VC!CJ8</f>
        <v>0</v>
      </c>
      <c r="CP26" s="7">
        <f>VC!CK8</f>
        <v>0</v>
      </c>
      <c r="CQ26" s="7">
        <f>VC!CL8</f>
        <v>0</v>
      </c>
      <c r="CR26" s="7">
        <f>VC!CM8</f>
        <v>0</v>
      </c>
      <c r="CS26" s="7">
        <f>VC!CN8</f>
        <v>0</v>
      </c>
      <c r="CT26" s="7">
        <f>VC!CO8</f>
        <v>0</v>
      </c>
      <c r="CU26" s="7">
        <f>VC!CP8</f>
        <v>0</v>
      </c>
      <c r="CV26" s="7">
        <f>VC!CQ8</f>
        <v>0</v>
      </c>
      <c r="CW26" s="7">
        <f>VC!CR8</f>
        <v>0</v>
      </c>
      <c r="CX26" s="7">
        <f>VC!CS8</f>
        <v>0</v>
      </c>
      <c r="CY26" s="7">
        <f>VC!CT8</f>
        <v>0</v>
      </c>
      <c r="CZ26" s="7">
        <f>VC!CU8</f>
        <v>0</v>
      </c>
      <c r="DA26" s="7">
        <f>VC!CV8</f>
        <v>0</v>
      </c>
      <c r="DB26" s="7">
        <f>VC!CW8</f>
        <v>0</v>
      </c>
      <c r="DC26" s="7">
        <f>VC!CX8</f>
        <v>0</v>
      </c>
      <c r="DD26" s="7">
        <f>VC!CY8</f>
        <v>0</v>
      </c>
      <c r="DE26" s="7">
        <f>VC!CZ8</f>
        <v>0</v>
      </c>
      <c r="DF26" s="7">
        <f>VC!DA8</f>
        <v>0</v>
      </c>
      <c r="DG26" s="7">
        <f>VC!DB8</f>
        <v>0</v>
      </c>
      <c r="DH26" s="7">
        <f>VC!DC8</f>
        <v>0</v>
      </c>
      <c r="DI26" s="7">
        <f>VC!DD8</f>
        <v>0</v>
      </c>
      <c r="DJ26" s="7">
        <f>VC!DE8</f>
        <v>0</v>
      </c>
      <c r="DK26" s="7">
        <f>VC!DF8</f>
        <v>0</v>
      </c>
      <c r="DL26" s="7">
        <f>VC!DG8</f>
        <v>0</v>
      </c>
      <c r="DM26" s="7">
        <f>VC!DH8</f>
        <v>0</v>
      </c>
      <c r="DN26" s="7">
        <f>VC!DI8</f>
        <v>0</v>
      </c>
      <c r="DO26" s="7">
        <f>VC!DJ8</f>
        <v>0</v>
      </c>
      <c r="DP26" s="7">
        <f>VC!DK8</f>
        <v>0</v>
      </c>
      <c r="DQ26" s="7">
        <f>VC!DL8</f>
        <v>0</v>
      </c>
      <c r="DR26" s="7">
        <f>VC!DM8</f>
        <v>0</v>
      </c>
      <c r="DS26" s="7">
        <f>VC!DN8</f>
        <v>0</v>
      </c>
      <c r="DT26" s="7">
        <f>VC!DO8</f>
        <v>0</v>
      </c>
      <c r="DU26" s="7" t="str">
        <f>VC!DP8</f>
        <v>nt410∆1</v>
      </c>
      <c r="DV26" s="7">
        <f>VC!DQ8</f>
        <v>0</v>
      </c>
      <c r="DW26" s="7" t="str">
        <f>VC!DR8</f>
        <v>nt410∆1</v>
      </c>
      <c r="DX26" s="7">
        <f>VC!DS8</f>
        <v>0</v>
      </c>
      <c r="DY26" s="7" t="str">
        <f>VC!DT8</f>
        <v>I67T</v>
      </c>
      <c r="DZ26" s="7">
        <f>VC!DU8</f>
        <v>0</v>
      </c>
      <c r="EA26" s="7">
        <f>VC!DV8</f>
        <v>0</v>
      </c>
      <c r="EB26" s="7">
        <f>VC!DW8</f>
        <v>0</v>
      </c>
      <c r="EC26" s="7">
        <f>VC!DX8</f>
        <v>0</v>
      </c>
      <c r="ED26" s="7">
        <f>VC!DY8</f>
        <v>0</v>
      </c>
      <c r="EE26" s="7">
        <f>VC!DZ8</f>
        <v>0</v>
      </c>
      <c r="EF26" s="7">
        <f>VC!EA8</f>
        <v>0</v>
      </c>
      <c r="EG26" s="7">
        <f>VC!EB8</f>
        <v>0</v>
      </c>
      <c r="EH26" s="7">
        <f>VC!EC8</f>
        <v>0</v>
      </c>
      <c r="EI26" s="7" t="str">
        <f>VC!ED8</f>
        <v>Y207X</v>
      </c>
      <c r="EJ26" s="7">
        <f>VC!EE8</f>
        <v>0</v>
      </c>
      <c r="EK26" s="7">
        <f>VC!EF8</f>
        <v>0</v>
      </c>
      <c r="EL26" s="7">
        <f>VC!EG8</f>
        <v>0</v>
      </c>
      <c r="EM26" s="7">
        <f>VC!EH8</f>
        <v>0</v>
      </c>
      <c r="EN26" s="7">
        <f>VC!EI8</f>
        <v>0</v>
      </c>
      <c r="EO26" s="7">
        <f>VC!EJ8</f>
        <v>0</v>
      </c>
      <c r="EP26" s="7">
        <f>VC!EK8</f>
        <v>0</v>
      </c>
      <c r="EQ26" s="7">
        <f>VC!EL8</f>
        <v>0</v>
      </c>
      <c r="ER26" s="7">
        <f>VC!EM8</f>
        <v>0</v>
      </c>
      <c r="ES26" s="7">
        <f>VC!EN8</f>
        <v>0</v>
      </c>
      <c r="ET26" s="7">
        <f>VC!EO8</f>
        <v>0</v>
      </c>
      <c r="EU26" s="7">
        <f>VC!EP8</f>
        <v>0</v>
      </c>
      <c r="EV26" s="7">
        <f>VC!EQ8</f>
        <v>0</v>
      </c>
      <c r="EW26" s="7">
        <f>VC!ER8</f>
        <v>0</v>
      </c>
      <c r="EX26" s="7">
        <f>VC!ES8</f>
        <v>0</v>
      </c>
      <c r="EY26" s="7">
        <f>VC!ET8</f>
        <v>0</v>
      </c>
      <c r="EZ26" s="7">
        <f>VC!EU8</f>
        <v>0</v>
      </c>
      <c r="FA26" s="7">
        <f>VC!EV8</f>
        <v>0</v>
      </c>
      <c r="FB26" s="7">
        <f>VC!EW8</f>
        <v>0</v>
      </c>
      <c r="FC26" s="7">
        <f>VC!EX8</f>
        <v>0</v>
      </c>
      <c r="FD26" s="7">
        <f>VC!EY8</f>
        <v>0</v>
      </c>
      <c r="FE26" s="7" t="str">
        <f>VC!EZ8</f>
        <v>L246P</v>
      </c>
      <c r="FF26" s="7">
        <f>VC!FA8</f>
        <v>0</v>
      </c>
      <c r="FG26" s="7">
        <f>VC!FB8</f>
        <v>0</v>
      </c>
      <c r="FH26" s="7">
        <f>VC!FC8</f>
        <v>0</v>
      </c>
      <c r="FI26" s="7">
        <f>VC!FD8</f>
        <v>0</v>
      </c>
      <c r="FJ26" s="7">
        <f>VC!FE8</f>
        <v>0</v>
      </c>
      <c r="FK26" s="7">
        <f>VC!FF8</f>
        <v>0</v>
      </c>
      <c r="FL26" s="7">
        <f>VC!FG8</f>
        <v>0</v>
      </c>
      <c r="FM26" s="7">
        <f>VC!FH8</f>
        <v>0</v>
      </c>
      <c r="FN26" s="7">
        <f>VC!FI8</f>
        <v>0</v>
      </c>
      <c r="FO26" s="7">
        <f>VC!FJ8</f>
        <v>0</v>
      </c>
      <c r="FP26" s="7" t="str">
        <f>VC!FK8</f>
        <v>I67T</v>
      </c>
      <c r="FQ26" s="7">
        <f>VC!FL8</f>
        <v>0</v>
      </c>
      <c r="FR26" s="7" t="str">
        <f>VC!FM8</f>
        <v>A51T</v>
      </c>
      <c r="FS26" s="7">
        <f>VC!FN8</f>
        <v>0</v>
      </c>
      <c r="FT26" s="7" t="str">
        <f>VC!FO8</f>
        <v>I67T</v>
      </c>
      <c r="FU26" s="7">
        <f>VC!FP8</f>
        <v>0</v>
      </c>
      <c r="FV26" s="7">
        <f>VC!FQ8</f>
        <v>0</v>
      </c>
      <c r="FW26" s="7">
        <f>VC!FR8</f>
        <v>0</v>
      </c>
      <c r="FX26" s="7">
        <f>VC!FS8</f>
        <v>0</v>
      </c>
      <c r="FY26" s="7">
        <f>VC!FT8</f>
        <v>0</v>
      </c>
      <c r="FZ26" s="7">
        <f>VC!FU8</f>
        <v>0</v>
      </c>
      <c r="GA26" s="7">
        <f>VC!FV8</f>
        <v>0</v>
      </c>
      <c r="GB26" s="7">
        <f>VC!FW8</f>
        <v>0</v>
      </c>
      <c r="GC26" s="7">
        <f>VC!FX8</f>
        <v>0</v>
      </c>
      <c r="GD26" s="7">
        <f>VC!FY8</f>
        <v>0</v>
      </c>
      <c r="GE26" s="7">
        <f>VC!FZ8</f>
        <v>0</v>
      </c>
      <c r="GF26" s="7">
        <f>VC!GA8</f>
        <v>0</v>
      </c>
      <c r="GG26" s="7" t="str">
        <f>VC!GB8</f>
        <v>I67T</v>
      </c>
      <c r="GH26" s="7">
        <f>VC!GC8</f>
        <v>0</v>
      </c>
      <c r="GI26" s="7">
        <f>VC!GD8</f>
        <v>0</v>
      </c>
      <c r="GJ26" s="7">
        <f>VC!GE8</f>
        <v>0</v>
      </c>
      <c r="GK26" s="7">
        <f>VC!GF8</f>
        <v>0</v>
      </c>
      <c r="GL26" s="7">
        <f>VC!GG8</f>
        <v>0</v>
      </c>
      <c r="GM26" s="7">
        <f>VC!GH8</f>
        <v>0</v>
      </c>
      <c r="GN26" s="7">
        <f>VC!GI8</f>
        <v>0</v>
      </c>
      <c r="GO26" s="7">
        <f>VC!GJ8</f>
        <v>0</v>
      </c>
      <c r="GP26" s="7">
        <f>VC!GK8</f>
        <v>0</v>
      </c>
      <c r="GQ26" s="7">
        <f>VC!GL8</f>
        <v>0</v>
      </c>
      <c r="GR26" s="7">
        <f>VC!GM8</f>
        <v>0</v>
      </c>
      <c r="GS26" s="7">
        <f>VC!GN8</f>
        <v>0</v>
      </c>
      <c r="GT26" s="7">
        <f>VC!GO8</f>
        <v>0</v>
      </c>
      <c r="GU26" s="7">
        <f>VC!GP8</f>
        <v>0</v>
      </c>
      <c r="GV26" s="7">
        <f>VC!GQ8</f>
        <v>0</v>
      </c>
      <c r="GW26" s="7">
        <f>VC!GR8</f>
        <v>0</v>
      </c>
      <c r="GX26" s="7">
        <f>VC!GS8</f>
        <v>0</v>
      </c>
      <c r="GY26" s="7">
        <f>VC!GT8</f>
        <v>0</v>
      </c>
      <c r="GZ26" s="7">
        <f>VC!GU8</f>
        <v>0</v>
      </c>
      <c r="HA26" s="7">
        <f>VC!GV8</f>
        <v>0</v>
      </c>
      <c r="HB26" s="7">
        <f>VC!GW8</f>
        <v>0</v>
      </c>
      <c r="HC26" s="7">
        <f>VC!GX8</f>
        <v>0</v>
      </c>
    </row>
    <row r="27" spans="1:211" s="2" customFormat="1" x14ac:dyDescent="0.25">
      <c r="A27" s="2" t="s">
        <v>41</v>
      </c>
      <c r="B27" s="2" t="s">
        <v>42</v>
      </c>
      <c r="C27" s="4" t="s">
        <v>2</v>
      </c>
      <c r="D27" s="2" t="s">
        <v>76</v>
      </c>
      <c r="E27" s="2" t="s">
        <v>138</v>
      </c>
      <c r="F27" s="2" t="s">
        <v>74</v>
      </c>
      <c r="G27" s="2" t="s">
        <v>136</v>
      </c>
      <c r="H27" s="2" t="str">
        <f>VC!C10</f>
        <v>nt473∆14</v>
      </c>
      <c r="I27" s="2">
        <f>VC!D10</f>
        <v>0</v>
      </c>
      <c r="J27" s="2">
        <f>VC!E10</f>
        <v>0</v>
      </c>
      <c r="K27" s="2">
        <f>VC!F10</f>
        <v>0</v>
      </c>
      <c r="L27" s="2" t="str">
        <f>VC!G10</f>
        <v>W138X</v>
      </c>
      <c r="M27" s="2">
        <f>VC!H10</f>
        <v>0</v>
      </c>
      <c r="N27" s="2" t="str">
        <f>VC!I10</f>
        <v>nt1056∆1</v>
      </c>
      <c r="O27" s="2">
        <f>VC!J10</f>
        <v>0</v>
      </c>
      <c r="P27" s="2">
        <f>VC!K10</f>
        <v>0</v>
      </c>
      <c r="Q27" s="2">
        <f>VC!L10</f>
        <v>0</v>
      </c>
      <c r="R27" s="2">
        <f>VC!M10</f>
        <v>0</v>
      </c>
      <c r="S27" s="2">
        <f>VC!N10</f>
        <v>0</v>
      </c>
      <c r="T27" s="2">
        <f>VC!O10</f>
        <v>0</v>
      </c>
      <c r="U27" s="2">
        <f>VC!P10</f>
        <v>0</v>
      </c>
      <c r="V27" s="2">
        <f>VC!Q10</f>
        <v>0</v>
      </c>
      <c r="W27" s="2">
        <f>VC!R10</f>
        <v>0</v>
      </c>
      <c r="X27" s="2">
        <f>VC!S10</f>
        <v>0</v>
      </c>
      <c r="Y27" s="2">
        <f>VC!T10</f>
        <v>0</v>
      </c>
      <c r="Z27" s="2">
        <f>VC!U10</f>
        <v>0</v>
      </c>
      <c r="AA27" s="2" t="str">
        <f>VC!V10</f>
        <v>F321V, N430Y</v>
      </c>
      <c r="AB27" s="2">
        <f>VC!W10</f>
        <v>0</v>
      </c>
      <c r="AC27" s="2">
        <f>VC!X10</f>
        <v>0</v>
      </c>
      <c r="AD27" s="2">
        <f>VC!Y10</f>
        <v>0</v>
      </c>
      <c r="AE27" s="2" t="str">
        <f>VC!Z10</f>
        <v>nt1185∆1</v>
      </c>
      <c r="AF27" s="2">
        <f>VC!AA10</f>
        <v>0</v>
      </c>
      <c r="AG27" s="2">
        <f>VC!AB10</f>
        <v>0</v>
      </c>
      <c r="AH27" s="2">
        <f>VC!AC10</f>
        <v>0</v>
      </c>
      <c r="AI27" s="2">
        <f>VC!AD10</f>
        <v>0</v>
      </c>
      <c r="AJ27" s="2">
        <f>VC!AE10</f>
        <v>0</v>
      </c>
      <c r="AK27" s="2">
        <f>VC!AF10</f>
        <v>0</v>
      </c>
      <c r="AL27" s="2" t="str">
        <f>VC!AG10</f>
        <v>nt1206InsC</v>
      </c>
      <c r="AM27" s="2" t="str">
        <f>VC!AH10</f>
        <v>aa397∆9</v>
      </c>
      <c r="AN27" s="2">
        <f>VC!AI10</f>
        <v>0</v>
      </c>
      <c r="AO27" s="2">
        <f>VC!AJ10</f>
        <v>0</v>
      </c>
      <c r="AP27" s="2">
        <f>VC!AK10</f>
        <v>0</v>
      </c>
      <c r="AQ27" s="2">
        <f>VC!AL10</f>
        <v>0</v>
      </c>
      <c r="AR27" s="2">
        <f>VC!AM10</f>
        <v>0</v>
      </c>
      <c r="AS27" s="2" t="str">
        <f>VC!AN10</f>
        <v>nt1206InsC</v>
      </c>
      <c r="AT27" s="2" t="str">
        <f>VC!AO10</f>
        <v>nt209∆10</v>
      </c>
      <c r="AU27" s="2">
        <f>VC!AP10</f>
        <v>0</v>
      </c>
      <c r="AV27" s="2" t="str">
        <f>VC!AQ10</f>
        <v>D43N</v>
      </c>
      <c r="AW27" s="2">
        <f>VC!AR10</f>
        <v>0</v>
      </c>
      <c r="AX27" s="2">
        <f>VC!AS10</f>
        <v>0</v>
      </c>
      <c r="AY27" s="2">
        <f>VC!AT10</f>
        <v>0</v>
      </c>
      <c r="AZ27" s="2">
        <f>VC!AU10</f>
        <v>0</v>
      </c>
      <c r="BA27" s="2" t="str">
        <f>VC!AV10</f>
        <v>Q142X</v>
      </c>
      <c r="BB27" s="2" t="str">
        <f>VC!AW10</f>
        <v>nt1206InsC</v>
      </c>
      <c r="BC27" s="2" t="str">
        <f>VC!AX10</f>
        <v>Q142X</v>
      </c>
      <c r="BD27" s="2">
        <f>VC!AY10</f>
        <v>0</v>
      </c>
      <c r="BE27" s="2">
        <f>VC!AZ10</f>
        <v>0</v>
      </c>
      <c r="BF27" s="2">
        <f>VC!BA10</f>
        <v>0</v>
      </c>
      <c r="BG27" s="2">
        <f>VC!BB10</f>
        <v>0</v>
      </c>
      <c r="BH27" s="2">
        <f>VC!BC10</f>
        <v>0</v>
      </c>
      <c r="BI27" s="2">
        <f>VC!BD10</f>
        <v>0</v>
      </c>
      <c r="BJ27" s="2">
        <f>VC!BE10</f>
        <v>0</v>
      </c>
      <c r="BK27" s="2">
        <f>VC!BF10</f>
        <v>0</v>
      </c>
      <c r="BL27" s="2">
        <f>VC!BG10</f>
        <v>0</v>
      </c>
      <c r="BM27" s="2">
        <f>VC!BH10</f>
        <v>0</v>
      </c>
      <c r="BN27" s="2" t="str">
        <f>VC!BI10</f>
        <v>nt438InsC</v>
      </c>
      <c r="BO27" s="2" t="str">
        <f>VC!BJ10</f>
        <v>W339X</v>
      </c>
      <c r="BP27" s="2">
        <f>VC!BK10</f>
        <v>0</v>
      </c>
      <c r="BQ27" s="2" t="str">
        <f>VC!BL10</f>
        <v>nt175∆11</v>
      </c>
      <c r="BR27" s="2" t="str">
        <f>VC!BM10</f>
        <v>L432P</v>
      </c>
      <c r="BS27" s="2" t="str">
        <f>VC!BN10</f>
        <v>nt199∆1</v>
      </c>
      <c r="BT27" s="2">
        <f>VC!BO10</f>
        <v>0</v>
      </c>
      <c r="BU27" s="2">
        <f>VC!BP10</f>
        <v>0</v>
      </c>
      <c r="BV27" s="2">
        <f>VC!BQ10</f>
        <v>0</v>
      </c>
      <c r="BW27" s="2">
        <f>VC!BR10</f>
        <v>0</v>
      </c>
      <c r="BX27" s="2">
        <f>VC!BS10</f>
        <v>0</v>
      </c>
      <c r="BY27" s="2">
        <f>VC!BT10</f>
        <v>0</v>
      </c>
      <c r="BZ27" s="2">
        <f>VC!BU10</f>
        <v>0</v>
      </c>
      <c r="CA27" s="2">
        <f>VC!BV10</f>
        <v>0</v>
      </c>
      <c r="CB27" s="2">
        <f>VC!BW10</f>
        <v>0</v>
      </c>
      <c r="CC27" s="2">
        <f>VC!BX10</f>
        <v>0</v>
      </c>
      <c r="CD27" s="2" t="str">
        <f>VC!BY10</f>
        <v>Q142X</v>
      </c>
      <c r="CE27" s="2">
        <f>VC!BZ10</f>
        <v>0</v>
      </c>
      <c r="CF27" s="2" t="str">
        <f>VC!CA10</f>
        <v>nt1206InsC</v>
      </c>
      <c r="CG27" s="2">
        <f>VC!CB10</f>
        <v>0</v>
      </c>
      <c r="CH27" s="2">
        <f>VC!CC10</f>
        <v>0</v>
      </c>
      <c r="CI27" s="2">
        <f>VC!CD10</f>
        <v>0</v>
      </c>
      <c r="CJ27" s="2" t="str">
        <f>VC!CE10</f>
        <v>Q142X</v>
      </c>
      <c r="CK27" s="2" t="str">
        <f>VC!CF10</f>
        <v>Q142X</v>
      </c>
      <c r="CL27" s="2">
        <f>VC!CG10</f>
        <v>0</v>
      </c>
      <c r="CM27" s="2" t="str">
        <f>VC!CH10</f>
        <v>W277X</v>
      </c>
      <c r="CN27" s="2">
        <f>VC!CI10</f>
        <v>0</v>
      </c>
      <c r="CO27" s="2">
        <f>VC!CJ10</f>
        <v>0</v>
      </c>
      <c r="CP27" s="2" t="str">
        <f>VC!CK10</f>
        <v>Q142X</v>
      </c>
      <c r="CQ27" s="2" t="str">
        <f>VC!CL10</f>
        <v>Q142X</v>
      </c>
      <c r="CR27" s="2">
        <f>VC!CM10</f>
        <v>0</v>
      </c>
      <c r="CS27" s="2">
        <f>VC!CN10</f>
        <v>0</v>
      </c>
      <c r="CT27" s="2">
        <f>VC!CO10</f>
        <v>0</v>
      </c>
      <c r="CU27" s="2">
        <f>VC!CP10</f>
        <v>0</v>
      </c>
      <c r="CV27" s="2">
        <f>VC!CQ10</f>
        <v>0</v>
      </c>
      <c r="CW27" s="2">
        <f>VC!CR10</f>
        <v>0</v>
      </c>
      <c r="CX27" s="2">
        <f>VC!CS10</f>
        <v>0</v>
      </c>
      <c r="CY27" s="2">
        <f>VC!CT10</f>
        <v>0</v>
      </c>
      <c r="CZ27" s="2">
        <f>VC!CU10</f>
        <v>0</v>
      </c>
      <c r="DA27" s="2">
        <f>VC!CV10</f>
        <v>0</v>
      </c>
      <c r="DB27" s="2">
        <f>VC!CW10</f>
        <v>0</v>
      </c>
      <c r="DC27" s="2">
        <f>VC!CX10</f>
        <v>0</v>
      </c>
      <c r="DD27" s="2">
        <f>VC!CY10</f>
        <v>0</v>
      </c>
      <c r="DE27" s="2">
        <f>VC!CZ10</f>
        <v>0</v>
      </c>
      <c r="DF27" s="2">
        <f>VC!DA10</f>
        <v>0</v>
      </c>
      <c r="DG27" s="2">
        <f>VC!DB10</f>
        <v>0</v>
      </c>
      <c r="DH27" s="2">
        <f>VC!DC10</f>
        <v>0</v>
      </c>
      <c r="DI27" s="2">
        <f>VC!DD10</f>
        <v>0</v>
      </c>
      <c r="DJ27" s="2" t="str">
        <f>VC!DE10</f>
        <v>nt350InsC</v>
      </c>
      <c r="DK27" s="2">
        <f>VC!DF10</f>
        <v>0</v>
      </c>
      <c r="DL27" s="2">
        <f>VC!DG10</f>
        <v>0</v>
      </c>
      <c r="DM27" s="2">
        <f>VC!DH10</f>
        <v>0</v>
      </c>
      <c r="DN27" s="2">
        <f>VC!DI10</f>
        <v>0</v>
      </c>
      <c r="DO27" s="2">
        <f>VC!DJ10</f>
        <v>0</v>
      </c>
      <c r="DP27" s="2">
        <f>VC!DK10</f>
        <v>0</v>
      </c>
      <c r="DQ27" s="2">
        <f>VC!DL10</f>
        <v>0</v>
      </c>
      <c r="DR27" s="2">
        <f>VC!DM10</f>
        <v>0</v>
      </c>
      <c r="DS27" s="2">
        <f>VC!DN10</f>
        <v>0</v>
      </c>
      <c r="DT27" s="2">
        <f>VC!DO10</f>
        <v>0</v>
      </c>
      <c r="DU27" s="2" t="str">
        <f>VC!DP10</f>
        <v>W415X</v>
      </c>
      <c r="DV27" s="2">
        <f>VC!DQ10</f>
        <v>0</v>
      </c>
      <c r="DW27" s="2" t="str">
        <f>VC!DR10</f>
        <v>W415X</v>
      </c>
      <c r="DX27" s="2" t="str">
        <f>VC!DS10</f>
        <v>T103S, K115T, F170L, nt169∆1, nt175InsA</v>
      </c>
      <c r="DY27" s="2">
        <f>VC!DT10</f>
        <v>0</v>
      </c>
      <c r="DZ27" s="2">
        <f>VC!DU10</f>
        <v>0</v>
      </c>
      <c r="EA27" s="2" t="str">
        <f>VC!DV10</f>
        <v>nt55InsGCACT</v>
      </c>
      <c r="EB27" s="2" t="str">
        <f>VC!DW10</f>
        <v>D43N, M135I, E185Q, P186G, V189T, S267A, T276A, G310E, A315G, L347M, L359V, Q422E</v>
      </c>
      <c r="EC27" s="2">
        <f>VC!DX10</f>
        <v>0</v>
      </c>
      <c r="ED27" s="2">
        <f>VC!DY10</f>
        <v>0</v>
      </c>
      <c r="EE27" s="2" t="str">
        <f>VC!DZ10</f>
        <v>nt55InsGCACT</v>
      </c>
      <c r="EF27" s="2">
        <f>VC!EA10</f>
        <v>0</v>
      </c>
      <c r="EG27" s="2">
        <f>VC!EB10</f>
        <v>0</v>
      </c>
      <c r="EH27" s="2" t="str">
        <f>VC!EC10</f>
        <v>nt1206InsC</v>
      </c>
      <c r="EI27" s="2">
        <f>VC!ED10</f>
        <v>0</v>
      </c>
      <c r="EJ27" s="2" t="str">
        <f>VC!EE10</f>
        <v>Y225X</v>
      </c>
      <c r="EK27" s="2">
        <f>VC!EF10</f>
        <v>0</v>
      </c>
      <c r="EL27" s="2">
        <f>VC!EG10</f>
        <v>0</v>
      </c>
      <c r="EM27" s="2">
        <f>VC!EH10</f>
        <v>0</v>
      </c>
      <c r="EN27" s="2">
        <f>VC!EI10</f>
        <v>0</v>
      </c>
      <c r="EO27" s="2">
        <f>VC!EJ10</f>
        <v>0</v>
      </c>
      <c r="EP27" s="2">
        <f>VC!EK10</f>
        <v>0</v>
      </c>
      <c r="EQ27" s="2">
        <f>VC!EL10</f>
        <v>0</v>
      </c>
      <c r="ER27" s="2">
        <f>VC!EM10</f>
        <v>0</v>
      </c>
      <c r="ES27" s="2">
        <f>VC!EN10</f>
        <v>0</v>
      </c>
      <c r="ET27" s="2" t="str">
        <f>VC!EO10</f>
        <v>L407P</v>
      </c>
      <c r="EU27" s="2" t="str">
        <f>VC!EP10</f>
        <v>S408P</v>
      </c>
      <c r="EV27" s="2">
        <f>VC!EQ10</f>
        <v>0</v>
      </c>
      <c r="EW27" s="2">
        <f>VC!ER10</f>
        <v>0</v>
      </c>
      <c r="EX27" s="2">
        <f>VC!ES10</f>
        <v>0</v>
      </c>
      <c r="EY27" s="2">
        <f>VC!ET10</f>
        <v>0</v>
      </c>
      <c r="EZ27" s="2">
        <f>VC!EU10</f>
        <v>0</v>
      </c>
      <c r="FA27" s="2" t="str">
        <f>VC!EV10</f>
        <v>W417X</v>
      </c>
      <c r="FB27" s="2">
        <f>VC!EW10</f>
        <v>0</v>
      </c>
      <c r="FC27" s="2">
        <f>VC!EX10</f>
        <v>0</v>
      </c>
      <c r="FD27" s="2">
        <f>VC!EY10</f>
        <v>0</v>
      </c>
      <c r="FE27" s="2" t="str">
        <f>VC!EZ10</f>
        <v>Q158X</v>
      </c>
      <c r="FF27" s="2">
        <f>VC!FA10</f>
        <v>0</v>
      </c>
      <c r="FG27" s="2">
        <f>VC!FB10</f>
        <v>0</v>
      </c>
      <c r="FH27" s="2">
        <f>VC!FC10</f>
        <v>0</v>
      </c>
      <c r="FI27" s="2">
        <f>VC!FD10</f>
        <v>0</v>
      </c>
      <c r="FJ27" s="2">
        <f>VC!FE10</f>
        <v>0</v>
      </c>
      <c r="FK27" s="2" t="str">
        <f>VC!FF10</f>
        <v>Q422X</v>
      </c>
      <c r="FL27" s="2">
        <f>VC!FG10</f>
        <v>0</v>
      </c>
      <c r="FM27" s="2">
        <f>VC!FH10</f>
        <v>0</v>
      </c>
      <c r="FN27" s="2" t="str">
        <f>VC!FI10</f>
        <v>M135I</v>
      </c>
      <c r="FO27" s="2" t="str">
        <f>VC!FJ10</f>
        <v>D43N</v>
      </c>
      <c r="FP27" s="2">
        <f>VC!FK10</f>
        <v>0</v>
      </c>
      <c r="FQ27" s="2">
        <f>VC!FL10</f>
        <v>0</v>
      </c>
      <c r="FR27" s="2">
        <f>VC!FM10</f>
        <v>0</v>
      </c>
      <c r="FS27" s="2">
        <f>VC!FN10</f>
        <v>0</v>
      </c>
      <c r="FT27" s="2">
        <f>VC!FO10</f>
        <v>0</v>
      </c>
      <c r="FU27" s="2">
        <f>VC!FP10</f>
        <v>0</v>
      </c>
      <c r="FV27" s="2">
        <f>VC!FQ10</f>
        <v>0</v>
      </c>
      <c r="FW27" s="2">
        <f>VC!FR10</f>
        <v>0</v>
      </c>
      <c r="FX27" s="2">
        <f>VC!FS10</f>
        <v>0</v>
      </c>
      <c r="FY27" s="2">
        <f>VC!FT10</f>
        <v>0</v>
      </c>
      <c r="FZ27" s="2">
        <f>VC!FU10</f>
        <v>0</v>
      </c>
      <c r="GA27" s="2" t="str">
        <f>VC!FV10</f>
        <v>W277X</v>
      </c>
      <c r="GB27" s="2">
        <f>VC!FW10</f>
        <v>0</v>
      </c>
      <c r="GC27" s="2">
        <f>VC!FX10</f>
        <v>0</v>
      </c>
      <c r="GD27" s="2">
        <f>VC!FY10</f>
        <v>0</v>
      </c>
      <c r="GE27" s="2">
        <f>VC!FZ10</f>
        <v>0</v>
      </c>
      <c r="GF27" s="2">
        <f>VC!GA10</f>
        <v>0</v>
      </c>
      <c r="GG27" s="2">
        <f>VC!GB10</f>
        <v>0</v>
      </c>
      <c r="GH27" s="2">
        <f>VC!GC10</f>
        <v>0</v>
      </c>
      <c r="GI27" s="2">
        <f>VC!GD10</f>
        <v>0</v>
      </c>
      <c r="GJ27" s="2">
        <f>VC!GE10</f>
        <v>0</v>
      </c>
      <c r="GK27" s="2">
        <f>VC!GF10</f>
        <v>0</v>
      </c>
      <c r="GL27" s="2" t="str">
        <f>VC!GG10</f>
        <v>W339G</v>
      </c>
      <c r="GM27" s="2">
        <f>VC!GH10</f>
        <v>0</v>
      </c>
      <c r="GN27" s="2">
        <f>VC!GI10</f>
        <v>0</v>
      </c>
      <c r="GO27" s="2">
        <f>VC!GJ10</f>
        <v>0</v>
      </c>
      <c r="GP27" s="2">
        <f>VC!GK10</f>
        <v>0</v>
      </c>
      <c r="GQ27" s="2" t="str">
        <f>VC!GL10</f>
        <v>D43N</v>
      </c>
      <c r="GR27" s="2">
        <f>VC!GM10</f>
        <v>0</v>
      </c>
      <c r="GS27" s="2">
        <f>VC!GN10</f>
        <v>0</v>
      </c>
      <c r="GT27" s="2">
        <f>VC!GO10</f>
        <v>0</v>
      </c>
      <c r="GU27" s="2">
        <f>VC!GP10</f>
        <v>0</v>
      </c>
      <c r="GV27" s="2">
        <f>VC!GQ10</f>
        <v>0</v>
      </c>
      <c r="GW27" s="2">
        <f>VC!GR10</f>
        <v>0</v>
      </c>
      <c r="GX27" s="2" t="str">
        <f>VC!GS10</f>
        <v>nt742∆1</v>
      </c>
      <c r="GY27" s="2" t="str">
        <f>VC!GT10</f>
        <v>nt991InsAC</v>
      </c>
      <c r="GZ27" s="2">
        <f>VC!GU10</f>
        <v>0</v>
      </c>
      <c r="HA27" s="2">
        <f>VC!GV10</f>
        <v>0</v>
      </c>
      <c r="HB27" s="2" t="str">
        <f>VC!GW10</f>
        <v>Q142X</v>
      </c>
      <c r="HC27" s="2">
        <f>VC!GX10</f>
        <v>0</v>
      </c>
    </row>
    <row r="28" spans="1:211" s="7" customFormat="1" x14ac:dyDescent="0.25">
      <c r="A28" s="7" t="s">
        <v>45</v>
      </c>
      <c r="B28" s="7" t="s">
        <v>46</v>
      </c>
      <c r="C28" s="8" t="s">
        <v>0</v>
      </c>
      <c r="D28" s="7" t="s">
        <v>76</v>
      </c>
      <c r="E28" s="7" t="s">
        <v>138</v>
      </c>
      <c r="F28" s="7" t="s">
        <v>73</v>
      </c>
      <c r="G28" s="7" t="s">
        <v>140</v>
      </c>
      <c r="H28" s="7" t="str">
        <f>VC!C14</f>
        <v>L79P</v>
      </c>
      <c r="I28" s="7">
        <f>VC!D14</f>
        <v>0</v>
      </c>
      <c r="J28" s="7" t="str">
        <f>VC!E14</f>
        <v>V238L</v>
      </c>
      <c r="K28" s="7">
        <f>VC!F14</f>
        <v>0</v>
      </c>
      <c r="L28" s="7">
        <f>VC!G14</f>
        <v>0</v>
      </c>
      <c r="M28" s="7">
        <f>VC!H14</f>
        <v>0</v>
      </c>
      <c r="N28" s="7" t="str">
        <f>VC!I14</f>
        <v>L137P; V216A</v>
      </c>
      <c r="O28" s="7">
        <f>VC!J14</f>
        <v>0</v>
      </c>
      <c r="P28" s="7">
        <f>VC!K14</f>
        <v>0</v>
      </c>
      <c r="Q28" s="7">
        <f>VC!L14</f>
        <v>0</v>
      </c>
      <c r="R28" s="7" t="str">
        <f>VC!M14</f>
        <v>S352I</v>
      </c>
      <c r="S28" s="7">
        <f>VC!N14</f>
        <v>0</v>
      </c>
      <c r="T28" s="7">
        <f>VC!O14</f>
        <v>0</v>
      </c>
      <c r="U28" s="7">
        <f>VC!P14</f>
        <v>0</v>
      </c>
      <c r="V28" s="7">
        <f>VC!Q14</f>
        <v>0</v>
      </c>
      <c r="W28" s="7">
        <f>VC!R14</f>
        <v>0</v>
      </c>
      <c r="X28" s="7">
        <f>VC!S14</f>
        <v>0</v>
      </c>
      <c r="Y28" s="7">
        <f>VC!T14</f>
        <v>0</v>
      </c>
      <c r="Z28" s="7" t="str">
        <f>VC!U14</f>
        <v>A82T</v>
      </c>
      <c r="AA28" s="7">
        <f>VC!V14</f>
        <v>0</v>
      </c>
      <c r="AB28" s="7">
        <f>VC!W14</f>
        <v>0</v>
      </c>
      <c r="AC28" s="7">
        <f>VC!X14</f>
        <v>0</v>
      </c>
      <c r="AD28" s="7">
        <f>VC!Y14</f>
        <v>0</v>
      </c>
      <c r="AE28" s="7" t="str">
        <f>VC!Z14</f>
        <v>A345T</v>
      </c>
      <c r="AF28" s="7">
        <f>VC!AA14</f>
        <v>0</v>
      </c>
      <c r="AG28" s="7">
        <f>VC!AB14</f>
        <v>0</v>
      </c>
      <c r="AH28" s="7">
        <f>VC!AC14</f>
        <v>0</v>
      </c>
      <c r="AI28" s="7">
        <f>VC!AD14</f>
        <v>0</v>
      </c>
      <c r="AJ28" s="7">
        <f>VC!AE14</f>
        <v>0</v>
      </c>
      <c r="AK28" s="7">
        <f>VC!AF14</f>
        <v>0</v>
      </c>
      <c r="AL28" s="7">
        <f>VC!AG14</f>
        <v>0</v>
      </c>
      <c r="AM28" s="7">
        <f>VC!AH14</f>
        <v>0</v>
      </c>
      <c r="AN28" s="7">
        <f>VC!AI14</f>
        <v>0</v>
      </c>
      <c r="AO28" s="7" t="str">
        <f>VC!AJ14</f>
        <v>R83K; V216A</v>
      </c>
      <c r="AP28" s="7">
        <f>VC!AK14</f>
        <v>0</v>
      </c>
      <c r="AQ28" s="7">
        <f>VC!AL14</f>
        <v>0</v>
      </c>
      <c r="AR28" s="7">
        <f>VC!AM14</f>
        <v>0</v>
      </c>
      <c r="AS28" s="7">
        <f>VC!AN14</f>
        <v>0</v>
      </c>
      <c r="AT28" s="7" t="str">
        <f>VC!AO14</f>
        <v>A82T</v>
      </c>
      <c r="AU28" s="7">
        <f>VC!AP14</f>
        <v>0</v>
      </c>
      <c r="AV28" s="7">
        <f>VC!AQ14</f>
        <v>0</v>
      </c>
      <c r="AW28" s="7">
        <f>VC!AR14</f>
        <v>0</v>
      </c>
      <c r="AX28" s="7">
        <f>VC!AS14</f>
        <v>0</v>
      </c>
      <c r="AY28" s="7" t="str">
        <f>VC!AT14</f>
        <v>R356L</v>
      </c>
      <c r="AZ28" s="7">
        <f>VC!AU14</f>
        <v>0</v>
      </c>
      <c r="BA28" s="7">
        <f>VC!AV14</f>
        <v>0</v>
      </c>
      <c r="BB28" s="7">
        <f>VC!AW14</f>
        <v>0</v>
      </c>
      <c r="BC28" s="7">
        <f>VC!AX14</f>
        <v>0</v>
      </c>
      <c r="BD28" s="7">
        <f>VC!AY14</f>
        <v>0</v>
      </c>
      <c r="BE28" s="7">
        <f>VC!AZ14</f>
        <v>0</v>
      </c>
      <c r="BF28" s="7">
        <f>VC!BA14</f>
        <v>0</v>
      </c>
      <c r="BG28" s="7">
        <f>VC!BB14</f>
        <v>0</v>
      </c>
      <c r="BH28" s="7">
        <f>VC!BC14</f>
        <v>0</v>
      </c>
      <c r="BI28" s="7">
        <f>VC!BD14</f>
        <v>0</v>
      </c>
      <c r="BJ28" s="7" t="str">
        <f>VC!BE14</f>
        <v>R385H</v>
      </c>
      <c r="BK28" s="7">
        <f>VC!BF14</f>
        <v>0</v>
      </c>
      <c r="BL28" s="7">
        <f>VC!BG14</f>
        <v>0</v>
      </c>
      <c r="BM28" s="7">
        <f>VC!BH14</f>
        <v>0</v>
      </c>
      <c r="BN28" s="7">
        <f>VC!BI14</f>
        <v>0</v>
      </c>
      <c r="BO28" s="7">
        <f>VC!BJ14</f>
        <v>0</v>
      </c>
      <c r="BP28" s="7" t="str">
        <f>VC!BK14</f>
        <v>aa118∆4</v>
      </c>
      <c r="BQ28" s="7">
        <f>VC!BL14</f>
        <v>0</v>
      </c>
      <c r="BR28" s="7" t="str">
        <f>VC!BM14</f>
        <v>L137P; nt998∆1</v>
      </c>
      <c r="BS28" s="7">
        <f>VC!BN14</f>
        <v>0</v>
      </c>
      <c r="BT28" s="7">
        <f>VC!BO14</f>
        <v>0</v>
      </c>
      <c r="BU28" s="7" t="str">
        <f>VC!BP14</f>
        <v>A82T</v>
      </c>
      <c r="BV28" s="7">
        <f>VC!BQ14</f>
        <v>0</v>
      </c>
      <c r="BW28" s="7">
        <f>VC!BR14</f>
        <v>0</v>
      </c>
      <c r="BX28" s="7" t="str">
        <f>VC!BS14</f>
        <v>G303R</v>
      </c>
      <c r="BY28" s="7" t="str">
        <f>VC!BT14</f>
        <v>R356L</v>
      </c>
      <c r="BZ28" s="7">
        <f>VC!BU14</f>
        <v>0</v>
      </c>
      <c r="CA28" s="7">
        <f>VC!BV14</f>
        <v>0</v>
      </c>
      <c r="CB28" s="7">
        <f>VC!BW14</f>
        <v>0</v>
      </c>
      <c r="CC28" s="7">
        <f>VC!BX14</f>
        <v>0</v>
      </c>
      <c r="CD28" s="7">
        <f>VC!BY14</f>
        <v>0</v>
      </c>
      <c r="CE28" s="7">
        <f>VC!BZ14</f>
        <v>0</v>
      </c>
      <c r="CF28" s="7">
        <f>VC!CA14</f>
        <v>0</v>
      </c>
      <c r="CG28" s="7">
        <f>VC!CB14</f>
        <v>0</v>
      </c>
      <c r="CH28" s="7">
        <f>VC!CC14</f>
        <v>0</v>
      </c>
      <c r="CI28" s="7">
        <f>VC!CD14</f>
        <v>0</v>
      </c>
      <c r="CJ28" s="7">
        <f>VC!CE14</f>
        <v>0</v>
      </c>
      <c r="CK28" s="7">
        <f>VC!CF14</f>
        <v>0</v>
      </c>
      <c r="CL28" s="7">
        <f>VC!CG14</f>
        <v>0</v>
      </c>
      <c r="CM28" s="7">
        <f>VC!CH14</f>
        <v>0</v>
      </c>
      <c r="CN28" s="7">
        <f>VC!CI14</f>
        <v>0</v>
      </c>
      <c r="CO28" s="7">
        <f>VC!CJ14</f>
        <v>0</v>
      </c>
      <c r="CP28" s="7">
        <f>VC!CK14</f>
        <v>0</v>
      </c>
      <c r="CQ28" s="7">
        <f>VC!CL14</f>
        <v>0</v>
      </c>
      <c r="CR28" s="7" t="str">
        <f>VC!CM14</f>
        <v>S352I</v>
      </c>
      <c r="CS28" s="7">
        <f>VC!CN14</f>
        <v>0</v>
      </c>
      <c r="CT28" s="7">
        <f>VC!CO14</f>
        <v>0</v>
      </c>
      <c r="CU28" s="7">
        <f>VC!CP14</f>
        <v>0</v>
      </c>
      <c r="CV28" s="7">
        <f>VC!CQ14</f>
        <v>0</v>
      </c>
      <c r="CW28" s="7" t="str">
        <f>VC!CR14</f>
        <v>A82T</v>
      </c>
      <c r="CX28" s="7">
        <f>VC!CS14</f>
        <v>0</v>
      </c>
      <c r="CY28" s="7">
        <f>VC!CT14</f>
        <v>0</v>
      </c>
      <c r="CZ28" s="7">
        <f>VC!CU14</f>
        <v>0</v>
      </c>
      <c r="DA28" s="7" t="str">
        <f>VC!CV14</f>
        <v>R356L</v>
      </c>
      <c r="DB28" s="7">
        <f>VC!CW14</f>
        <v>0</v>
      </c>
      <c r="DC28" s="7">
        <f>VC!CX14</f>
        <v>0</v>
      </c>
      <c r="DD28" s="7">
        <f>VC!CY14</f>
        <v>0</v>
      </c>
      <c r="DE28" s="7">
        <f>VC!CZ14</f>
        <v>0</v>
      </c>
      <c r="DF28" s="7">
        <f>VC!DA14</f>
        <v>0</v>
      </c>
      <c r="DG28" s="7">
        <f>VC!DB14</f>
        <v>0</v>
      </c>
      <c r="DH28" s="7">
        <f>VC!DC14</f>
        <v>0</v>
      </c>
      <c r="DI28" s="7">
        <f>VC!DD14</f>
        <v>0</v>
      </c>
      <c r="DJ28" s="7">
        <f>VC!DE14</f>
        <v>0</v>
      </c>
      <c r="DK28" s="7">
        <f>VC!DF14</f>
        <v>0</v>
      </c>
      <c r="DL28" s="7">
        <f>VC!DG14</f>
        <v>0</v>
      </c>
      <c r="DM28" s="7">
        <f>VC!DH14</f>
        <v>0</v>
      </c>
      <c r="DN28" s="7">
        <f>VC!DI14</f>
        <v>0</v>
      </c>
      <c r="DO28" s="7">
        <f>VC!DJ14</f>
        <v>0</v>
      </c>
      <c r="DP28" s="7">
        <f>VC!DK14</f>
        <v>0</v>
      </c>
      <c r="DQ28" s="7">
        <f>VC!DL14</f>
        <v>0</v>
      </c>
      <c r="DR28" s="7">
        <f>VC!DM14</f>
        <v>0</v>
      </c>
      <c r="DS28" s="7">
        <f>VC!DN14</f>
        <v>0</v>
      </c>
      <c r="DT28" s="7">
        <f>VC!DO14</f>
        <v>0</v>
      </c>
      <c r="DU28" s="7">
        <f>VC!DP14</f>
        <v>0</v>
      </c>
      <c r="DV28" s="7">
        <f>VC!DQ14</f>
        <v>0</v>
      </c>
      <c r="DW28" s="7">
        <f>VC!DR14</f>
        <v>0</v>
      </c>
      <c r="DX28" s="7" t="str">
        <f>VC!DS14</f>
        <v>V238L</v>
      </c>
      <c r="DY28" s="7" t="str">
        <f>VC!DT14</f>
        <v>Y73C</v>
      </c>
      <c r="DZ28" s="7">
        <f>VC!DU14</f>
        <v>0</v>
      </c>
      <c r="EA28" s="7">
        <f>VC!DV14</f>
        <v>0</v>
      </c>
      <c r="EB28" s="7">
        <f>VC!DW14</f>
        <v>0</v>
      </c>
      <c r="EC28" s="7">
        <f>VC!DX14</f>
        <v>0</v>
      </c>
      <c r="ED28" s="7" t="str">
        <f>VC!DY14</f>
        <v>S33R</v>
      </c>
      <c r="EE28" s="7">
        <f>VC!DZ14</f>
        <v>0</v>
      </c>
      <c r="EF28" s="7">
        <f>VC!EA14</f>
        <v>0</v>
      </c>
      <c r="EG28" s="7">
        <f>VC!EB14</f>
        <v>0</v>
      </c>
      <c r="EH28" s="7">
        <f>VC!EC14</f>
        <v>0</v>
      </c>
      <c r="EI28" s="7" t="str">
        <f>VC!ED14</f>
        <v>A293V</v>
      </c>
      <c r="EJ28" s="7">
        <f>VC!EE14</f>
        <v>0</v>
      </c>
      <c r="EK28" s="7">
        <f>VC!EF14</f>
        <v>0</v>
      </c>
      <c r="EL28" s="7">
        <f>VC!EG14</f>
        <v>0</v>
      </c>
      <c r="EM28" s="7">
        <f>VC!EH14</f>
        <v>0</v>
      </c>
      <c r="EN28" s="7" t="str">
        <f>VC!EI14</f>
        <v>R356L</v>
      </c>
      <c r="EO28" s="7">
        <f>VC!EJ14</f>
        <v>0</v>
      </c>
      <c r="EP28" s="7">
        <f>VC!EK14</f>
        <v>0</v>
      </c>
      <c r="EQ28" s="7" t="str">
        <f>VC!EL14</f>
        <v>R356L</v>
      </c>
      <c r="ER28" s="7" t="str">
        <f>VC!EM14</f>
        <v>A82T; L346P</v>
      </c>
      <c r="ES28" s="7">
        <f>VC!EN14</f>
        <v>0</v>
      </c>
      <c r="ET28" s="7">
        <f>VC!EO14</f>
        <v>0</v>
      </c>
      <c r="EU28" s="7" t="str">
        <f>VC!EP14</f>
        <v>R356L</v>
      </c>
      <c r="EV28" s="7">
        <f>VC!EQ14</f>
        <v>0</v>
      </c>
      <c r="EW28" s="7">
        <f>VC!ER14</f>
        <v>0</v>
      </c>
      <c r="EX28" s="7">
        <f>VC!ES14</f>
        <v>0</v>
      </c>
      <c r="EY28" s="7">
        <f>VC!ET14</f>
        <v>0</v>
      </c>
      <c r="EZ28" s="7">
        <f>VC!EU14</f>
        <v>0</v>
      </c>
      <c r="FA28" s="7">
        <f>VC!EV14</f>
        <v>0</v>
      </c>
      <c r="FB28" s="7">
        <f>VC!EW14</f>
        <v>0</v>
      </c>
      <c r="FC28" s="7">
        <f>VC!EX14</f>
        <v>0</v>
      </c>
      <c r="FD28" s="7">
        <f>VC!EY14</f>
        <v>0</v>
      </c>
      <c r="FE28" s="7" t="str">
        <f>VC!EZ14</f>
        <v>V216A</v>
      </c>
      <c r="FF28" s="7">
        <f>VC!FA14</f>
        <v>0</v>
      </c>
      <c r="FG28" s="7">
        <f>VC!FB14</f>
        <v>0</v>
      </c>
      <c r="FH28" s="7">
        <f>VC!FC14</f>
        <v>0</v>
      </c>
      <c r="FI28" s="7" t="str">
        <f>VC!FD14</f>
        <v>S277N</v>
      </c>
      <c r="FJ28" s="7">
        <f>VC!FE14</f>
        <v>0</v>
      </c>
      <c r="FK28" s="7">
        <f>VC!FF14</f>
        <v>0</v>
      </c>
      <c r="FL28" s="7" t="str">
        <f>VC!FG14</f>
        <v>R7H</v>
      </c>
      <c r="FM28" s="7">
        <f>VC!FH14</f>
        <v>0</v>
      </c>
      <c r="FN28" s="7">
        <f>VC!FI14</f>
        <v>0</v>
      </c>
      <c r="FO28" s="7">
        <f>VC!FJ14</f>
        <v>0</v>
      </c>
      <c r="FP28" s="7">
        <f>VC!FK14</f>
        <v>0</v>
      </c>
      <c r="FQ28" s="7">
        <f>VC!FL14</f>
        <v>0</v>
      </c>
      <c r="FR28" s="7">
        <f>VC!FM14</f>
        <v>0</v>
      </c>
      <c r="FS28" s="7">
        <f>VC!FN14</f>
        <v>0</v>
      </c>
      <c r="FT28" s="7">
        <f>VC!FO14</f>
        <v>0</v>
      </c>
      <c r="FU28" s="7">
        <f>VC!FP14</f>
        <v>0</v>
      </c>
      <c r="FV28" s="7">
        <f>VC!FQ14</f>
        <v>0</v>
      </c>
      <c r="FW28" s="7">
        <f>VC!FR14</f>
        <v>0</v>
      </c>
      <c r="FX28" s="7" t="str">
        <f>VC!FS14</f>
        <v>D348N</v>
      </c>
      <c r="FY28" s="7">
        <f>VC!FT14</f>
        <v>0</v>
      </c>
      <c r="FZ28" s="7">
        <f>VC!FU14</f>
        <v>0</v>
      </c>
      <c r="GA28" s="7">
        <f>VC!FV14</f>
        <v>0</v>
      </c>
      <c r="GB28" s="7">
        <f>VC!FW14</f>
        <v>0</v>
      </c>
      <c r="GC28" s="7" t="str">
        <f>VC!FX14</f>
        <v>Q349K</v>
      </c>
      <c r="GD28" s="7">
        <f>VC!FY14</f>
        <v>0</v>
      </c>
      <c r="GE28" s="7" t="str">
        <f>VC!FZ14</f>
        <v>V238L</v>
      </c>
      <c r="GF28" s="7">
        <f>VC!GA14</f>
        <v>0</v>
      </c>
      <c r="GG28" s="7">
        <f>VC!GB14</f>
        <v>0</v>
      </c>
      <c r="GH28" s="7" t="str">
        <f>VC!GC14</f>
        <v>D351N</v>
      </c>
      <c r="GI28" s="7">
        <f>VC!GD14</f>
        <v>0</v>
      </c>
      <c r="GJ28" s="7" t="str">
        <f>VC!GE14</f>
        <v>A395T</v>
      </c>
      <c r="GK28" s="7" t="str">
        <f>VC!GF14</f>
        <v>V152A</v>
      </c>
      <c r="GL28" s="7">
        <f>VC!GG14</f>
        <v>0</v>
      </c>
      <c r="GM28" s="7">
        <f>VC!GH14</f>
        <v>0</v>
      </c>
      <c r="GN28" s="7">
        <f>VC!GI14</f>
        <v>0</v>
      </c>
      <c r="GO28" s="7">
        <f>VC!GJ14</f>
        <v>0</v>
      </c>
      <c r="GP28" s="7" t="str">
        <f>VC!GK14</f>
        <v>A82T</v>
      </c>
      <c r="GQ28" s="7">
        <f>VC!GL14</f>
        <v>0</v>
      </c>
      <c r="GR28" s="7">
        <f>VC!GM14</f>
        <v>0</v>
      </c>
      <c r="GS28" s="7">
        <f>VC!GN14</f>
        <v>0</v>
      </c>
      <c r="GT28" s="7">
        <f>VC!GO14</f>
        <v>0</v>
      </c>
      <c r="GU28" s="7" t="str">
        <f>VC!GP14</f>
        <v>A29V</v>
      </c>
      <c r="GV28" s="7">
        <f>VC!GQ14</f>
        <v>0</v>
      </c>
      <c r="GW28" s="7">
        <f>VC!GR14</f>
        <v>0</v>
      </c>
      <c r="GX28" s="7">
        <f>VC!GS14</f>
        <v>0</v>
      </c>
      <c r="GY28" s="7" t="str">
        <f>VC!GT14</f>
        <v>L137P</v>
      </c>
      <c r="GZ28" s="7">
        <f>VC!GU14</f>
        <v>0</v>
      </c>
      <c r="HA28" s="7">
        <f>VC!GV14</f>
        <v>0</v>
      </c>
      <c r="HB28" s="7">
        <f>VC!GW14</f>
        <v>0</v>
      </c>
      <c r="HC28" s="7">
        <f>VC!GX14</f>
        <v>0</v>
      </c>
    </row>
    <row r="29" spans="1:211" s="7" customFormat="1" x14ac:dyDescent="0.25">
      <c r="A29" s="7" t="s">
        <v>45</v>
      </c>
      <c r="B29" s="7" t="s">
        <v>46</v>
      </c>
      <c r="C29" s="8" t="s">
        <v>2</v>
      </c>
      <c r="D29" s="7" t="s">
        <v>76</v>
      </c>
      <c r="E29" s="7" t="s">
        <v>138</v>
      </c>
      <c r="F29" s="7" t="s">
        <v>73</v>
      </c>
      <c r="G29" s="7" t="s">
        <v>140</v>
      </c>
      <c r="H29" s="7" t="str">
        <f>VC!C14</f>
        <v>L79P</v>
      </c>
      <c r="I29" s="7">
        <f>VC!D14</f>
        <v>0</v>
      </c>
      <c r="J29" s="7" t="str">
        <f>VC!E14</f>
        <v>V238L</v>
      </c>
      <c r="K29" s="7">
        <f>VC!F14</f>
        <v>0</v>
      </c>
      <c r="L29" s="7">
        <f>VC!G14</f>
        <v>0</v>
      </c>
      <c r="M29" s="7">
        <f>VC!H14</f>
        <v>0</v>
      </c>
      <c r="N29" s="7" t="str">
        <f>VC!I14</f>
        <v>L137P; V216A</v>
      </c>
      <c r="O29" s="7">
        <f>VC!J14</f>
        <v>0</v>
      </c>
      <c r="P29" s="7">
        <f>VC!K14</f>
        <v>0</v>
      </c>
      <c r="Q29" s="7">
        <f>VC!L14</f>
        <v>0</v>
      </c>
      <c r="R29" s="7" t="str">
        <f>VC!M14</f>
        <v>S352I</v>
      </c>
      <c r="S29" s="7">
        <f>VC!N14</f>
        <v>0</v>
      </c>
      <c r="T29" s="7">
        <f>VC!O14</f>
        <v>0</v>
      </c>
      <c r="U29" s="7">
        <f>VC!P14</f>
        <v>0</v>
      </c>
      <c r="V29" s="7">
        <f>VC!Q14</f>
        <v>0</v>
      </c>
      <c r="W29" s="7">
        <f>VC!R14</f>
        <v>0</v>
      </c>
      <c r="X29" s="7">
        <f>VC!S14</f>
        <v>0</v>
      </c>
      <c r="Y29" s="7">
        <f>VC!T14</f>
        <v>0</v>
      </c>
      <c r="Z29" s="7" t="str">
        <f>VC!U14</f>
        <v>A82T</v>
      </c>
      <c r="AA29" s="7">
        <f>VC!V14</f>
        <v>0</v>
      </c>
      <c r="AB29" s="7">
        <f>VC!W14</f>
        <v>0</v>
      </c>
      <c r="AC29" s="7">
        <f>VC!X14</f>
        <v>0</v>
      </c>
      <c r="AD29" s="7">
        <f>VC!Y14</f>
        <v>0</v>
      </c>
      <c r="AE29" s="7" t="str">
        <f>VC!Z14</f>
        <v>A345T</v>
      </c>
      <c r="AF29" s="7">
        <f>VC!AA14</f>
        <v>0</v>
      </c>
      <c r="AG29" s="7">
        <f>VC!AB14</f>
        <v>0</v>
      </c>
      <c r="AH29" s="7">
        <f>VC!AC14</f>
        <v>0</v>
      </c>
      <c r="AI29" s="7">
        <f>VC!AD14</f>
        <v>0</v>
      </c>
      <c r="AJ29" s="7">
        <f>VC!AE14</f>
        <v>0</v>
      </c>
      <c r="AK29" s="7">
        <f>VC!AF14</f>
        <v>0</v>
      </c>
      <c r="AL29" s="7">
        <f>VC!AG14</f>
        <v>0</v>
      </c>
      <c r="AM29" s="7">
        <f>VC!AH14</f>
        <v>0</v>
      </c>
      <c r="AN29" s="7">
        <f>VC!AI14</f>
        <v>0</v>
      </c>
      <c r="AO29" s="7" t="str">
        <f>VC!AJ14</f>
        <v>R83K; V216A</v>
      </c>
      <c r="AP29" s="7">
        <f>VC!AK14</f>
        <v>0</v>
      </c>
      <c r="AQ29" s="7">
        <f>VC!AL14</f>
        <v>0</v>
      </c>
      <c r="AR29" s="7">
        <f>VC!AM14</f>
        <v>0</v>
      </c>
      <c r="AS29" s="7">
        <f>VC!AN14</f>
        <v>0</v>
      </c>
      <c r="AT29" s="7" t="str">
        <f>VC!AO14</f>
        <v>A82T</v>
      </c>
      <c r="AU29" s="7">
        <f>VC!AP14</f>
        <v>0</v>
      </c>
      <c r="AV29" s="7">
        <f>VC!AQ14</f>
        <v>0</v>
      </c>
      <c r="AW29" s="7">
        <f>VC!AR14</f>
        <v>0</v>
      </c>
      <c r="AX29" s="7">
        <f>VC!AS14</f>
        <v>0</v>
      </c>
      <c r="AY29" s="7" t="str">
        <f>VC!AT14</f>
        <v>R356L</v>
      </c>
      <c r="AZ29" s="7">
        <f>VC!AU14</f>
        <v>0</v>
      </c>
      <c r="BA29" s="7">
        <f>VC!AV14</f>
        <v>0</v>
      </c>
      <c r="BB29" s="7">
        <f>VC!AW14</f>
        <v>0</v>
      </c>
      <c r="BC29" s="7">
        <f>VC!AX14</f>
        <v>0</v>
      </c>
      <c r="BD29" s="7">
        <f>VC!AY14</f>
        <v>0</v>
      </c>
      <c r="BE29" s="7">
        <f>VC!AZ14</f>
        <v>0</v>
      </c>
      <c r="BF29" s="7">
        <f>VC!BA14</f>
        <v>0</v>
      </c>
      <c r="BG29" s="7">
        <f>VC!BB14</f>
        <v>0</v>
      </c>
      <c r="BH29" s="7">
        <f>VC!BC14</f>
        <v>0</v>
      </c>
      <c r="BI29" s="7">
        <f>VC!BD14</f>
        <v>0</v>
      </c>
      <c r="BJ29" s="7" t="str">
        <f>VC!BE14</f>
        <v>R385H</v>
      </c>
      <c r="BK29" s="7">
        <f>VC!BF14</f>
        <v>0</v>
      </c>
      <c r="BL29" s="7">
        <f>VC!BG14</f>
        <v>0</v>
      </c>
      <c r="BM29" s="7">
        <f>VC!BH14</f>
        <v>0</v>
      </c>
      <c r="BN29" s="7">
        <f>VC!BI14</f>
        <v>0</v>
      </c>
      <c r="BO29" s="7">
        <f>VC!BJ14</f>
        <v>0</v>
      </c>
      <c r="BP29" s="7" t="str">
        <f>VC!BK14</f>
        <v>aa118∆4</v>
      </c>
      <c r="BQ29" s="7">
        <f>VC!BL14</f>
        <v>0</v>
      </c>
      <c r="BR29" s="7" t="str">
        <f>VC!BM14</f>
        <v>L137P; nt998∆1</v>
      </c>
      <c r="BS29" s="7">
        <f>VC!BN14</f>
        <v>0</v>
      </c>
      <c r="BT29" s="7">
        <f>VC!BO14</f>
        <v>0</v>
      </c>
      <c r="BU29" s="7" t="str">
        <f>VC!BP14</f>
        <v>A82T</v>
      </c>
      <c r="BV29" s="7">
        <f>VC!BQ14</f>
        <v>0</v>
      </c>
      <c r="BW29" s="7">
        <f>VC!BR14</f>
        <v>0</v>
      </c>
      <c r="BX29" s="7" t="str">
        <f>VC!BS14</f>
        <v>G303R</v>
      </c>
      <c r="BY29" s="7" t="str">
        <f>VC!BT14</f>
        <v>R356L</v>
      </c>
      <c r="BZ29" s="7">
        <f>VC!BU14</f>
        <v>0</v>
      </c>
      <c r="CA29" s="7">
        <f>VC!BV14</f>
        <v>0</v>
      </c>
      <c r="CB29" s="7">
        <f>VC!BW14</f>
        <v>0</v>
      </c>
      <c r="CC29" s="7">
        <f>VC!BX14</f>
        <v>0</v>
      </c>
      <c r="CD29" s="7">
        <f>VC!BY14</f>
        <v>0</v>
      </c>
      <c r="CE29" s="7">
        <f>VC!BZ14</f>
        <v>0</v>
      </c>
      <c r="CF29" s="7">
        <f>VC!CA14</f>
        <v>0</v>
      </c>
      <c r="CG29" s="7">
        <f>VC!CB14</f>
        <v>0</v>
      </c>
      <c r="CH29" s="7">
        <f>VC!CC14</f>
        <v>0</v>
      </c>
      <c r="CI29" s="7">
        <f>VC!CD14</f>
        <v>0</v>
      </c>
      <c r="CJ29" s="7">
        <f>VC!CE14</f>
        <v>0</v>
      </c>
      <c r="CK29" s="7">
        <f>VC!CF14</f>
        <v>0</v>
      </c>
      <c r="CL29" s="7">
        <f>VC!CG14</f>
        <v>0</v>
      </c>
      <c r="CM29" s="7">
        <f>VC!CH14</f>
        <v>0</v>
      </c>
      <c r="CN29" s="7">
        <f>VC!CI14</f>
        <v>0</v>
      </c>
      <c r="CO29" s="7">
        <f>VC!CJ14</f>
        <v>0</v>
      </c>
      <c r="CP29" s="7">
        <f>VC!CK14</f>
        <v>0</v>
      </c>
      <c r="CQ29" s="7">
        <f>VC!CL14</f>
        <v>0</v>
      </c>
      <c r="CR29" s="7" t="str">
        <f>VC!CM14</f>
        <v>S352I</v>
      </c>
      <c r="CS29" s="7">
        <f>VC!CN14</f>
        <v>0</v>
      </c>
      <c r="CT29" s="7">
        <f>VC!CO14</f>
        <v>0</v>
      </c>
      <c r="CU29" s="7">
        <f>VC!CP14</f>
        <v>0</v>
      </c>
      <c r="CV29" s="7">
        <f>VC!CQ14</f>
        <v>0</v>
      </c>
      <c r="CW29" s="7" t="str">
        <f>VC!CR14</f>
        <v>A82T</v>
      </c>
      <c r="CX29" s="7">
        <f>VC!CS14</f>
        <v>0</v>
      </c>
      <c r="CY29" s="7">
        <f>VC!CT14</f>
        <v>0</v>
      </c>
      <c r="CZ29" s="7">
        <f>VC!CU14</f>
        <v>0</v>
      </c>
      <c r="DA29" s="7" t="str">
        <f>VC!CV14</f>
        <v>R356L</v>
      </c>
      <c r="DB29" s="7">
        <f>VC!CW14</f>
        <v>0</v>
      </c>
      <c r="DC29" s="7">
        <f>VC!CX14</f>
        <v>0</v>
      </c>
      <c r="DD29" s="7">
        <f>VC!CY14</f>
        <v>0</v>
      </c>
      <c r="DE29" s="7">
        <f>VC!CZ14</f>
        <v>0</v>
      </c>
      <c r="DF29" s="7">
        <f>VC!DA14</f>
        <v>0</v>
      </c>
      <c r="DG29" s="7">
        <f>VC!DB14</f>
        <v>0</v>
      </c>
      <c r="DH29" s="7">
        <f>VC!DC14</f>
        <v>0</v>
      </c>
      <c r="DI29" s="7">
        <f>VC!DD14</f>
        <v>0</v>
      </c>
      <c r="DJ29" s="7">
        <f>VC!DE14</f>
        <v>0</v>
      </c>
      <c r="DK29" s="7">
        <f>VC!DF14</f>
        <v>0</v>
      </c>
      <c r="DL29" s="7">
        <f>VC!DG14</f>
        <v>0</v>
      </c>
      <c r="DM29" s="7">
        <f>VC!DH14</f>
        <v>0</v>
      </c>
      <c r="DN29" s="7">
        <f>VC!DI14</f>
        <v>0</v>
      </c>
      <c r="DO29" s="7">
        <f>VC!DJ14</f>
        <v>0</v>
      </c>
      <c r="DP29" s="7">
        <f>VC!DK14</f>
        <v>0</v>
      </c>
      <c r="DQ29" s="7">
        <f>VC!DL14</f>
        <v>0</v>
      </c>
      <c r="DR29" s="7">
        <f>VC!DM14</f>
        <v>0</v>
      </c>
      <c r="DS29" s="7">
        <f>VC!DN14</f>
        <v>0</v>
      </c>
      <c r="DT29" s="7">
        <f>VC!DO14</f>
        <v>0</v>
      </c>
      <c r="DU29" s="7">
        <f>VC!DP14</f>
        <v>0</v>
      </c>
      <c r="DV29" s="7">
        <f>VC!DQ14</f>
        <v>0</v>
      </c>
      <c r="DW29" s="7">
        <f>VC!DR14</f>
        <v>0</v>
      </c>
      <c r="DX29" s="7" t="str">
        <f>VC!DS14</f>
        <v>V238L</v>
      </c>
      <c r="DY29" s="7" t="str">
        <f>VC!DT14</f>
        <v>Y73C</v>
      </c>
      <c r="DZ29" s="7">
        <f>VC!DU14</f>
        <v>0</v>
      </c>
      <c r="EA29" s="7">
        <f>VC!DV14</f>
        <v>0</v>
      </c>
      <c r="EB29" s="7">
        <f>VC!DW14</f>
        <v>0</v>
      </c>
      <c r="EC29" s="7">
        <f>VC!DX14</f>
        <v>0</v>
      </c>
      <c r="ED29" s="7" t="str">
        <f>VC!DY14</f>
        <v>S33R</v>
      </c>
      <c r="EE29" s="7">
        <f>VC!DZ14</f>
        <v>0</v>
      </c>
      <c r="EF29" s="7">
        <f>VC!EA14</f>
        <v>0</v>
      </c>
      <c r="EG29" s="7">
        <f>VC!EB14</f>
        <v>0</v>
      </c>
      <c r="EH29" s="7">
        <f>VC!EC14</f>
        <v>0</v>
      </c>
      <c r="EI29" s="7" t="str">
        <f>VC!ED14</f>
        <v>A293V</v>
      </c>
      <c r="EJ29" s="7">
        <f>VC!EE14</f>
        <v>0</v>
      </c>
      <c r="EK29" s="7">
        <f>VC!EF14</f>
        <v>0</v>
      </c>
      <c r="EL29" s="7">
        <f>VC!EG14</f>
        <v>0</v>
      </c>
      <c r="EM29" s="7">
        <f>VC!EH14</f>
        <v>0</v>
      </c>
      <c r="EN29" s="7" t="str">
        <f>VC!EI14</f>
        <v>R356L</v>
      </c>
      <c r="EO29" s="7">
        <f>VC!EJ14</f>
        <v>0</v>
      </c>
      <c r="EP29" s="7">
        <f>VC!EK14</f>
        <v>0</v>
      </c>
      <c r="EQ29" s="7" t="str">
        <f>VC!EL14</f>
        <v>R356L</v>
      </c>
      <c r="ER29" s="7" t="str">
        <f>VC!EM14</f>
        <v>A82T; L346P</v>
      </c>
      <c r="ES29" s="7">
        <f>VC!EN14</f>
        <v>0</v>
      </c>
      <c r="ET29" s="7">
        <f>VC!EO14</f>
        <v>0</v>
      </c>
      <c r="EU29" s="7" t="str">
        <f>VC!EP14</f>
        <v>R356L</v>
      </c>
      <c r="EV29" s="7">
        <f>VC!EQ14</f>
        <v>0</v>
      </c>
      <c r="EW29" s="7">
        <f>VC!ER14</f>
        <v>0</v>
      </c>
      <c r="EX29" s="7">
        <f>VC!ES14</f>
        <v>0</v>
      </c>
      <c r="EY29" s="7">
        <f>VC!ET14</f>
        <v>0</v>
      </c>
      <c r="EZ29" s="7">
        <f>VC!EU14</f>
        <v>0</v>
      </c>
      <c r="FA29" s="7">
        <f>VC!EV14</f>
        <v>0</v>
      </c>
      <c r="FB29" s="7">
        <f>VC!EW14</f>
        <v>0</v>
      </c>
      <c r="FC29" s="7">
        <f>VC!EX14</f>
        <v>0</v>
      </c>
      <c r="FD29" s="7">
        <f>VC!EY14</f>
        <v>0</v>
      </c>
      <c r="FE29" s="7" t="str">
        <f>VC!EZ14</f>
        <v>V216A</v>
      </c>
      <c r="FF29" s="7">
        <f>VC!FA14</f>
        <v>0</v>
      </c>
      <c r="FG29" s="7">
        <f>VC!FB14</f>
        <v>0</v>
      </c>
      <c r="FH29" s="7">
        <f>VC!FC14</f>
        <v>0</v>
      </c>
      <c r="FI29" s="7" t="str">
        <f>VC!FD14</f>
        <v>S277N</v>
      </c>
      <c r="FJ29" s="7">
        <f>VC!FE14</f>
        <v>0</v>
      </c>
      <c r="FK29" s="7">
        <f>VC!FF14</f>
        <v>0</v>
      </c>
      <c r="FL29" s="7" t="str">
        <f>VC!FG14</f>
        <v>R7H</v>
      </c>
      <c r="FM29" s="7">
        <f>VC!FH14</f>
        <v>0</v>
      </c>
      <c r="FN29" s="7">
        <f>VC!FI14</f>
        <v>0</v>
      </c>
      <c r="FO29" s="7">
        <f>VC!FJ14</f>
        <v>0</v>
      </c>
      <c r="FP29" s="7">
        <f>VC!FK14</f>
        <v>0</v>
      </c>
      <c r="FQ29" s="7">
        <f>VC!FL14</f>
        <v>0</v>
      </c>
      <c r="FR29" s="7">
        <f>VC!FM14</f>
        <v>0</v>
      </c>
      <c r="FS29" s="7">
        <f>VC!FN14</f>
        <v>0</v>
      </c>
      <c r="FT29" s="7">
        <f>VC!FO14</f>
        <v>0</v>
      </c>
      <c r="FU29" s="7">
        <f>VC!FP14</f>
        <v>0</v>
      </c>
      <c r="FV29" s="7">
        <f>VC!FQ14</f>
        <v>0</v>
      </c>
      <c r="FW29" s="7">
        <f>VC!FR14</f>
        <v>0</v>
      </c>
      <c r="FX29" s="7" t="str">
        <f>VC!FS14</f>
        <v>D348N</v>
      </c>
      <c r="FY29" s="7">
        <f>VC!FT14</f>
        <v>0</v>
      </c>
      <c r="FZ29" s="7">
        <f>VC!FU14</f>
        <v>0</v>
      </c>
      <c r="GA29" s="7">
        <f>VC!FV14</f>
        <v>0</v>
      </c>
      <c r="GB29" s="7">
        <f>VC!FW14</f>
        <v>0</v>
      </c>
      <c r="GC29" s="7" t="str">
        <f>VC!FX14</f>
        <v>Q349K</v>
      </c>
      <c r="GD29" s="7">
        <f>VC!FY14</f>
        <v>0</v>
      </c>
      <c r="GE29" s="7" t="str">
        <f>VC!FZ14</f>
        <v>V238L</v>
      </c>
      <c r="GF29" s="7">
        <f>VC!GA14</f>
        <v>0</v>
      </c>
      <c r="GG29" s="7">
        <f>VC!GB14</f>
        <v>0</v>
      </c>
      <c r="GH29" s="7" t="str">
        <f>VC!GC14</f>
        <v>D351N</v>
      </c>
      <c r="GI29" s="7">
        <f>VC!GD14</f>
        <v>0</v>
      </c>
      <c r="GJ29" s="7" t="str">
        <f>VC!GE14</f>
        <v>A395T</v>
      </c>
      <c r="GK29" s="7" t="str">
        <f>VC!GF14</f>
        <v>V152A</v>
      </c>
      <c r="GL29" s="7">
        <f>VC!GG14</f>
        <v>0</v>
      </c>
      <c r="GM29" s="7">
        <f>VC!GH14</f>
        <v>0</v>
      </c>
      <c r="GN29" s="7">
        <f>VC!GI14</f>
        <v>0</v>
      </c>
      <c r="GO29" s="7">
        <f>VC!GJ14</f>
        <v>0</v>
      </c>
      <c r="GP29" s="7" t="str">
        <f>VC!GK14</f>
        <v>A82T</v>
      </c>
      <c r="GQ29" s="7">
        <f>VC!GL14</f>
        <v>0</v>
      </c>
      <c r="GR29" s="7">
        <f>VC!GM14</f>
        <v>0</v>
      </c>
      <c r="GS29" s="7">
        <f>VC!GN14</f>
        <v>0</v>
      </c>
      <c r="GT29" s="7">
        <f>VC!GO14</f>
        <v>0</v>
      </c>
      <c r="GU29" s="7" t="str">
        <f>VC!GP14</f>
        <v>A29V</v>
      </c>
      <c r="GV29" s="7">
        <f>VC!GQ14</f>
        <v>0</v>
      </c>
      <c r="GW29" s="7">
        <f>VC!GR14</f>
        <v>0</v>
      </c>
      <c r="GX29" s="7">
        <f>VC!GS14</f>
        <v>0</v>
      </c>
      <c r="GY29" s="7" t="str">
        <f>VC!GT14</f>
        <v>L137P</v>
      </c>
      <c r="GZ29" s="7">
        <f>VC!GU14</f>
        <v>0</v>
      </c>
      <c r="HA29" s="7">
        <f>VC!GV14</f>
        <v>0</v>
      </c>
      <c r="HB29" s="7">
        <f>VC!GW14</f>
        <v>0</v>
      </c>
      <c r="HC29" s="7">
        <f>VC!GX14</f>
        <v>0</v>
      </c>
    </row>
    <row r="30" spans="1:211" s="7" customFormat="1" x14ac:dyDescent="0.25">
      <c r="A30" s="7" t="s">
        <v>45</v>
      </c>
      <c r="B30" s="7" t="s">
        <v>46</v>
      </c>
      <c r="C30" s="8" t="s">
        <v>4</v>
      </c>
      <c r="D30" s="7" t="s">
        <v>76</v>
      </c>
      <c r="E30" s="7" t="s">
        <v>139</v>
      </c>
      <c r="F30" s="7" t="s">
        <v>73</v>
      </c>
      <c r="G30" s="7" t="s">
        <v>140</v>
      </c>
      <c r="H30" s="7" t="str">
        <f>VC!C14</f>
        <v>L79P</v>
      </c>
      <c r="I30" s="7">
        <f>VC!D14</f>
        <v>0</v>
      </c>
      <c r="J30" s="7" t="str">
        <f>VC!E14</f>
        <v>V238L</v>
      </c>
      <c r="K30" s="7">
        <f>VC!F14</f>
        <v>0</v>
      </c>
      <c r="L30" s="7">
        <f>VC!G14</f>
        <v>0</v>
      </c>
      <c r="M30" s="7">
        <f>VC!H14</f>
        <v>0</v>
      </c>
      <c r="N30" s="7" t="str">
        <f>VC!I14</f>
        <v>L137P; V216A</v>
      </c>
      <c r="O30" s="7">
        <f>VC!J14</f>
        <v>0</v>
      </c>
      <c r="P30" s="7">
        <f>VC!K14</f>
        <v>0</v>
      </c>
      <c r="Q30" s="7">
        <f>VC!L14</f>
        <v>0</v>
      </c>
      <c r="R30" s="7" t="str">
        <f>VC!M14</f>
        <v>S352I</v>
      </c>
      <c r="S30" s="7">
        <f>VC!N14</f>
        <v>0</v>
      </c>
      <c r="T30" s="7">
        <f>VC!O14</f>
        <v>0</v>
      </c>
      <c r="U30" s="7">
        <f>VC!P14</f>
        <v>0</v>
      </c>
      <c r="V30" s="7">
        <f>VC!Q14</f>
        <v>0</v>
      </c>
      <c r="W30" s="7">
        <f>VC!R14</f>
        <v>0</v>
      </c>
      <c r="X30" s="7">
        <f>VC!S14</f>
        <v>0</v>
      </c>
      <c r="Y30" s="7">
        <f>VC!T14</f>
        <v>0</v>
      </c>
      <c r="Z30" s="7" t="str">
        <f>VC!U14</f>
        <v>A82T</v>
      </c>
      <c r="AA30" s="7">
        <f>VC!V14</f>
        <v>0</v>
      </c>
      <c r="AB30" s="7">
        <f>VC!W14</f>
        <v>0</v>
      </c>
      <c r="AC30" s="7">
        <f>VC!X14</f>
        <v>0</v>
      </c>
      <c r="AD30" s="7">
        <f>VC!Y14</f>
        <v>0</v>
      </c>
      <c r="AE30" s="7" t="str">
        <f>VC!Z14</f>
        <v>A345T</v>
      </c>
      <c r="AF30" s="7">
        <f>VC!AA14</f>
        <v>0</v>
      </c>
      <c r="AG30" s="7">
        <f>VC!AB14</f>
        <v>0</v>
      </c>
      <c r="AH30" s="7">
        <f>VC!AC14</f>
        <v>0</v>
      </c>
      <c r="AI30" s="7">
        <f>VC!AD14</f>
        <v>0</v>
      </c>
      <c r="AJ30" s="7">
        <f>VC!AE14</f>
        <v>0</v>
      </c>
      <c r="AK30" s="7">
        <f>VC!AF14</f>
        <v>0</v>
      </c>
      <c r="AL30" s="7">
        <f>VC!AG14</f>
        <v>0</v>
      </c>
      <c r="AM30" s="7">
        <f>VC!AH14</f>
        <v>0</v>
      </c>
      <c r="AN30" s="7">
        <f>VC!AI14</f>
        <v>0</v>
      </c>
      <c r="AO30" s="7" t="str">
        <f>VC!AJ14</f>
        <v>R83K; V216A</v>
      </c>
      <c r="AP30" s="7">
        <f>VC!AK14</f>
        <v>0</v>
      </c>
      <c r="AQ30" s="7">
        <f>VC!AL14</f>
        <v>0</v>
      </c>
      <c r="AR30" s="7">
        <f>VC!AM14</f>
        <v>0</v>
      </c>
      <c r="AS30" s="7">
        <f>VC!AN14</f>
        <v>0</v>
      </c>
      <c r="AT30" s="7" t="str">
        <f>VC!AO14</f>
        <v>A82T</v>
      </c>
      <c r="AU30" s="7">
        <f>VC!AP14</f>
        <v>0</v>
      </c>
      <c r="AV30" s="7">
        <f>VC!AQ14</f>
        <v>0</v>
      </c>
      <c r="AW30" s="7">
        <f>VC!AR14</f>
        <v>0</v>
      </c>
      <c r="AX30" s="7">
        <f>VC!AS14</f>
        <v>0</v>
      </c>
      <c r="AY30" s="7" t="str">
        <f>VC!AT14</f>
        <v>R356L</v>
      </c>
      <c r="AZ30" s="7">
        <f>VC!AU14</f>
        <v>0</v>
      </c>
      <c r="BA30" s="7">
        <f>VC!AV14</f>
        <v>0</v>
      </c>
      <c r="BB30" s="7">
        <f>VC!AW14</f>
        <v>0</v>
      </c>
      <c r="BC30" s="7">
        <f>VC!AX14</f>
        <v>0</v>
      </c>
      <c r="BD30" s="7">
        <f>VC!AY14</f>
        <v>0</v>
      </c>
      <c r="BE30" s="7">
        <f>VC!AZ14</f>
        <v>0</v>
      </c>
      <c r="BF30" s="7">
        <f>VC!BA14</f>
        <v>0</v>
      </c>
      <c r="BG30" s="7">
        <f>VC!BB14</f>
        <v>0</v>
      </c>
      <c r="BH30" s="7">
        <f>VC!BC14</f>
        <v>0</v>
      </c>
      <c r="BI30" s="7">
        <f>VC!BD14</f>
        <v>0</v>
      </c>
      <c r="BJ30" s="7" t="str">
        <f>VC!BE14</f>
        <v>R385H</v>
      </c>
      <c r="BK30" s="7">
        <f>VC!BF14</f>
        <v>0</v>
      </c>
      <c r="BL30" s="7">
        <f>VC!BG14</f>
        <v>0</v>
      </c>
      <c r="BM30" s="7">
        <f>VC!BH14</f>
        <v>0</v>
      </c>
      <c r="BN30" s="7">
        <f>VC!BI14</f>
        <v>0</v>
      </c>
      <c r="BO30" s="7">
        <f>VC!BJ14</f>
        <v>0</v>
      </c>
      <c r="BP30" s="7" t="str">
        <f>VC!BK14</f>
        <v>aa118∆4</v>
      </c>
      <c r="BQ30" s="7">
        <f>VC!BL14</f>
        <v>0</v>
      </c>
      <c r="BR30" s="7" t="str">
        <f>VC!BM14</f>
        <v>L137P; nt998∆1</v>
      </c>
      <c r="BS30" s="7">
        <f>VC!BN14</f>
        <v>0</v>
      </c>
      <c r="BT30" s="7">
        <f>VC!BO14</f>
        <v>0</v>
      </c>
      <c r="BU30" s="7" t="str">
        <f>VC!BP14</f>
        <v>A82T</v>
      </c>
      <c r="BV30" s="7">
        <f>VC!BQ14</f>
        <v>0</v>
      </c>
      <c r="BW30" s="7">
        <f>VC!BR14</f>
        <v>0</v>
      </c>
      <c r="BX30" s="7" t="str">
        <f>VC!BS14</f>
        <v>G303R</v>
      </c>
      <c r="BY30" s="7" t="str">
        <f>VC!BT14</f>
        <v>R356L</v>
      </c>
      <c r="BZ30" s="7">
        <f>VC!BU14</f>
        <v>0</v>
      </c>
      <c r="CA30" s="7">
        <f>VC!BV14</f>
        <v>0</v>
      </c>
      <c r="CB30" s="7">
        <f>VC!BW14</f>
        <v>0</v>
      </c>
      <c r="CC30" s="7">
        <f>VC!BX14</f>
        <v>0</v>
      </c>
      <c r="CD30" s="7">
        <f>VC!BY14</f>
        <v>0</v>
      </c>
      <c r="CE30" s="7">
        <f>VC!BZ14</f>
        <v>0</v>
      </c>
      <c r="CF30" s="7">
        <f>VC!CA14</f>
        <v>0</v>
      </c>
      <c r="CG30" s="7">
        <f>VC!CB14</f>
        <v>0</v>
      </c>
      <c r="CH30" s="7">
        <f>VC!CC14</f>
        <v>0</v>
      </c>
      <c r="CI30" s="7">
        <f>VC!CD14</f>
        <v>0</v>
      </c>
      <c r="CJ30" s="7">
        <f>VC!CE14</f>
        <v>0</v>
      </c>
      <c r="CK30" s="7">
        <f>VC!CF14</f>
        <v>0</v>
      </c>
      <c r="CL30" s="7">
        <f>VC!CG14</f>
        <v>0</v>
      </c>
      <c r="CM30" s="7">
        <f>VC!CH14</f>
        <v>0</v>
      </c>
      <c r="CN30" s="7">
        <f>VC!CI14</f>
        <v>0</v>
      </c>
      <c r="CO30" s="7">
        <f>VC!CJ14</f>
        <v>0</v>
      </c>
      <c r="CP30" s="7">
        <f>VC!CK14</f>
        <v>0</v>
      </c>
      <c r="CQ30" s="7">
        <f>VC!CL14</f>
        <v>0</v>
      </c>
      <c r="CR30" s="7" t="str">
        <f>VC!CM14</f>
        <v>S352I</v>
      </c>
      <c r="CS30" s="7">
        <f>VC!CN14</f>
        <v>0</v>
      </c>
      <c r="CT30" s="7">
        <f>VC!CO14</f>
        <v>0</v>
      </c>
      <c r="CU30" s="7">
        <f>VC!CP14</f>
        <v>0</v>
      </c>
      <c r="CV30" s="7">
        <f>VC!CQ14</f>
        <v>0</v>
      </c>
      <c r="CW30" s="7" t="str">
        <f>VC!CR14</f>
        <v>A82T</v>
      </c>
      <c r="CX30" s="7">
        <f>VC!CS14</f>
        <v>0</v>
      </c>
      <c r="CY30" s="7">
        <f>VC!CT14</f>
        <v>0</v>
      </c>
      <c r="CZ30" s="7">
        <f>VC!CU14</f>
        <v>0</v>
      </c>
      <c r="DA30" s="7" t="str">
        <f>VC!CV14</f>
        <v>R356L</v>
      </c>
      <c r="DB30" s="7">
        <f>VC!CW14</f>
        <v>0</v>
      </c>
      <c r="DC30" s="7">
        <f>VC!CX14</f>
        <v>0</v>
      </c>
      <c r="DD30" s="7">
        <f>VC!CY14</f>
        <v>0</v>
      </c>
      <c r="DE30" s="7">
        <f>VC!CZ14</f>
        <v>0</v>
      </c>
      <c r="DF30" s="7">
        <f>VC!DA14</f>
        <v>0</v>
      </c>
      <c r="DG30" s="7">
        <f>VC!DB14</f>
        <v>0</v>
      </c>
      <c r="DH30" s="7">
        <f>VC!DC14</f>
        <v>0</v>
      </c>
      <c r="DI30" s="7">
        <f>VC!DD14</f>
        <v>0</v>
      </c>
      <c r="DJ30" s="7">
        <f>VC!DE14</f>
        <v>0</v>
      </c>
      <c r="DK30" s="7">
        <f>VC!DF14</f>
        <v>0</v>
      </c>
      <c r="DL30" s="7">
        <f>VC!DG14</f>
        <v>0</v>
      </c>
      <c r="DM30" s="7">
        <f>VC!DH14</f>
        <v>0</v>
      </c>
      <c r="DN30" s="7">
        <f>VC!DI14</f>
        <v>0</v>
      </c>
      <c r="DO30" s="7">
        <f>VC!DJ14</f>
        <v>0</v>
      </c>
      <c r="DP30" s="7">
        <f>VC!DK14</f>
        <v>0</v>
      </c>
      <c r="DQ30" s="7">
        <f>VC!DL14</f>
        <v>0</v>
      </c>
      <c r="DR30" s="7">
        <f>VC!DM14</f>
        <v>0</v>
      </c>
      <c r="DS30" s="7">
        <f>VC!DN14</f>
        <v>0</v>
      </c>
      <c r="DT30" s="7">
        <f>VC!DO14</f>
        <v>0</v>
      </c>
      <c r="DU30" s="7">
        <f>VC!DP14</f>
        <v>0</v>
      </c>
      <c r="DV30" s="7">
        <f>VC!DQ14</f>
        <v>0</v>
      </c>
      <c r="DW30" s="7">
        <f>VC!DR14</f>
        <v>0</v>
      </c>
      <c r="DX30" s="7" t="str">
        <f>VC!DS14</f>
        <v>V238L</v>
      </c>
      <c r="DY30" s="7" t="str">
        <f>VC!DT14</f>
        <v>Y73C</v>
      </c>
      <c r="DZ30" s="7">
        <f>VC!DU14</f>
        <v>0</v>
      </c>
      <c r="EA30" s="7">
        <f>VC!DV14</f>
        <v>0</v>
      </c>
      <c r="EB30" s="7">
        <f>VC!DW14</f>
        <v>0</v>
      </c>
      <c r="EC30" s="7">
        <f>VC!DX14</f>
        <v>0</v>
      </c>
      <c r="ED30" s="7" t="str">
        <f>VC!DY14</f>
        <v>S33R</v>
      </c>
      <c r="EE30" s="7">
        <f>VC!DZ14</f>
        <v>0</v>
      </c>
      <c r="EF30" s="7">
        <f>VC!EA14</f>
        <v>0</v>
      </c>
      <c r="EG30" s="7">
        <f>VC!EB14</f>
        <v>0</v>
      </c>
      <c r="EH30" s="7">
        <f>VC!EC14</f>
        <v>0</v>
      </c>
      <c r="EI30" s="7" t="str">
        <f>VC!ED14</f>
        <v>A293V</v>
      </c>
      <c r="EJ30" s="7">
        <f>VC!EE14</f>
        <v>0</v>
      </c>
      <c r="EK30" s="7">
        <f>VC!EF14</f>
        <v>0</v>
      </c>
      <c r="EL30" s="7">
        <f>VC!EG14</f>
        <v>0</v>
      </c>
      <c r="EM30" s="7">
        <f>VC!EH14</f>
        <v>0</v>
      </c>
      <c r="EN30" s="7" t="str">
        <f>VC!EI14</f>
        <v>R356L</v>
      </c>
      <c r="EO30" s="7">
        <f>VC!EJ14</f>
        <v>0</v>
      </c>
      <c r="EP30" s="7">
        <f>VC!EK14</f>
        <v>0</v>
      </c>
      <c r="EQ30" s="7" t="str">
        <f>VC!EL14</f>
        <v>R356L</v>
      </c>
      <c r="ER30" s="7" t="str">
        <f>VC!EM14</f>
        <v>A82T; L346P</v>
      </c>
      <c r="ES30" s="7">
        <f>VC!EN14</f>
        <v>0</v>
      </c>
      <c r="ET30" s="7">
        <f>VC!EO14</f>
        <v>0</v>
      </c>
      <c r="EU30" s="7" t="str">
        <f>VC!EP14</f>
        <v>R356L</v>
      </c>
      <c r="EV30" s="7">
        <f>VC!EQ14</f>
        <v>0</v>
      </c>
      <c r="EW30" s="7">
        <f>VC!ER14</f>
        <v>0</v>
      </c>
      <c r="EX30" s="7">
        <f>VC!ES14</f>
        <v>0</v>
      </c>
      <c r="EY30" s="7">
        <f>VC!ET14</f>
        <v>0</v>
      </c>
      <c r="EZ30" s="7">
        <f>VC!EU14</f>
        <v>0</v>
      </c>
      <c r="FA30" s="7">
        <f>VC!EV14</f>
        <v>0</v>
      </c>
      <c r="FB30" s="7">
        <f>VC!EW14</f>
        <v>0</v>
      </c>
      <c r="FC30" s="7">
        <f>VC!EX14</f>
        <v>0</v>
      </c>
      <c r="FD30" s="7">
        <f>VC!EY14</f>
        <v>0</v>
      </c>
      <c r="FE30" s="7" t="str">
        <f>VC!EZ14</f>
        <v>V216A</v>
      </c>
      <c r="FF30" s="7">
        <f>VC!FA14</f>
        <v>0</v>
      </c>
      <c r="FG30" s="7">
        <f>VC!FB14</f>
        <v>0</v>
      </c>
      <c r="FH30" s="7">
        <f>VC!FC14</f>
        <v>0</v>
      </c>
      <c r="FI30" s="7" t="str">
        <f>VC!FD14</f>
        <v>S277N</v>
      </c>
      <c r="FJ30" s="7">
        <f>VC!FE14</f>
        <v>0</v>
      </c>
      <c r="FK30" s="7">
        <f>VC!FF14</f>
        <v>0</v>
      </c>
      <c r="FL30" s="7" t="str">
        <f>VC!FG14</f>
        <v>R7H</v>
      </c>
      <c r="FM30" s="7">
        <f>VC!FH14</f>
        <v>0</v>
      </c>
      <c r="FN30" s="7">
        <f>VC!FI14</f>
        <v>0</v>
      </c>
      <c r="FO30" s="7">
        <f>VC!FJ14</f>
        <v>0</v>
      </c>
      <c r="FP30" s="7">
        <f>VC!FK14</f>
        <v>0</v>
      </c>
      <c r="FQ30" s="7">
        <f>VC!FL14</f>
        <v>0</v>
      </c>
      <c r="FR30" s="7">
        <f>VC!FM14</f>
        <v>0</v>
      </c>
      <c r="FS30" s="7">
        <f>VC!FN14</f>
        <v>0</v>
      </c>
      <c r="FT30" s="7">
        <f>VC!FO14</f>
        <v>0</v>
      </c>
      <c r="FU30" s="7">
        <f>VC!FP14</f>
        <v>0</v>
      </c>
      <c r="FV30" s="7">
        <f>VC!FQ14</f>
        <v>0</v>
      </c>
      <c r="FW30" s="7">
        <f>VC!FR14</f>
        <v>0</v>
      </c>
      <c r="FX30" s="7" t="str">
        <f>VC!FS14</f>
        <v>D348N</v>
      </c>
      <c r="FY30" s="7">
        <f>VC!FT14</f>
        <v>0</v>
      </c>
      <c r="FZ30" s="7">
        <f>VC!FU14</f>
        <v>0</v>
      </c>
      <c r="GA30" s="7">
        <f>VC!FV14</f>
        <v>0</v>
      </c>
      <c r="GB30" s="7">
        <f>VC!FW14</f>
        <v>0</v>
      </c>
      <c r="GC30" s="7" t="str">
        <f>VC!FX14</f>
        <v>Q349K</v>
      </c>
      <c r="GD30" s="7">
        <f>VC!FY14</f>
        <v>0</v>
      </c>
      <c r="GE30" s="7" t="str">
        <f>VC!FZ14</f>
        <v>V238L</v>
      </c>
      <c r="GF30" s="7">
        <f>VC!GA14</f>
        <v>0</v>
      </c>
      <c r="GG30" s="7">
        <f>VC!GB14</f>
        <v>0</v>
      </c>
      <c r="GH30" s="7" t="str">
        <f>VC!GC14</f>
        <v>D351N</v>
      </c>
      <c r="GI30" s="7">
        <f>VC!GD14</f>
        <v>0</v>
      </c>
      <c r="GJ30" s="7" t="str">
        <f>VC!GE14</f>
        <v>A395T</v>
      </c>
      <c r="GK30" s="7" t="str">
        <f>VC!GF14</f>
        <v>V152A</v>
      </c>
      <c r="GL30" s="7">
        <f>VC!GG14</f>
        <v>0</v>
      </c>
      <c r="GM30" s="7">
        <f>VC!GH14</f>
        <v>0</v>
      </c>
      <c r="GN30" s="7">
        <f>VC!GI14</f>
        <v>0</v>
      </c>
      <c r="GO30" s="7">
        <f>VC!GJ14</f>
        <v>0</v>
      </c>
      <c r="GP30" s="7" t="str">
        <f>VC!GK14</f>
        <v>A82T</v>
      </c>
      <c r="GQ30" s="7">
        <f>VC!GL14</f>
        <v>0</v>
      </c>
      <c r="GR30" s="7">
        <f>VC!GM14</f>
        <v>0</v>
      </c>
      <c r="GS30" s="7">
        <f>VC!GN14</f>
        <v>0</v>
      </c>
      <c r="GT30" s="7">
        <f>VC!GO14</f>
        <v>0</v>
      </c>
      <c r="GU30" s="7" t="str">
        <f>VC!GP14</f>
        <v>A29V</v>
      </c>
      <c r="GV30" s="7">
        <f>VC!GQ14</f>
        <v>0</v>
      </c>
      <c r="GW30" s="7">
        <f>VC!GR14</f>
        <v>0</v>
      </c>
      <c r="GX30" s="7">
        <f>VC!GS14</f>
        <v>0</v>
      </c>
      <c r="GY30" s="7" t="str">
        <f>VC!GT14</f>
        <v>L137P</v>
      </c>
      <c r="GZ30" s="7">
        <f>VC!GU14</f>
        <v>0</v>
      </c>
      <c r="HA30" s="7">
        <f>VC!GV14</f>
        <v>0</v>
      </c>
      <c r="HB30" s="7">
        <f>VC!GW14</f>
        <v>0</v>
      </c>
      <c r="HC30" s="7">
        <f>VC!GX14</f>
        <v>0</v>
      </c>
    </row>
    <row r="31" spans="1:211" s="1" customFormat="1" x14ac:dyDescent="0.25">
      <c r="A31" s="1" t="s">
        <v>47</v>
      </c>
      <c r="B31" s="1" t="s">
        <v>48</v>
      </c>
      <c r="C31" s="4" t="s">
        <v>0</v>
      </c>
      <c r="D31" s="1" t="s">
        <v>76</v>
      </c>
      <c r="E31" s="1" t="s">
        <v>138</v>
      </c>
      <c r="F31" s="1" t="s">
        <v>73</v>
      </c>
      <c r="G31" s="1" t="s">
        <v>142</v>
      </c>
      <c r="H31" s="1">
        <f>VC!C15</f>
        <v>0</v>
      </c>
      <c r="I31" s="1">
        <f>VC!D15</f>
        <v>0</v>
      </c>
      <c r="J31" s="1">
        <f>VC!E15</f>
        <v>0</v>
      </c>
      <c r="K31" s="1">
        <f>VC!F15</f>
        <v>0</v>
      </c>
      <c r="L31" s="1">
        <f>VC!G15</f>
        <v>0</v>
      </c>
      <c r="M31" s="1">
        <f>VC!H15</f>
        <v>0</v>
      </c>
      <c r="N31" s="1">
        <f>VC!I15</f>
        <v>0</v>
      </c>
      <c r="O31" s="1">
        <f>VC!J15</f>
        <v>0</v>
      </c>
      <c r="P31" s="1">
        <f>VC!K15</f>
        <v>0</v>
      </c>
      <c r="Q31" s="1">
        <f>VC!L15</f>
        <v>0</v>
      </c>
      <c r="R31" s="1">
        <f>VC!M15</f>
        <v>0</v>
      </c>
      <c r="S31" s="1">
        <f>VC!N15</f>
        <v>0</v>
      </c>
      <c r="T31" s="1">
        <f>VC!O15</f>
        <v>0</v>
      </c>
      <c r="U31" s="1">
        <f>VC!P15</f>
        <v>0</v>
      </c>
      <c r="V31" s="1">
        <f>VC!Q15</f>
        <v>0</v>
      </c>
      <c r="W31" s="1">
        <f>VC!R15</f>
        <v>0</v>
      </c>
      <c r="X31" s="1">
        <f>VC!S15</f>
        <v>0</v>
      </c>
      <c r="Y31" s="1">
        <f>VC!T15</f>
        <v>0</v>
      </c>
      <c r="Z31" s="1">
        <f>VC!U15</f>
        <v>0</v>
      </c>
      <c r="AA31" s="1">
        <f>VC!V15</f>
        <v>0</v>
      </c>
      <c r="AB31" s="1">
        <f>VC!W15</f>
        <v>0</v>
      </c>
      <c r="AC31" s="1">
        <f>VC!X15</f>
        <v>0</v>
      </c>
      <c r="AD31" s="1">
        <f>VC!Y15</f>
        <v>0</v>
      </c>
      <c r="AE31" s="1">
        <f>VC!Z15</f>
        <v>0</v>
      </c>
      <c r="AF31" s="1">
        <f>VC!AA15</f>
        <v>0</v>
      </c>
      <c r="AG31" s="1">
        <f>VC!AB15</f>
        <v>0</v>
      </c>
      <c r="AH31" s="1">
        <f>VC!AC15</f>
        <v>0</v>
      </c>
      <c r="AI31" s="1">
        <f>VC!AD15</f>
        <v>0</v>
      </c>
      <c r="AJ31" s="1">
        <f>VC!AE15</f>
        <v>0</v>
      </c>
      <c r="AK31" s="1">
        <f>VC!AF15</f>
        <v>0</v>
      </c>
      <c r="AL31" s="1">
        <f>VC!AG15</f>
        <v>0</v>
      </c>
      <c r="AM31" s="1">
        <f>VC!AH15</f>
        <v>0</v>
      </c>
      <c r="AN31" s="1">
        <f>VC!AI15</f>
        <v>0</v>
      </c>
      <c r="AO31" s="1">
        <f>VC!AJ15</f>
        <v>0</v>
      </c>
      <c r="AP31" s="1">
        <f>VC!AK15</f>
        <v>0</v>
      </c>
      <c r="AQ31" s="1">
        <f>VC!AL15</f>
        <v>0</v>
      </c>
      <c r="AR31" s="1">
        <f>VC!AM15</f>
        <v>0</v>
      </c>
      <c r="AS31" s="1">
        <f>VC!AN15</f>
        <v>0</v>
      </c>
      <c r="AT31" s="1">
        <f>VC!AO15</f>
        <v>0</v>
      </c>
      <c r="AU31" s="1">
        <f>VC!AP15</f>
        <v>0</v>
      </c>
      <c r="AV31" s="1">
        <f>VC!AQ15</f>
        <v>0</v>
      </c>
      <c r="AW31" s="1">
        <f>VC!AR15</f>
        <v>0</v>
      </c>
      <c r="AX31" s="1">
        <f>VC!AS15</f>
        <v>0</v>
      </c>
      <c r="AY31" s="1">
        <f>VC!AT15</f>
        <v>0</v>
      </c>
      <c r="AZ31" s="1">
        <f>VC!AU15</f>
        <v>0</v>
      </c>
      <c r="BA31" s="1">
        <f>VC!AV15</f>
        <v>0</v>
      </c>
      <c r="BB31" s="1">
        <f>VC!AW15</f>
        <v>0</v>
      </c>
      <c r="BC31" s="1">
        <f>VC!AX15</f>
        <v>0</v>
      </c>
      <c r="BD31" s="1">
        <f>VC!AY15</f>
        <v>0</v>
      </c>
      <c r="BE31" s="1">
        <f>VC!AZ15</f>
        <v>0</v>
      </c>
      <c r="BF31" s="1">
        <f>VC!BA15</f>
        <v>0</v>
      </c>
      <c r="BG31" s="1">
        <f>VC!BB15</f>
        <v>0</v>
      </c>
      <c r="BH31" s="1">
        <f>VC!BC15</f>
        <v>0</v>
      </c>
      <c r="BI31" s="1">
        <f>VC!BD15</f>
        <v>0</v>
      </c>
      <c r="BJ31" s="1">
        <f>VC!BE15</f>
        <v>0</v>
      </c>
      <c r="BK31" s="1">
        <f>VC!BF15</f>
        <v>0</v>
      </c>
      <c r="BL31" s="1">
        <f>VC!BG15</f>
        <v>0</v>
      </c>
      <c r="BM31" s="1">
        <f>VC!BH15</f>
        <v>0</v>
      </c>
      <c r="BN31" s="1">
        <f>VC!BI15</f>
        <v>0</v>
      </c>
      <c r="BO31" s="1">
        <f>VC!BJ15</f>
        <v>0</v>
      </c>
      <c r="BP31" s="1">
        <f>VC!BK15</f>
        <v>0</v>
      </c>
      <c r="BQ31" s="1">
        <f>VC!BL15</f>
        <v>0</v>
      </c>
      <c r="BR31" s="1">
        <f>VC!BM15</f>
        <v>0</v>
      </c>
      <c r="BS31" s="1">
        <f>VC!BN15</f>
        <v>0</v>
      </c>
      <c r="BT31" s="1" t="str">
        <f>VC!BO15</f>
        <v>L90I</v>
      </c>
      <c r="BU31" s="1">
        <f>VC!BP15</f>
        <v>0</v>
      </c>
      <c r="BV31" s="1">
        <f>VC!BQ15</f>
        <v>0</v>
      </c>
      <c r="BW31" s="1">
        <f>VC!BR15</f>
        <v>0</v>
      </c>
      <c r="BX31" s="1">
        <f>VC!BS15</f>
        <v>0</v>
      </c>
      <c r="BY31" s="1">
        <f>VC!BT15</f>
        <v>0</v>
      </c>
      <c r="BZ31" s="1">
        <f>VC!BU15</f>
        <v>0</v>
      </c>
      <c r="CA31" s="1">
        <f>VC!BV15</f>
        <v>0</v>
      </c>
      <c r="CB31" s="1">
        <f>VC!BW15</f>
        <v>0</v>
      </c>
      <c r="CC31" s="1">
        <f>VC!BX15</f>
        <v>0</v>
      </c>
      <c r="CD31" s="1">
        <f>VC!BY15</f>
        <v>0</v>
      </c>
      <c r="CE31" s="1">
        <f>VC!BZ15</f>
        <v>0</v>
      </c>
      <c r="CF31" s="1">
        <f>VC!CA15</f>
        <v>0</v>
      </c>
      <c r="CG31" s="1">
        <f>VC!CB15</f>
        <v>0</v>
      </c>
      <c r="CH31" s="1">
        <f>VC!CC15</f>
        <v>0</v>
      </c>
      <c r="CI31" s="1">
        <f>VC!CD15</f>
        <v>0</v>
      </c>
      <c r="CJ31" s="1">
        <f>VC!CE15</f>
        <v>0</v>
      </c>
      <c r="CK31" s="1">
        <f>VC!CF15</f>
        <v>0</v>
      </c>
      <c r="CL31" s="1">
        <f>VC!CG15</f>
        <v>0</v>
      </c>
      <c r="CM31" s="1">
        <f>VC!CH15</f>
        <v>0</v>
      </c>
      <c r="CN31" s="1">
        <f>VC!CI15</f>
        <v>0</v>
      </c>
      <c r="CO31" s="1">
        <f>VC!CJ15</f>
        <v>0</v>
      </c>
      <c r="CP31" s="1">
        <f>VC!CK15</f>
        <v>0</v>
      </c>
      <c r="CQ31" s="1">
        <f>VC!CL15</f>
        <v>0</v>
      </c>
      <c r="CR31" s="1">
        <f>VC!CM15</f>
        <v>0</v>
      </c>
      <c r="CS31" s="1">
        <f>VC!CN15</f>
        <v>0</v>
      </c>
      <c r="CT31" s="1">
        <f>VC!CO15</f>
        <v>0</v>
      </c>
      <c r="CU31" s="1">
        <f>VC!CP15</f>
        <v>0</v>
      </c>
      <c r="CV31" s="1">
        <f>VC!CQ15</f>
        <v>0</v>
      </c>
      <c r="CW31" s="1">
        <f>VC!CR15</f>
        <v>0</v>
      </c>
      <c r="CX31" s="1">
        <f>VC!CS15</f>
        <v>0</v>
      </c>
      <c r="CY31" s="1">
        <f>VC!CT15</f>
        <v>0</v>
      </c>
      <c r="CZ31" s="1">
        <f>VC!CU15</f>
        <v>0</v>
      </c>
      <c r="DA31" s="1">
        <f>VC!CV15</f>
        <v>0</v>
      </c>
      <c r="DB31" s="1">
        <f>VC!CW15</f>
        <v>0</v>
      </c>
      <c r="DC31" s="1">
        <f>VC!CX15</f>
        <v>0</v>
      </c>
      <c r="DD31" s="1">
        <f>VC!CY15</f>
        <v>0</v>
      </c>
      <c r="DE31" s="1">
        <f>VC!CZ15</f>
        <v>0</v>
      </c>
      <c r="DF31" s="1">
        <f>VC!DA15</f>
        <v>0</v>
      </c>
      <c r="DG31" s="1">
        <f>VC!DB15</f>
        <v>0</v>
      </c>
      <c r="DH31" s="1">
        <f>VC!DC15</f>
        <v>0</v>
      </c>
      <c r="DI31" s="1">
        <f>VC!DD15</f>
        <v>0</v>
      </c>
      <c r="DJ31" s="1">
        <f>VC!DE15</f>
        <v>0</v>
      </c>
      <c r="DK31" s="1">
        <f>VC!DF15</f>
        <v>0</v>
      </c>
      <c r="DL31" s="1">
        <f>VC!DG15</f>
        <v>0</v>
      </c>
      <c r="DM31" s="1">
        <f>VC!DH15</f>
        <v>0</v>
      </c>
      <c r="DN31" s="1">
        <f>VC!DI15</f>
        <v>0</v>
      </c>
      <c r="DO31" s="1" t="str">
        <f>VC!DJ15</f>
        <v>aa214∆1</v>
      </c>
      <c r="DP31" s="1">
        <f>VC!DK15</f>
        <v>0</v>
      </c>
      <c r="DQ31" s="1">
        <f>VC!DL15</f>
        <v>0</v>
      </c>
      <c r="DR31" s="1">
        <f>VC!DM15</f>
        <v>0</v>
      </c>
      <c r="DS31" s="1">
        <f>VC!DN15</f>
        <v>0</v>
      </c>
      <c r="DT31" s="1">
        <f>VC!DO15</f>
        <v>0</v>
      </c>
      <c r="DU31" s="1">
        <f>VC!DP15</f>
        <v>0</v>
      </c>
      <c r="DV31" s="1">
        <f>VC!DQ15</f>
        <v>0</v>
      </c>
      <c r="DW31" s="1">
        <f>VC!DR15</f>
        <v>0</v>
      </c>
      <c r="DX31" s="1">
        <f>VC!DS15</f>
        <v>0</v>
      </c>
      <c r="DY31" s="1">
        <f>VC!DT15</f>
        <v>0</v>
      </c>
      <c r="DZ31" s="1">
        <f>VC!DU15</f>
        <v>0</v>
      </c>
      <c r="EA31" s="1">
        <f>VC!DV15</f>
        <v>0</v>
      </c>
      <c r="EB31" s="1">
        <f>VC!DW15</f>
        <v>0</v>
      </c>
      <c r="EC31" s="1">
        <f>VC!DX15</f>
        <v>0</v>
      </c>
      <c r="ED31" s="1">
        <f>VC!DY15</f>
        <v>0</v>
      </c>
      <c r="EE31" s="1">
        <f>VC!DZ15</f>
        <v>0</v>
      </c>
      <c r="EF31" s="1">
        <f>VC!EA15</f>
        <v>0</v>
      </c>
      <c r="EG31" s="1">
        <f>VC!EB15</f>
        <v>0</v>
      </c>
      <c r="EH31" s="1">
        <f>VC!EC15</f>
        <v>0</v>
      </c>
      <c r="EI31" s="1">
        <f>VC!ED15</f>
        <v>0</v>
      </c>
      <c r="EJ31" s="1">
        <f>VC!EE15</f>
        <v>0</v>
      </c>
      <c r="EK31" s="1">
        <f>VC!EF15</f>
        <v>0</v>
      </c>
      <c r="EL31" s="1">
        <f>VC!EG15</f>
        <v>0</v>
      </c>
      <c r="EM31" s="1">
        <f>VC!EH15</f>
        <v>0</v>
      </c>
      <c r="EN31" s="1">
        <f>VC!EI15</f>
        <v>0</v>
      </c>
      <c r="EO31" s="1">
        <f>VC!EJ15</f>
        <v>0</v>
      </c>
      <c r="EP31" s="1">
        <f>VC!EK15</f>
        <v>0</v>
      </c>
      <c r="EQ31" s="1">
        <f>VC!EL15</f>
        <v>0</v>
      </c>
      <c r="ER31" s="1">
        <f>VC!EM15</f>
        <v>0</v>
      </c>
      <c r="ES31" s="1">
        <f>VC!EN15</f>
        <v>0</v>
      </c>
      <c r="ET31" s="1">
        <f>VC!EO15</f>
        <v>0</v>
      </c>
      <c r="EU31" s="1">
        <f>VC!EP15</f>
        <v>0</v>
      </c>
      <c r="EV31" s="1">
        <f>VC!EQ15</f>
        <v>0</v>
      </c>
      <c r="EW31" s="1">
        <f>VC!ER15</f>
        <v>0</v>
      </c>
      <c r="EX31" s="1">
        <f>VC!ES15</f>
        <v>0</v>
      </c>
      <c r="EY31" s="1">
        <f>VC!ET15</f>
        <v>0</v>
      </c>
      <c r="EZ31" s="1">
        <f>VC!EU15</f>
        <v>0</v>
      </c>
      <c r="FA31" s="1">
        <f>VC!EV15</f>
        <v>0</v>
      </c>
      <c r="FB31" s="1">
        <f>VC!EW15</f>
        <v>0</v>
      </c>
      <c r="FC31" s="1">
        <f>VC!EX15</f>
        <v>0</v>
      </c>
      <c r="FD31" s="1">
        <f>VC!EY15</f>
        <v>0</v>
      </c>
      <c r="FE31" s="1">
        <f>VC!EZ15</f>
        <v>0</v>
      </c>
      <c r="FF31" s="1">
        <f>VC!FA15</f>
        <v>0</v>
      </c>
      <c r="FG31" s="1">
        <f>VC!FB15</f>
        <v>0</v>
      </c>
      <c r="FH31" s="1">
        <f>VC!FC15</f>
        <v>0</v>
      </c>
      <c r="FI31" s="1">
        <f>VC!FD15</f>
        <v>0</v>
      </c>
      <c r="FJ31" s="1">
        <f>VC!FE15</f>
        <v>0</v>
      </c>
      <c r="FK31" s="1">
        <f>VC!FF15</f>
        <v>0</v>
      </c>
      <c r="FL31" s="1">
        <f>VC!FG15</f>
        <v>0</v>
      </c>
      <c r="FM31" s="1">
        <f>VC!FH15</f>
        <v>0</v>
      </c>
      <c r="FN31" s="1">
        <f>VC!FI15</f>
        <v>0</v>
      </c>
      <c r="FO31" s="1">
        <f>VC!FJ15</f>
        <v>0</v>
      </c>
      <c r="FP31" s="1">
        <f>VC!FK15</f>
        <v>0</v>
      </c>
      <c r="FQ31" s="1">
        <f>VC!FL15</f>
        <v>0</v>
      </c>
      <c r="FR31" s="1">
        <f>VC!FM15</f>
        <v>0</v>
      </c>
      <c r="FS31" s="1" t="str">
        <f>VC!FN15</f>
        <v>P128S</v>
      </c>
      <c r="FT31" s="1">
        <f>VC!FO15</f>
        <v>0</v>
      </c>
      <c r="FU31" s="1">
        <f>VC!FP15</f>
        <v>0</v>
      </c>
      <c r="FV31" s="1">
        <f>VC!FQ15</f>
        <v>0</v>
      </c>
      <c r="FW31" s="1">
        <f>VC!FR15</f>
        <v>0</v>
      </c>
      <c r="FX31" s="1">
        <f>VC!FS15</f>
        <v>0</v>
      </c>
      <c r="FY31" s="1">
        <f>VC!FT15</f>
        <v>0</v>
      </c>
      <c r="FZ31" s="1">
        <f>VC!FU15</f>
        <v>0</v>
      </c>
      <c r="GA31" s="1">
        <f>VC!FV15</f>
        <v>0</v>
      </c>
      <c r="GB31" s="1">
        <f>VC!FW15</f>
        <v>0</v>
      </c>
      <c r="GC31" s="1">
        <f>VC!FX15</f>
        <v>0</v>
      </c>
      <c r="GD31" s="1">
        <f>VC!FY15</f>
        <v>0</v>
      </c>
      <c r="GE31" s="1">
        <f>VC!FZ15</f>
        <v>0</v>
      </c>
      <c r="GF31" s="1">
        <f>VC!GA15</f>
        <v>0</v>
      </c>
      <c r="GG31" s="1">
        <f>VC!GB15</f>
        <v>0</v>
      </c>
      <c r="GH31" s="1">
        <f>VC!GC15</f>
        <v>0</v>
      </c>
      <c r="GI31" s="1">
        <f>VC!GD15</f>
        <v>0</v>
      </c>
      <c r="GJ31" s="1">
        <f>VC!GE15</f>
        <v>0</v>
      </c>
      <c r="GK31" s="1">
        <f>VC!GF15</f>
        <v>0</v>
      </c>
      <c r="GL31" s="1">
        <f>VC!GG15</f>
        <v>0</v>
      </c>
      <c r="GM31" s="1">
        <f>VC!GH15</f>
        <v>0</v>
      </c>
      <c r="GN31" s="1" t="str">
        <f>VC!GI15</f>
        <v>V55I; I80L</v>
      </c>
      <c r="GO31" s="1">
        <f>VC!GJ15</f>
        <v>0</v>
      </c>
      <c r="GP31" s="1">
        <f>VC!GK15</f>
        <v>0</v>
      </c>
      <c r="GQ31" s="1">
        <f>VC!GL15</f>
        <v>0</v>
      </c>
      <c r="GR31" s="1">
        <f>VC!GM15</f>
        <v>0</v>
      </c>
      <c r="GS31" s="1">
        <f>VC!GN15</f>
        <v>0</v>
      </c>
      <c r="GT31" s="1">
        <f>VC!GO15</f>
        <v>0</v>
      </c>
      <c r="GU31" s="1">
        <f>VC!GP15</f>
        <v>0</v>
      </c>
      <c r="GV31" s="1">
        <f>VC!GQ15</f>
        <v>0</v>
      </c>
      <c r="GW31" s="1">
        <f>VC!GR15</f>
        <v>0</v>
      </c>
      <c r="GX31" s="1">
        <f>VC!GS15</f>
        <v>0</v>
      </c>
      <c r="GY31" s="1">
        <f>VC!GT15</f>
        <v>0</v>
      </c>
      <c r="GZ31" s="1">
        <f>VC!GU15</f>
        <v>0</v>
      </c>
      <c r="HA31" s="1">
        <f>VC!GV15</f>
        <v>0</v>
      </c>
      <c r="HB31" s="1">
        <f>VC!GW15</f>
        <v>0</v>
      </c>
      <c r="HC31" s="1" t="str">
        <f>VC!GX15</f>
        <v>R178C</v>
      </c>
    </row>
    <row r="32" spans="1:211" s="1" customFormat="1" x14ac:dyDescent="0.25">
      <c r="A32" s="2" t="s">
        <v>47</v>
      </c>
      <c r="B32" s="1" t="s">
        <v>48</v>
      </c>
      <c r="C32" s="4" t="s">
        <v>2</v>
      </c>
      <c r="D32" s="1" t="s">
        <v>76</v>
      </c>
      <c r="E32" s="1" t="s">
        <v>138</v>
      </c>
      <c r="F32" s="1" t="s">
        <v>73</v>
      </c>
      <c r="G32" s="1" t="s">
        <v>142</v>
      </c>
      <c r="H32" s="1">
        <f>VC!C15</f>
        <v>0</v>
      </c>
      <c r="I32" s="1">
        <f>VC!D15</f>
        <v>0</v>
      </c>
      <c r="J32" s="1">
        <f>VC!E15</f>
        <v>0</v>
      </c>
      <c r="K32" s="1">
        <f>VC!F15</f>
        <v>0</v>
      </c>
      <c r="L32" s="1">
        <f>VC!G15</f>
        <v>0</v>
      </c>
      <c r="M32" s="1">
        <f>VC!H15</f>
        <v>0</v>
      </c>
      <c r="N32" s="1">
        <f>VC!I15</f>
        <v>0</v>
      </c>
      <c r="O32" s="1">
        <f>VC!J15</f>
        <v>0</v>
      </c>
      <c r="P32" s="1">
        <f>VC!K15</f>
        <v>0</v>
      </c>
      <c r="Q32" s="1">
        <f>VC!L15</f>
        <v>0</v>
      </c>
      <c r="R32" s="1">
        <f>VC!M15</f>
        <v>0</v>
      </c>
      <c r="S32" s="1">
        <f>VC!N15</f>
        <v>0</v>
      </c>
      <c r="T32" s="1">
        <f>VC!O15</f>
        <v>0</v>
      </c>
      <c r="U32" s="1">
        <f>VC!P15</f>
        <v>0</v>
      </c>
      <c r="V32" s="1">
        <f>VC!Q15</f>
        <v>0</v>
      </c>
      <c r="W32" s="1">
        <f>VC!R15</f>
        <v>0</v>
      </c>
      <c r="X32" s="1">
        <f>VC!S15</f>
        <v>0</v>
      </c>
      <c r="Y32" s="1">
        <f>VC!T15</f>
        <v>0</v>
      </c>
      <c r="Z32" s="1">
        <f>VC!U15</f>
        <v>0</v>
      </c>
      <c r="AA32" s="1">
        <f>VC!V15</f>
        <v>0</v>
      </c>
      <c r="AB32" s="1">
        <f>VC!W15</f>
        <v>0</v>
      </c>
      <c r="AC32" s="1">
        <f>VC!X15</f>
        <v>0</v>
      </c>
      <c r="AD32" s="1">
        <f>VC!Y15</f>
        <v>0</v>
      </c>
      <c r="AE32" s="1">
        <f>VC!Z15</f>
        <v>0</v>
      </c>
      <c r="AF32" s="1">
        <f>VC!AA15</f>
        <v>0</v>
      </c>
      <c r="AG32" s="1">
        <f>VC!AB15</f>
        <v>0</v>
      </c>
      <c r="AH32" s="1">
        <f>VC!AC15</f>
        <v>0</v>
      </c>
      <c r="AI32" s="1">
        <f>VC!AD15</f>
        <v>0</v>
      </c>
      <c r="AJ32" s="1">
        <f>VC!AE15</f>
        <v>0</v>
      </c>
      <c r="AK32" s="1">
        <f>VC!AF15</f>
        <v>0</v>
      </c>
      <c r="AL32" s="1">
        <f>VC!AG15</f>
        <v>0</v>
      </c>
      <c r="AM32" s="1">
        <f>VC!AH15</f>
        <v>0</v>
      </c>
      <c r="AN32" s="1">
        <f>VC!AI15</f>
        <v>0</v>
      </c>
      <c r="AO32" s="1">
        <f>VC!AJ15</f>
        <v>0</v>
      </c>
      <c r="AP32" s="1">
        <f>VC!AK15</f>
        <v>0</v>
      </c>
      <c r="AQ32" s="1">
        <f>VC!AL15</f>
        <v>0</v>
      </c>
      <c r="AR32" s="1">
        <f>VC!AM15</f>
        <v>0</v>
      </c>
      <c r="AS32" s="1">
        <f>VC!AN15</f>
        <v>0</v>
      </c>
      <c r="AT32" s="1">
        <f>VC!AO15</f>
        <v>0</v>
      </c>
      <c r="AU32" s="1">
        <f>VC!AP15</f>
        <v>0</v>
      </c>
      <c r="AV32" s="1">
        <f>VC!AQ15</f>
        <v>0</v>
      </c>
      <c r="AW32" s="1">
        <f>VC!AR15</f>
        <v>0</v>
      </c>
      <c r="AX32" s="1">
        <f>VC!AS15</f>
        <v>0</v>
      </c>
      <c r="AY32" s="1">
        <f>VC!AT15</f>
        <v>0</v>
      </c>
      <c r="AZ32" s="1">
        <f>VC!AU15</f>
        <v>0</v>
      </c>
      <c r="BA32" s="1">
        <f>VC!AV15</f>
        <v>0</v>
      </c>
      <c r="BB32" s="1">
        <f>VC!AW15</f>
        <v>0</v>
      </c>
      <c r="BC32" s="1">
        <f>VC!AX15</f>
        <v>0</v>
      </c>
      <c r="BD32" s="1">
        <f>VC!AY15</f>
        <v>0</v>
      </c>
      <c r="BE32" s="1">
        <f>VC!AZ15</f>
        <v>0</v>
      </c>
      <c r="BF32" s="1">
        <f>VC!BA15</f>
        <v>0</v>
      </c>
      <c r="BG32" s="1">
        <f>VC!BB15</f>
        <v>0</v>
      </c>
      <c r="BH32" s="1">
        <f>VC!BC15</f>
        <v>0</v>
      </c>
      <c r="BI32" s="1">
        <f>VC!BD15</f>
        <v>0</v>
      </c>
      <c r="BJ32" s="1">
        <f>VC!BE15</f>
        <v>0</v>
      </c>
      <c r="BK32" s="1">
        <f>VC!BF15</f>
        <v>0</v>
      </c>
      <c r="BL32" s="1">
        <f>VC!BG15</f>
        <v>0</v>
      </c>
      <c r="BM32" s="1">
        <f>VC!BH15</f>
        <v>0</v>
      </c>
      <c r="BN32" s="1">
        <f>VC!BI15</f>
        <v>0</v>
      </c>
      <c r="BO32" s="1">
        <f>VC!BJ15</f>
        <v>0</v>
      </c>
      <c r="BP32" s="1">
        <f>VC!BK15</f>
        <v>0</v>
      </c>
      <c r="BQ32" s="1">
        <f>VC!BL15</f>
        <v>0</v>
      </c>
      <c r="BR32" s="1">
        <f>VC!BM15</f>
        <v>0</v>
      </c>
      <c r="BS32" s="1">
        <f>VC!BN15</f>
        <v>0</v>
      </c>
      <c r="BT32" s="1" t="str">
        <f>VC!BO15</f>
        <v>L90I</v>
      </c>
      <c r="BU32" s="1">
        <f>VC!BP15</f>
        <v>0</v>
      </c>
      <c r="BV32" s="1">
        <f>VC!BQ15</f>
        <v>0</v>
      </c>
      <c r="BW32" s="1">
        <f>VC!BR15</f>
        <v>0</v>
      </c>
      <c r="BX32" s="1">
        <f>VC!BS15</f>
        <v>0</v>
      </c>
      <c r="BY32" s="1">
        <f>VC!BT15</f>
        <v>0</v>
      </c>
      <c r="BZ32" s="1">
        <f>VC!BU15</f>
        <v>0</v>
      </c>
      <c r="CA32" s="1">
        <f>VC!BV15</f>
        <v>0</v>
      </c>
      <c r="CB32" s="1">
        <f>VC!BW15</f>
        <v>0</v>
      </c>
      <c r="CC32" s="1">
        <f>VC!BX15</f>
        <v>0</v>
      </c>
      <c r="CD32" s="1">
        <f>VC!BY15</f>
        <v>0</v>
      </c>
      <c r="CE32" s="1">
        <f>VC!BZ15</f>
        <v>0</v>
      </c>
      <c r="CF32" s="1">
        <f>VC!CA15</f>
        <v>0</v>
      </c>
      <c r="CG32" s="1">
        <f>VC!CB15</f>
        <v>0</v>
      </c>
      <c r="CH32" s="1">
        <f>VC!CC15</f>
        <v>0</v>
      </c>
      <c r="CI32" s="1">
        <f>VC!CD15</f>
        <v>0</v>
      </c>
      <c r="CJ32" s="1">
        <f>VC!CE15</f>
        <v>0</v>
      </c>
      <c r="CK32" s="1">
        <f>VC!CF15</f>
        <v>0</v>
      </c>
      <c r="CL32" s="1">
        <f>VC!CG15</f>
        <v>0</v>
      </c>
      <c r="CM32" s="1">
        <f>VC!CH15</f>
        <v>0</v>
      </c>
      <c r="CN32" s="1">
        <f>VC!CI15</f>
        <v>0</v>
      </c>
      <c r="CO32" s="1">
        <f>VC!CJ15</f>
        <v>0</v>
      </c>
      <c r="CP32" s="1">
        <f>VC!CK15</f>
        <v>0</v>
      </c>
      <c r="CQ32" s="1">
        <f>VC!CL15</f>
        <v>0</v>
      </c>
      <c r="CR32" s="1">
        <f>VC!CM15</f>
        <v>0</v>
      </c>
      <c r="CS32" s="1">
        <f>VC!CN15</f>
        <v>0</v>
      </c>
      <c r="CT32" s="1">
        <f>VC!CO15</f>
        <v>0</v>
      </c>
      <c r="CU32" s="1">
        <f>VC!CP15</f>
        <v>0</v>
      </c>
      <c r="CV32" s="1">
        <f>VC!CQ15</f>
        <v>0</v>
      </c>
      <c r="CW32" s="1">
        <f>VC!CR15</f>
        <v>0</v>
      </c>
      <c r="CX32" s="1">
        <f>VC!CS15</f>
        <v>0</v>
      </c>
      <c r="CY32" s="1">
        <f>VC!CT15</f>
        <v>0</v>
      </c>
      <c r="CZ32" s="1">
        <f>VC!CU15</f>
        <v>0</v>
      </c>
      <c r="DA32" s="1">
        <f>VC!CV15</f>
        <v>0</v>
      </c>
      <c r="DB32" s="1">
        <f>VC!CW15</f>
        <v>0</v>
      </c>
      <c r="DC32" s="1">
        <f>VC!CX15</f>
        <v>0</v>
      </c>
      <c r="DD32" s="1">
        <f>VC!CY15</f>
        <v>0</v>
      </c>
      <c r="DE32" s="1">
        <f>VC!CZ15</f>
        <v>0</v>
      </c>
      <c r="DF32" s="1">
        <f>VC!DA15</f>
        <v>0</v>
      </c>
      <c r="DG32" s="1">
        <f>VC!DB15</f>
        <v>0</v>
      </c>
      <c r="DH32" s="1">
        <f>VC!DC15</f>
        <v>0</v>
      </c>
      <c r="DI32" s="1">
        <f>VC!DD15</f>
        <v>0</v>
      </c>
      <c r="DJ32" s="1">
        <f>VC!DE15</f>
        <v>0</v>
      </c>
      <c r="DK32" s="1">
        <f>VC!DF15</f>
        <v>0</v>
      </c>
      <c r="DL32" s="1">
        <f>VC!DG15</f>
        <v>0</v>
      </c>
      <c r="DM32" s="1">
        <f>VC!DH15</f>
        <v>0</v>
      </c>
      <c r="DN32" s="1">
        <f>VC!DI15</f>
        <v>0</v>
      </c>
      <c r="DO32" s="1" t="str">
        <f>VC!DJ15</f>
        <v>aa214∆1</v>
      </c>
      <c r="DP32" s="1">
        <f>VC!DK15</f>
        <v>0</v>
      </c>
      <c r="DQ32" s="1">
        <f>VC!DL15</f>
        <v>0</v>
      </c>
      <c r="DR32" s="1">
        <f>VC!DM15</f>
        <v>0</v>
      </c>
      <c r="DS32" s="1">
        <f>VC!DN15</f>
        <v>0</v>
      </c>
      <c r="DT32" s="1">
        <f>VC!DO15</f>
        <v>0</v>
      </c>
      <c r="DU32" s="1">
        <f>VC!DP15</f>
        <v>0</v>
      </c>
      <c r="DV32" s="1">
        <f>VC!DQ15</f>
        <v>0</v>
      </c>
      <c r="DW32" s="1">
        <f>VC!DR15</f>
        <v>0</v>
      </c>
      <c r="DX32" s="1">
        <f>VC!DS15</f>
        <v>0</v>
      </c>
      <c r="DY32" s="1">
        <f>VC!DT15</f>
        <v>0</v>
      </c>
      <c r="DZ32" s="1">
        <f>VC!DU15</f>
        <v>0</v>
      </c>
      <c r="EA32" s="1">
        <f>VC!DV15</f>
        <v>0</v>
      </c>
      <c r="EB32" s="1">
        <f>VC!DW15</f>
        <v>0</v>
      </c>
      <c r="EC32" s="1">
        <f>VC!DX15</f>
        <v>0</v>
      </c>
      <c r="ED32" s="1">
        <f>VC!DY15</f>
        <v>0</v>
      </c>
      <c r="EE32" s="1">
        <f>VC!DZ15</f>
        <v>0</v>
      </c>
      <c r="EF32" s="1">
        <f>VC!EA15</f>
        <v>0</v>
      </c>
      <c r="EG32" s="1">
        <f>VC!EB15</f>
        <v>0</v>
      </c>
      <c r="EH32" s="1">
        <f>VC!EC15</f>
        <v>0</v>
      </c>
      <c r="EI32" s="1">
        <f>VC!ED15</f>
        <v>0</v>
      </c>
      <c r="EJ32" s="1">
        <f>VC!EE15</f>
        <v>0</v>
      </c>
      <c r="EK32" s="1">
        <f>VC!EF15</f>
        <v>0</v>
      </c>
      <c r="EL32" s="1">
        <f>VC!EG15</f>
        <v>0</v>
      </c>
      <c r="EM32" s="1">
        <f>VC!EH15</f>
        <v>0</v>
      </c>
      <c r="EN32" s="1">
        <f>VC!EI15</f>
        <v>0</v>
      </c>
      <c r="EO32" s="1">
        <f>VC!EJ15</f>
        <v>0</v>
      </c>
      <c r="EP32" s="1">
        <f>VC!EK15</f>
        <v>0</v>
      </c>
      <c r="EQ32" s="1">
        <f>VC!EL15</f>
        <v>0</v>
      </c>
      <c r="ER32" s="1">
        <f>VC!EM15</f>
        <v>0</v>
      </c>
      <c r="ES32" s="1">
        <f>VC!EN15</f>
        <v>0</v>
      </c>
      <c r="ET32" s="1">
        <f>VC!EO15</f>
        <v>0</v>
      </c>
      <c r="EU32" s="1">
        <f>VC!EP15</f>
        <v>0</v>
      </c>
      <c r="EV32" s="1">
        <f>VC!EQ15</f>
        <v>0</v>
      </c>
      <c r="EW32" s="1">
        <f>VC!ER15</f>
        <v>0</v>
      </c>
      <c r="EX32" s="1">
        <f>VC!ES15</f>
        <v>0</v>
      </c>
      <c r="EY32" s="1">
        <f>VC!ET15</f>
        <v>0</v>
      </c>
      <c r="EZ32" s="1">
        <f>VC!EU15</f>
        <v>0</v>
      </c>
      <c r="FA32" s="1">
        <f>VC!EV15</f>
        <v>0</v>
      </c>
      <c r="FB32" s="1">
        <f>VC!EW15</f>
        <v>0</v>
      </c>
      <c r="FC32" s="1">
        <f>VC!EX15</f>
        <v>0</v>
      </c>
      <c r="FD32" s="1">
        <f>VC!EY15</f>
        <v>0</v>
      </c>
      <c r="FE32" s="1">
        <f>VC!EZ15</f>
        <v>0</v>
      </c>
      <c r="FF32" s="1">
        <f>VC!FA15</f>
        <v>0</v>
      </c>
      <c r="FG32" s="1">
        <f>VC!FB15</f>
        <v>0</v>
      </c>
      <c r="FH32" s="1">
        <f>VC!FC15</f>
        <v>0</v>
      </c>
      <c r="FI32" s="1">
        <f>VC!FD15</f>
        <v>0</v>
      </c>
      <c r="FJ32" s="1">
        <f>VC!FE15</f>
        <v>0</v>
      </c>
      <c r="FK32" s="1">
        <f>VC!FF15</f>
        <v>0</v>
      </c>
      <c r="FL32" s="1">
        <f>VC!FG15</f>
        <v>0</v>
      </c>
      <c r="FM32" s="1">
        <f>VC!FH15</f>
        <v>0</v>
      </c>
      <c r="FN32" s="1">
        <f>VC!FI15</f>
        <v>0</v>
      </c>
      <c r="FO32" s="1">
        <f>VC!FJ15</f>
        <v>0</v>
      </c>
      <c r="FP32" s="1">
        <f>VC!FK15</f>
        <v>0</v>
      </c>
      <c r="FQ32" s="1">
        <f>VC!FL15</f>
        <v>0</v>
      </c>
      <c r="FR32" s="1">
        <f>VC!FM15</f>
        <v>0</v>
      </c>
      <c r="FS32" s="1" t="str">
        <f>VC!FN15</f>
        <v>P128S</v>
      </c>
      <c r="FT32" s="1">
        <f>VC!FO15</f>
        <v>0</v>
      </c>
      <c r="FU32" s="1">
        <f>VC!FP15</f>
        <v>0</v>
      </c>
      <c r="FV32" s="1">
        <f>VC!FQ15</f>
        <v>0</v>
      </c>
      <c r="FW32" s="1">
        <f>VC!FR15</f>
        <v>0</v>
      </c>
      <c r="FX32" s="1">
        <f>VC!FS15</f>
        <v>0</v>
      </c>
      <c r="FY32" s="1">
        <f>VC!FT15</f>
        <v>0</v>
      </c>
      <c r="FZ32" s="1">
        <f>VC!FU15</f>
        <v>0</v>
      </c>
      <c r="GA32" s="1">
        <f>VC!FV15</f>
        <v>0</v>
      </c>
      <c r="GB32" s="1">
        <f>VC!FW15</f>
        <v>0</v>
      </c>
      <c r="GC32" s="1">
        <f>VC!FX15</f>
        <v>0</v>
      </c>
      <c r="GD32" s="1">
        <f>VC!FY15</f>
        <v>0</v>
      </c>
      <c r="GE32" s="1">
        <f>VC!FZ15</f>
        <v>0</v>
      </c>
      <c r="GF32" s="1">
        <f>VC!GA15</f>
        <v>0</v>
      </c>
      <c r="GG32" s="1">
        <f>VC!GB15</f>
        <v>0</v>
      </c>
      <c r="GH32" s="1">
        <f>VC!GC15</f>
        <v>0</v>
      </c>
      <c r="GI32" s="1">
        <f>VC!GD15</f>
        <v>0</v>
      </c>
      <c r="GJ32" s="1">
        <f>VC!GE15</f>
        <v>0</v>
      </c>
      <c r="GK32" s="1">
        <f>VC!GF15</f>
        <v>0</v>
      </c>
      <c r="GL32" s="1">
        <f>VC!GG15</f>
        <v>0</v>
      </c>
      <c r="GM32" s="1">
        <f>VC!GH15</f>
        <v>0</v>
      </c>
      <c r="GN32" s="1" t="str">
        <f>VC!GI15</f>
        <v>V55I; I80L</v>
      </c>
      <c r="GO32" s="1">
        <f>VC!GJ15</f>
        <v>0</v>
      </c>
      <c r="GP32" s="1">
        <f>VC!GK15</f>
        <v>0</v>
      </c>
      <c r="GQ32" s="1">
        <f>VC!GL15</f>
        <v>0</v>
      </c>
      <c r="GR32" s="1">
        <f>VC!GM15</f>
        <v>0</v>
      </c>
      <c r="GS32" s="1">
        <f>VC!GN15</f>
        <v>0</v>
      </c>
      <c r="GT32" s="1">
        <f>VC!GO15</f>
        <v>0</v>
      </c>
      <c r="GU32" s="1">
        <f>VC!GP15</f>
        <v>0</v>
      </c>
      <c r="GV32" s="1">
        <f>VC!GQ15</f>
        <v>0</v>
      </c>
      <c r="GW32" s="1">
        <f>VC!GR15</f>
        <v>0</v>
      </c>
      <c r="GX32" s="1">
        <f>VC!GS15</f>
        <v>0</v>
      </c>
      <c r="GY32" s="1">
        <f>VC!GT15</f>
        <v>0</v>
      </c>
      <c r="GZ32" s="1">
        <f>VC!GU15</f>
        <v>0</v>
      </c>
      <c r="HA32" s="1">
        <f>VC!GV15</f>
        <v>0</v>
      </c>
      <c r="HB32" s="1">
        <f>VC!GW15</f>
        <v>0</v>
      </c>
      <c r="HC32" s="1" t="str">
        <f>VC!GX15</f>
        <v>R178C</v>
      </c>
    </row>
    <row r="33" spans="1:211" s="1" customFormat="1" ht="15.75" thickBot="1" x14ac:dyDescent="0.3">
      <c r="A33" s="2" t="s">
        <v>47</v>
      </c>
      <c r="B33" s="1" t="s">
        <v>48</v>
      </c>
      <c r="C33" s="4" t="s">
        <v>4</v>
      </c>
      <c r="D33" s="1" t="s">
        <v>76</v>
      </c>
      <c r="E33" s="1" t="s">
        <v>139</v>
      </c>
      <c r="F33" s="1" t="s">
        <v>73</v>
      </c>
      <c r="G33" s="1" t="s">
        <v>142</v>
      </c>
      <c r="H33" s="1">
        <f>VC!C15</f>
        <v>0</v>
      </c>
      <c r="I33" s="1">
        <f>VC!D15</f>
        <v>0</v>
      </c>
      <c r="J33" s="1">
        <f>VC!E15</f>
        <v>0</v>
      </c>
      <c r="K33" s="1">
        <f>VC!F15</f>
        <v>0</v>
      </c>
      <c r="L33" s="1">
        <f>VC!G15</f>
        <v>0</v>
      </c>
      <c r="M33" s="1">
        <f>VC!H15</f>
        <v>0</v>
      </c>
      <c r="N33" s="1">
        <f>VC!I15</f>
        <v>0</v>
      </c>
      <c r="O33" s="1">
        <f>VC!J15</f>
        <v>0</v>
      </c>
      <c r="P33" s="1">
        <f>VC!K15</f>
        <v>0</v>
      </c>
      <c r="Q33" s="1">
        <f>VC!L15</f>
        <v>0</v>
      </c>
      <c r="R33" s="1">
        <f>VC!M15</f>
        <v>0</v>
      </c>
      <c r="S33" s="1">
        <f>VC!N15</f>
        <v>0</v>
      </c>
      <c r="T33" s="1">
        <f>VC!O15</f>
        <v>0</v>
      </c>
      <c r="U33" s="1">
        <f>VC!P15</f>
        <v>0</v>
      </c>
      <c r="V33" s="1">
        <f>VC!Q15</f>
        <v>0</v>
      </c>
      <c r="W33" s="1">
        <f>VC!R15</f>
        <v>0</v>
      </c>
      <c r="X33" s="1">
        <f>VC!S15</f>
        <v>0</v>
      </c>
      <c r="Y33" s="1">
        <f>VC!T15</f>
        <v>0</v>
      </c>
      <c r="Z33" s="1">
        <f>VC!U15</f>
        <v>0</v>
      </c>
      <c r="AA33" s="1">
        <f>VC!V15</f>
        <v>0</v>
      </c>
      <c r="AB33" s="1">
        <f>VC!W15</f>
        <v>0</v>
      </c>
      <c r="AC33" s="1">
        <f>VC!X15</f>
        <v>0</v>
      </c>
      <c r="AD33" s="1">
        <f>VC!Y15</f>
        <v>0</v>
      </c>
      <c r="AE33" s="1">
        <f>VC!Z15</f>
        <v>0</v>
      </c>
      <c r="AF33" s="1">
        <f>VC!AA15</f>
        <v>0</v>
      </c>
      <c r="AG33" s="1">
        <f>VC!AB15</f>
        <v>0</v>
      </c>
      <c r="AH33" s="1">
        <f>VC!AC15</f>
        <v>0</v>
      </c>
      <c r="AI33" s="1">
        <f>VC!AD15</f>
        <v>0</v>
      </c>
      <c r="AJ33" s="1">
        <f>VC!AE15</f>
        <v>0</v>
      </c>
      <c r="AK33" s="1">
        <f>VC!AF15</f>
        <v>0</v>
      </c>
      <c r="AL33" s="1">
        <f>VC!AG15</f>
        <v>0</v>
      </c>
      <c r="AM33" s="1">
        <f>VC!AH15</f>
        <v>0</v>
      </c>
      <c r="AN33" s="1">
        <f>VC!AI15</f>
        <v>0</v>
      </c>
      <c r="AO33" s="1">
        <f>VC!AJ15</f>
        <v>0</v>
      </c>
      <c r="AP33" s="1">
        <f>VC!AK15</f>
        <v>0</v>
      </c>
      <c r="AQ33" s="1">
        <f>VC!AL15</f>
        <v>0</v>
      </c>
      <c r="AR33" s="1">
        <f>VC!AM15</f>
        <v>0</v>
      </c>
      <c r="AS33" s="1">
        <f>VC!AN15</f>
        <v>0</v>
      </c>
      <c r="AT33" s="1">
        <f>VC!AO15</f>
        <v>0</v>
      </c>
      <c r="AU33" s="1">
        <f>VC!AP15</f>
        <v>0</v>
      </c>
      <c r="AV33" s="1">
        <f>VC!AQ15</f>
        <v>0</v>
      </c>
      <c r="AW33" s="1">
        <f>VC!AR15</f>
        <v>0</v>
      </c>
      <c r="AX33" s="1">
        <f>VC!AS15</f>
        <v>0</v>
      </c>
      <c r="AY33" s="1">
        <f>VC!AT15</f>
        <v>0</v>
      </c>
      <c r="AZ33" s="1">
        <f>VC!AU15</f>
        <v>0</v>
      </c>
      <c r="BA33" s="1">
        <f>VC!AV15</f>
        <v>0</v>
      </c>
      <c r="BB33" s="1">
        <f>VC!AW15</f>
        <v>0</v>
      </c>
      <c r="BC33" s="1">
        <f>VC!AX15</f>
        <v>0</v>
      </c>
      <c r="BD33" s="1">
        <f>VC!AY15</f>
        <v>0</v>
      </c>
      <c r="BE33" s="1">
        <f>VC!AZ15</f>
        <v>0</v>
      </c>
      <c r="BF33" s="1">
        <f>VC!BA15</f>
        <v>0</v>
      </c>
      <c r="BG33" s="1">
        <f>VC!BB15</f>
        <v>0</v>
      </c>
      <c r="BH33" s="1">
        <f>VC!BC15</f>
        <v>0</v>
      </c>
      <c r="BI33" s="1">
        <f>VC!BD15</f>
        <v>0</v>
      </c>
      <c r="BJ33" s="1">
        <f>VC!BE15</f>
        <v>0</v>
      </c>
      <c r="BK33" s="1">
        <f>VC!BF15</f>
        <v>0</v>
      </c>
      <c r="BL33" s="1">
        <f>VC!BG15</f>
        <v>0</v>
      </c>
      <c r="BM33" s="1">
        <f>VC!BH15</f>
        <v>0</v>
      </c>
      <c r="BN33" s="1">
        <f>VC!BI15</f>
        <v>0</v>
      </c>
      <c r="BO33" s="1">
        <f>VC!BJ15</f>
        <v>0</v>
      </c>
      <c r="BP33" s="1">
        <f>VC!BK15</f>
        <v>0</v>
      </c>
      <c r="BQ33" s="1">
        <f>VC!BL15</f>
        <v>0</v>
      </c>
      <c r="BR33" s="1">
        <f>VC!BM15</f>
        <v>0</v>
      </c>
      <c r="BS33" s="1">
        <f>VC!BN15</f>
        <v>0</v>
      </c>
      <c r="BT33" s="1" t="str">
        <f>VC!BO15</f>
        <v>L90I</v>
      </c>
      <c r="BU33" s="1">
        <f>VC!BP15</f>
        <v>0</v>
      </c>
      <c r="BV33" s="1">
        <f>VC!BQ15</f>
        <v>0</v>
      </c>
      <c r="BW33" s="1">
        <f>VC!BR15</f>
        <v>0</v>
      </c>
      <c r="BX33" s="1">
        <f>VC!BS15</f>
        <v>0</v>
      </c>
      <c r="BY33" s="1">
        <f>VC!BT15</f>
        <v>0</v>
      </c>
      <c r="BZ33" s="1">
        <f>VC!BU15</f>
        <v>0</v>
      </c>
      <c r="CA33" s="1">
        <f>VC!BV15</f>
        <v>0</v>
      </c>
      <c r="CB33" s="1">
        <f>VC!BW15</f>
        <v>0</v>
      </c>
      <c r="CC33" s="1">
        <f>VC!BX15</f>
        <v>0</v>
      </c>
      <c r="CD33" s="1">
        <f>VC!BY15</f>
        <v>0</v>
      </c>
      <c r="CE33" s="1">
        <f>VC!BZ15</f>
        <v>0</v>
      </c>
      <c r="CF33" s="1">
        <f>VC!CA15</f>
        <v>0</v>
      </c>
      <c r="CG33" s="1">
        <f>VC!CB15</f>
        <v>0</v>
      </c>
      <c r="CH33" s="1">
        <f>VC!CC15</f>
        <v>0</v>
      </c>
      <c r="CI33" s="1">
        <f>VC!CD15</f>
        <v>0</v>
      </c>
      <c r="CJ33" s="1">
        <f>VC!CE15</f>
        <v>0</v>
      </c>
      <c r="CK33" s="1">
        <f>VC!CF15</f>
        <v>0</v>
      </c>
      <c r="CL33" s="1">
        <f>VC!CG15</f>
        <v>0</v>
      </c>
      <c r="CM33" s="1">
        <f>VC!CH15</f>
        <v>0</v>
      </c>
      <c r="CN33" s="1">
        <f>VC!CI15</f>
        <v>0</v>
      </c>
      <c r="CO33" s="1">
        <f>VC!CJ15</f>
        <v>0</v>
      </c>
      <c r="CP33" s="1">
        <f>VC!CK15</f>
        <v>0</v>
      </c>
      <c r="CQ33" s="1">
        <f>VC!CL15</f>
        <v>0</v>
      </c>
      <c r="CR33" s="1">
        <f>VC!CM15</f>
        <v>0</v>
      </c>
      <c r="CS33" s="1">
        <f>VC!CN15</f>
        <v>0</v>
      </c>
      <c r="CT33" s="1">
        <f>VC!CO15</f>
        <v>0</v>
      </c>
      <c r="CU33" s="1">
        <f>VC!CP15</f>
        <v>0</v>
      </c>
      <c r="CV33" s="1">
        <f>VC!CQ15</f>
        <v>0</v>
      </c>
      <c r="CW33" s="1">
        <f>VC!CR15</f>
        <v>0</v>
      </c>
      <c r="CX33" s="1">
        <f>VC!CS15</f>
        <v>0</v>
      </c>
      <c r="CY33" s="1">
        <f>VC!CT15</f>
        <v>0</v>
      </c>
      <c r="CZ33" s="1">
        <f>VC!CU15</f>
        <v>0</v>
      </c>
      <c r="DA33" s="1">
        <f>VC!CV15</f>
        <v>0</v>
      </c>
      <c r="DB33" s="1">
        <f>VC!CW15</f>
        <v>0</v>
      </c>
      <c r="DC33" s="1">
        <f>VC!CX15</f>
        <v>0</v>
      </c>
      <c r="DD33" s="1">
        <f>VC!CY15</f>
        <v>0</v>
      </c>
      <c r="DE33" s="1">
        <f>VC!CZ15</f>
        <v>0</v>
      </c>
      <c r="DF33" s="1">
        <f>VC!DA15</f>
        <v>0</v>
      </c>
      <c r="DG33" s="1">
        <f>VC!DB15</f>
        <v>0</v>
      </c>
      <c r="DH33" s="1">
        <f>VC!DC15</f>
        <v>0</v>
      </c>
      <c r="DI33" s="1">
        <f>VC!DD15</f>
        <v>0</v>
      </c>
      <c r="DJ33" s="1">
        <f>VC!DE15</f>
        <v>0</v>
      </c>
      <c r="DK33" s="1">
        <f>VC!DF15</f>
        <v>0</v>
      </c>
      <c r="DL33" s="1">
        <f>VC!DG15</f>
        <v>0</v>
      </c>
      <c r="DM33" s="1">
        <f>VC!DH15</f>
        <v>0</v>
      </c>
      <c r="DN33" s="1">
        <f>VC!DI15</f>
        <v>0</v>
      </c>
      <c r="DO33" s="1" t="str">
        <f>VC!DJ15</f>
        <v>aa214∆1</v>
      </c>
      <c r="DP33" s="1">
        <f>VC!DK15</f>
        <v>0</v>
      </c>
      <c r="DQ33" s="1">
        <f>VC!DL15</f>
        <v>0</v>
      </c>
      <c r="DR33" s="1">
        <f>VC!DM15</f>
        <v>0</v>
      </c>
      <c r="DS33" s="1">
        <f>VC!DN15</f>
        <v>0</v>
      </c>
      <c r="DT33" s="1">
        <f>VC!DO15</f>
        <v>0</v>
      </c>
      <c r="DU33" s="1">
        <f>VC!DP15</f>
        <v>0</v>
      </c>
      <c r="DV33" s="1">
        <f>VC!DQ15</f>
        <v>0</v>
      </c>
      <c r="DW33" s="1">
        <f>VC!DR15</f>
        <v>0</v>
      </c>
      <c r="DX33" s="1">
        <f>VC!DS15</f>
        <v>0</v>
      </c>
      <c r="DY33" s="1">
        <f>VC!DT15</f>
        <v>0</v>
      </c>
      <c r="DZ33" s="1">
        <f>VC!DU15</f>
        <v>0</v>
      </c>
      <c r="EA33" s="1">
        <f>VC!DV15</f>
        <v>0</v>
      </c>
      <c r="EB33" s="1">
        <f>VC!DW15</f>
        <v>0</v>
      </c>
      <c r="EC33" s="1">
        <f>VC!DX15</f>
        <v>0</v>
      </c>
      <c r="ED33" s="1">
        <f>VC!DY15</f>
        <v>0</v>
      </c>
      <c r="EE33" s="1">
        <f>VC!DZ15</f>
        <v>0</v>
      </c>
      <c r="EF33" s="1">
        <f>VC!EA15</f>
        <v>0</v>
      </c>
      <c r="EG33" s="1">
        <f>VC!EB15</f>
        <v>0</v>
      </c>
      <c r="EH33" s="1">
        <f>VC!EC15</f>
        <v>0</v>
      </c>
      <c r="EI33" s="1">
        <f>VC!ED15</f>
        <v>0</v>
      </c>
      <c r="EJ33" s="1">
        <f>VC!EE15</f>
        <v>0</v>
      </c>
      <c r="EK33" s="1">
        <f>VC!EF15</f>
        <v>0</v>
      </c>
      <c r="EL33" s="1">
        <f>VC!EG15</f>
        <v>0</v>
      </c>
      <c r="EM33" s="1">
        <f>VC!EH15</f>
        <v>0</v>
      </c>
      <c r="EN33" s="1">
        <f>VC!EI15</f>
        <v>0</v>
      </c>
      <c r="EO33" s="1">
        <f>VC!EJ15</f>
        <v>0</v>
      </c>
      <c r="EP33" s="1">
        <f>VC!EK15</f>
        <v>0</v>
      </c>
      <c r="EQ33" s="1">
        <f>VC!EL15</f>
        <v>0</v>
      </c>
      <c r="ER33" s="1">
        <f>VC!EM15</f>
        <v>0</v>
      </c>
      <c r="ES33" s="1">
        <f>VC!EN15</f>
        <v>0</v>
      </c>
      <c r="ET33" s="1">
        <f>VC!EO15</f>
        <v>0</v>
      </c>
      <c r="EU33" s="1">
        <f>VC!EP15</f>
        <v>0</v>
      </c>
      <c r="EV33" s="1">
        <f>VC!EQ15</f>
        <v>0</v>
      </c>
      <c r="EW33" s="1">
        <f>VC!ER15</f>
        <v>0</v>
      </c>
      <c r="EX33" s="1">
        <f>VC!ES15</f>
        <v>0</v>
      </c>
      <c r="EY33" s="1">
        <f>VC!ET15</f>
        <v>0</v>
      </c>
      <c r="EZ33" s="1">
        <f>VC!EU15</f>
        <v>0</v>
      </c>
      <c r="FA33" s="1">
        <f>VC!EV15</f>
        <v>0</v>
      </c>
      <c r="FB33" s="1">
        <f>VC!EW15</f>
        <v>0</v>
      </c>
      <c r="FC33" s="1">
        <f>VC!EX15</f>
        <v>0</v>
      </c>
      <c r="FD33" s="1">
        <f>VC!EY15</f>
        <v>0</v>
      </c>
      <c r="FE33" s="1">
        <f>VC!EZ15</f>
        <v>0</v>
      </c>
      <c r="FF33" s="1">
        <f>VC!FA15</f>
        <v>0</v>
      </c>
      <c r="FG33" s="1">
        <f>VC!FB15</f>
        <v>0</v>
      </c>
      <c r="FH33" s="1">
        <f>VC!FC15</f>
        <v>0</v>
      </c>
      <c r="FI33" s="1">
        <f>VC!FD15</f>
        <v>0</v>
      </c>
      <c r="FJ33" s="1">
        <f>VC!FE15</f>
        <v>0</v>
      </c>
      <c r="FK33" s="1">
        <f>VC!FF15</f>
        <v>0</v>
      </c>
      <c r="FL33" s="1">
        <f>VC!FG15</f>
        <v>0</v>
      </c>
      <c r="FM33" s="1">
        <f>VC!FH15</f>
        <v>0</v>
      </c>
      <c r="FN33" s="1">
        <f>VC!FI15</f>
        <v>0</v>
      </c>
      <c r="FO33" s="1">
        <f>VC!FJ15</f>
        <v>0</v>
      </c>
      <c r="FP33" s="1">
        <f>VC!FK15</f>
        <v>0</v>
      </c>
      <c r="FQ33" s="1">
        <f>VC!FL15</f>
        <v>0</v>
      </c>
      <c r="FR33" s="1">
        <f>VC!FM15</f>
        <v>0</v>
      </c>
      <c r="FS33" s="1" t="str">
        <f>VC!FN15</f>
        <v>P128S</v>
      </c>
      <c r="FT33" s="1">
        <f>VC!FO15</f>
        <v>0</v>
      </c>
      <c r="FU33" s="1">
        <f>VC!FP15</f>
        <v>0</v>
      </c>
      <c r="FV33" s="1">
        <f>VC!FQ15</f>
        <v>0</v>
      </c>
      <c r="FW33" s="1">
        <f>VC!FR15</f>
        <v>0</v>
      </c>
      <c r="FX33" s="1">
        <f>VC!FS15</f>
        <v>0</v>
      </c>
      <c r="FY33" s="1">
        <f>VC!FT15</f>
        <v>0</v>
      </c>
      <c r="FZ33" s="1">
        <f>VC!FU15</f>
        <v>0</v>
      </c>
      <c r="GA33" s="1">
        <f>VC!FV15</f>
        <v>0</v>
      </c>
      <c r="GB33" s="1">
        <f>VC!FW15</f>
        <v>0</v>
      </c>
      <c r="GC33" s="1">
        <f>VC!FX15</f>
        <v>0</v>
      </c>
      <c r="GD33" s="1">
        <f>VC!FY15</f>
        <v>0</v>
      </c>
      <c r="GE33" s="1">
        <f>VC!FZ15</f>
        <v>0</v>
      </c>
      <c r="GF33" s="1">
        <f>VC!GA15</f>
        <v>0</v>
      </c>
      <c r="GG33" s="1">
        <f>VC!GB15</f>
        <v>0</v>
      </c>
      <c r="GH33" s="1">
        <f>VC!GC15</f>
        <v>0</v>
      </c>
      <c r="GI33" s="1">
        <f>VC!GD15</f>
        <v>0</v>
      </c>
      <c r="GJ33" s="1">
        <f>VC!GE15</f>
        <v>0</v>
      </c>
      <c r="GK33" s="1">
        <f>VC!GF15</f>
        <v>0</v>
      </c>
      <c r="GL33" s="1">
        <f>VC!GG15</f>
        <v>0</v>
      </c>
      <c r="GM33" s="1">
        <f>VC!GH15</f>
        <v>0</v>
      </c>
      <c r="GN33" s="1" t="str">
        <f>VC!GI15</f>
        <v>V55I; I80L</v>
      </c>
      <c r="GO33" s="1">
        <f>VC!GJ15</f>
        <v>0</v>
      </c>
      <c r="GP33" s="1">
        <f>VC!GK15</f>
        <v>0</v>
      </c>
      <c r="GQ33" s="1">
        <f>VC!GL15</f>
        <v>0</v>
      </c>
      <c r="GR33" s="1">
        <f>VC!GM15</f>
        <v>0</v>
      </c>
      <c r="GS33" s="1">
        <f>VC!GN15</f>
        <v>0</v>
      </c>
      <c r="GT33" s="1">
        <f>VC!GO15</f>
        <v>0</v>
      </c>
      <c r="GU33" s="1">
        <f>VC!GP15</f>
        <v>0</v>
      </c>
      <c r="GV33" s="1">
        <f>VC!GQ15</f>
        <v>0</v>
      </c>
      <c r="GW33" s="1">
        <f>VC!GR15</f>
        <v>0</v>
      </c>
      <c r="GX33" s="1">
        <f>VC!GS15</f>
        <v>0</v>
      </c>
      <c r="GY33" s="1">
        <f>VC!GT15</f>
        <v>0</v>
      </c>
      <c r="GZ33" s="1">
        <f>VC!GU15</f>
        <v>0</v>
      </c>
      <c r="HA33" s="1">
        <f>VC!GV15</f>
        <v>0</v>
      </c>
      <c r="HB33" s="1">
        <f>VC!GW15</f>
        <v>0</v>
      </c>
      <c r="HC33" s="1" t="str">
        <f>VC!GX15</f>
        <v>R178C</v>
      </c>
    </row>
    <row r="34" spans="1:211" s="7" customFormat="1" x14ac:dyDescent="0.25">
      <c r="A34" s="65" t="s">
        <v>49</v>
      </c>
      <c r="B34" s="66" t="s">
        <v>50</v>
      </c>
      <c r="C34" s="67" t="s">
        <v>0</v>
      </c>
      <c r="D34" s="66" t="s">
        <v>77</v>
      </c>
      <c r="E34" s="66">
        <v>-0.5</v>
      </c>
      <c r="F34" s="66" t="s">
        <v>74</v>
      </c>
      <c r="G34" s="68" t="s">
        <v>143</v>
      </c>
      <c r="H34" s="7" t="str">
        <f>VC!C16</f>
        <v>D428N</v>
      </c>
      <c r="I34" s="7">
        <f>VC!D16</f>
        <v>0</v>
      </c>
      <c r="J34" s="7">
        <f>VC!E16</f>
        <v>0</v>
      </c>
      <c r="K34" s="7" t="str">
        <f>VC!F16</f>
        <v>A708T</v>
      </c>
      <c r="L34" s="7" t="str">
        <f>VC!G16</f>
        <v>D428N</v>
      </c>
      <c r="M34" s="7" t="str">
        <f>VC!H16</f>
        <v>L239P</v>
      </c>
      <c r="N34" s="7">
        <f>VC!I16</f>
        <v>0</v>
      </c>
      <c r="O34" s="7" t="str">
        <f>VC!J16</f>
        <v>R1033L</v>
      </c>
      <c r="P34" s="7" t="str">
        <f>VC!K16</f>
        <v>T742I</v>
      </c>
      <c r="Q34" s="7">
        <f>VC!L16</f>
        <v>0</v>
      </c>
      <c r="R34" s="7">
        <f>VC!M16</f>
        <v>0</v>
      </c>
      <c r="S34" s="7">
        <f>VC!N16</f>
        <v>0</v>
      </c>
      <c r="T34" s="7" t="str">
        <f>VC!O16</f>
        <v>A131T; P1032S</v>
      </c>
      <c r="U34" s="7">
        <f>VC!P16</f>
        <v>0</v>
      </c>
      <c r="V34" s="7">
        <f>VC!Q16</f>
        <v>0</v>
      </c>
      <c r="W34" s="7">
        <f>VC!R16</f>
        <v>0</v>
      </c>
      <c r="X34" s="7">
        <f>VC!S16</f>
        <v>0</v>
      </c>
      <c r="Y34" s="7">
        <f>VC!T16</f>
        <v>0</v>
      </c>
      <c r="Z34" s="7" t="str">
        <f>VC!U16</f>
        <v>V875M; N1036S</v>
      </c>
      <c r="AA34" s="7">
        <f>VC!V16</f>
        <v>0</v>
      </c>
      <c r="AB34" s="7">
        <f>VC!W16</f>
        <v>0</v>
      </c>
      <c r="AC34" s="7">
        <f>VC!X16</f>
        <v>0</v>
      </c>
      <c r="AD34" s="7">
        <f>VC!Y16</f>
        <v>0</v>
      </c>
      <c r="AE34" s="7" t="str">
        <f>VC!Z16</f>
        <v>N709S</v>
      </c>
      <c r="AF34" s="7">
        <f>VC!AA16</f>
        <v>0</v>
      </c>
      <c r="AG34" s="7">
        <f>VC!AB16</f>
        <v>0</v>
      </c>
      <c r="AH34" s="7" t="str">
        <f>VC!AC16</f>
        <v>A586T; N709H</v>
      </c>
      <c r="AI34" s="7">
        <f>VC!AD16</f>
        <v>0</v>
      </c>
      <c r="AJ34" s="7">
        <f>VC!AE16</f>
        <v>0</v>
      </c>
      <c r="AK34" s="7">
        <f>VC!AF16</f>
        <v>0</v>
      </c>
      <c r="AL34" s="7">
        <f>VC!AG16</f>
        <v>0</v>
      </c>
      <c r="AM34" s="7" t="str">
        <f>VC!AH16</f>
        <v>R706H</v>
      </c>
      <c r="AN34" s="7">
        <f>VC!AI16</f>
        <v>0</v>
      </c>
      <c r="AO34" s="7">
        <f>VC!AJ16</f>
        <v>0</v>
      </c>
      <c r="AP34" s="7">
        <f>VC!AK16</f>
        <v>0</v>
      </c>
      <c r="AQ34" s="7">
        <f>VC!AL16</f>
        <v>0</v>
      </c>
      <c r="AR34" s="7">
        <f>VC!AM16</f>
        <v>0</v>
      </c>
      <c r="AS34" s="7">
        <f>VC!AN16</f>
        <v>0</v>
      </c>
      <c r="AT34" s="7">
        <f>VC!AO16</f>
        <v>0</v>
      </c>
      <c r="AU34" s="7">
        <f>VC!AP16</f>
        <v>0</v>
      </c>
      <c r="AV34" s="7">
        <f>VC!AQ16</f>
        <v>0</v>
      </c>
      <c r="AW34" s="7">
        <f>VC!AR16</f>
        <v>0</v>
      </c>
      <c r="AX34" s="7" t="str">
        <f>VC!AS16</f>
        <v>A772T</v>
      </c>
      <c r="AY34" s="7">
        <f>VC!AT16</f>
        <v>0</v>
      </c>
      <c r="AZ34" s="7">
        <f>VC!AU16</f>
        <v>0</v>
      </c>
      <c r="BA34" s="7">
        <f>VC!AV16</f>
        <v>0</v>
      </c>
      <c r="BB34" s="7">
        <f>VC!AW16</f>
        <v>0</v>
      </c>
      <c r="BC34" s="7">
        <f>VC!AX16</f>
        <v>0</v>
      </c>
      <c r="BD34" s="7">
        <f>VC!AY16</f>
        <v>0</v>
      </c>
      <c r="BE34" s="7">
        <f>VC!AZ16</f>
        <v>0</v>
      </c>
      <c r="BF34" s="7">
        <f>VC!BA16</f>
        <v>0</v>
      </c>
      <c r="BG34" s="7" t="str">
        <f>VC!BB16</f>
        <v>R251H; I543V</v>
      </c>
      <c r="BH34" s="7">
        <f>VC!BC16</f>
        <v>0</v>
      </c>
      <c r="BI34" s="7">
        <f>VC!BD16</f>
        <v>0</v>
      </c>
      <c r="BJ34" s="7">
        <f>VC!BE16</f>
        <v>0</v>
      </c>
      <c r="BK34" s="7">
        <f>VC!BF16</f>
        <v>0</v>
      </c>
      <c r="BL34" s="7">
        <f>VC!BG16</f>
        <v>0</v>
      </c>
      <c r="BM34" s="7" t="str">
        <f>VC!BH16</f>
        <v>P1032S</v>
      </c>
      <c r="BN34" s="7">
        <f>VC!BI16</f>
        <v>0</v>
      </c>
      <c r="BO34" s="7">
        <f>VC!BJ16</f>
        <v>0</v>
      </c>
      <c r="BP34" s="7">
        <f>VC!BK16</f>
        <v>0</v>
      </c>
      <c r="BQ34" s="7" t="str">
        <f>VC!BL16</f>
        <v>G530S</v>
      </c>
      <c r="BR34" s="7" t="str">
        <f>VC!BM16</f>
        <v>G530S</v>
      </c>
      <c r="BS34" s="7">
        <f>VC!BN16</f>
        <v>0</v>
      </c>
      <c r="BT34" s="7">
        <f>VC!BO16</f>
        <v>0</v>
      </c>
      <c r="BU34" s="7">
        <f>VC!BP16</f>
        <v>0</v>
      </c>
      <c r="BV34" s="7">
        <f>VC!BQ16</f>
        <v>0</v>
      </c>
      <c r="BW34" s="7">
        <f>VC!BR16</f>
        <v>0</v>
      </c>
      <c r="BX34" s="7">
        <f>VC!BS16</f>
        <v>0</v>
      </c>
      <c r="BY34" s="7">
        <f>VC!BT16</f>
        <v>0</v>
      </c>
      <c r="BZ34" s="7">
        <f>VC!BU16</f>
        <v>0</v>
      </c>
      <c r="CA34" s="7">
        <f>VC!BV16</f>
        <v>0</v>
      </c>
      <c r="CB34" s="7">
        <f>VC!BW16</f>
        <v>0</v>
      </c>
      <c r="CC34" s="7">
        <f>VC!BX16</f>
        <v>0</v>
      </c>
      <c r="CD34" s="7">
        <f>VC!BY16</f>
        <v>0</v>
      </c>
      <c r="CE34" s="7">
        <f>VC!BZ16</f>
        <v>0</v>
      </c>
      <c r="CF34" s="7">
        <f>VC!CA16</f>
        <v>0</v>
      </c>
      <c r="CG34" s="7">
        <f>VC!CB16</f>
        <v>0</v>
      </c>
      <c r="CH34" s="7">
        <f>VC!CC16</f>
        <v>0</v>
      </c>
      <c r="CI34" s="7">
        <f>VC!CD16</f>
        <v>0</v>
      </c>
      <c r="CJ34" s="7">
        <f>VC!CE16</f>
        <v>0</v>
      </c>
      <c r="CK34" s="7">
        <f>VC!CF16</f>
        <v>0</v>
      </c>
      <c r="CL34" s="7">
        <f>VC!CG16</f>
        <v>0</v>
      </c>
      <c r="CM34" s="7">
        <f>VC!CH16</f>
        <v>0</v>
      </c>
      <c r="CN34" s="7">
        <f>VC!CI16</f>
        <v>0</v>
      </c>
      <c r="CO34" s="7">
        <f>VC!CJ16</f>
        <v>0</v>
      </c>
      <c r="CP34" s="7">
        <f>VC!CK16</f>
        <v>0</v>
      </c>
      <c r="CQ34" s="7">
        <f>VC!CL16</f>
        <v>0</v>
      </c>
      <c r="CR34" s="7">
        <f>VC!CM16</f>
        <v>0</v>
      </c>
      <c r="CS34" s="7">
        <f>VC!CN16</f>
        <v>0</v>
      </c>
      <c r="CT34" s="7">
        <f>VC!CO16</f>
        <v>0</v>
      </c>
      <c r="CU34" s="7">
        <f>VC!CP16</f>
        <v>0</v>
      </c>
      <c r="CV34" s="7">
        <f>VC!CQ16</f>
        <v>0</v>
      </c>
      <c r="CW34" s="7">
        <f>VC!CR16</f>
        <v>0</v>
      </c>
      <c r="CX34" s="7">
        <f>VC!CS16</f>
        <v>0</v>
      </c>
      <c r="CY34" s="7">
        <f>VC!CT16</f>
        <v>0</v>
      </c>
      <c r="CZ34" s="7">
        <f>VC!CU16</f>
        <v>0</v>
      </c>
      <c r="DA34" s="7">
        <f>VC!CV16</f>
        <v>0</v>
      </c>
      <c r="DB34" s="7">
        <f>VC!CW16</f>
        <v>0</v>
      </c>
      <c r="DC34" s="7">
        <f>VC!CX16</f>
        <v>0</v>
      </c>
      <c r="DD34" s="7" t="str">
        <f>VC!CY16</f>
        <v>A285T</v>
      </c>
      <c r="DE34" s="7">
        <f>VC!CZ16</f>
        <v>0</v>
      </c>
      <c r="DF34" s="7">
        <f>VC!DA16</f>
        <v>0</v>
      </c>
      <c r="DG34" s="7">
        <f>VC!DB16</f>
        <v>0</v>
      </c>
      <c r="DH34" s="7">
        <f>VC!DC16</f>
        <v>0</v>
      </c>
      <c r="DI34" s="7">
        <f>VC!DD16</f>
        <v>0</v>
      </c>
      <c r="DJ34" s="7">
        <f>VC!DE16</f>
        <v>0</v>
      </c>
      <c r="DK34" s="7" t="str">
        <f>VC!DF16</f>
        <v>P1032S</v>
      </c>
      <c r="DL34" s="7">
        <f>VC!DG16</f>
        <v>0</v>
      </c>
      <c r="DM34" s="7">
        <f>VC!DH16</f>
        <v>0</v>
      </c>
      <c r="DN34" s="7" t="str">
        <f>VC!DI16</f>
        <v>DELETED</v>
      </c>
      <c r="DO34" s="7">
        <f>VC!DJ16</f>
        <v>0</v>
      </c>
      <c r="DP34" s="7">
        <f>VC!DK16</f>
        <v>0</v>
      </c>
      <c r="DQ34" s="7">
        <f>VC!DL16</f>
        <v>0</v>
      </c>
      <c r="DR34" s="7" t="str">
        <f>VC!DM16</f>
        <v>R1033L</v>
      </c>
      <c r="DS34" s="7" t="str">
        <f>VC!DN16</f>
        <v>D628H</v>
      </c>
      <c r="DT34" s="7">
        <f>VC!DO16</f>
        <v>0</v>
      </c>
      <c r="DU34" s="7">
        <f>VC!DP16</f>
        <v>0</v>
      </c>
      <c r="DV34" s="7">
        <f>VC!DQ16</f>
        <v>0</v>
      </c>
      <c r="DW34" s="7">
        <f>VC!DR16</f>
        <v>0</v>
      </c>
      <c r="DX34" s="7">
        <f>VC!DS16</f>
        <v>0</v>
      </c>
      <c r="DY34" s="7">
        <f>VC!DT16</f>
        <v>0</v>
      </c>
      <c r="DZ34" s="7" t="str">
        <f>VC!DU16</f>
        <v>R1024S</v>
      </c>
      <c r="EA34" s="7">
        <f>VC!DV16</f>
        <v>0</v>
      </c>
      <c r="EB34" s="7" t="str">
        <f>VC!DW16</f>
        <v>R706H</v>
      </c>
      <c r="EC34" s="7">
        <f>VC!DX16</f>
        <v>0</v>
      </c>
      <c r="ED34" s="7" t="str">
        <f>VC!DY16</f>
        <v>T472P; P1032S</v>
      </c>
      <c r="EE34" s="7">
        <f>VC!DZ16</f>
        <v>0</v>
      </c>
      <c r="EF34" s="7">
        <f>VC!EA16</f>
        <v>0</v>
      </c>
      <c r="EG34" s="7">
        <f>VC!EB16</f>
        <v>0</v>
      </c>
      <c r="EH34" s="7">
        <f>VC!EC16</f>
        <v>0</v>
      </c>
      <c r="EI34" s="7" t="str">
        <f>VC!ED16</f>
        <v>E505G</v>
      </c>
      <c r="EJ34" s="7">
        <f>VC!EE16</f>
        <v>0</v>
      </c>
      <c r="EK34" s="7">
        <f>VC!EF16</f>
        <v>0</v>
      </c>
      <c r="EL34" s="7" t="str">
        <f>VC!EG16</f>
        <v>D724V</v>
      </c>
      <c r="EM34" s="7">
        <f>VC!EH16</f>
        <v>0</v>
      </c>
      <c r="EN34" s="7">
        <f>VC!EI16</f>
        <v>0</v>
      </c>
      <c r="EO34" s="7">
        <f>VC!EJ16</f>
        <v>0</v>
      </c>
      <c r="EP34" s="7">
        <f>VC!EK16</f>
        <v>0</v>
      </c>
      <c r="EQ34" s="7">
        <f>VC!EL16</f>
        <v>0</v>
      </c>
      <c r="ER34" s="7">
        <f>VC!EM16</f>
        <v>0</v>
      </c>
      <c r="ES34" s="7">
        <f>VC!EN16</f>
        <v>0</v>
      </c>
      <c r="ET34" s="7">
        <f>VC!EO16</f>
        <v>0</v>
      </c>
      <c r="EU34" s="7">
        <f>VC!EP16</f>
        <v>0</v>
      </c>
      <c r="EV34" s="7" t="str">
        <f>VC!EQ16</f>
        <v>P1032S</v>
      </c>
      <c r="EW34" s="7" t="str">
        <f>VC!ER16</f>
        <v>S48N; T472A; D502G; R519H; Q843R; I849V; A865D</v>
      </c>
      <c r="EX34" s="7">
        <f>VC!ES16</f>
        <v>0</v>
      </c>
      <c r="EY34" s="7">
        <f>VC!ET16</f>
        <v>0</v>
      </c>
      <c r="EZ34" s="7">
        <f>VC!EU16</f>
        <v>0</v>
      </c>
      <c r="FA34" s="7">
        <f>VC!EV16</f>
        <v>0</v>
      </c>
      <c r="FB34" s="7">
        <f>VC!EW16</f>
        <v>0</v>
      </c>
      <c r="FC34" s="7">
        <f>VC!EX16</f>
        <v>0</v>
      </c>
      <c r="FD34" s="7">
        <f>VC!EY16</f>
        <v>0</v>
      </c>
      <c r="FE34" s="7">
        <f>VC!EZ16</f>
        <v>0</v>
      </c>
      <c r="FF34" s="7">
        <f>VC!FA16</f>
        <v>0</v>
      </c>
      <c r="FG34" s="7">
        <f>VC!FB16</f>
        <v>0</v>
      </c>
      <c r="FH34" s="7">
        <f>VC!FC16</f>
        <v>0</v>
      </c>
      <c r="FI34" s="7">
        <f>VC!FD16</f>
        <v>0</v>
      </c>
      <c r="FJ34" s="7">
        <f>VC!FE16</f>
        <v>0</v>
      </c>
      <c r="FK34" s="7" t="str">
        <f>VC!FF16</f>
        <v>A772T</v>
      </c>
      <c r="FL34" s="7">
        <f>VC!FG16</f>
        <v>0</v>
      </c>
      <c r="FM34" s="7">
        <f>VC!FH16</f>
        <v>0</v>
      </c>
      <c r="FN34" s="7" t="str">
        <f>VC!FI16</f>
        <v>R706H</v>
      </c>
      <c r="FO34" s="7" t="str">
        <f>VC!FJ16</f>
        <v>D428N</v>
      </c>
      <c r="FP34" s="7">
        <f>VC!FK16</f>
        <v>0</v>
      </c>
      <c r="FQ34" s="7">
        <f>VC!FL16</f>
        <v>0</v>
      </c>
      <c r="FR34" s="7">
        <f>VC!FM16</f>
        <v>0</v>
      </c>
      <c r="FS34" s="7" t="str">
        <f>VC!FN16</f>
        <v>I531T</v>
      </c>
      <c r="FT34" s="7">
        <f>VC!FO16</f>
        <v>0</v>
      </c>
      <c r="FU34" s="7">
        <f>VC!FP16</f>
        <v>0</v>
      </c>
      <c r="FV34" s="7">
        <f>VC!FQ16</f>
        <v>0</v>
      </c>
      <c r="FW34" s="7" t="str">
        <f>VC!FR16</f>
        <v>A772T</v>
      </c>
      <c r="FX34" s="7">
        <f>VC!FS16</f>
        <v>0</v>
      </c>
      <c r="FY34" s="7">
        <f>VC!FT16</f>
        <v>0</v>
      </c>
      <c r="FZ34" s="7">
        <f>VC!FU16</f>
        <v>0</v>
      </c>
      <c r="GA34" s="7">
        <f>VC!FV16</f>
        <v>0</v>
      </c>
      <c r="GB34" s="7">
        <f>VC!FW16</f>
        <v>0</v>
      </c>
      <c r="GC34" s="7">
        <f>VC!FX16</f>
        <v>0</v>
      </c>
      <c r="GD34" s="7">
        <f>VC!FY16</f>
        <v>0</v>
      </c>
      <c r="GE34" s="7">
        <f>VC!FZ16</f>
        <v>0</v>
      </c>
      <c r="GF34" s="7">
        <f>VC!GA16</f>
        <v>0</v>
      </c>
      <c r="GG34" s="7">
        <f>VC!GB16</f>
        <v>0</v>
      </c>
      <c r="GH34" s="7">
        <f>VC!GC16</f>
        <v>0</v>
      </c>
      <c r="GI34" s="7">
        <f>VC!GD16</f>
        <v>0</v>
      </c>
      <c r="GJ34" s="7">
        <f>VC!GE16</f>
        <v>0</v>
      </c>
      <c r="GK34" s="7" t="str">
        <f>VC!GF16</f>
        <v>T238I</v>
      </c>
      <c r="GL34" s="7">
        <f>VC!GG16</f>
        <v>0</v>
      </c>
      <c r="GM34" s="7">
        <f>VC!GH16</f>
        <v>0</v>
      </c>
      <c r="GN34" s="7" t="str">
        <f>VC!GI16</f>
        <v>G1002A</v>
      </c>
      <c r="GO34" s="7">
        <f>VC!GJ16</f>
        <v>0</v>
      </c>
      <c r="GP34" s="7">
        <f>VC!GK16</f>
        <v>0</v>
      </c>
      <c r="GQ34" s="7" t="str">
        <f>VC!GL16</f>
        <v>T393A</v>
      </c>
      <c r="GR34" s="7">
        <f>VC!GM16</f>
        <v>0</v>
      </c>
      <c r="GS34" s="7">
        <f>VC!GN16</f>
        <v>0</v>
      </c>
      <c r="GT34" s="7" t="str">
        <f>VC!GO16</f>
        <v>A527V; V548M</v>
      </c>
      <c r="GU34" s="7">
        <f>VC!GP16</f>
        <v>0</v>
      </c>
      <c r="GV34" s="7">
        <f>VC!GQ16</f>
        <v>0</v>
      </c>
      <c r="GW34" s="7">
        <f>VC!GR16</f>
        <v>0</v>
      </c>
      <c r="GX34" s="7">
        <f>VC!GS16</f>
        <v>0</v>
      </c>
      <c r="GY34" s="7" t="str">
        <f>VC!GT16</f>
        <v>G530S</v>
      </c>
      <c r="GZ34" s="7">
        <f>VC!GU16</f>
        <v>0</v>
      </c>
      <c r="HA34" s="7" t="str">
        <f>VC!GV16</f>
        <v>G530S</v>
      </c>
      <c r="HB34" s="7">
        <f>VC!GW16</f>
        <v>0</v>
      </c>
      <c r="HC34" s="7">
        <f>VC!GX16</f>
        <v>0</v>
      </c>
    </row>
    <row r="35" spans="1:211" s="7" customFormat="1" x14ac:dyDescent="0.25">
      <c r="A35" s="44" t="s">
        <v>49</v>
      </c>
      <c r="B35" s="45" t="s">
        <v>50</v>
      </c>
      <c r="C35" s="46" t="s">
        <v>2</v>
      </c>
      <c r="D35" s="45" t="s">
        <v>77</v>
      </c>
      <c r="E35" s="45">
        <v>-0.5</v>
      </c>
      <c r="F35" s="45" t="s">
        <v>74</v>
      </c>
      <c r="G35" s="47" t="s">
        <v>143</v>
      </c>
      <c r="H35" s="7" t="str">
        <f>VC!C16</f>
        <v>D428N</v>
      </c>
      <c r="I35" s="7">
        <f>VC!D16</f>
        <v>0</v>
      </c>
      <c r="J35" s="7">
        <f>VC!E16</f>
        <v>0</v>
      </c>
      <c r="K35" s="7" t="str">
        <f>VC!F16</f>
        <v>A708T</v>
      </c>
      <c r="L35" s="7" t="str">
        <f>VC!G16</f>
        <v>D428N</v>
      </c>
      <c r="M35" s="7" t="str">
        <f>VC!H16</f>
        <v>L239P</v>
      </c>
      <c r="N35" s="7">
        <f>VC!I16</f>
        <v>0</v>
      </c>
      <c r="O35" s="7" t="str">
        <f>VC!J16</f>
        <v>R1033L</v>
      </c>
      <c r="P35" s="7" t="str">
        <f>VC!K16</f>
        <v>T742I</v>
      </c>
      <c r="Q35" s="7">
        <f>VC!L16</f>
        <v>0</v>
      </c>
      <c r="R35" s="7">
        <f>VC!M16</f>
        <v>0</v>
      </c>
      <c r="S35" s="7">
        <f>VC!N16</f>
        <v>0</v>
      </c>
      <c r="T35" s="7" t="str">
        <f>VC!O16</f>
        <v>A131T; P1032S</v>
      </c>
      <c r="U35" s="7">
        <f>VC!P16</f>
        <v>0</v>
      </c>
      <c r="V35" s="7">
        <f>VC!Q16</f>
        <v>0</v>
      </c>
      <c r="W35" s="7">
        <f>VC!R16</f>
        <v>0</v>
      </c>
      <c r="X35" s="7">
        <f>VC!S16</f>
        <v>0</v>
      </c>
      <c r="Y35" s="7">
        <f>VC!T16</f>
        <v>0</v>
      </c>
      <c r="Z35" s="7" t="str">
        <f>VC!U16</f>
        <v>V875M; N1036S</v>
      </c>
      <c r="AA35" s="7">
        <f>VC!V16</f>
        <v>0</v>
      </c>
      <c r="AB35" s="7">
        <f>VC!W16</f>
        <v>0</v>
      </c>
      <c r="AC35" s="7">
        <f>VC!X16</f>
        <v>0</v>
      </c>
      <c r="AD35" s="7">
        <f>VC!Y16</f>
        <v>0</v>
      </c>
      <c r="AE35" s="7" t="str">
        <f>VC!Z16</f>
        <v>N709S</v>
      </c>
      <c r="AF35" s="7">
        <f>VC!AA16</f>
        <v>0</v>
      </c>
      <c r="AG35" s="7">
        <f>VC!AB16</f>
        <v>0</v>
      </c>
      <c r="AH35" s="7" t="str">
        <f>VC!AC16</f>
        <v>A586T; N709H</v>
      </c>
      <c r="AI35" s="7">
        <f>VC!AD16</f>
        <v>0</v>
      </c>
      <c r="AJ35" s="7">
        <f>VC!AE16</f>
        <v>0</v>
      </c>
      <c r="AK35" s="7">
        <f>VC!AF16</f>
        <v>0</v>
      </c>
      <c r="AL35" s="7">
        <f>VC!AG16</f>
        <v>0</v>
      </c>
      <c r="AM35" s="7" t="str">
        <f>VC!AH16</f>
        <v>R706H</v>
      </c>
      <c r="AN35" s="7">
        <f>VC!AI16</f>
        <v>0</v>
      </c>
      <c r="AO35" s="7">
        <f>VC!AJ16</f>
        <v>0</v>
      </c>
      <c r="AP35" s="7">
        <f>VC!AK16</f>
        <v>0</v>
      </c>
      <c r="AQ35" s="7">
        <f>VC!AL16</f>
        <v>0</v>
      </c>
      <c r="AR35" s="7">
        <f>VC!AM16</f>
        <v>0</v>
      </c>
      <c r="AS35" s="7">
        <f>VC!AN16</f>
        <v>0</v>
      </c>
      <c r="AT35" s="7">
        <f>VC!AO16</f>
        <v>0</v>
      </c>
      <c r="AU35" s="7">
        <f>VC!AP16</f>
        <v>0</v>
      </c>
      <c r="AV35" s="7">
        <f>VC!AQ16</f>
        <v>0</v>
      </c>
      <c r="AW35" s="7">
        <f>VC!AR16</f>
        <v>0</v>
      </c>
      <c r="AX35" s="7" t="str">
        <f>VC!AS16</f>
        <v>A772T</v>
      </c>
      <c r="AY35" s="7">
        <f>VC!AT16</f>
        <v>0</v>
      </c>
      <c r="AZ35" s="7">
        <f>VC!AU16</f>
        <v>0</v>
      </c>
      <c r="BA35" s="7">
        <f>VC!AV16</f>
        <v>0</v>
      </c>
      <c r="BB35" s="7">
        <f>VC!AW16</f>
        <v>0</v>
      </c>
      <c r="BC35" s="7">
        <f>VC!AX16</f>
        <v>0</v>
      </c>
      <c r="BD35" s="7">
        <f>VC!AY16</f>
        <v>0</v>
      </c>
      <c r="BE35" s="7">
        <f>VC!AZ16</f>
        <v>0</v>
      </c>
      <c r="BF35" s="7">
        <f>VC!BA16</f>
        <v>0</v>
      </c>
      <c r="BG35" s="7" t="str">
        <f>VC!BB16</f>
        <v>R251H; I543V</v>
      </c>
      <c r="BH35" s="7">
        <f>VC!BC16</f>
        <v>0</v>
      </c>
      <c r="BI35" s="7">
        <f>VC!BD16</f>
        <v>0</v>
      </c>
      <c r="BJ35" s="7">
        <f>VC!BE16</f>
        <v>0</v>
      </c>
      <c r="BK35" s="7">
        <f>VC!BF16</f>
        <v>0</v>
      </c>
      <c r="BL35" s="7">
        <f>VC!BG16</f>
        <v>0</v>
      </c>
      <c r="BM35" s="7" t="str">
        <f>VC!BH16</f>
        <v>P1032S</v>
      </c>
      <c r="BN35" s="7">
        <f>VC!BI16</f>
        <v>0</v>
      </c>
      <c r="BO35" s="7">
        <f>VC!BJ16</f>
        <v>0</v>
      </c>
      <c r="BP35" s="7">
        <f>VC!BK16</f>
        <v>0</v>
      </c>
      <c r="BQ35" s="7" t="str">
        <f>VC!BL16</f>
        <v>G530S</v>
      </c>
      <c r="BR35" s="7" t="str">
        <f>VC!BM16</f>
        <v>G530S</v>
      </c>
      <c r="BS35" s="7">
        <f>VC!BN16</f>
        <v>0</v>
      </c>
      <c r="BT35" s="7">
        <f>VC!BO16</f>
        <v>0</v>
      </c>
      <c r="BU35" s="7">
        <f>VC!BP16</f>
        <v>0</v>
      </c>
      <c r="BV35" s="7">
        <f>VC!BQ16</f>
        <v>0</v>
      </c>
      <c r="BW35" s="7">
        <f>VC!BR16</f>
        <v>0</v>
      </c>
      <c r="BX35" s="7">
        <f>VC!BS16</f>
        <v>0</v>
      </c>
      <c r="BY35" s="7">
        <f>VC!BT16</f>
        <v>0</v>
      </c>
      <c r="BZ35" s="7">
        <f>VC!BU16</f>
        <v>0</v>
      </c>
      <c r="CA35" s="7">
        <f>VC!BV16</f>
        <v>0</v>
      </c>
      <c r="CB35" s="7">
        <f>VC!BW16</f>
        <v>0</v>
      </c>
      <c r="CC35" s="7">
        <f>VC!BX16</f>
        <v>0</v>
      </c>
      <c r="CD35" s="7">
        <f>VC!BY16</f>
        <v>0</v>
      </c>
      <c r="CE35" s="7">
        <f>VC!BZ16</f>
        <v>0</v>
      </c>
      <c r="CF35" s="7">
        <f>VC!CA16</f>
        <v>0</v>
      </c>
      <c r="CG35" s="7">
        <f>VC!CB16</f>
        <v>0</v>
      </c>
      <c r="CH35" s="7">
        <f>VC!CC16</f>
        <v>0</v>
      </c>
      <c r="CI35" s="7">
        <f>VC!CD16</f>
        <v>0</v>
      </c>
      <c r="CJ35" s="7">
        <f>VC!CE16</f>
        <v>0</v>
      </c>
      <c r="CK35" s="7">
        <f>VC!CF16</f>
        <v>0</v>
      </c>
      <c r="CL35" s="7">
        <f>VC!CG16</f>
        <v>0</v>
      </c>
      <c r="CM35" s="7">
        <f>VC!CH16</f>
        <v>0</v>
      </c>
      <c r="CN35" s="7">
        <f>VC!CI16</f>
        <v>0</v>
      </c>
      <c r="CO35" s="7">
        <f>VC!CJ16</f>
        <v>0</v>
      </c>
      <c r="CP35" s="7">
        <f>VC!CK16</f>
        <v>0</v>
      </c>
      <c r="CQ35" s="7">
        <f>VC!CL16</f>
        <v>0</v>
      </c>
      <c r="CR35" s="7">
        <f>VC!CM16</f>
        <v>0</v>
      </c>
      <c r="CS35" s="7">
        <f>VC!CN16</f>
        <v>0</v>
      </c>
      <c r="CT35" s="7">
        <f>VC!CO16</f>
        <v>0</v>
      </c>
      <c r="CU35" s="7">
        <f>VC!CP16</f>
        <v>0</v>
      </c>
      <c r="CV35" s="7">
        <f>VC!CQ16</f>
        <v>0</v>
      </c>
      <c r="CW35" s="7">
        <f>VC!CR16</f>
        <v>0</v>
      </c>
      <c r="CX35" s="7">
        <f>VC!CS16</f>
        <v>0</v>
      </c>
      <c r="CY35" s="7">
        <f>VC!CT16</f>
        <v>0</v>
      </c>
      <c r="CZ35" s="7">
        <f>VC!CU16</f>
        <v>0</v>
      </c>
      <c r="DA35" s="7">
        <f>VC!CV16</f>
        <v>0</v>
      </c>
      <c r="DB35" s="7">
        <f>VC!CW16</f>
        <v>0</v>
      </c>
      <c r="DC35" s="7">
        <f>VC!CX16</f>
        <v>0</v>
      </c>
      <c r="DD35" s="7" t="str">
        <f>VC!CY16</f>
        <v>A285T</v>
      </c>
      <c r="DE35" s="7">
        <f>VC!CZ16</f>
        <v>0</v>
      </c>
      <c r="DF35" s="7">
        <f>VC!DA16</f>
        <v>0</v>
      </c>
      <c r="DG35" s="7">
        <f>VC!DB16</f>
        <v>0</v>
      </c>
      <c r="DH35" s="7">
        <f>VC!DC16</f>
        <v>0</v>
      </c>
      <c r="DI35" s="7">
        <f>VC!DD16</f>
        <v>0</v>
      </c>
      <c r="DJ35" s="7">
        <f>VC!DE16</f>
        <v>0</v>
      </c>
      <c r="DK35" s="7" t="str">
        <f>VC!DF16</f>
        <v>P1032S</v>
      </c>
      <c r="DL35" s="7">
        <f>VC!DG16</f>
        <v>0</v>
      </c>
      <c r="DM35" s="7">
        <f>VC!DH16</f>
        <v>0</v>
      </c>
      <c r="DN35" s="7" t="str">
        <f>VC!DI16</f>
        <v>DELETED</v>
      </c>
      <c r="DO35" s="7">
        <f>VC!DJ16</f>
        <v>0</v>
      </c>
      <c r="DP35" s="7">
        <f>VC!DK16</f>
        <v>0</v>
      </c>
      <c r="DQ35" s="7">
        <f>VC!DL16</f>
        <v>0</v>
      </c>
      <c r="DR35" s="7" t="str">
        <f>VC!DM16</f>
        <v>R1033L</v>
      </c>
      <c r="DS35" s="7" t="str">
        <f>VC!DN16</f>
        <v>D628H</v>
      </c>
      <c r="DT35" s="7">
        <f>VC!DO16</f>
        <v>0</v>
      </c>
      <c r="DU35" s="7">
        <f>VC!DP16</f>
        <v>0</v>
      </c>
      <c r="DV35" s="7">
        <f>VC!DQ16</f>
        <v>0</v>
      </c>
      <c r="DW35" s="7">
        <f>VC!DR16</f>
        <v>0</v>
      </c>
      <c r="DX35" s="7">
        <f>VC!DS16</f>
        <v>0</v>
      </c>
      <c r="DY35" s="7">
        <f>VC!DT16</f>
        <v>0</v>
      </c>
      <c r="DZ35" s="7" t="str">
        <f>VC!DU16</f>
        <v>R1024S</v>
      </c>
      <c r="EA35" s="7">
        <f>VC!DV16</f>
        <v>0</v>
      </c>
      <c r="EB35" s="7" t="str">
        <f>VC!DW16</f>
        <v>R706H</v>
      </c>
      <c r="EC35" s="7">
        <f>VC!DX16</f>
        <v>0</v>
      </c>
      <c r="ED35" s="7" t="str">
        <f>VC!DY16</f>
        <v>T472P; P1032S</v>
      </c>
      <c r="EE35" s="7">
        <f>VC!DZ16</f>
        <v>0</v>
      </c>
      <c r="EF35" s="7">
        <f>VC!EA16</f>
        <v>0</v>
      </c>
      <c r="EG35" s="7">
        <f>VC!EB16</f>
        <v>0</v>
      </c>
      <c r="EH35" s="7">
        <f>VC!EC16</f>
        <v>0</v>
      </c>
      <c r="EI35" s="7" t="str">
        <f>VC!ED16</f>
        <v>E505G</v>
      </c>
      <c r="EJ35" s="7">
        <f>VC!EE16</f>
        <v>0</v>
      </c>
      <c r="EK35" s="7">
        <f>VC!EF16</f>
        <v>0</v>
      </c>
      <c r="EL35" s="7" t="str">
        <f>VC!EG16</f>
        <v>D724V</v>
      </c>
      <c r="EM35" s="7">
        <f>VC!EH16</f>
        <v>0</v>
      </c>
      <c r="EN35" s="7">
        <f>VC!EI16</f>
        <v>0</v>
      </c>
      <c r="EO35" s="7">
        <f>VC!EJ16</f>
        <v>0</v>
      </c>
      <c r="EP35" s="7">
        <f>VC!EK16</f>
        <v>0</v>
      </c>
      <c r="EQ35" s="7">
        <f>VC!EL16</f>
        <v>0</v>
      </c>
      <c r="ER35" s="7">
        <f>VC!EM16</f>
        <v>0</v>
      </c>
      <c r="ES35" s="7">
        <f>VC!EN16</f>
        <v>0</v>
      </c>
      <c r="ET35" s="7">
        <f>VC!EO16</f>
        <v>0</v>
      </c>
      <c r="EU35" s="7">
        <f>VC!EP16</f>
        <v>0</v>
      </c>
      <c r="EV35" s="7" t="str">
        <f>VC!EQ16</f>
        <v>P1032S</v>
      </c>
      <c r="EW35" s="7" t="str">
        <f>VC!ER16</f>
        <v>S48N; T472A; D502G; R519H; Q843R; I849V; A865D</v>
      </c>
      <c r="EX35" s="7">
        <f>VC!ES16</f>
        <v>0</v>
      </c>
      <c r="EY35" s="7">
        <f>VC!ET16</f>
        <v>0</v>
      </c>
      <c r="EZ35" s="7">
        <f>VC!EU16</f>
        <v>0</v>
      </c>
      <c r="FA35" s="7">
        <f>VC!EV16</f>
        <v>0</v>
      </c>
      <c r="FB35" s="7">
        <f>VC!EW16</f>
        <v>0</v>
      </c>
      <c r="FC35" s="7">
        <f>VC!EX16</f>
        <v>0</v>
      </c>
      <c r="FD35" s="7">
        <f>VC!EY16</f>
        <v>0</v>
      </c>
      <c r="FE35" s="7">
        <f>VC!EZ16</f>
        <v>0</v>
      </c>
      <c r="FF35" s="7">
        <f>VC!FA16</f>
        <v>0</v>
      </c>
      <c r="FG35" s="7">
        <f>VC!FB16</f>
        <v>0</v>
      </c>
      <c r="FH35" s="7">
        <f>VC!FC16</f>
        <v>0</v>
      </c>
      <c r="FI35" s="7">
        <f>VC!FD16</f>
        <v>0</v>
      </c>
      <c r="FJ35" s="7">
        <f>VC!FE16</f>
        <v>0</v>
      </c>
      <c r="FK35" s="7" t="str">
        <f>VC!FF16</f>
        <v>A772T</v>
      </c>
      <c r="FL35" s="7">
        <f>VC!FG16</f>
        <v>0</v>
      </c>
      <c r="FM35" s="7">
        <f>VC!FH16</f>
        <v>0</v>
      </c>
      <c r="FN35" s="7" t="str">
        <f>VC!FI16</f>
        <v>R706H</v>
      </c>
      <c r="FO35" s="7" t="str">
        <f>VC!FJ16</f>
        <v>D428N</v>
      </c>
      <c r="FP35" s="7">
        <f>VC!FK16</f>
        <v>0</v>
      </c>
      <c r="FQ35" s="7">
        <f>VC!FL16</f>
        <v>0</v>
      </c>
      <c r="FR35" s="7">
        <f>VC!FM16</f>
        <v>0</v>
      </c>
      <c r="FS35" s="7" t="str">
        <f>VC!FN16</f>
        <v>I531T</v>
      </c>
      <c r="FT35" s="7">
        <f>VC!FO16</f>
        <v>0</v>
      </c>
      <c r="FU35" s="7">
        <f>VC!FP16</f>
        <v>0</v>
      </c>
      <c r="FV35" s="7">
        <f>VC!FQ16</f>
        <v>0</v>
      </c>
      <c r="FW35" s="7" t="str">
        <f>VC!FR16</f>
        <v>A772T</v>
      </c>
      <c r="FX35" s="7">
        <f>VC!FS16</f>
        <v>0</v>
      </c>
      <c r="FY35" s="7">
        <f>VC!FT16</f>
        <v>0</v>
      </c>
      <c r="FZ35" s="7">
        <f>VC!FU16</f>
        <v>0</v>
      </c>
      <c r="GA35" s="7">
        <f>VC!FV16</f>
        <v>0</v>
      </c>
      <c r="GB35" s="7">
        <f>VC!FW16</f>
        <v>0</v>
      </c>
      <c r="GC35" s="7">
        <f>VC!FX16</f>
        <v>0</v>
      </c>
      <c r="GD35" s="7">
        <f>VC!FY16</f>
        <v>0</v>
      </c>
      <c r="GE35" s="7">
        <f>VC!FZ16</f>
        <v>0</v>
      </c>
      <c r="GF35" s="7">
        <f>VC!GA16</f>
        <v>0</v>
      </c>
      <c r="GG35" s="7">
        <f>VC!GB16</f>
        <v>0</v>
      </c>
      <c r="GH35" s="7">
        <f>VC!GC16</f>
        <v>0</v>
      </c>
      <c r="GI35" s="7">
        <f>VC!GD16</f>
        <v>0</v>
      </c>
      <c r="GJ35" s="7">
        <f>VC!GE16</f>
        <v>0</v>
      </c>
      <c r="GK35" s="7" t="str">
        <f>VC!GF16</f>
        <v>T238I</v>
      </c>
      <c r="GL35" s="7">
        <f>VC!GG16</f>
        <v>0</v>
      </c>
      <c r="GM35" s="7">
        <f>VC!GH16</f>
        <v>0</v>
      </c>
      <c r="GN35" s="7" t="str">
        <f>VC!GI16</f>
        <v>G1002A</v>
      </c>
      <c r="GO35" s="7">
        <f>VC!GJ16</f>
        <v>0</v>
      </c>
      <c r="GP35" s="7">
        <f>VC!GK16</f>
        <v>0</v>
      </c>
      <c r="GQ35" s="7" t="str">
        <f>VC!GL16</f>
        <v>T393A</v>
      </c>
      <c r="GR35" s="7">
        <f>VC!GM16</f>
        <v>0</v>
      </c>
      <c r="GS35" s="7">
        <f>VC!GN16</f>
        <v>0</v>
      </c>
      <c r="GT35" s="7" t="str">
        <f>VC!GO16</f>
        <v>A527V; V548M</v>
      </c>
      <c r="GU35" s="7">
        <f>VC!GP16</f>
        <v>0</v>
      </c>
      <c r="GV35" s="7">
        <f>VC!GQ16</f>
        <v>0</v>
      </c>
      <c r="GW35" s="7">
        <f>VC!GR16</f>
        <v>0</v>
      </c>
      <c r="GX35" s="7">
        <f>VC!GS16</f>
        <v>0</v>
      </c>
      <c r="GY35" s="7" t="str">
        <f>VC!GT16</f>
        <v>G530S</v>
      </c>
      <c r="GZ35" s="7">
        <f>VC!GU16</f>
        <v>0</v>
      </c>
      <c r="HA35" s="7" t="str">
        <f>VC!GV16</f>
        <v>G530S</v>
      </c>
      <c r="HB35" s="7">
        <f>VC!GW16</f>
        <v>0</v>
      </c>
      <c r="HC35" s="7">
        <f>VC!GX16</f>
        <v>0</v>
      </c>
    </row>
    <row r="36" spans="1:211" s="7" customFormat="1" x14ac:dyDescent="0.25">
      <c r="A36" s="44" t="s">
        <v>49</v>
      </c>
      <c r="B36" s="45" t="s">
        <v>50</v>
      </c>
      <c r="C36" s="46" t="s">
        <v>4</v>
      </c>
      <c r="D36" s="45" t="s">
        <v>77</v>
      </c>
      <c r="E36" s="45">
        <v>-0.25</v>
      </c>
      <c r="F36" s="45" t="s">
        <v>74</v>
      </c>
      <c r="G36" s="47" t="s">
        <v>143</v>
      </c>
      <c r="H36" s="7" t="str">
        <f>VC!C16</f>
        <v>D428N</v>
      </c>
      <c r="I36" s="7">
        <f>VC!D16</f>
        <v>0</v>
      </c>
      <c r="J36" s="7">
        <f>VC!E16</f>
        <v>0</v>
      </c>
      <c r="K36" s="7" t="str">
        <f>VC!F16</f>
        <v>A708T</v>
      </c>
      <c r="L36" s="7" t="str">
        <f>VC!G16</f>
        <v>D428N</v>
      </c>
      <c r="M36" s="7" t="str">
        <f>VC!H16</f>
        <v>L239P</v>
      </c>
      <c r="N36" s="7">
        <f>VC!I16</f>
        <v>0</v>
      </c>
      <c r="O36" s="7" t="str">
        <f>VC!J16</f>
        <v>R1033L</v>
      </c>
      <c r="P36" s="7" t="str">
        <f>VC!K16</f>
        <v>T742I</v>
      </c>
      <c r="Q36" s="7">
        <f>VC!L16</f>
        <v>0</v>
      </c>
      <c r="R36" s="7">
        <f>VC!M16</f>
        <v>0</v>
      </c>
      <c r="S36" s="7">
        <f>VC!N16</f>
        <v>0</v>
      </c>
      <c r="T36" s="7" t="str">
        <f>VC!O16</f>
        <v>A131T; P1032S</v>
      </c>
      <c r="U36" s="7">
        <f>VC!P16</f>
        <v>0</v>
      </c>
      <c r="V36" s="7">
        <f>VC!Q16</f>
        <v>0</v>
      </c>
      <c r="W36" s="7">
        <f>VC!R16</f>
        <v>0</v>
      </c>
      <c r="X36" s="7">
        <f>VC!S16</f>
        <v>0</v>
      </c>
      <c r="Y36" s="7">
        <f>VC!T16</f>
        <v>0</v>
      </c>
      <c r="Z36" s="7" t="str">
        <f>VC!U16</f>
        <v>V875M; N1036S</v>
      </c>
      <c r="AA36" s="7">
        <f>VC!V16</f>
        <v>0</v>
      </c>
      <c r="AB36" s="7">
        <f>VC!W16</f>
        <v>0</v>
      </c>
      <c r="AC36" s="7">
        <f>VC!X16</f>
        <v>0</v>
      </c>
      <c r="AD36" s="7">
        <f>VC!Y16</f>
        <v>0</v>
      </c>
      <c r="AE36" s="7" t="str">
        <f>VC!Z16</f>
        <v>N709S</v>
      </c>
      <c r="AF36" s="7">
        <f>VC!AA16</f>
        <v>0</v>
      </c>
      <c r="AG36" s="7">
        <f>VC!AB16</f>
        <v>0</v>
      </c>
      <c r="AH36" s="7" t="str">
        <f>VC!AC16</f>
        <v>A586T; N709H</v>
      </c>
      <c r="AI36" s="7">
        <f>VC!AD16</f>
        <v>0</v>
      </c>
      <c r="AJ36" s="7">
        <f>VC!AE16</f>
        <v>0</v>
      </c>
      <c r="AK36" s="7">
        <f>VC!AF16</f>
        <v>0</v>
      </c>
      <c r="AL36" s="7">
        <f>VC!AG16</f>
        <v>0</v>
      </c>
      <c r="AM36" s="7" t="str">
        <f>VC!AH16</f>
        <v>R706H</v>
      </c>
      <c r="AN36" s="7">
        <f>VC!AI16</f>
        <v>0</v>
      </c>
      <c r="AO36" s="7">
        <f>VC!AJ16</f>
        <v>0</v>
      </c>
      <c r="AP36" s="7">
        <f>VC!AK16</f>
        <v>0</v>
      </c>
      <c r="AQ36" s="7">
        <f>VC!AL16</f>
        <v>0</v>
      </c>
      <c r="AR36" s="7">
        <f>VC!AM16</f>
        <v>0</v>
      </c>
      <c r="AS36" s="7">
        <f>VC!AN16</f>
        <v>0</v>
      </c>
      <c r="AT36" s="7">
        <f>VC!AO16</f>
        <v>0</v>
      </c>
      <c r="AU36" s="7">
        <f>VC!AP16</f>
        <v>0</v>
      </c>
      <c r="AV36" s="7">
        <f>VC!AQ16</f>
        <v>0</v>
      </c>
      <c r="AW36" s="7">
        <f>VC!AR16</f>
        <v>0</v>
      </c>
      <c r="AX36" s="7" t="str">
        <f>VC!AS16</f>
        <v>A772T</v>
      </c>
      <c r="AY36" s="7">
        <f>VC!AT16</f>
        <v>0</v>
      </c>
      <c r="AZ36" s="7">
        <f>VC!AU16</f>
        <v>0</v>
      </c>
      <c r="BA36" s="7">
        <f>VC!AV16</f>
        <v>0</v>
      </c>
      <c r="BB36" s="7">
        <f>VC!AW16</f>
        <v>0</v>
      </c>
      <c r="BC36" s="7">
        <f>VC!AX16</f>
        <v>0</v>
      </c>
      <c r="BD36" s="7">
        <f>VC!AY16</f>
        <v>0</v>
      </c>
      <c r="BE36" s="7">
        <f>VC!AZ16</f>
        <v>0</v>
      </c>
      <c r="BF36" s="7">
        <f>VC!BA16</f>
        <v>0</v>
      </c>
      <c r="BG36" s="7" t="str">
        <f>VC!BB16</f>
        <v>R251H; I543V</v>
      </c>
      <c r="BH36" s="7">
        <f>VC!BC16</f>
        <v>0</v>
      </c>
      <c r="BI36" s="7">
        <f>VC!BD16</f>
        <v>0</v>
      </c>
      <c r="BJ36" s="7">
        <f>VC!BE16</f>
        <v>0</v>
      </c>
      <c r="BK36" s="7">
        <f>VC!BF16</f>
        <v>0</v>
      </c>
      <c r="BL36" s="7">
        <f>VC!BG16</f>
        <v>0</v>
      </c>
      <c r="BM36" s="7" t="str">
        <f>VC!BH16</f>
        <v>P1032S</v>
      </c>
      <c r="BN36" s="7">
        <f>VC!BI16</f>
        <v>0</v>
      </c>
      <c r="BO36" s="7">
        <f>VC!BJ16</f>
        <v>0</v>
      </c>
      <c r="BP36" s="7">
        <f>VC!BK16</f>
        <v>0</v>
      </c>
      <c r="BQ36" s="7" t="str">
        <f>VC!BL16</f>
        <v>G530S</v>
      </c>
      <c r="BR36" s="7" t="str">
        <f>VC!BM16</f>
        <v>G530S</v>
      </c>
      <c r="BS36" s="7">
        <f>VC!BN16</f>
        <v>0</v>
      </c>
      <c r="BT36" s="7">
        <f>VC!BO16</f>
        <v>0</v>
      </c>
      <c r="BU36" s="7">
        <f>VC!BP16</f>
        <v>0</v>
      </c>
      <c r="BV36" s="7">
        <f>VC!BQ16</f>
        <v>0</v>
      </c>
      <c r="BW36" s="7">
        <f>VC!BR16</f>
        <v>0</v>
      </c>
      <c r="BX36" s="7">
        <f>VC!BS16</f>
        <v>0</v>
      </c>
      <c r="BY36" s="7">
        <f>VC!BT16</f>
        <v>0</v>
      </c>
      <c r="BZ36" s="7">
        <f>VC!BU16</f>
        <v>0</v>
      </c>
      <c r="CA36" s="7">
        <f>VC!BV16</f>
        <v>0</v>
      </c>
      <c r="CB36" s="7">
        <f>VC!BW16</f>
        <v>0</v>
      </c>
      <c r="CC36" s="7">
        <f>VC!BX16</f>
        <v>0</v>
      </c>
      <c r="CD36" s="7">
        <f>VC!BY16</f>
        <v>0</v>
      </c>
      <c r="CE36" s="7">
        <f>VC!BZ16</f>
        <v>0</v>
      </c>
      <c r="CF36" s="7">
        <f>VC!CA16</f>
        <v>0</v>
      </c>
      <c r="CG36" s="7">
        <f>VC!CB16</f>
        <v>0</v>
      </c>
      <c r="CH36" s="7">
        <f>VC!CC16</f>
        <v>0</v>
      </c>
      <c r="CI36" s="7">
        <f>VC!CD16</f>
        <v>0</v>
      </c>
      <c r="CJ36" s="7">
        <f>VC!CE16</f>
        <v>0</v>
      </c>
      <c r="CK36" s="7">
        <f>VC!CF16</f>
        <v>0</v>
      </c>
      <c r="CL36" s="7">
        <f>VC!CG16</f>
        <v>0</v>
      </c>
      <c r="CM36" s="7">
        <f>VC!CH16</f>
        <v>0</v>
      </c>
      <c r="CN36" s="7">
        <f>VC!CI16</f>
        <v>0</v>
      </c>
      <c r="CO36" s="7">
        <f>VC!CJ16</f>
        <v>0</v>
      </c>
      <c r="CP36" s="7">
        <f>VC!CK16</f>
        <v>0</v>
      </c>
      <c r="CQ36" s="7">
        <f>VC!CL16</f>
        <v>0</v>
      </c>
      <c r="CR36" s="7">
        <f>VC!CM16</f>
        <v>0</v>
      </c>
      <c r="CS36" s="7">
        <f>VC!CN16</f>
        <v>0</v>
      </c>
      <c r="CT36" s="7">
        <f>VC!CO16</f>
        <v>0</v>
      </c>
      <c r="CU36" s="7">
        <f>VC!CP16</f>
        <v>0</v>
      </c>
      <c r="CV36" s="7">
        <f>VC!CQ16</f>
        <v>0</v>
      </c>
      <c r="CW36" s="7">
        <f>VC!CR16</f>
        <v>0</v>
      </c>
      <c r="CX36" s="7">
        <f>VC!CS16</f>
        <v>0</v>
      </c>
      <c r="CY36" s="7">
        <f>VC!CT16</f>
        <v>0</v>
      </c>
      <c r="CZ36" s="7">
        <f>VC!CU16</f>
        <v>0</v>
      </c>
      <c r="DA36" s="7">
        <f>VC!CV16</f>
        <v>0</v>
      </c>
      <c r="DB36" s="7">
        <f>VC!CW16</f>
        <v>0</v>
      </c>
      <c r="DC36" s="7">
        <f>VC!CX16</f>
        <v>0</v>
      </c>
      <c r="DD36" s="7" t="str">
        <f>VC!CY16</f>
        <v>A285T</v>
      </c>
      <c r="DE36" s="7">
        <f>VC!CZ16</f>
        <v>0</v>
      </c>
      <c r="DF36" s="7">
        <f>VC!DA16</f>
        <v>0</v>
      </c>
      <c r="DG36" s="7">
        <f>VC!DB16</f>
        <v>0</v>
      </c>
      <c r="DH36" s="7">
        <f>VC!DC16</f>
        <v>0</v>
      </c>
      <c r="DI36" s="7">
        <f>VC!DD16</f>
        <v>0</v>
      </c>
      <c r="DJ36" s="7">
        <f>VC!DE16</f>
        <v>0</v>
      </c>
      <c r="DK36" s="7" t="str">
        <f>VC!DF16</f>
        <v>P1032S</v>
      </c>
      <c r="DL36" s="7">
        <f>VC!DG16</f>
        <v>0</v>
      </c>
      <c r="DM36" s="7">
        <f>VC!DH16</f>
        <v>0</v>
      </c>
      <c r="DN36" s="7" t="str">
        <f>VC!DI16</f>
        <v>DELETED</v>
      </c>
      <c r="DO36" s="7">
        <f>VC!DJ16</f>
        <v>0</v>
      </c>
      <c r="DP36" s="7">
        <f>VC!DK16</f>
        <v>0</v>
      </c>
      <c r="DQ36" s="7">
        <f>VC!DL16</f>
        <v>0</v>
      </c>
      <c r="DR36" s="7" t="str">
        <f>VC!DM16</f>
        <v>R1033L</v>
      </c>
      <c r="DS36" s="7" t="str">
        <f>VC!DN16</f>
        <v>D628H</v>
      </c>
      <c r="DT36" s="7">
        <f>VC!DO16</f>
        <v>0</v>
      </c>
      <c r="DU36" s="7">
        <f>VC!DP16</f>
        <v>0</v>
      </c>
      <c r="DV36" s="7">
        <f>VC!DQ16</f>
        <v>0</v>
      </c>
      <c r="DW36" s="7">
        <f>VC!DR16</f>
        <v>0</v>
      </c>
      <c r="DX36" s="7">
        <f>VC!DS16</f>
        <v>0</v>
      </c>
      <c r="DY36" s="7">
        <f>VC!DT16</f>
        <v>0</v>
      </c>
      <c r="DZ36" s="7" t="str">
        <f>VC!DU16</f>
        <v>R1024S</v>
      </c>
      <c r="EA36" s="7">
        <f>VC!DV16</f>
        <v>0</v>
      </c>
      <c r="EB36" s="7" t="str">
        <f>VC!DW16</f>
        <v>R706H</v>
      </c>
      <c r="EC36" s="7">
        <f>VC!DX16</f>
        <v>0</v>
      </c>
      <c r="ED36" s="7" t="str">
        <f>VC!DY16</f>
        <v>T472P; P1032S</v>
      </c>
      <c r="EE36" s="7">
        <f>VC!DZ16</f>
        <v>0</v>
      </c>
      <c r="EF36" s="7">
        <f>VC!EA16</f>
        <v>0</v>
      </c>
      <c r="EG36" s="7">
        <f>VC!EB16</f>
        <v>0</v>
      </c>
      <c r="EH36" s="7">
        <f>VC!EC16</f>
        <v>0</v>
      </c>
      <c r="EI36" s="7" t="str">
        <f>VC!ED16</f>
        <v>E505G</v>
      </c>
      <c r="EJ36" s="7">
        <f>VC!EE16</f>
        <v>0</v>
      </c>
      <c r="EK36" s="7">
        <f>VC!EF16</f>
        <v>0</v>
      </c>
      <c r="EL36" s="7" t="str">
        <f>VC!EG16</f>
        <v>D724V</v>
      </c>
      <c r="EM36" s="7">
        <f>VC!EH16</f>
        <v>0</v>
      </c>
      <c r="EN36" s="7">
        <f>VC!EI16</f>
        <v>0</v>
      </c>
      <c r="EO36" s="7">
        <f>VC!EJ16</f>
        <v>0</v>
      </c>
      <c r="EP36" s="7">
        <f>VC!EK16</f>
        <v>0</v>
      </c>
      <c r="EQ36" s="7">
        <f>VC!EL16</f>
        <v>0</v>
      </c>
      <c r="ER36" s="7">
        <f>VC!EM16</f>
        <v>0</v>
      </c>
      <c r="ES36" s="7">
        <f>VC!EN16</f>
        <v>0</v>
      </c>
      <c r="ET36" s="7">
        <f>VC!EO16</f>
        <v>0</v>
      </c>
      <c r="EU36" s="7">
        <f>VC!EP16</f>
        <v>0</v>
      </c>
      <c r="EV36" s="7" t="str">
        <f>VC!EQ16</f>
        <v>P1032S</v>
      </c>
      <c r="EW36" s="7" t="str">
        <f>VC!ER16</f>
        <v>S48N; T472A; D502G; R519H; Q843R; I849V; A865D</v>
      </c>
      <c r="EX36" s="7">
        <f>VC!ES16</f>
        <v>0</v>
      </c>
      <c r="EY36" s="7">
        <f>VC!ET16</f>
        <v>0</v>
      </c>
      <c r="EZ36" s="7">
        <f>VC!EU16</f>
        <v>0</v>
      </c>
      <c r="FA36" s="7">
        <f>VC!EV16</f>
        <v>0</v>
      </c>
      <c r="FB36" s="7">
        <f>VC!EW16</f>
        <v>0</v>
      </c>
      <c r="FC36" s="7">
        <f>VC!EX16</f>
        <v>0</v>
      </c>
      <c r="FD36" s="7">
        <f>VC!EY16</f>
        <v>0</v>
      </c>
      <c r="FE36" s="7">
        <f>VC!EZ16</f>
        <v>0</v>
      </c>
      <c r="FF36" s="7">
        <f>VC!FA16</f>
        <v>0</v>
      </c>
      <c r="FG36" s="7">
        <f>VC!FB16</f>
        <v>0</v>
      </c>
      <c r="FH36" s="7">
        <f>VC!FC16</f>
        <v>0</v>
      </c>
      <c r="FI36" s="7">
        <f>VC!FD16</f>
        <v>0</v>
      </c>
      <c r="FJ36" s="7">
        <f>VC!FE16</f>
        <v>0</v>
      </c>
      <c r="FK36" s="7" t="str">
        <f>VC!FF16</f>
        <v>A772T</v>
      </c>
      <c r="FL36" s="7">
        <f>VC!FG16</f>
        <v>0</v>
      </c>
      <c r="FM36" s="7">
        <f>VC!FH16</f>
        <v>0</v>
      </c>
      <c r="FN36" s="7" t="str">
        <f>VC!FI16</f>
        <v>R706H</v>
      </c>
      <c r="FO36" s="7" t="str">
        <f>VC!FJ16</f>
        <v>D428N</v>
      </c>
      <c r="FP36" s="7">
        <f>VC!FK16</f>
        <v>0</v>
      </c>
      <c r="FQ36" s="7">
        <f>VC!FL16</f>
        <v>0</v>
      </c>
      <c r="FR36" s="7">
        <f>VC!FM16</f>
        <v>0</v>
      </c>
      <c r="FS36" s="7" t="str">
        <f>VC!FN16</f>
        <v>I531T</v>
      </c>
      <c r="FT36" s="7">
        <f>VC!FO16</f>
        <v>0</v>
      </c>
      <c r="FU36" s="7">
        <f>VC!FP16</f>
        <v>0</v>
      </c>
      <c r="FV36" s="7">
        <f>VC!FQ16</f>
        <v>0</v>
      </c>
      <c r="FW36" s="7" t="str">
        <f>VC!FR16</f>
        <v>A772T</v>
      </c>
      <c r="FX36" s="7">
        <f>VC!FS16</f>
        <v>0</v>
      </c>
      <c r="FY36" s="7">
        <f>VC!FT16</f>
        <v>0</v>
      </c>
      <c r="FZ36" s="7">
        <f>VC!FU16</f>
        <v>0</v>
      </c>
      <c r="GA36" s="7">
        <f>VC!FV16</f>
        <v>0</v>
      </c>
      <c r="GB36" s="7">
        <f>VC!FW16</f>
        <v>0</v>
      </c>
      <c r="GC36" s="7">
        <f>VC!FX16</f>
        <v>0</v>
      </c>
      <c r="GD36" s="7">
        <f>VC!FY16</f>
        <v>0</v>
      </c>
      <c r="GE36" s="7">
        <f>VC!FZ16</f>
        <v>0</v>
      </c>
      <c r="GF36" s="7">
        <f>VC!GA16</f>
        <v>0</v>
      </c>
      <c r="GG36" s="7">
        <f>VC!GB16</f>
        <v>0</v>
      </c>
      <c r="GH36" s="7">
        <f>VC!GC16</f>
        <v>0</v>
      </c>
      <c r="GI36" s="7">
        <f>VC!GD16</f>
        <v>0</v>
      </c>
      <c r="GJ36" s="7">
        <f>VC!GE16</f>
        <v>0</v>
      </c>
      <c r="GK36" s="7" t="str">
        <f>VC!GF16</f>
        <v>T238I</v>
      </c>
      <c r="GL36" s="7">
        <f>VC!GG16</f>
        <v>0</v>
      </c>
      <c r="GM36" s="7">
        <f>VC!GH16</f>
        <v>0</v>
      </c>
      <c r="GN36" s="7" t="str">
        <f>VC!GI16</f>
        <v>G1002A</v>
      </c>
      <c r="GO36" s="7">
        <f>VC!GJ16</f>
        <v>0</v>
      </c>
      <c r="GP36" s="7">
        <f>VC!GK16</f>
        <v>0</v>
      </c>
      <c r="GQ36" s="7" t="str">
        <f>VC!GL16</f>
        <v>T393A</v>
      </c>
      <c r="GR36" s="7">
        <f>VC!GM16</f>
        <v>0</v>
      </c>
      <c r="GS36" s="7">
        <f>VC!GN16</f>
        <v>0</v>
      </c>
      <c r="GT36" s="7" t="str">
        <f>VC!GO16</f>
        <v>A527V; V548M</v>
      </c>
      <c r="GU36" s="7">
        <f>VC!GP16</f>
        <v>0</v>
      </c>
      <c r="GV36" s="7">
        <f>VC!GQ16</f>
        <v>0</v>
      </c>
      <c r="GW36" s="7">
        <f>VC!GR16</f>
        <v>0</v>
      </c>
      <c r="GX36" s="7">
        <f>VC!GS16</f>
        <v>0</v>
      </c>
      <c r="GY36" s="7" t="str">
        <f>VC!GT16</f>
        <v>G530S</v>
      </c>
      <c r="GZ36" s="7">
        <f>VC!GU16</f>
        <v>0</v>
      </c>
      <c r="HA36" s="7" t="str">
        <f>VC!GV16</f>
        <v>G530S</v>
      </c>
      <c r="HB36" s="7">
        <f>VC!GW16</f>
        <v>0</v>
      </c>
      <c r="HC36" s="7">
        <f>VC!GX16</f>
        <v>0</v>
      </c>
    </row>
    <row r="37" spans="1:211" s="1" customFormat="1" x14ac:dyDescent="0.25">
      <c r="A37" s="44" t="s">
        <v>51</v>
      </c>
      <c r="B37" s="45" t="s">
        <v>52</v>
      </c>
      <c r="C37" s="46" t="s">
        <v>0</v>
      </c>
      <c r="D37" s="45" t="s">
        <v>77</v>
      </c>
      <c r="E37" s="45">
        <v>-0.5</v>
      </c>
      <c r="F37" s="45" t="s">
        <v>74</v>
      </c>
      <c r="G37" s="47" t="s">
        <v>143</v>
      </c>
      <c r="H37" s="1">
        <f>VC!C17</f>
        <v>0</v>
      </c>
      <c r="I37" s="1">
        <f>VC!D17</f>
        <v>0</v>
      </c>
      <c r="J37" s="1">
        <f>VC!E17</f>
        <v>0</v>
      </c>
      <c r="K37" s="1">
        <f>VC!F17</f>
        <v>0</v>
      </c>
      <c r="L37" s="1">
        <f>VC!G17</f>
        <v>0</v>
      </c>
      <c r="M37" s="1">
        <f>VC!H17</f>
        <v>0</v>
      </c>
      <c r="N37" s="1">
        <f>VC!I17</f>
        <v>0</v>
      </c>
      <c r="O37" s="1">
        <f>VC!J17</f>
        <v>0</v>
      </c>
      <c r="P37" s="1" t="str">
        <f>VC!K17</f>
        <v>S320P</v>
      </c>
      <c r="Q37" s="1">
        <f>VC!L17</f>
        <v>0</v>
      </c>
      <c r="R37" s="1" t="str">
        <f>VC!M17</f>
        <v>I212L</v>
      </c>
      <c r="S37" s="1">
        <f>VC!N17</f>
        <v>0</v>
      </c>
      <c r="T37" s="1">
        <f>VC!O17</f>
        <v>0</v>
      </c>
      <c r="U37" s="1" t="str">
        <f>VC!P17</f>
        <v>H119Y</v>
      </c>
      <c r="V37" s="1">
        <f>VC!Q17</f>
        <v>0</v>
      </c>
      <c r="W37" s="1">
        <f>VC!R17</f>
        <v>0</v>
      </c>
      <c r="X37" s="1">
        <f>VC!S17</f>
        <v>0</v>
      </c>
      <c r="Y37" s="1">
        <f>VC!T17</f>
        <v>0</v>
      </c>
      <c r="Z37" s="1" t="str">
        <f>VC!U17</f>
        <v>D346H</v>
      </c>
      <c r="AA37" s="1">
        <f>VC!V17</f>
        <v>0</v>
      </c>
      <c r="AB37" s="1" t="str">
        <f>VC!W17</f>
        <v>S382G</v>
      </c>
      <c r="AC37" s="1">
        <f>VC!X17</f>
        <v>0</v>
      </c>
      <c r="AD37" s="1">
        <f>VC!Y17</f>
        <v>0</v>
      </c>
      <c r="AE37" s="1">
        <f>VC!Z17</f>
        <v>0</v>
      </c>
      <c r="AF37" s="1">
        <f>VC!AA17</f>
        <v>0</v>
      </c>
      <c r="AG37" s="1">
        <f>VC!AB17</f>
        <v>0</v>
      </c>
      <c r="AH37" s="1" t="str">
        <f>VC!AC17</f>
        <v>S382G</v>
      </c>
      <c r="AI37" s="1">
        <f>VC!AD17</f>
        <v>0</v>
      </c>
      <c r="AJ37" s="1">
        <f>VC!AE17</f>
        <v>0</v>
      </c>
      <c r="AK37" s="1">
        <f>VC!AF17</f>
        <v>0</v>
      </c>
      <c r="AL37" s="1">
        <f>VC!AG17</f>
        <v>0</v>
      </c>
      <c r="AM37" s="1">
        <f>VC!AH17</f>
        <v>0</v>
      </c>
      <c r="AN37" s="1">
        <f>VC!AI17</f>
        <v>0</v>
      </c>
      <c r="AO37" s="1">
        <f>VC!AJ17</f>
        <v>0</v>
      </c>
      <c r="AP37" s="1">
        <f>VC!AK17</f>
        <v>0</v>
      </c>
      <c r="AQ37" s="1">
        <f>VC!AL17</f>
        <v>0</v>
      </c>
      <c r="AR37" s="1">
        <f>VC!AM17</f>
        <v>0</v>
      </c>
      <c r="AS37" s="1">
        <f>VC!AN17</f>
        <v>0</v>
      </c>
      <c r="AT37" s="1" t="str">
        <f>VC!AO17</f>
        <v>D346H</v>
      </c>
      <c r="AU37" s="1">
        <f>VC!AP17</f>
        <v>0</v>
      </c>
      <c r="AV37" s="1">
        <f>VC!AQ17</f>
        <v>0</v>
      </c>
      <c r="AW37" s="1">
        <f>VC!AR17</f>
        <v>0</v>
      </c>
      <c r="AX37" s="1">
        <f>VC!AS17</f>
        <v>0</v>
      </c>
      <c r="AY37" s="1">
        <f>VC!AT17</f>
        <v>0</v>
      </c>
      <c r="AZ37" s="1">
        <f>VC!AU17</f>
        <v>0</v>
      </c>
      <c r="BA37" s="1">
        <f>VC!AV17</f>
        <v>0</v>
      </c>
      <c r="BB37" s="1">
        <f>VC!AW17</f>
        <v>0</v>
      </c>
      <c r="BC37" s="1">
        <f>VC!AX17</f>
        <v>0</v>
      </c>
      <c r="BD37" s="1">
        <f>VC!AY17</f>
        <v>0</v>
      </c>
      <c r="BE37" s="1">
        <f>VC!AZ17</f>
        <v>0</v>
      </c>
      <c r="BF37" s="1">
        <f>VC!BA17</f>
        <v>0</v>
      </c>
      <c r="BG37" s="1" t="str">
        <f>VC!BB17</f>
        <v>A38T</v>
      </c>
      <c r="BH37" s="1" t="str">
        <f>VC!BC17</f>
        <v>S382G</v>
      </c>
      <c r="BI37" s="1">
        <f>VC!BD17</f>
        <v>0</v>
      </c>
      <c r="BJ37" s="1" t="str">
        <f>VC!BE17</f>
        <v>H119Y</v>
      </c>
      <c r="BK37" s="1">
        <f>VC!BF17</f>
        <v>0</v>
      </c>
      <c r="BL37" s="1">
        <f>VC!BG17</f>
        <v>0</v>
      </c>
      <c r="BM37" s="1">
        <f>VC!BH17</f>
        <v>0</v>
      </c>
      <c r="BN37" s="1" t="str">
        <f>VC!BI17</f>
        <v>A375P; A383P</v>
      </c>
      <c r="BO37" s="1">
        <f>VC!BJ17</f>
        <v>0</v>
      </c>
      <c r="BP37" s="1">
        <f>VC!BK17</f>
        <v>0</v>
      </c>
      <c r="BQ37" s="1">
        <f>VC!BL17</f>
        <v>0</v>
      </c>
      <c r="BR37" s="1">
        <f>VC!BM17</f>
        <v>0</v>
      </c>
      <c r="BS37" s="1">
        <f>VC!BN17</f>
        <v>0</v>
      </c>
      <c r="BT37" s="1">
        <f>VC!BO17</f>
        <v>0</v>
      </c>
      <c r="BU37" s="1" t="str">
        <f>VC!BP17</f>
        <v>D346H</v>
      </c>
      <c r="BV37" s="1">
        <f>VC!BQ17</f>
        <v>0</v>
      </c>
      <c r="BW37" s="1">
        <f>VC!BR17</f>
        <v>0</v>
      </c>
      <c r="BX37" s="1">
        <f>VC!BS17</f>
        <v>0</v>
      </c>
      <c r="BY37" s="1">
        <f>VC!BT17</f>
        <v>0</v>
      </c>
      <c r="BZ37" s="1">
        <f>VC!BU17</f>
        <v>0</v>
      </c>
      <c r="CA37" s="1">
        <f>VC!BV17</f>
        <v>0</v>
      </c>
      <c r="CB37" s="1">
        <f>VC!BW17</f>
        <v>0</v>
      </c>
      <c r="CC37" s="1">
        <f>VC!BX17</f>
        <v>0</v>
      </c>
      <c r="CD37" s="1">
        <f>VC!BY17</f>
        <v>0</v>
      </c>
      <c r="CE37" s="1">
        <f>VC!BZ17</f>
        <v>0</v>
      </c>
      <c r="CF37" s="1">
        <f>VC!CA17</f>
        <v>0</v>
      </c>
      <c r="CG37" s="1">
        <f>VC!CB17</f>
        <v>0</v>
      </c>
      <c r="CH37" s="1">
        <f>VC!CC17</f>
        <v>0</v>
      </c>
      <c r="CI37" s="1">
        <f>VC!CD17</f>
        <v>0</v>
      </c>
      <c r="CJ37" s="1">
        <f>VC!CE17</f>
        <v>0</v>
      </c>
      <c r="CK37" s="1">
        <f>VC!CF17</f>
        <v>0</v>
      </c>
      <c r="CL37" s="1">
        <f>VC!CG17</f>
        <v>0</v>
      </c>
      <c r="CM37" s="1">
        <f>VC!CH17</f>
        <v>0</v>
      </c>
      <c r="CN37" s="1">
        <f>VC!CI17</f>
        <v>0</v>
      </c>
      <c r="CO37" s="1" t="str">
        <f>VC!CJ17</f>
        <v>V376M</v>
      </c>
      <c r="CP37" s="1">
        <f>VC!CK17</f>
        <v>0</v>
      </c>
      <c r="CQ37" s="1">
        <f>VC!CL17</f>
        <v>0</v>
      </c>
      <c r="CR37" s="1">
        <f>VC!CM17</f>
        <v>0</v>
      </c>
      <c r="CS37" s="1">
        <f>VC!CN17</f>
        <v>0</v>
      </c>
      <c r="CT37" s="1">
        <f>VC!CO17</f>
        <v>0</v>
      </c>
      <c r="CU37" s="1">
        <f>VC!CP17</f>
        <v>0</v>
      </c>
      <c r="CV37" s="1">
        <f>VC!CQ17</f>
        <v>0</v>
      </c>
      <c r="CW37" s="1" t="str">
        <f>VC!CR17</f>
        <v>D346H</v>
      </c>
      <c r="CX37" s="1">
        <f>VC!CS17</f>
        <v>0</v>
      </c>
      <c r="CY37" s="1">
        <f>VC!CT17</f>
        <v>0</v>
      </c>
      <c r="CZ37" s="1">
        <f>VC!CU17</f>
        <v>0</v>
      </c>
      <c r="DA37" s="1">
        <f>VC!CV17</f>
        <v>0</v>
      </c>
      <c r="DB37" s="1">
        <f>VC!CW17</f>
        <v>0</v>
      </c>
      <c r="DC37" s="1">
        <f>VC!CX17</f>
        <v>0</v>
      </c>
      <c r="DD37" s="1">
        <f>VC!CY17</f>
        <v>0</v>
      </c>
      <c r="DE37" s="1">
        <f>VC!CZ17</f>
        <v>0</v>
      </c>
      <c r="DF37" s="1">
        <f>VC!DA17</f>
        <v>0</v>
      </c>
      <c r="DG37" s="1">
        <f>VC!DB17</f>
        <v>0</v>
      </c>
      <c r="DH37" s="1">
        <f>VC!DC17</f>
        <v>0</v>
      </c>
      <c r="DI37" s="1">
        <f>VC!DD17</f>
        <v>0</v>
      </c>
      <c r="DJ37" s="1">
        <f>VC!DE17</f>
        <v>0</v>
      </c>
      <c r="DK37" s="1">
        <f>VC!DF17</f>
        <v>0</v>
      </c>
      <c r="DL37" s="1">
        <f>VC!DG17</f>
        <v>0</v>
      </c>
      <c r="DM37" s="1">
        <f>VC!DH17</f>
        <v>0</v>
      </c>
      <c r="DN37" s="1" t="str">
        <f>VC!DI17</f>
        <v>DELETED</v>
      </c>
      <c r="DO37" s="1">
        <f>VC!DJ17</f>
        <v>0</v>
      </c>
      <c r="DP37" s="1">
        <f>VC!DK17</f>
        <v>0</v>
      </c>
      <c r="DQ37" s="1">
        <f>VC!DL17</f>
        <v>0</v>
      </c>
      <c r="DR37" s="1">
        <f>VC!DM17</f>
        <v>0</v>
      </c>
      <c r="DS37" s="1">
        <f>VC!DN17</f>
        <v>0</v>
      </c>
      <c r="DT37" s="1">
        <f>VC!DO17</f>
        <v>0</v>
      </c>
      <c r="DU37" s="1">
        <f>VC!DP17</f>
        <v>0</v>
      </c>
      <c r="DV37" s="1">
        <f>VC!DQ17</f>
        <v>0</v>
      </c>
      <c r="DW37" s="1">
        <f>VC!DR17</f>
        <v>0</v>
      </c>
      <c r="DX37" s="1">
        <f>VC!DS17</f>
        <v>0</v>
      </c>
      <c r="DY37" s="1">
        <f>VC!DT17</f>
        <v>0</v>
      </c>
      <c r="DZ37" s="1" t="str">
        <f>VC!DU17</f>
        <v>L154Q</v>
      </c>
      <c r="EA37" s="1">
        <f>VC!DV17</f>
        <v>0</v>
      </c>
      <c r="EB37" s="1">
        <f>VC!DW17</f>
        <v>0</v>
      </c>
      <c r="EC37" s="1">
        <f>VC!DX17</f>
        <v>0</v>
      </c>
      <c r="ED37" s="1">
        <f>VC!DY17</f>
        <v>0</v>
      </c>
      <c r="EE37" s="1">
        <f>VC!DZ17</f>
        <v>0</v>
      </c>
      <c r="EF37" s="1">
        <f>VC!EA17</f>
        <v>0</v>
      </c>
      <c r="EG37" s="1">
        <f>VC!EB17</f>
        <v>0</v>
      </c>
      <c r="EH37" s="1">
        <f>VC!EC17</f>
        <v>0</v>
      </c>
      <c r="EI37" s="1" t="str">
        <f>VC!ED17</f>
        <v>R151H</v>
      </c>
      <c r="EJ37" s="1">
        <f>VC!EE17</f>
        <v>0</v>
      </c>
      <c r="EK37" s="1">
        <f>VC!EF17</f>
        <v>0</v>
      </c>
      <c r="EL37" s="1">
        <f>VC!EG17</f>
        <v>0</v>
      </c>
      <c r="EM37" s="1">
        <f>VC!EH17</f>
        <v>0</v>
      </c>
      <c r="EN37" s="1">
        <f>VC!EI17</f>
        <v>0</v>
      </c>
      <c r="EO37" s="1">
        <f>VC!EJ17</f>
        <v>0</v>
      </c>
      <c r="EP37" s="1">
        <f>VC!EK17</f>
        <v>0</v>
      </c>
      <c r="EQ37" s="1" t="str">
        <f>VC!EL17</f>
        <v>Y255X</v>
      </c>
      <c r="ER37" s="1" t="str">
        <f>VC!EM17</f>
        <v>D346H</v>
      </c>
      <c r="ES37" s="1">
        <f>VC!EN17</f>
        <v>0</v>
      </c>
      <c r="ET37" s="1">
        <f>VC!EO17</f>
        <v>0</v>
      </c>
      <c r="EU37" s="1">
        <f>VC!EP17</f>
        <v>0</v>
      </c>
      <c r="EV37" s="1">
        <f>VC!EQ17</f>
        <v>0</v>
      </c>
      <c r="EW37" s="1" t="str">
        <f>VC!ER17</f>
        <v>A15T; A48V; E142K; D384G</v>
      </c>
      <c r="EX37" s="1" t="str">
        <f>VC!ES17</f>
        <v>A36T</v>
      </c>
      <c r="EY37" s="1">
        <f>VC!ET17</f>
        <v>0</v>
      </c>
      <c r="EZ37" s="1">
        <f>VC!EU17</f>
        <v>0</v>
      </c>
      <c r="FA37" s="1">
        <f>VC!EV17</f>
        <v>0</v>
      </c>
      <c r="FB37" s="1">
        <f>VC!EW17</f>
        <v>0</v>
      </c>
      <c r="FC37" s="1">
        <f>VC!EX17</f>
        <v>0</v>
      </c>
      <c r="FD37" s="1">
        <f>VC!EY17</f>
        <v>0</v>
      </c>
      <c r="FE37" s="1">
        <f>VC!EZ17</f>
        <v>0</v>
      </c>
      <c r="FF37" s="1">
        <f>VC!FA17</f>
        <v>0</v>
      </c>
      <c r="FG37" s="1">
        <f>VC!FB17</f>
        <v>0</v>
      </c>
      <c r="FH37" s="1">
        <f>VC!FC17</f>
        <v>0</v>
      </c>
      <c r="FI37" s="1">
        <f>VC!FD17</f>
        <v>0</v>
      </c>
      <c r="FJ37" s="1">
        <f>VC!FE17</f>
        <v>0</v>
      </c>
      <c r="FK37" s="1">
        <f>VC!FF17</f>
        <v>0</v>
      </c>
      <c r="FL37" s="1">
        <f>VC!FG17</f>
        <v>0</v>
      </c>
      <c r="FM37" s="1">
        <f>VC!FH17</f>
        <v>0</v>
      </c>
      <c r="FN37" s="1">
        <f>VC!FI17</f>
        <v>0</v>
      </c>
      <c r="FO37" s="1">
        <f>VC!FJ17</f>
        <v>0</v>
      </c>
      <c r="FP37" s="1">
        <f>VC!FK17</f>
        <v>0</v>
      </c>
      <c r="FQ37" s="1">
        <f>VC!FL17</f>
        <v>0</v>
      </c>
      <c r="FR37" s="1">
        <f>VC!FM17</f>
        <v>0</v>
      </c>
      <c r="FS37" s="1" t="str">
        <f>VC!FN17</f>
        <v>Q4H</v>
      </c>
      <c r="FT37" s="1">
        <f>VC!FO17</f>
        <v>0</v>
      </c>
      <c r="FU37" s="1">
        <f>VC!FP17</f>
        <v>0</v>
      </c>
      <c r="FV37" s="1">
        <f>VC!FQ17</f>
        <v>0</v>
      </c>
      <c r="FW37" s="1">
        <f>VC!FR17</f>
        <v>0</v>
      </c>
      <c r="FX37" s="1">
        <f>VC!FS17</f>
        <v>0</v>
      </c>
      <c r="FY37" s="1">
        <f>VC!FT17</f>
        <v>0</v>
      </c>
      <c r="FZ37" s="1">
        <f>VC!FU17</f>
        <v>0</v>
      </c>
      <c r="GA37" s="1">
        <f>VC!FV17</f>
        <v>0</v>
      </c>
      <c r="GB37" s="1">
        <f>VC!FW17</f>
        <v>0</v>
      </c>
      <c r="GC37" s="1" t="str">
        <f>VC!FX17</f>
        <v>W358C</v>
      </c>
      <c r="GD37" s="1" t="str">
        <f>VC!FY17</f>
        <v>Q396X</v>
      </c>
      <c r="GE37" s="1">
        <f>VC!FZ17</f>
        <v>0</v>
      </c>
      <c r="GF37" s="1">
        <f>VC!GA17</f>
        <v>0</v>
      </c>
      <c r="GG37" s="1">
        <f>VC!GB17</f>
        <v>0</v>
      </c>
      <c r="GH37" s="1">
        <f>VC!GC17</f>
        <v>0</v>
      </c>
      <c r="GI37" s="1">
        <f>VC!GD17</f>
        <v>0</v>
      </c>
      <c r="GJ37" s="1">
        <f>VC!GE17</f>
        <v>0</v>
      </c>
      <c r="GK37" s="1">
        <f>VC!GF17</f>
        <v>0</v>
      </c>
      <c r="GL37" s="1" t="str">
        <f>VC!GG17</f>
        <v>W358C</v>
      </c>
      <c r="GM37" s="1">
        <f>VC!GH17</f>
        <v>0</v>
      </c>
      <c r="GN37" s="1">
        <f>VC!GI17</f>
        <v>0</v>
      </c>
      <c r="GO37" s="1">
        <f>VC!GJ17</f>
        <v>0</v>
      </c>
      <c r="GP37" s="1" t="str">
        <f>VC!GK17</f>
        <v>D346H</v>
      </c>
      <c r="GQ37" s="1" t="str">
        <f>VC!GL17</f>
        <v>H119Y</v>
      </c>
      <c r="GR37" s="1">
        <f>VC!GM17</f>
        <v>0</v>
      </c>
      <c r="GS37" s="1">
        <f>VC!GN17</f>
        <v>0</v>
      </c>
      <c r="GT37" s="1" t="str">
        <f>VC!GO17</f>
        <v>A36T</v>
      </c>
      <c r="GU37" s="1" t="str">
        <f>VC!GP17</f>
        <v>R69Q</v>
      </c>
      <c r="GV37" s="1">
        <f>VC!GQ17</f>
        <v>0</v>
      </c>
      <c r="GW37" s="1">
        <f>VC!GR17</f>
        <v>0</v>
      </c>
      <c r="GX37" s="1">
        <f>VC!GS17</f>
        <v>0</v>
      </c>
      <c r="GY37" s="1">
        <f>VC!GT17</f>
        <v>0</v>
      </c>
      <c r="GZ37" s="1">
        <f>VC!GU17</f>
        <v>0</v>
      </c>
      <c r="HA37" s="1">
        <f>VC!GV17</f>
        <v>0</v>
      </c>
      <c r="HB37" s="1">
        <f>VC!GW17</f>
        <v>0</v>
      </c>
      <c r="HC37" s="1">
        <f>VC!GX17</f>
        <v>0</v>
      </c>
    </row>
    <row r="38" spans="1:211" s="1" customFormat="1" x14ac:dyDescent="0.25">
      <c r="A38" s="44" t="s">
        <v>51</v>
      </c>
      <c r="B38" s="45" t="s">
        <v>52</v>
      </c>
      <c r="C38" s="46" t="s">
        <v>2</v>
      </c>
      <c r="D38" s="45" t="s">
        <v>77</v>
      </c>
      <c r="E38" s="45">
        <v>-0.5</v>
      </c>
      <c r="F38" s="45" t="s">
        <v>74</v>
      </c>
      <c r="G38" s="47" t="s">
        <v>143</v>
      </c>
      <c r="H38" s="1">
        <f>VC!C17</f>
        <v>0</v>
      </c>
      <c r="I38" s="1">
        <f>VC!D17</f>
        <v>0</v>
      </c>
      <c r="J38" s="1">
        <f>VC!E17</f>
        <v>0</v>
      </c>
      <c r="K38" s="1">
        <f>VC!F17</f>
        <v>0</v>
      </c>
      <c r="L38" s="1">
        <f>VC!G17</f>
        <v>0</v>
      </c>
      <c r="M38" s="1">
        <f>VC!H17</f>
        <v>0</v>
      </c>
      <c r="N38" s="1">
        <f>VC!I17</f>
        <v>0</v>
      </c>
      <c r="O38" s="1">
        <f>VC!J17</f>
        <v>0</v>
      </c>
      <c r="P38" s="1" t="str">
        <f>VC!K17</f>
        <v>S320P</v>
      </c>
      <c r="Q38" s="1">
        <f>VC!L17</f>
        <v>0</v>
      </c>
      <c r="R38" s="1" t="str">
        <f>VC!M17</f>
        <v>I212L</v>
      </c>
      <c r="S38" s="1">
        <f>VC!N17</f>
        <v>0</v>
      </c>
      <c r="T38" s="1">
        <f>VC!O17</f>
        <v>0</v>
      </c>
      <c r="U38" s="1" t="str">
        <f>VC!P17</f>
        <v>H119Y</v>
      </c>
      <c r="V38" s="1">
        <f>VC!Q17</f>
        <v>0</v>
      </c>
      <c r="W38" s="1">
        <f>VC!R17</f>
        <v>0</v>
      </c>
      <c r="X38" s="1">
        <f>VC!S17</f>
        <v>0</v>
      </c>
      <c r="Y38" s="1">
        <f>VC!T17</f>
        <v>0</v>
      </c>
      <c r="Z38" s="1" t="str">
        <f>VC!U17</f>
        <v>D346H</v>
      </c>
      <c r="AA38" s="1">
        <f>VC!V17</f>
        <v>0</v>
      </c>
      <c r="AB38" s="1" t="str">
        <f>VC!W17</f>
        <v>S382G</v>
      </c>
      <c r="AC38" s="1">
        <f>VC!X17</f>
        <v>0</v>
      </c>
      <c r="AD38" s="1">
        <f>VC!Y17</f>
        <v>0</v>
      </c>
      <c r="AE38" s="1">
        <f>VC!Z17</f>
        <v>0</v>
      </c>
      <c r="AF38" s="1">
        <f>VC!AA17</f>
        <v>0</v>
      </c>
      <c r="AG38" s="1">
        <f>VC!AB17</f>
        <v>0</v>
      </c>
      <c r="AH38" s="1" t="str">
        <f>VC!AC17</f>
        <v>S382G</v>
      </c>
      <c r="AI38" s="1">
        <f>VC!AD17</f>
        <v>0</v>
      </c>
      <c r="AJ38" s="1">
        <f>VC!AE17</f>
        <v>0</v>
      </c>
      <c r="AK38" s="1">
        <f>VC!AF17</f>
        <v>0</v>
      </c>
      <c r="AL38" s="1">
        <f>VC!AG17</f>
        <v>0</v>
      </c>
      <c r="AM38" s="1">
        <f>VC!AH17</f>
        <v>0</v>
      </c>
      <c r="AN38" s="1">
        <f>VC!AI17</f>
        <v>0</v>
      </c>
      <c r="AO38" s="1">
        <f>VC!AJ17</f>
        <v>0</v>
      </c>
      <c r="AP38" s="1">
        <f>VC!AK17</f>
        <v>0</v>
      </c>
      <c r="AQ38" s="1">
        <f>VC!AL17</f>
        <v>0</v>
      </c>
      <c r="AR38" s="1">
        <f>VC!AM17</f>
        <v>0</v>
      </c>
      <c r="AS38" s="1">
        <f>VC!AN17</f>
        <v>0</v>
      </c>
      <c r="AT38" s="1" t="str">
        <f>VC!AO17</f>
        <v>D346H</v>
      </c>
      <c r="AU38" s="1">
        <f>VC!AP17</f>
        <v>0</v>
      </c>
      <c r="AV38" s="1">
        <f>VC!AQ17</f>
        <v>0</v>
      </c>
      <c r="AW38" s="1">
        <f>VC!AR17</f>
        <v>0</v>
      </c>
      <c r="AX38" s="1">
        <f>VC!AS17</f>
        <v>0</v>
      </c>
      <c r="AY38" s="1">
        <f>VC!AT17</f>
        <v>0</v>
      </c>
      <c r="AZ38" s="1">
        <f>VC!AU17</f>
        <v>0</v>
      </c>
      <c r="BA38" s="1">
        <f>VC!AV17</f>
        <v>0</v>
      </c>
      <c r="BB38" s="1">
        <f>VC!AW17</f>
        <v>0</v>
      </c>
      <c r="BC38" s="1">
        <f>VC!AX17</f>
        <v>0</v>
      </c>
      <c r="BD38" s="1">
        <f>VC!AY17</f>
        <v>0</v>
      </c>
      <c r="BE38" s="1">
        <f>VC!AZ17</f>
        <v>0</v>
      </c>
      <c r="BF38" s="1">
        <f>VC!BA17</f>
        <v>0</v>
      </c>
      <c r="BG38" s="1" t="str">
        <f>VC!BB17</f>
        <v>A38T</v>
      </c>
      <c r="BH38" s="1" t="str">
        <f>VC!BC17</f>
        <v>S382G</v>
      </c>
      <c r="BI38" s="1">
        <f>VC!BD17</f>
        <v>0</v>
      </c>
      <c r="BJ38" s="1" t="str">
        <f>VC!BE17</f>
        <v>H119Y</v>
      </c>
      <c r="BK38" s="1">
        <f>VC!BF17</f>
        <v>0</v>
      </c>
      <c r="BL38" s="1">
        <f>VC!BG17</f>
        <v>0</v>
      </c>
      <c r="BM38" s="1">
        <f>VC!BH17</f>
        <v>0</v>
      </c>
      <c r="BN38" s="1" t="str">
        <f>VC!BI17</f>
        <v>A375P; A383P</v>
      </c>
      <c r="BO38" s="1">
        <f>VC!BJ17</f>
        <v>0</v>
      </c>
      <c r="BP38" s="1">
        <f>VC!BK17</f>
        <v>0</v>
      </c>
      <c r="BQ38" s="1">
        <f>VC!BL17</f>
        <v>0</v>
      </c>
      <c r="BR38" s="1">
        <f>VC!BM17</f>
        <v>0</v>
      </c>
      <c r="BS38" s="1">
        <f>VC!BN17</f>
        <v>0</v>
      </c>
      <c r="BT38" s="1">
        <f>VC!BO17</f>
        <v>0</v>
      </c>
      <c r="BU38" s="1" t="str">
        <f>VC!BP17</f>
        <v>D346H</v>
      </c>
      <c r="BV38" s="1">
        <f>VC!BQ17</f>
        <v>0</v>
      </c>
      <c r="BW38" s="1">
        <f>VC!BR17</f>
        <v>0</v>
      </c>
      <c r="BX38" s="1">
        <f>VC!BS17</f>
        <v>0</v>
      </c>
      <c r="BY38" s="1">
        <f>VC!BT17</f>
        <v>0</v>
      </c>
      <c r="BZ38" s="1">
        <f>VC!BU17</f>
        <v>0</v>
      </c>
      <c r="CA38" s="1">
        <f>VC!BV17</f>
        <v>0</v>
      </c>
      <c r="CB38" s="1">
        <f>VC!BW17</f>
        <v>0</v>
      </c>
      <c r="CC38" s="1">
        <f>VC!BX17</f>
        <v>0</v>
      </c>
      <c r="CD38" s="1">
        <f>VC!BY17</f>
        <v>0</v>
      </c>
      <c r="CE38" s="1">
        <f>VC!BZ17</f>
        <v>0</v>
      </c>
      <c r="CF38" s="1">
        <f>VC!CA17</f>
        <v>0</v>
      </c>
      <c r="CG38" s="1">
        <f>VC!CB17</f>
        <v>0</v>
      </c>
      <c r="CH38" s="1">
        <f>VC!CC17</f>
        <v>0</v>
      </c>
      <c r="CI38" s="1">
        <f>VC!CD17</f>
        <v>0</v>
      </c>
      <c r="CJ38" s="1">
        <f>VC!CE17</f>
        <v>0</v>
      </c>
      <c r="CK38" s="1">
        <f>VC!CF17</f>
        <v>0</v>
      </c>
      <c r="CL38" s="1">
        <f>VC!CG17</f>
        <v>0</v>
      </c>
      <c r="CM38" s="1">
        <f>VC!CH17</f>
        <v>0</v>
      </c>
      <c r="CN38" s="1">
        <f>VC!CI17</f>
        <v>0</v>
      </c>
      <c r="CO38" s="1" t="str">
        <f>VC!CJ17</f>
        <v>V376M</v>
      </c>
      <c r="CP38" s="1">
        <f>VC!CK17</f>
        <v>0</v>
      </c>
      <c r="CQ38" s="1">
        <f>VC!CL17</f>
        <v>0</v>
      </c>
      <c r="CR38" s="1">
        <f>VC!CM17</f>
        <v>0</v>
      </c>
      <c r="CS38" s="1">
        <f>VC!CN17</f>
        <v>0</v>
      </c>
      <c r="CT38" s="1">
        <f>VC!CO17</f>
        <v>0</v>
      </c>
      <c r="CU38" s="1">
        <f>VC!CP17</f>
        <v>0</v>
      </c>
      <c r="CV38" s="1">
        <f>VC!CQ17</f>
        <v>0</v>
      </c>
      <c r="CW38" s="1" t="str">
        <f>VC!CR17</f>
        <v>D346H</v>
      </c>
      <c r="CX38" s="1">
        <f>VC!CS17</f>
        <v>0</v>
      </c>
      <c r="CY38" s="1">
        <f>VC!CT17</f>
        <v>0</v>
      </c>
      <c r="CZ38" s="1">
        <f>VC!CU17</f>
        <v>0</v>
      </c>
      <c r="DA38" s="1">
        <f>VC!CV17</f>
        <v>0</v>
      </c>
      <c r="DB38" s="1">
        <f>VC!CW17</f>
        <v>0</v>
      </c>
      <c r="DC38" s="1">
        <f>VC!CX17</f>
        <v>0</v>
      </c>
      <c r="DD38" s="1">
        <f>VC!CY17</f>
        <v>0</v>
      </c>
      <c r="DE38" s="1">
        <f>VC!CZ17</f>
        <v>0</v>
      </c>
      <c r="DF38" s="1">
        <f>VC!DA17</f>
        <v>0</v>
      </c>
      <c r="DG38" s="1">
        <f>VC!DB17</f>
        <v>0</v>
      </c>
      <c r="DH38" s="1">
        <f>VC!DC17</f>
        <v>0</v>
      </c>
      <c r="DI38" s="1">
        <f>VC!DD17</f>
        <v>0</v>
      </c>
      <c r="DJ38" s="1">
        <f>VC!DE17</f>
        <v>0</v>
      </c>
      <c r="DK38" s="1">
        <f>VC!DF17</f>
        <v>0</v>
      </c>
      <c r="DL38" s="1">
        <f>VC!DG17</f>
        <v>0</v>
      </c>
      <c r="DM38" s="1">
        <f>VC!DH17</f>
        <v>0</v>
      </c>
      <c r="DN38" s="1" t="str">
        <f>VC!DI17</f>
        <v>DELETED</v>
      </c>
      <c r="DO38" s="1">
        <f>VC!DJ17</f>
        <v>0</v>
      </c>
      <c r="DP38" s="1">
        <f>VC!DK17</f>
        <v>0</v>
      </c>
      <c r="DQ38" s="1">
        <f>VC!DL17</f>
        <v>0</v>
      </c>
      <c r="DR38" s="1">
        <f>VC!DM17</f>
        <v>0</v>
      </c>
      <c r="DS38" s="1">
        <f>VC!DN17</f>
        <v>0</v>
      </c>
      <c r="DT38" s="1">
        <f>VC!DO17</f>
        <v>0</v>
      </c>
      <c r="DU38" s="1">
        <f>VC!DP17</f>
        <v>0</v>
      </c>
      <c r="DV38" s="1">
        <f>VC!DQ17</f>
        <v>0</v>
      </c>
      <c r="DW38" s="1">
        <f>VC!DR17</f>
        <v>0</v>
      </c>
      <c r="DX38" s="1">
        <f>VC!DS17</f>
        <v>0</v>
      </c>
      <c r="DY38" s="1">
        <f>VC!DT17</f>
        <v>0</v>
      </c>
      <c r="DZ38" s="1" t="str">
        <f>VC!DU17</f>
        <v>L154Q</v>
      </c>
      <c r="EA38" s="1">
        <f>VC!DV17</f>
        <v>0</v>
      </c>
      <c r="EB38" s="1">
        <f>VC!DW17</f>
        <v>0</v>
      </c>
      <c r="EC38" s="1">
        <f>VC!DX17</f>
        <v>0</v>
      </c>
      <c r="ED38" s="1">
        <f>VC!DY17</f>
        <v>0</v>
      </c>
      <c r="EE38" s="1">
        <f>VC!DZ17</f>
        <v>0</v>
      </c>
      <c r="EF38" s="1">
        <f>VC!EA17</f>
        <v>0</v>
      </c>
      <c r="EG38" s="1">
        <f>VC!EB17</f>
        <v>0</v>
      </c>
      <c r="EH38" s="1">
        <f>VC!EC17</f>
        <v>0</v>
      </c>
      <c r="EI38" s="1" t="str">
        <f>VC!ED17</f>
        <v>R151H</v>
      </c>
      <c r="EJ38" s="1">
        <f>VC!EE17</f>
        <v>0</v>
      </c>
      <c r="EK38" s="1">
        <f>VC!EF17</f>
        <v>0</v>
      </c>
      <c r="EL38" s="1">
        <f>VC!EG17</f>
        <v>0</v>
      </c>
      <c r="EM38" s="1">
        <f>VC!EH17</f>
        <v>0</v>
      </c>
      <c r="EN38" s="1">
        <f>VC!EI17</f>
        <v>0</v>
      </c>
      <c r="EO38" s="1">
        <f>VC!EJ17</f>
        <v>0</v>
      </c>
      <c r="EP38" s="1">
        <f>VC!EK17</f>
        <v>0</v>
      </c>
      <c r="EQ38" s="1" t="str">
        <f>VC!EL17</f>
        <v>Y255X</v>
      </c>
      <c r="ER38" s="1" t="str">
        <f>VC!EM17</f>
        <v>D346H</v>
      </c>
      <c r="ES38" s="1">
        <f>VC!EN17</f>
        <v>0</v>
      </c>
      <c r="ET38" s="1">
        <f>VC!EO17</f>
        <v>0</v>
      </c>
      <c r="EU38" s="1">
        <f>VC!EP17</f>
        <v>0</v>
      </c>
      <c r="EV38" s="1">
        <f>VC!EQ17</f>
        <v>0</v>
      </c>
      <c r="EW38" s="1" t="str">
        <f>VC!ER17</f>
        <v>A15T; A48V; E142K; D384G</v>
      </c>
      <c r="EX38" s="1" t="str">
        <f>VC!ES17</f>
        <v>A36T</v>
      </c>
      <c r="EY38" s="1">
        <f>VC!ET17</f>
        <v>0</v>
      </c>
      <c r="EZ38" s="1">
        <f>VC!EU17</f>
        <v>0</v>
      </c>
      <c r="FA38" s="1">
        <f>VC!EV17</f>
        <v>0</v>
      </c>
      <c r="FB38" s="1">
        <f>VC!EW17</f>
        <v>0</v>
      </c>
      <c r="FC38" s="1">
        <f>VC!EX17</f>
        <v>0</v>
      </c>
      <c r="FD38" s="1">
        <f>VC!EY17</f>
        <v>0</v>
      </c>
      <c r="FE38" s="1">
        <f>VC!EZ17</f>
        <v>0</v>
      </c>
      <c r="FF38" s="1">
        <f>VC!FA17</f>
        <v>0</v>
      </c>
      <c r="FG38" s="1">
        <f>VC!FB17</f>
        <v>0</v>
      </c>
      <c r="FH38" s="1">
        <f>VC!FC17</f>
        <v>0</v>
      </c>
      <c r="FI38" s="1">
        <f>VC!FD17</f>
        <v>0</v>
      </c>
      <c r="FJ38" s="1">
        <f>VC!FE17</f>
        <v>0</v>
      </c>
      <c r="FK38" s="1">
        <f>VC!FF17</f>
        <v>0</v>
      </c>
      <c r="FL38" s="1">
        <f>VC!FG17</f>
        <v>0</v>
      </c>
      <c r="FM38" s="1">
        <f>VC!FH17</f>
        <v>0</v>
      </c>
      <c r="FN38" s="1">
        <f>VC!FI17</f>
        <v>0</v>
      </c>
      <c r="FO38" s="1">
        <f>VC!FJ17</f>
        <v>0</v>
      </c>
      <c r="FP38" s="1">
        <f>VC!FK17</f>
        <v>0</v>
      </c>
      <c r="FQ38" s="1">
        <f>VC!FL17</f>
        <v>0</v>
      </c>
      <c r="FR38" s="1">
        <f>VC!FM17</f>
        <v>0</v>
      </c>
      <c r="FS38" s="1" t="str">
        <f>VC!FN17</f>
        <v>Q4H</v>
      </c>
      <c r="FT38" s="1">
        <f>VC!FO17</f>
        <v>0</v>
      </c>
      <c r="FU38" s="1">
        <f>VC!FP17</f>
        <v>0</v>
      </c>
      <c r="FV38" s="1">
        <f>VC!FQ17</f>
        <v>0</v>
      </c>
      <c r="FW38" s="1">
        <f>VC!FR17</f>
        <v>0</v>
      </c>
      <c r="FX38" s="1">
        <f>VC!FS17</f>
        <v>0</v>
      </c>
      <c r="FY38" s="1">
        <f>VC!FT17</f>
        <v>0</v>
      </c>
      <c r="FZ38" s="1">
        <f>VC!FU17</f>
        <v>0</v>
      </c>
      <c r="GA38" s="1">
        <f>VC!FV17</f>
        <v>0</v>
      </c>
      <c r="GB38" s="1">
        <f>VC!FW17</f>
        <v>0</v>
      </c>
      <c r="GC38" s="1" t="str">
        <f>VC!FX17</f>
        <v>W358C</v>
      </c>
      <c r="GD38" s="1" t="str">
        <f>VC!FY17</f>
        <v>Q396X</v>
      </c>
      <c r="GE38" s="1">
        <f>VC!FZ17</f>
        <v>0</v>
      </c>
      <c r="GF38" s="1">
        <f>VC!GA17</f>
        <v>0</v>
      </c>
      <c r="GG38" s="1">
        <f>VC!GB17</f>
        <v>0</v>
      </c>
      <c r="GH38" s="1">
        <f>VC!GC17</f>
        <v>0</v>
      </c>
      <c r="GI38" s="1">
        <f>VC!GD17</f>
        <v>0</v>
      </c>
      <c r="GJ38" s="1">
        <f>VC!GE17</f>
        <v>0</v>
      </c>
      <c r="GK38" s="1">
        <f>VC!GF17</f>
        <v>0</v>
      </c>
      <c r="GL38" s="1" t="str">
        <f>VC!GG17</f>
        <v>W358C</v>
      </c>
      <c r="GM38" s="1">
        <f>VC!GH17</f>
        <v>0</v>
      </c>
      <c r="GN38" s="1">
        <f>VC!GI17</f>
        <v>0</v>
      </c>
      <c r="GO38" s="1">
        <f>VC!GJ17</f>
        <v>0</v>
      </c>
      <c r="GP38" s="1" t="str">
        <f>VC!GK17</f>
        <v>D346H</v>
      </c>
      <c r="GQ38" s="1" t="str">
        <f>VC!GL17</f>
        <v>H119Y</v>
      </c>
      <c r="GR38" s="1">
        <f>VC!GM17</f>
        <v>0</v>
      </c>
      <c r="GS38" s="1">
        <f>VC!GN17</f>
        <v>0</v>
      </c>
      <c r="GT38" s="1" t="str">
        <f>VC!GO17</f>
        <v>A36T</v>
      </c>
      <c r="GU38" s="1" t="str">
        <f>VC!GP17</f>
        <v>R69Q</v>
      </c>
      <c r="GV38" s="1">
        <f>VC!GQ17</f>
        <v>0</v>
      </c>
      <c r="GW38" s="1">
        <f>VC!GR17</f>
        <v>0</v>
      </c>
      <c r="GX38" s="1">
        <f>VC!GS17</f>
        <v>0</v>
      </c>
      <c r="GY38" s="1">
        <f>VC!GT17</f>
        <v>0</v>
      </c>
      <c r="GZ38" s="1">
        <f>VC!GU17</f>
        <v>0</v>
      </c>
      <c r="HA38" s="1">
        <f>VC!GV17</f>
        <v>0</v>
      </c>
      <c r="HB38" s="1">
        <f>VC!GW17</f>
        <v>0</v>
      </c>
      <c r="HC38" s="1">
        <f>VC!GX17</f>
        <v>0</v>
      </c>
    </row>
    <row r="39" spans="1:211" s="1" customFormat="1" ht="15.75" thickBot="1" x14ac:dyDescent="0.3">
      <c r="A39" s="69" t="s">
        <v>51</v>
      </c>
      <c r="B39" s="70" t="s">
        <v>52</v>
      </c>
      <c r="C39" s="71" t="s">
        <v>4</v>
      </c>
      <c r="D39" s="70" t="s">
        <v>77</v>
      </c>
      <c r="E39" s="70">
        <v>-0.25</v>
      </c>
      <c r="F39" s="70" t="s">
        <v>74</v>
      </c>
      <c r="G39" s="72" t="s">
        <v>143</v>
      </c>
      <c r="H39" s="1">
        <f>VC!C17</f>
        <v>0</v>
      </c>
      <c r="I39" s="1">
        <f>VC!D17</f>
        <v>0</v>
      </c>
      <c r="J39" s="1">
        <f>VC!E17</f>
        <v>0</v>
      </c>
      <c r="K39" s="1">
        <f>VC!F17</f>
        <v>0</v>
      </c>
      <c r="L39" s="1">
        <f>VC!G17</f>
        <v>0</v>
      </c>
      <c r="M39" s="1">
        <f>VC!H17</f>
        <v>0</v>
      </c>
      <c r="N39" s="1">
        <f>VC!I17</f>
        <v>0</v>
      </c>
      <c r="O39" s="1">
        <f>VC!J17</f>
        <v>0</v>
      </c>
      <c r="P39" s="1" t="str">
        <f>VC!K17</f>
        <v>S320P</v>
      </c>
      <c r="Q39" s="1">
        <f>VC!L17</f>
        <v>0</v>
      </c>
      <c r="R39" s="1" t="str">
        <f>VC!M17</f>
        <v>I212L</v>
      </c>
      <c r="S39" s="1">
        <f>VC!N17</f>
        <v>0</v>
      </c>
      <c r="T39" s="1">
        <f>VC!O17</f>
        <v>0</v>
      </c>
      <c r="U39" s="1" t="str">
        <f>VC!P17</f>
        <v>H119Y</v>
      </c>
      <c r="V39" s="1">
        <f>VC!Q17</f>
        <v>0</v>
      </c>
      <c r="W39" s="1">
        <f>VC!R17</f>
        <v>0</v>
      </c>
      <c r="X39" s="1">
        <f>VC!S17</f>
        <v>0</v>
      </c>
      <c r="Y39" s="1">
        <f>VC!T17</f>
        <v>0</v>
      </c>
      <c r="Z39" s="1" t="str">
        <f>VC!U17</f>
        <v>D346H</v>
      </c>
      <c r="AA39" s="1">
        <f>VC!V17</f>
        <v>0</v>
      </c>
      <c r="AB39" s="1" t="str">
        <f>VC!W17</f>
        <v>S382G</v>
      </c>
      <c r="AC39" s="1">
        <f>VC!X17</f>
        <v>0</v>
      </c>
      <c r="AD39" s="1">
        <f>VC!Y17</f>
        <v>0</v>
      </c>
      <c r="AE39" s="1">
        <f>VC!Z17</f>
        <v>0</v>
      </c>
      <c r="AF39" s="1">
        <f>VC!AA17</f>
        <v>0</v>
      </c>
      <c r="AG39" s="1">
        <f>VC!AB17</f>
        <v>0</v>
      </c>
      <c r="AH39" s="1" t="str">
        <f>VC!AC17</f>
        <v>S382G</v>
      </c>
      <c r="AI39" s="1">
        <f>VC!AD17</f>
        <v>0</v>
      </c>
      <c r="AJ39" s="1">
        <f>VC!AE17</f>
        <v>0</v>
      </c>
      <c r="AK39" s="1">
        <f>VC!AF17</f>
        <v>0</v>
      </c>
      <c r="AL39" s="1">
        <f>VC!AG17</f>
        <v>0</v>
      </c>
      <c r="AM39" s="1">
        <f>VC!AH17</f>
        <v>0</v>
      </c>
      <c r="AN39" s="1">
        <f>VC!AI17</f>
        <v>0</v>
      </c>
      <c r="AO39" s="1">
        <f>VC!AJ17</f>
        <v>0</v>
      </c>
      <c r="AP39" s="1">
        <f>VC!AK17</f>
        <v>0</v>
      </c>
      <c r="AQ39" s="1">
        <f>VC!AL17</f>
        <v>0</v>
      </c>
      <c r="AR39" s="1">
        <f>VC!AM17</f>
        <v>0</v>
      </c>
      <c r="AS39" s="1">
        <f>VC!AN17</f>
        <v>0</v>
      </c>
      <c r="AT39" s="1" t="str">
        <f>VC!AO17</f>
        <v>D346H</v>
      </c>
      <c r="AU39" s="1">
        <f>VC!AP17</f>
        <v>0</v>
      </c>
      <c r="AV39" s="1">
        <f>VC!AQ17</f>
        <v>0</v>
      </c>
      <c r="AW39" s="1">
        <f>VC!AR17</f>
        <v>0</v>
      </c>
      <c r="AX39" s="1">
        <f>VC!AS17</f>
        <v>0</v>
      </c>
      <c r="AY39" s="1">
        <f>VC!AT17</f>
        <v>0</v>
      </c>
      <c r="AZ39" s="1">
        <f>VC!AU17</f>
        <v>0</v>
      </c>
      <c r="BA39" s="1">
        <f>VC!AV17</f>
        <v>0</v>
      </c>
      <c r="BB39" s="1">
        <f>VC!AW17</f>
        <v>0</v>
      </c>
      <c r="BC39" s="1">
        <f>VC!AX17</f>
        <v>0</v>
      </c>
      <c r="BD39" s="1">
        <f>VC!AY17</f>
        <v>0</v>
      </c>
      <c r="BE39" s="1">
        <f>VC!AZ17</f>
        <v>0</v>
      </c>
      <c r="BF39" s="1">
        <f>VC!BA17</f>
        <v>0</v>
      </c>
      <c r="BG39" s="1" t="str">
        <f>VC!BB17</f>
        <v>A38T</v>
      </c>
      <c r="BH39" s="1" t="str">
        <f>VC!BC17</f>
        <v>S382G</v>
      </c>
      <c r="BI39" s="1">
        <f>VC!BD17</f>
        <v>0</v>
      </c>
      <c r="BJ39" s="1" t="str">
        <f>VC!BE17</f>
        <v>H119Y</v>
      </c>
      <c r="BK39" s="1">
        <f>VC!BF17</f>
        <v>0</v>
      </c>
      <c r="BL39" s="1">
        <f>VC!BG17</f>
        <v>0</v>
      </c>
      <c r="BM39" s="1">
        <f>VC!BH17</f>
        <v>0</v>
      </c>
      <c r="BN39" s="1" t="str">
        <f>VC!BI17</f>
        <v>A375P; A383P</v>
      </c>
      <c r="BO39" s="1">
        <f>VC!BJ17</f>
        <v>0</v>
      </c>
      <c r="BP39" s="1">
        <f>VC!BK17</f>
        <v>0</v>
      </c>
      <c r="BQ39" s="1">
        <f>VC!BL17</f>
        <v>0</v>
      </c>
      <c r="BR39" s="1">
        <f>VC!BM17</f>
        <v>0</v>
      </c>
      <c r="BS39" s="1">
        <f>VC!BN17</f>
        <v>0</v>
      </c>
      <c r="BT39" s="1">
        <f>VC!BO17</f>
        <v>0</v>
      </c>
      <c r="BU39" s="1" t="str">
        <f>VC!BP17</f>
        <v>D346H</v>
      </c>
      <c r="BV39" s="1">
        <f>VC!BQ17</f>
        <v>0</v>
      </c>
      <c r="BW39" s="1">
        <f>VC!BR17</f>
        <v>0</v>
      </c>
      <c r="BX39" s="1">
        <f>VC!BS17</f>
        <v>0</v>
      </c>
      <c r="BY39" s="1">
        <f>VC!BT17</f>
        <v>0</v>
      </c>
      <c r="BZ39" s="1">
        <f>VC!BU17</f>
        <v>0</v>
      </c>
      <c r="CA39" s="1">
        <f>VC!BV17</f>
        <v>0</v>
      </c>
      <c r="CB39" s="1">
        <f>VC!BW17</f>
        <v>0</v>
      </c>
      <c r="CC39" s="1">
        <f>VC!BX17</f>
        <v>0</v>
      </c>
      <c r="CD39" s="1">
        <f>VC!BY17</f>
        <v>0</v>
      </c>
      <c r="CE39" s="1">
        <f>VC!BZ17</f>
        <v>0</v>
      </c>
      <c r="CF39" s="1">
        <f>VC!CA17</f>
        <v>0</v>
      </c>
      <c r="CG39" s="1">
        <f>VC!CB17</f>
        <v>0</v>
      </c>
      <c r="CH39" s="1">
        <f>VC!CC17</f>
        <v>0</v>
      </c>
      <c r="CI39" s="1">
        <f>VC!CD17</f>
        <v>0</v>
      </c>
      <c r="CJ39" s="1">
        <f>VC!CE17</f>
        <v>0</v>
      </c>
      <c r="CK39" s="1">
        <f>VC!CF17</f>
        <v>0</v>
      </c>
      <c r="CL39" s="1">
        <f>VC!CG17</f>
        <v>0</v>
      </c>
      <c r="CM39" s="1">
        <f>VC!CH17</f>
        <v>0</v>
      </c>
      <c r="CN39" s="1">
        <f>VC!CI17</f>
        <v>0</v>
      </c>
      <c r="CO39" s="1" t="str">
        <f>VC!CJ17</f>
        <v>V376M</v>
      </c>
      <c r="CP39" s="1">
        <f>VC!CK17</f>
        <v>0</v>
      </c>
      <c r="CQ39" s="1">
        <f>VC!CL17</f>
        <v>0</v>
      </c>
      <c r="CR39" s="1">
        <f>VC!CM17</f>
        <v>0</v>
      </c>
      <c r="CS39" s="1">
        <f>VC!CN17</f>
        <v>0</v>
      </c>
      <c r="CT39" s="1">
        <f>VC!CO17</f>
        <v>0</v>
      </c>
      <c r="CU39" s="1">
        <f>VC!CP17</f>
        <v>0</v>
      </c>
      <c r="CV39" s="1">
        <f>VC!CQ17</f>
        <v>0</v>
      </c>
      <c r="CW39" s="1" t="str">
        <f>VC!CR17</f>
        <v>D346H</v>
      </c>
      <c r="CX39" s="1">
        <f>VC!CS17</f>
        <v>0</v>
      </c>
      <c r="CY39" s="1">
        <f>VC!CT17</f>
        <v>0</v>
      </c>
      <c r="CZ39" s="1">
        <f>VC!CU17</f>
        <v>0</v>
      </c>
      <c r="DA39" s="1">
        <f>VC!CV17</f>
        <v>0</v>
      </c>
      <c r="DB39" s="1">
        <f>VC!CW17</f>
        <v>0</v>
      </c>
      <c r="DC39" s="1">
        <f>VC!CX17</f>
        <v>0</v>
      </c>
      <c r="DD39" s="1">
        <f>VC!CY17</f>
        <v>0</v>
      </c>
      <c r="DE39" s="1">
        <f>VC!CZ17</f>
        <v>0</v>
      </c>
      <c r="DF39" s="1">
        <f>VC!DA17</f>
        <v>0</v>
      </c>
      <c r="DG39" s="1">
        <f>VC!DB17</f>
        <v>0</v>
      </c>
      <c r="DH39" s="1">
        <f>VC!DC17</f>
        <v>0</v>
      </c>
      <c r="DI39" s="1">
        <f>VC!DD17</f>
        <v>0</v>
      </c>
      <c r="DJ39" s="1">
        <f>VC!DE17</f>
        <v>0</v>
      </c>
      <c r="DK39" s="1">
        <f>VC!DF17</f>
        <v>0</v>
      </c>
      <c r="DL39" s="1">
        <f>VC!DG17</f>
        <v>0</v>
      </c>
      <c r="DM39" s="1">
        <f>VC!DH17</f>
        <v>0</v>
      </c>
      <c r="DN39" s="1" t="str">
        <f>VC!DI17</f>
        <v>DELETED</v>
      </c>
      <c r="DO39" s="1">
        <f>VC!DJ17</f>
        <v>0</v>
      </c>
      <c r="DP39" s="1">
        <f>VC!DK17</f>
        <v>0</v>
      </c>
      <c r="DQ39" s="1">
        <f>VC!DL17</f>
        <v>0</v>
      </c>
      <c r="DR39" s="1">
        <f>VC!DM17</f>
        <v>0</v>
      </c>
      <c r="DS39" s="1">
        <f>VC!DN17</f>
        <v>0</v>
      </c>
      <c r="DT39" s="1">
        <f>VC!DO17</f>
        <v>0</v>
      </c>
      <c r="DU39" s="1">
        <f>VC!DP17</f>
        <v>0</v>
      </c>
      <c r="DV39" s="1">
        <f>VC!DQ17</f>
        <v>0</v>
      </c>
      <c r="DW39" s="1">
        <f>VC!DR17</f>
        <v>0</v>
      </c>
      <c r="DX39" s="1">
        <f>VC!DS17</f>
        <v>0</v>
      </c>
      <c r="DY39" s="1">
        <f>VC!DT17</f>
        <v>0</v>
      </c>
      <c r="DZ39" s="1" t="str">
        <f>VC!DU17</f>
        <v>L154Q</v>
      </c>
      <c r="EA39" s="1">
        <f>VC!DV17</f>
        <v>0</v>
      </c>
      <c r="EB39" s="1">
        <f>VC!DW17</f>
        <v>0</v>
      </c>
      <c r="EC39" s="1">
        <f>VC!DX17</f>
        <v>0</v>
      </c>
      <c r="ED39" s="1">
        <f>VC!DY17</f>
        <v>0</v>
      </c>
      <c r="EE39" s="1">
        <f>VC!DZ17</f>
        <v>0</v>
      </c>
      <c r="EF39" s="1">
        <f>VC!EA17</f>
        <v>0</v>
      </c>
      <c r="EG39" s="1">
        <f>VC!EB17</f>
        <v>0</v>
      </c>
      <c r="EH39" s="1">
        <f>VC!EC17</f>
        <v>0</v>
      </c>
      <c r="EI39" s="1" t="str">
        <f>VC!ED17</f>
        <v>R151H</v>
      </c>
      <c r="EJ39" s="1">
        <f>VC!EE17</f>
        <v>0</v>
      </c>
      <c r="EK39" s="1">
        <f>VC!EF17</f>
        <v>0</v>
      </c>
      <c r="EL39" s="1">
        <f>VC!EG17</f>
        <v>0</v>
      </c>
      <c r="EM39" s="1">
        <f>VC!EH17</f>
        <v>0</v>
      </c>
      <c r="EN39" s="1">
        <f>VC!EI17</f>
        <v>0</v>
      </c>
      <c r="EO39" s="1">
        <f>VC!EJ17</f>
        <v>0</v>
      </c>
      <c r="EP39" s="1">
        <f>VC!EK17</f>
        <v>0</v>
      </c>
      <c r="EQ39" s="1" t="str">
        <f>VC!EL17</f>
        <v>Y255X</v>
      </c>
      <c r="ER39" s="1" t="str">
        <f>VC!EM17</f>
        <v>D346H</v>
      </c>
      <c r="ES39" s="1">
        <f>VC!EN17</f>
        <v>0</v>
      </c>
      <c r="ET39" s="1">
        <f>VC!EO17</f>
        <v>0</v>
      </c>
      <c r="EU39" s="1">
        <f>VC!EP17</f>
        <v>0</v>
      </c>
      <c r="EV39" s="1">
        <f>VC!EQ17</f>
        <v>0</v>
      </c>
      <c r="EW39" s="1" t="str">
        <f>VC!ER17</f>
        <v>A15T; A48V; E142K; D384G</v>
      </c>
      <c r="EX39" s="1" t="str">
        <f>VC!ES17</f>
        <v>A36T</v>
      </c>
      <c r="EY39" s="1">
        <f>VC!ET17</f>
        <v>0</v>
      </c>
      <c r="EZ39" s="1">
        <f>VC!EU17</f>
        <v>0</v>
      </c>
      <c r="FA39" s="1">
        <f>VC!EV17</f>
        <v>0</v>
      </c>
      <c r="FB39" s="1">
        <f>VC!EW17</f>
        <v>0</v>
      </c>
      <c r="FC39" s="1">
        <f>VC!EX17</f>
        <v>0</v>
      </c>
      <c r="FD39" s="1">
        <f>VC!EY17</f>
        <v>0</v>
      </c>
      <c r="FE39" s="1">
        <f>VC!EZ17</f>
        <v>0</v>
      </c>
      <c r="FF39" s="1">
        <f>VC!FA17</f>
        <v>0</v>
      </c>
      <c r="FG39" s="1">
        <f>VC!FB17</f>
        <v>0</v>
      </c>
      <c r="FH39" s="1">
        <f>VC!FC17</f>
        <v>0</v>
      </c>
      <c r="FI39" s="1">
        <f>VC!FD17</f>
        <v>0</v>
      </c>
      <c r="FJ39" s="1">
        <f>VC!FE17</f>
        <v>0</v>
      </c>
      <c r="FK39" s="1">
        <f>VC!FF17</f>
        <v>0</v>
      </c>
      <c r="FL39" s="1">
        <f>VC!FG17</f>
        <v>0</v>
      </c>
      <c r="FM39" s="1">
        <f>VC!FH17</f>
        <v>0</v>
      </c>
      <c r="FN39" s="1">
        <f>VC!FI17</f>
        <v>0</v>
      </c>
      <c r="FO39" s="1">
        <f>VC!FJ17</f>
        <v>0</v>
      </c>
      <c r="FP39" s="1">
        <f>VC!FK17</f>
        <v>0</v>
      </c>
      <c r="FQ39" s="1">
        <f>VC!FL17</f>
        <v>0</v>
      </c>
      <c r="FR39" s="1">
        <f>VC!FM17</f>
        <v>0</v>
      </c>
      <c r="FS39" s="1" t="str">
        <f>VC!FN17</f>
        <v>Q4H</v>
      </c>
      <c r="FT39" s="1">
        <f>VC!FO17</f>
        <v>0</v>
      </c>
      <c r="FU39" s="1">
        <f>VC!FP17</f>
        <v>0</v>
      </c>
      <c r="FV39" s="1">
        <f>VC!FQ17</f>
        <v>0</v>
      </c>
      <c r="FW39" s="1">
        <f>VC!FR17</f>
        <v>0</v>
      </c>
      <c r="FX39" s="1">
        <f>VC!FS17</f>
        <v>0</v>
      </c>
      <c r="FY39" s="1">
        <f>VC!FT17</f>
        <v>0</v>
      </c>
      <c r="FZ39" s="1">
        <f>VC!FU17</f>
        <v>0</v>
      </c>
      <c r="GA39" s="1">
        <f>VC!FV17</f>
        <v>0</v>
      </c>
      <c r="GB39" s="1">
        <f>VC!FW17</f>
        <v>0</v>
      </c>
      <c r="GC39" s="1" t="str">
        <f>VC!FX17</f>
        <v>W358C</v>
      </c>
      <c r="GD39" s="1" t="str">
        <f>VC!FY17</f>
        <v>Q396X</v>
      </c>
      <c r="GE39" s="1">
        <f>VC!FZ17</f>
        <v>0</v>
      </c>
      <c r="GF39" s="1">
        <f>VC!GA17</f>
        <v>0</v>
      </c>
      <c r="GG39" s="1">
        <f>VC!GB17</f>
        <v>0</v>
      </c>
      <c r="GH39" s="1">
        <f>VC!GC17</f>
        <v>0</v>
      </c>
      <c r="GI39" s="1">
        <f>VC!GD17</f>
        <v>0</v>
      </c>
      <c r="GJ39" s="1">
        <f>VC!GE17</f>
        <v>0</v>
      </c>
      <c r="GK39" s="1">
        <f>VC!GF17</f>
        <v>0</v>
      </c>
      <c r="GL39" s="1" t="str">
        <f>VC!GG17</f>
        <v>W358C</v>
      </c>
      <c r="GM39" s="1">
        <f>VC!GH17</f>
        <v>0</v>
      </c>
      <c r="GN39" s="1">
        <f>VC!GI17</f>
        <v>0</v>
      </c>
      <c r="GO39" s="1">
        <f>VC!GJ17</f>
        <v>0</v>
      </c>
      <c r="GP39" s="1" t="str">
        <f>VC!GK17</f>
        <v>D346H</v>
      </c>
      <c r="GQ39" s="1" t="str">
        <f>VC!GL17</f>
        <v>H119Y</v>
      </c>
      <c r="GR39" s="1">
        <f>VC!GM17</f>
        <v>0</v>
      </c>
      <c r="GS39" s="1">
        <f>VC!GN17</f>
        <v>0</v>
      </c>
      <c r="GT39" s="1" t="str">
        <f>VC!GO17</f>
        <v>A36T</v>
      </c>
      <c r="GU39" s="1" t="str">
        <f>VC!GP17</f>
        <v>R69Q</v>
      </c>
      <c r="GV39" s="1">
        <f>VC!GQ17</f>
        <v>0</v>
      </c>
      <c r="GW39" s="1">
        <f>VC!GR17</f>
        <v>0</v>
      </c>
      <c r="GX39" s="1">
        <f>VC!GS17</f>
        <v>0</v>
      </c>
      <c r="GY39" s="1">
        <f>VC!GT17</f>
        <v>0</v>
      </c>
      <c r="GZ39" s="1">
        <f>VC!GU17</f>
        <v>0</v>
      </c>
      <c r="HA39" s="1">
        <f>VC!GV17</f>
        <v>0</v>
      </c>
      <c r="HB39" s="1">
        <f>VC!GW17</f>
        <v>0</v>
      </c>
      <c r="HC39" s="1">
        <f>VC!GX17</f>
        <v>0</v>
      </c>
    </row>
    <row r="40" spans="1:211" s="7" customFormat="1" x14ac:dyDescent="0.25">
      <c r="A40" s="32" t="s">
        <v>53</v>
      </c>
      <c r="B40" s="33" t="s">
        <v>54</v>
      </c>
      <c r="C40" s="34" t="s">
        <v>0</v>
      </c>
      <c r="D40" s="33" t="s">
        <v>76</v>
      </c>
      <c r="E40" s="33" t="s">
        <v>138</v>
      </c>
      <c r="F40" s="33" t="s">
        <v>74</v>
      </c>
      <c r="G40" s="35" t="s">
        <v>136</v>
      </c>
      <c r="H40" s="7">
        <f>VC!C18</f>
        <v>0</v>
      </c>
      <c r="I40" s="7" t="str">
        <f>VC!D18</f>
        <v>D83E</v>
      </c>
      <c r="J40" s="7">
        <f>VC!E18</f>
        <v>0</v>
      </c>
      <c r="K40" s="7">
        <f>VC!F18</f>
        <v>0</v>
      </c>
      <c r="L40" s="7" t="str">
        <f>VC!G18</f>
        <v>aa103∆1</v>
      </c>
      <c r="M40" s="7">
        <f>VC!H18</f>
        <v>0</v>
      </c>
      <c r="N40" s="7" t="str">
        <f>VC!I18</f>
        <v>aa163InsY</v>
      </c>
      <c r="O40" s="7">
        <f>VC!J18</f>
        <v>0</v>
      </c>
      <c r="P40" s="7">
        <f>VC!K18</f>
        <v>0</v>
      </c>
      <c r="Q40" s="7">
        <f>VC!L18</f>
        <v>0</v>
      </c>
      <c r="R40" s="7">
        <f>VC!M18</f>
        <v>0</v>
      </c>
      <c r="S40" s="7">
        <f>VC!N18</f>
        <v>0</v>
      </c>
      <c r="T40" s="7">
        <f>VC!O18</f>
        <v>0</v>
      </c>
      <c r="U40" s="7">
        <f>VC!P18</f>
        <v>0</v>
      </c>
      <c r="V40" s="7">
        <f>VC!Q18</f>
        <v>0</v>
      </c>
      <c r="W40" s="7">
        <f>VC!R18</f>
        <v>0</v>
      </c>
      <c r="X40" s="7">
        <f>VC!S18</f>
        <v>0</v>
      </c>
      <c r="Y40" s="7">
        <f>VC!T18</f>
        <v>0</v>
      </c>
      <c r="Z40" s="7">
        <f>VC!U18</f>
        <v>0</v>
      </c>
      <c r="AA40" s="7">
        <f>VC!V18</f>
        <v>0</v>
      </c>
      <c r="AB40" s="7">
        <f>VC!W18</f>
        <v>0</v>
      </c>
      <c r="AC40" s="7" t="str">
        <f>VC!X18</f>
        <v>T12N</v>
      </c>
      <c r="AD40" s="7">
        <f>VC!Y18</f>
        <v>0</v>
      </c>
      <c r="AE40" s="7">
        <f>VC!Z18</f>
        <v>0</v>
      </c>
      <c r="AF40" s="7">
        <f>VC!AA18</f>
        <v>0</v>
      </c>
      <c r="AG40" s="7">
        <f>VC!AB18</f>
        <v>0</v>
      </c>
      <c r="AH40" s="7">
        <f>VC!AC18</f>
        <v>0</v>
      </c>
      <c r="AI40" s="7">
        <f>VC!AD18</f>
        <v>0</v>
      </c>
      <c r="AJ40" s="7">
        <f>VC!AE18</f>
        <v>0</v>
      </c>
      <c r="AK40" s="7">
        <f>VC!AF18</f>
        <v>0</v>
      </c>
      <c r="AL40" s="7" t="str">
        <f>VC!AG18</f>
        <v>W185X</v>
      </c>
      <c r="AM40" s="7">
        <f>VC!AH18</f>
        <v>0</v>
      </c>
      <c r="AN40" s="7">
        <f>VC!AI18</f>
        <v>0</v>
      </c>
      <c r="AO40" s="7">
        <f>VC!AJ18</f>
        <v>0</v>
      </c>
      <c r="AP40" s="7">
        <f>VC!AK18</f>
        <v>0</v>
      </c>
      <c r="AQ40" s="7" t="str">
        <f>VC!AL18</f>
        <v>nt484InsC</v>
      </c>
      <c r="AR40" s="7">
        <f>VC!AM18</f>
        <v>0</v>
      </c>
      <c r="AS40" s="7">
        <f>VC!AN18</f>
        <v>0</v>
      </c>
      <c r="AT40" s="7">
        <f>VC!AO18</f>
        <v>0</v>
      </c>
      <c r="AU40" s="7">
        <f>VC!AP18</f>
        <v>0</v>
      </c>
      <c r="AV40" s="7">
        <f>VC!AQ18</f>
        <v>0</v>
      </c>
      <c r="AW40" s="7">
        <f>VC!AR18</f>
        <v>0</v>
      </c>
      <c r="AX40" s="7">
        <f>VC!AS18</f>
        <v>0</v>
      </c>
      <c r="AY40" s="7">
        <f>VC!AT18</f>
        <v>0</v>
      </c>
      <c r="AZ40" s="7">
        <f>VC!AU18</f>
        <v>0</v>
      </c>
      <c r="BA40" s="7" t="str">
        <f>VC!AV18</f>
        <v>G195D</v>
      </c>
      <c r="BB40" s="7">
        <f>VC!AW18</f>
        <v>0</v>
      </c>
      <c r="BC40" s="7" t="str">
        <f>VC!AX18</f>
        <v>G195D</v>
      </c>
      <c r="BD40" s="7">
        <f>VC!AY18</f>
        <v>0</v>
      </c>
      <c r="BE40" s="7" t="str">
        <f>VC!AZ18</f>
        <v>aa187∆6</v>
      </c>
      <c r="BF40" s="7">
        <f>VC!BA18</f>
        <v>0</v>
      </c>
      <c r="BG40" s="7" t="str">
        <f>VC!BB18</f>
        <v>G68D</v>
      </c>
      <c r="BH40" s="7">
        <f>VC!BC18</f>
        <v>0</v>
      </c>
      <c r="BI40" s="7" t="str">
        <f>VC!BD18</f>
        <v>G195D</v>
      </c>
      <c r="BJ40" s="7">
        <f>VC!BE18</f>
        <v>0</v>
      </c>
      <c r="BK40" s="7">
        <f>VC!BF18</f>
        <v>0</v>
      </c>
      <c r="BL40" s="7">
        <f>VC!BG18</f>
        <v>0</v>
      </c>
      <c r="BM40" s="7">
        <f>VC!BH18</f>
        <v>0</v>
      </c>
      <c r="BN40" s="7">
        <f>VC!BI18</f>
        <v>0</v>
      </c>
      <c r="BO40" s="7">
        <f>VC!BJ18</f>
        <v>0</v>
      </c>
      <c r="BP40" s="7">
        <f>VC!BK18</f>
        <v>0</v>
      </c>
      <c r="BQ40" s="7" t="str">
        <f>VC!BL18</f>
        <v>Q140K</v>
      </c>
      <c r="BR40" s="7">
        <f>VC!BM18</f>
        <v>0</v>
      </c>
      <c r="BS40" s="7" t="str">
        <f>VC!BN18</f>
        <v>G195D</v>
      </c>
      <c r="BT40" s="7" t="str">
        <f>VC!BO18</f>
        <v>nt526∆8</v>
      </c>
      <c r="BU40" s="7">
        <f>VC!BP18</f>
        <v>0</v>
      </c>
      <c r="BV40" s="7">
        <f>VC!BQ18</f>
        <v>0</v>
      </c>
      <c r="BW40" s="7" t="str">
        <f>VC!BR18</f>
        <v>V105G</v>
      </c>
      <c r="BX40" s="7">
        <f>VC!BS18</f>
        <v>0</v>
      </c>
      <c r="BY40" s="7">
        <f>VC!BT18</f>
        <v>0</v>
      </c>
      <c r="BZ40" s="7">
        <f>VC!BU18</f>
        <v>0</v>
      </c>
      <c r="CA40" s="7">
        <f>VC!BV18</f>
        <v>0</v>
      </c>
      <c r="CB40" s="7">
        <f>VC!BW18</f>
        <v>0</v>
      </c>
      <c r="CC40" s="7">
        <f>VC!BX18</f>
        <v>0</v>
      </c>
      <c r="CD40" s="7" t="str">
        <f>VC!BY18</f>
        <v>G195D</v>
      </c>
      <c r="CE40" s="7">
        <f>VC!BZ18</f>
        <v>0</v>
      </c>
      <c r="CF40" s="7">
        <f>VC!CA18</f>
        <v>0</v>
      </c>
      <c r="CG40" s="7">
        <f>VC!CB18</f>
        <v>0</v>
      </c>
      <c r="CH40" s="7">
        <f>VC!CC18</f>
        <v>0</v>
      </c>
      <c r="CI40" s="7">
        <f>VC!CD18</f>
        <v>0</v>
      </c>
      <c r="CJ40" s="7" t="str">
        <f>VC!CE18</f>
        <v>G195D</v>
      </c>
      <c r="CK40" s="7" t="str">
        <f>VC!CF18</f>
        <v>G195D</v>
      </c>
      <c r="CL40" s="7">
        <f>VC!CG18</f>
        <v>0</v>
      </c>
      <c r="CM40" s="7" t="str">
        <f>VC!CH18</f>
        <v>V105G</v>
      </c>
      <c r="CN40" s="7">
        <f>VC!CI18</f>
        <v>0</v>
      </c>
      <c r="CO40" s="7">
        <f>VC!CJ18</f>
        <v>0</v>
      </c>
      <c r="CP40" s="7" t="str">
        <f>VC!CK18</f>
        <v>G195D</v>
      </c>
      <c r="CQ40" s="7" t="str">
        <f>VC!CL18</f>
        <v>G195D</v>
      </c>
      <c r="CR40" s="7">
        <f>VC!CM18</f>
        <v>0</v>
      </c>
      <c r="CS40" s="7">
        <f>VC!CN18</f>
        <v>0</v>
      </c>
      <c r="CT40" s="7">
        <f>VC!CO18</f>
        <v>0</v>
      </c>
      <c r="CU40" s="7">
        <f>VC!CP18</f>
        <v>0</v>
      </c>
      <c r="CV40" s="7">
        <f>VC!CQ18</f>
        <v>0</v>
      </c>
      <c r="CW40" s="7">
        <f>VC!CR18</f>
        <v>0</v>
      </c>
      <c r="CX40" s="7">
        <f>VC!CS18</f>
        <v>0</v>
      </c>
      <c r="CY40" s="7">
        <f>VC!CT18</f>
        <v>0</v>
      </c>
      <c r="CZ40" s="7" t="str">
        <f>VC!CU18</f>
        <v>aa48∆9</v>
      </c>
      <c r="DA40" s="7">
        <f>VC!CV18</f>
        <v>0</v>
      </c>
      <c r="DB40" s="7" t="str">
        <f>VC!CW18</f>
        <v>H51D</v>
      </c>
      <c r="DC40" s="7">
        <f>VC!CX18</f>
        <v>0</v>
      </c>
      <c r="DD40" s="7">
        <f>VC!CY18</f>
        <v>0</v>
      </c>
      <c r="DE40" s="7">
        <f>VC!CZ18</f>
        <v>0</v>
      </c>
      <c r="DF40" s="7">
        <f>VC!DA18</f>
        <v>0</v>
      </c>
      <c r="DG40" s="7" t="str">
        <f>VC!DB18</f>
        <v>A35V</v>
      </c>
      <c r="DH40" s="7">
        <f>VC!DC18</f>
        <v>0</v>
      </c>
      <c r="DI40" s="7">
        <f>VC!DD18</f>
        <v>0</v>
      </c>
      <c r="DJ40" s="7">
        <f>VC!DE18</f>
        <v>0</v>
      </c>
      <c r="DK40" s="7">
        <f>VC!DF18</f>
        <v>0</v>
      </c>
      <c r="DL40" s="7" t="str">
        <f>VC!DG18</f>
        <v>R45C</v>
      </c>
      <c r="DM40" s="7" t="str">
        <f>VC!DH18</f>
        <v>nt386∆1</v>
      </c>
      <c r="DN40" s="7" t="str">
        <f>VC!DI18</f>
        <v>DELETED</v>
      </c>
      <c r="DO40" s="7">
        <f>VC!DJ18</f>
        <v>0</v>
      </c>
      <c r="DP40" s="7">
        <f>VC!DK18</f>
        <v>0</v>
      </c>
      <c r="DQ40" s="7" t="str">
        <f>VC!DL18</f>
        <v>D83E</v>
      </c>
      <c r="DR40" s="7">
        <f>VC!DM18</f>
        <v>0</v>
      </c>
      <c r="DS40" s="7">
        <f>VC!DN18</f>
        <v>0</v>
      </c>
      <c r="DT40" s="7">
        <f>VC!DO18</f>
        <v>0</v>
      </c>
      <c r="DU40" s="7" t="str">
        <f>VC!DP18</f>
        <v>G195D</v>
      </c>
      <c r="DV40" s="7">
        <f>VC!DQ18</f>
        <v>0</v>
      </c>
      <c r="DW40" s="7" t="str">
        <f>VC!DR18</f>
        <v>G195D</v>
      </c>
      <c r="DX40" s="7">
        <f>VC!DS18</f>
        <v>0</v>
      </c>
      <c r="DY40" s="7">
        <f>VC!DT18</f>
        <v>0</v>
      </c>
      <c r="DZ40" s="7">
        <f>VC!DU18</f>
        <v>0</v>
      </c>
      <c r="EA40" s="7" t="str">
        <f>VC!DV18</f>
        <v>G195D</v>
      </c>
      <c r="EB40" s="7">
        <f>VC!DW18</f>
        <v>0</v>
      </c>
      <c r="EC40" s="7" t="str">
        <f>VC!DX18</f>
        <v>L37P</v>
      </c>
      <c r="ED40" s="7" t="str">
        <f>VC!DY18</f>
        <v>nt491∆10</v>
      </c>
      <c r="EE40" s="7" t="str">
        <f>VC!DZ18</f>
        <v>G195D</v>
      </c>
      <c r="EF40" s="7">
        <f>VC!EA18</f>
        <v>0</v>
      </c>
      <c r="EG40" s="7" t="str">
        <f>VC!EB18</f>
        <v>Q132X</v>
      </c>
      <c r="EH40" s="7" t="str">
        <f>VC!EC18</f>
        <v>nt320∆16</v>
      </c>
      <c r="EI40" s="7">
        <f>VC!ED18</f>
        <v>0</v>
      </c>
      <c r="EJ40" s="7">
        <f>VC!EE18</f>
        <v>0</v>
      </c>
      <c r="EK40" s="7">
        <f>VC!EF18</f>
        <v>0</v>
      </c>
      <c r="EL40" s="7">
        <f>VC!EG18</f>
        <v>0</v>
      </c>
      <c r="EM40" s="7">
        <f>VC!EH18</f>
        <v>0</v>
      </c>
      <c r="EN40" s="7">
        <f>VC!EI18</f>
        <v>0</v>
      </c>
      <c r="EO40" s="7">
        <f>VC!EJ18</f>
        <v>0</v>
      </c>
      <c r="EP40" s="7">
        <f>VC!EK18</f>
        <v>0</v>
      </c>
      <c r="EQ40" s="7">
        <f>VC!EL18</f>
        <v>0</v>
      </c>
      <c r="ER40" s="7">
        <f>VC!EM18</f>
        <v>0</v>
      </c>
      <c r="ES40" s="7" t="str">
        <f>VC!EN18</f>
        <v>Y204X</v>
      </c>
      <c r="ET40" s="7">
        <f>VC!EO18</f>
        <v>0</v>
      </c>
      <c r="EU40" s="7">
        <f>VC!EP18</f>
        <v>0</v>
      </c>
      <c r="EV40" s="7">
        <f>VC!EQ18</f>
        <v>0</v>
      </c>
      <c r="EW40" s="7" t="str">
        <f>VC!ER18</f>
        <v>F192L</v>
      </c>
      <c r="EX40" s="7">
        <f>VC!ES18</f>
        <v>0</v>
      </c>
      <c r="EY40" s="7">
        <f>VC!ET18</f>
        <v>0</v>
      </c>
      <c r="EZ40" s="7" t="str">
        <f>VC!EU18</f>
        <v>nt367∆10</v>
      </c>
      <c r="FA40" s="7" t="str">
        <f>VC!EV18</f>
        <v>nt100∆1</v>
      </c>
      <c r="FB40" s="7">
        <f>VC!EW18</f>
        <v>0</v>
      </c>
      <c r="FC40" s="7">
        <f>VC!EX18</f>
        <v>0</v>
      </c>
      <c r="FD40" s="7">
        <f>VC!EY18</f>
        <v>0</v>
      </c>
      <c r="FE40" s="7" t="str">
        <f>VC!EZ18</f>
        <v>aa163InsY</v>
      </c>
      <c r="FF40" s="7">
        <f>VC!FA18</f>
        <v>0</v>
      </c>
      <c r="FG40" s="7">
        <f>VC!FB18</f>
        <v>0</v>
      </c>
      <c r="FH40" s="7">
        <f>VC!FC18</f>
        <v>0</v>
      </c>
      <c r="FI40" s="7" t="str">
        <f>VC!FD18</f>
        <v>A47V</v>
      </c>
      <c r="FJ40" s="7">
        <f>VC!FE18</f>
        <v>0</v>
      </c>
      <c r="FK40" s="7">
        <f>VC!FF18</f>
        <v>0</v>
      </c>
      <c r="FL40" s="7">
        <f>VC!FG18</f>
        <v>0</v>
      </c>
      <c r="FM40" s="7">
        <f>VC!FH18</f>
        <v>0</v>
      </c>
      <c r="FN40" s="7">
        <f>VC!FI18</f>
        <v>0</v>
      </c>
      <c r="FO40" s="7">
        <f>VC!FJ18</f>
        <v>0</v>
      </c>
      <c r="FP40" s="7">
        <f>VC!FK18</f>
        <v>0</v>
      </c>
      <c r="FQ40" s="7" t="str">
        <f>VC!FL18</f>
        <v>G195D</v>
      </c>
      <c r="FR40" s="7">
        <f>VC!FM18</f>
        <v>0</v>
      </c>
      <c r="FS40" s="7" t="str">
        <f>VC!FN18</f>
        <v>A81V; Q134R</v>
      </c>
      <c r="FT40" s="7">
        <f>VC!FO18</f>
        <v>0</v>
      </c>
      <c r="FU40" s="7" t="str">
        <f>VC!FP18</f>
        <v>Q132P</v>
      </c>
      <c r="FV40" s="7">
        <f>VC!FQ18</f>
        <v>0</v>
      </c>
      <c r="FW40" s="7">
        <f>VC!FR18</f>
        <v>0</v>
      </c>
      <c r="FX40" s="7">
        <f>VC!FS18</f>
        <v>0</v>
      </c>
      <c r="FY40" s="7">
        <f>VC!FT18</f>
        <v>0</v>
      </c>
      <c r="FZ40" s="7">
        <f>VC!FU18</f>
        <v>0</v>
      </c>
      <c r="GA40" s="7" t="str">
        <f>VC!FV18</f>
        <v>G195D</v>
      </c>
      <c r="GB40" s="7">
        <f>VC!FW18</f>
        <v>0</v>
      </c>
      <c r="GC40" s="7">
        <f>VC!FX18</f>
        <v>0</v>
      </c>
      <c r="GD40" s="7">
        <f>VC!FY18</f>
        <v>0</v>
      </c>
      <c r="GE40" s="7">
        <f>VC!FZ18</f>
        <v>0</v>
      </c>
      <c r="GF40" s="7">
        <f>VC!GA18</f>
        <v>0</v>
      </c>
      <c r="GG40" s="7">
        <f>VC!GB18</f>
        <v>0</v>
      </c>
      <c r="GH40" s="7">
        <f>VC!GC18</f>
        <v>0</v>
      </c>
      <c r="GI40" s="7">
        <f>VC!GD18</f>
        <v>0</v>
      </c>
      <c r="GJ40" s="7">
        <f>VC!GE18</f>
        <v>0</v>
      </c>
      <c r="GK40" s="7">
        <f>VC!GF18</f>
        <v>0</v>
      </c>
      <c r="GL40" s="7" t="str">
        <f>VC!GG18</f>
        <v>A88P</v>
      </c>
      <c r="GM40" s="7" t="str">
        <f>VC!GH18</f>
        <v>G195D</v>
      </c>
      <c r="GN40" s="7" t="str">
        <f>VC!GI18</f>
        <v>nt227∆1</v>
      </c>
      <c r="GO40" s="7">
        <f>VC!GJ18</f>
        <v>0</v>
      </c>
      <c r="GP40" s="7">
        <f>VC!GK18</f>
        <v>0</v>
      </c>
      <c r="GQ40" s="7">
        <f>VC!GL18</f>
        <v>0</v>
      </c>
      <c r="GR40" s="7">
        <f>VC!GM18</f>
        <v>0</v>
      </c>
      <c r="GS40" s="7">
        <f>VC!GN18</f>
        <v>0</v>
      </c>
      <c r="GT40" s="7">
        <f>VC!GO18</f>
        <v>0</v>
      </c>
      <c r="GU40" s="7">
        <f>VC!GP18</f>
        <v>0</v>
      </c>
      <c r="GV40" s="7">
        <f>VC!GQ18</f>
        <v>0</v>
      </c>
      <c r="GW40" s="7">
        <f>VC!GR18</f>
        <v>0</v>
      </c>
      <c r="GX40" s="7" t="str">
        <f>VC!GS18</f>
        <v>R104W</v>
      </c>
      <c r="GY40" s="7">
        <f>VC!GT18</f>
        <v>0</v>
      </c>
      <c r="GZ40" s="7">
        <f>VC!GU18</f>
        <v>0</v>
      </c>
      <c r="HA40" s="7">
        <f>VC!GV18</f>
        <v>0</v>
      </c>
      <c r="HB40" s="7" t="str">
        <f>VC!GW18</f>
        <v>G195D</v>
      </c>
      <c r="HC40" s="7">
        <f>VC!GX18</f>
        <v>0</v>
      </c>
    </row>
    <row r="41" spans="1:211" s="7" customFormat="1" x14ac:dyDescent="0.25">
      <c r="A41" s="36" t="s">
        <v>53</v>
      </c>
      <c r="B41" s="37" t="s">
        <v>54</v>
      </c>
      <c r="C41" s="38" t="s">
        <v>2</v>
      </c>
      <c r="D41" s="37" t="s">
        <v>76</v>
      </c>
      <c r="E41" s="37" t="s">
        <v>138</v>
      </c>
      <c r="F41" s="37" t="s">
        <v>74</v>
      </c>
      <c r="G41" s="39" t="s">
        <v>136</v>
      </c>
      <c r="H41" s="7">
        <f>VC!C18</f>
        <v>0</v>
      </c>
      <c r="I41" s="7" t="str">
        <f>VC!D18</f>
        <v>D83E</v>
      </c>
      <c r="J41" s="7">
        <f>VC!E18</f>
        <v>0</v>
      </c>
      <c r="K41" s="7">
        <f>VC!F18</f>
        <v>0</v>
      </c>
      <c r="L41" s="7" t="str">
        <f>VC!G18</f>
        <v>aa103∆1</v>
      </c>
      <c r="M41" s="7">
        <f>VC!H18</f>
        <v>0</v>
      </c>
      <c r="N41" s="7" t="str">
        <f>VC!I18</f>
        <v>aa163InsY</v>
      </c>
      <c r="O41" s="7">
        <f>VC!J18</f>
        <v>0</v>
      </c>
      <c r="P41" s="7">
        <f>VC!K18</f>
        <v>0</v>
      </c>
      <c r="Q41" s="7">
        <f>VC!L18</f>
        <v>0</v>
      </c>
      <c r="R41" s="7">
        <f>VC!M18</f>
        <v>0</v>
      </c>
      <c r="S41" s="7">
        <f>VC!N18</f>
        <v>0</v>
      </c>
      <c r="T41" s="7">
        <f>VC!O18</f>
        <v>0</v>
      </c>
      <c r="U41" s="7">
        <f>VC!P18</f>
        <v>0</v>
      </c>
      <c r="V41" s="7">
        <f>VC!Q18</f>
        <v>0</v>
      </c>
      <c r="W41" s="7">
        <f>VC!R18</f>
        <v>0</v>
      </c>
      <c r="X41" s="7">
        <f>VC!S18</f>
        <v>0</v>
      </c>
      <c r="Y41" s="7">
        <f>VC!T18</f>
        <v>0</v>
      </c>
      <c r="Z41" s="7">
        <f>VC!U18</f>
        <v>0</v>
      </c>
      <c r="AA41" s="7">
        <f>VC!V18</f>
        <v>0</v>
      </c>
      <c r="AB41" s="7">
        <f>VC!W18</f>
        <v>0</v>
      </c>
      <c r="AC41" s="7" t="str">
        <f>VC!X18</f>
        <v>T12N</v>
      </c>
      <c r="AD41" s="7">
        <f>VC!Y18</f>
        <v>0</v>
      </c>
      <c r="AE41" s="7">
        <f>VC!Z18</f>
        <v>0</v>
      </c>
      <c r="AF41" s="7">
        <f>VC!AA18</f>
        <v>0</v>
      </c>
      <c r="AG41" s="7">
        <f>VC!AB18</f>
        <v>0</v>
      </c>
      <c r="AH41" s="7">
        <f>VC!AC18</f>
        <v>0</v>
      </c>
      <c r="AI41" s="7">
        <f>VC!AD18</f>
        <v>0</v>
      </c>
      <c r="AJ41" s="7">
        <f>VC!AE18</f>
        <v>0</v>
      </c>
      <c r="AK41" s="7">
        <f>VC!AF18</f>
        <v>0</v>
      </c>
      <c r="AL41" s="7" t="str">
        <f>VC!AG18</f>
        <v>W185X</v>
      </c>
      <c r="AM41" s="7">
        <f>VC!AH18</f>
        <v>0</v>
      </c>
      <c r="AN41" s="7">
        <f>VC!AI18</f>
        <v>0</v>
      </c>
      <c r="AO41" s="7">
        <f>VC!AJ18</f>
        <v>0</v>
      </c>
      <c r="AP41" s="7">
        <f>VC!AK18</f>
        <v>0</v>
      </c>
      <c r="AQ41" s="7" t="str">
        <f>VC!AL18</f>
        <v>nt484InsC</v>
      </c>
      <c r="AR41" s="7">
        <f>VC!AM18</f>
        <v>0</v>
      </c>
      <c r="AS41" s="7">
        <f>VC!AN18</f>
        <v>0</v>
      </c>
      <c r="AT41" s="7">
        <f>VC!AO18</f>
        <v>0</v>
      </c>
      <c r="AU41" s="7">
        <f>VC!AP18</f>
        <v>0</v>
      </c>
      <c r="AV41" s="7">
        <f>VC!AQ18</f>
        <v>0</v>
      </c>
      <c r="AW41" s="7">
        <f>VC!AR18</f>
        <v>0</v>
      </c>
      <c r="AX41" s="7">
        <f>VC!AS18</f>
        <v>0</v>
      </c>
      <c r="AY41" s="7">
        <f>VC!AT18</f>
        <v>0</v>
      </c>
      <c r="AZ41" s="7">
        <f>VC!AU18</f>
        <v>0</v>
      </c>
      <c r="BA41" s="7" t="str">
        <f>VC!AV18</f>
        <v>G195D</v>
      </c>
      <c r="BB41" s="7">
        <f>VC!AW18</f>
        <v>0</v>
      </c>
      <c r="BC41" s="7" t="str">
        <f>VC!AX18</f>
        <v>G195D</v>
      </c>
      <c r="BD41" s="7">
        <f>VC!AY18</f>
        <v>0</v>
      </c>
      <c r="BE41" s="7" t="str">
        <f>VC!AZ18</f>
        <v>aa187∆6</v>
      </c>
      <c r="BF41" s="7">
        <f>VC!BA18</f>
        <v>0</v>
      </c>
      <c r="BG41" s="7" t="str">
        <f>VC!BB18</f>
        <v>G68D</v>
      </c>
      <c r="BH41" s="7">
        <f>VC!BC18</f>
        <v>0</v>
      </c>
      <c r="BI41" s="7" t="str">
        <f>VC!BD18</f>
        <v>G195D</v>
      </c>
      <c r="BJ41" s="7">
        <f>VC!BE18</f>
        <v>0</v>
      </c>
      <c r="BK41" s="7">
        <f>VC!BF18</f>
        <v>0</v>
      </c>
      <c r="BL41" s="7">
        <f>VC!BG18</f>
        <v>0</v>
      </c>
      <c r="BM41" s="7">
        <f>VC!BH18</f>
        <v>0</v>
      </c>
      <c r="BN41" s="7">
        <f>VC!BI18</f>
        <v>0</v>
      </c>
      <c r="BO41" s="7">
        <f>VC!BJ18</f>
        <v>0</v>
      </c>
      <c r="BP41" s="7">
        <f>VC!BK18</f>
        <v>0</v>
      </c>
      <c r="BQ41" s="7" t="str">
        <f>VC!BL18</f>
        <v>Q140K</v>
      </c>
      <c r="BR41" s="7">
        <f>VC!BM18</f>
        <v>0</v>
      </c>
      <c r="BS41" s="7" t="str">
        <f>VC!BN18</f>
        <v>G195D</v>
      </c>
      <c r="BT41" s="7" t="str">
        <f>VC!BO18</f>
        <v>nt526∆8</v>
      </c>
      <c r="BU41" s="7">
        <f>VC!BP18</f>
        <v>0</v>
      </c>
      <c r="BV41" s="7">
        <f>VC!BQ18</f>
        <v>0</v>
      </c>
      <c r="BW41" s="7" t="str">
        <f>VC!BR18</f>
        <v>V105G</v>
      </c>
      <c r="BX41" s="7">
        <f>VC!BS18</f>
        <v>0</v>
      </c>
      <c r="BY41" s="7">
        <f>VC!BT18</f>
        <v>0</v>
      </c>
      <c r="BZ41" s="7">
        <f>VC!BU18</f>
        <v>0</v>
      </c>
      <c r="CA41" s="7">
        <f>VC!BV18</f>
        <v>0</v>
      </c>
      <c r="CB41" s="7">
        <f>VC!BW18</f>
        <v>0</v>
      </c>
      <c r="CC41" s="7">
        <f>VC!BX18</f>
        <v>0</v>
      </c>
      <c r="CD41" s="7" t="str">
        <f>VC!BY18</f>
        <v>G195D</v>
      </c>
      <c r="CE41" s="7">
        <f>VC!BZ18</f>
        <v>0</v>
      </c>
      <c r="CF41" s="7">
        <f>VC!CA18</f>
        <v>0</v>
      </c>
      <c r="CG41" s="7">
        <f>VC!CB18</f>
        <v>0</v>
      </c>
      <c r="CH41" s="7">
        <f>VC!CC18</f>
        <v>0</v>
      </c>
      <c r="CI41" s="7">
        <f>VC!CD18</f>
        <v>0</v>
      </c>
      <c r="CJ41" s="7" t="str">
        <f>VC!CE18</f>
        <v>G195D</v>
      </c>
      <c r="CK41" s="7" t="str">
        <f>VC!CF18</f>
        <v>G195D</v>
      </c>
      <c r="CL41" s="7">
        <f>VC!CG18</f>
        <v>0</v>
      </c>
      <c r="CM41" s="7" t="str">
        <f>VC!CH18</f>
        <v>V105G</v>
      </c>
      <c r="CN41" s="7">
        <f>VC!CI18</f>
        <v>0</v>
      </c>
      <c r="CO41" s="7">
        <f>VC!CJ18</f>
        <v>0</v>
      </c>
      <c r="CP41" s="7" t="str">
        <f>VC!CK18</f>
        <v>G195D</v>
      </c>
      <c r="CQ41" s="7" t="str">
        <f>VC!CL18</f>
        <v>G195D</v>
      </c>
      <c r="CR41" s="7">
        <f>VC!CM18</f>
        <v>0</v>
      </c>
      <c r="CS41" s="7">
        <f>VC!CN18</f>
        <v>0</v>
      </c>
      <c r="CT41" s="7">
        <f>VC!CO18</f>
        <v>0</v>
      </c>
      <c r="CU41" s="7">
        <f>VC!CP18</f>
        <v>0</v>
      </c>
      <c r="CV41" s="7">
        <f>VC!CQ18</f>
        <v>0</v>
      </c>
      <c r="CW41" s="7">
        <f>VC!CR18</f>
        <v>0</v>
      </c>
      <c r="CX41" s="7">
        <f>VC!CS18</f>
        <v>0</v>
      </c>
      <c r="CY41" s="7">
        <f>VC!CT18</f>
        <v>0</v>
      </c>
      <c r="CZ41" s="7" t="str">
        <f>VC!CU18</f>
        <v>aa48∆9</v>
      </c>
      <c r="DA41" s="7">
        <f>VC!CV18</f>
        <v>0</v>
      </c>
      <c r="DB41" s="7" t="str">
        <f>VC!CW18</f>
        <v>H51D</v>
      </c>
      <c r="DC41" s="7">
        <f>VC!CX18</f>
        <v>0</v>
      </c>
      <c r="DD41" s="7">
        <f>VC!CY18</f>
        <v>0</v>
      </c>
      <c r="DE41" s="7">
        <f>VC!CZ18</f>
        <v>0</v>
      </c>
      <c r="DF41" s="7">
        <f>VC!DA18</f>
        <v>0</v>
      </c>
      <c r="DG41" s="7" t="str">
        <f>VC!DB18</f>
        <v>A35V</v>
      </c>
      <c r="DH41" s="7">
        <f>VC!DC18</f>
        <v>0</v>
      </c>
      <c r="DI41" s="7">
        <f>VC!DD18</f>
        <v>0</v>
      </c>
      <c r="DJ41" s="7">
        <f>VC!DE18</f>
        <v>0</v>
      </c>
      <c r="DK41" s="7">
        <f>VC!DF18</f>
        <v>0</v>
      </c>
      <c r="DL41" s="7" t="str">
        <f>VC!DG18</f>
        <v>R45C</v>
      </c>
      <c r="DM41" s="7" t="str">
        <f>VC!DH18</f>
        <v>nt386∆1</v>
      </c>
      <c r="DN41" s="7" t="str">
        <f>VC!DI18</f>
        <v>DELETED</v>
      </c>
      <c r="DO41" s="7">
        <f>VC!DJ18</f>
        <v>0</v>
      </c>
      <c r="DP41" s="7">
        <f>VC!DK18</f>
        <v>0</v>
      </c>
      <c r="DQ41" s="7" t="str">
        <f>VC!DL18</f>
        <v>D83E</v>
      </c>
      <c r="DR41" s="7">
        <f>VC!DM18</f>
        <v>0</v>
      </c>
      <c r="DS41" s="7">
        <f>VC!DN18</f>
        <v>0</v>
      </c>
      <c r="DT41" s="7">
        <f>VC!DO18</f>
        <v>0</v>
      </c>
      <c r="DU41" s="7" t="str">
        <f>VC!DP18</f>
        <v>G195D</v>
      </c>
      <c r="DV41" s="7">
        <f>VC!DQ18</f>
        <v>0</v>
      </c>
      <c r="DW41" s="7" t="str">
        <f>VC!DR18</f>
        <v>G195D</v>
      </c>
      <c r="DX41" s="7">
        <f>VC!DS18</f>
        <v>0</v>
      </c>
      <c r="DY41" s="7">
        <f>VC!DT18</f>
        <v>0</v>
      </c>
      <c r="DZ41" s="7">
        <f>VC!DU18</f>
        <v>0</v>
      </c>
      <c r="EA41" s="7" t="str">
        <f>VC!DV18</f>
        <v>G195D</v>
      </c>
      <c r="EB41" s="7">
        <f>VC!DW18</f>
        <v>0</v>
      </c>
      <c r="EC41" s="7" t="str">
        <f>VC!DX18</f>
        <v>L37P</v>
      </c>
      <c r="ED41" s="7" t="str">
        <f>VC!DY18</f>
        <v>nt491∆10</v>
      </c>
      <c r="EE41" s="7" t="str">
        <f>VC!DZ18</f>
        <v>G195D</v>
      </c>
      <c r="EF41" s="7">
        <f>VC!EA18</f>
        <v>0</v>
      </c>
      <c r="EG41" s="7" t="str">
        <f>VC!EB18</f>
        <v>Q132X</v>
      </c>
      <c r="EH41" s="7" t="str">
        <f>VC!EC18</f>
        <v>nt320∆16</v>
      </c>
      <c r="EI41" s="7">
        <f>VC!ED18</f>
        <v>0</v>
      </c>
      <c r="EJ41" s="7">
        <f>VC!EE18</f>
        <v>0</v>
      </c>
      <c r="EK41" s="7">
        <f>VC!EF18</f>
        <v>0</v>
      </c>
      <c r="EL41" s="7">
        <f>VC!EG18</f>
        <v>0</v>
      </c>
      <c r="EM41" s="7">
        <f>VC!EH18</f>
        <v>0</v>
      </c>
      <c r="EN41" s="7">
        <f>VC!EI18</f>
        <v>0</v>
      </c>
      <c r="EO41" s="7">
        <f>VC!EJ18</f>
        <v>0</v>
      </c>
      <c r="EP41" s="7">
        <f>VC!EK18</f>
        <v>0</v>
      </c>
      <c r="EQ41" s="7">
        <f>VC!EL18</f>
        <v>0</v>
      </c>
      <c r="ER41" s="7">
        <f>VC!EM18</f>
        <v>0</v>
      </c>
      <c r="ES41" s="7" t="str">
        <f>VC!EN18</f>
        <v>Y204X</v>
      </c>
      <c r="ET41" s="7">
        <f>VC!EO18</f>
        <v>0</v>
      </c>
      <c r="EU41" s="7">
        <f>VC!EP18</f>
        <v>0</v>
      </c>
      <c r="EV41" s="7">
        <f>VC!EQ18</f>
        <v>0</v>
      </c>
      <c r="EW41" s="7" t="str">
        <f>VC!ER18</f>
        <v>F192L</v>
      </c>
      <c r="EX41" s="7">
        <f>VC!ES18</f>
        <v>0</v>
      </c>
      <c r="EY41" s="7">
        <f>VC!ET18</f>
        <v>0</v>
      </c>
      <c r="EZ41" s="7" t="str">
        <f>VC!EU18</f>
        <v>nt367∆10</v>
      </c>
      <c r="FA41" s="7" t="str">
        <f>VC!EV18</f>
        <v>nt100∆1</v>
      </c>
      <c r="FB41" s="7">
        <f>VC!EW18</f>
        <v>0</v>
      </c>
      <c r="FC41" s="7">
        <f>VC!EX18</f>
        <v>0</v>
      </c>
      <c r="FD41" s="7">
        <f>VC!EY18</f>
        <v>0</v>
      </c>
      <c r="FE41" s="7" t="str">
        <f>VC!EZ18</f>
        <v>aa163InsY</v>
      </c>
      <c r="FF41" s="7">
        <f>VC!FA18</f>
        <v>0</v>
      </c>
      <c r="FG41" s="7">
        <f>VC!FB18</f>
        <v>0</v>
      </c>
      <c r="FH41" s="7">
        <f>VC!FC18</f>
        <v>0</v>
      </c>
      <c r="FI41" s="7" t="str">
        <f>VC!FD18</f>
        <v>A47V</v>
      </c>
      <c r="FJ41" s="7">
        <f>VC!FE18</f>
        <v>0</v>
      </c>
      <c r="FK41" s="7">
        <f>VC!FF18</f>
        <v>0</v>
      </c>
      <c r="FL41" s="7">
        <f>VC!FG18</f>
        <v>0</v>
      </c>
      <c r="FM41" s="7">
        <f>VC!FH18</f>
        <v>0</v>
      </c>
      <c r="FN41" s="7">
        <f>VC!FI18</f>
        <v>0</v>
      </c>
      <c r="FO41" s="7">
        <f>VC!FJ18</f>
        <v>0</v>
      </c>
      <c r="FP41" s="7">
        <f>VC!FK18</f>
        <v>0</v>
      </c>
      <c r="FQ41" s="7" t="str">
        <f>VC!FL18</f>
        <v>G195D</v>
      </c>
      <c r="FR41" s="7">
        <f>VC!FM18</f>
        <v>0</v>
      </c>
      <c r="FS41" s="7" t="str">
        <f>VC!FN18</f>
        <v>A81V; Q134R</v>
      </c>
      <c r="FT41" s="7">
        <f>VC!FO18</f>
        <v>0</v>
      </c>
      <c r="FU41" s="7" t="str">
        <f>VC!FP18</f>
        <v>Q132P</v>
      </c>
      <c r="FV41" s="7">
        <f>VC!FQ18</f>
        <v>0</v>
      </c>
      <c r="FW41" s="7">
        <f>VC!FR18</f>
        <v>0</v>
      </c>
      <c r="FX41" s="7">
        <f>VC!FS18</f>
        <v>0</v>
      </c>
      <c r="FY41" s="7">
        <f>VC!FT18</f>
        <v>0</v>
      </c>
      <c r="FZ41" s="7">
        <f>VC!FU18</f>
        <v>0</v>
      </c>
      <c r="GA41" s="7" t="str">
        <f>VC!FV18</f>
        <v>G195D</v>
      </c>
      <c r="GB41" s="7">
        <f>VC!FW18</f>
        <v>0</v>
      </c>
      <c r="GC41" s="7">
        <f>VC!FX18</f>
        <v>0</v>
      </c>
      <c r="GD41" s="7">
        <f>VC!FY18</f>
        <v>0</v>
      </c>
      <c r="GE41" s="7">
        <f>VC!FZ18</f>
        <v>0</v>
      </c>
      <c r="GF41" s="7">
        <f>VC!GA18</f>
        <v>0</v>
      </c>
      <c r="GG41" s="7">
        <f>VC!GB18</f>
        <v>0</v>
      </c>
      <c r="GH41" s="7">
        <f>VC!GC18</f>
        <v>0</v>
      </c>
      <c r="GI41" s="7">
        <f>VC!GD18</f>
        <v>0</v>
      </c>
      <c r="GJ41" s="7">
        <f>VC!GE18</f>
        <v>0</v>
      </c>
      <c r="GK41" s="7">
        <f>VC!GF18</f>
        <v>0</v>
      </c>
      <c r="GL41" s="7" t="str">
        <f>VC!GG18</f>
        <v>A88P</v>
      </c>
      <c r="GM41" s="7" t="str">
        <f>VC!GH18</f>
        <v>G195D</v>
      </c>
      <c r="GN41" s="7" t="str">
        <f>VC!GI18</f>
        <v>nt227∆1</v>
      </c>
      <c r="GO41" s="7">
        <f>VC!GJ18</f>
        <v>0</v>
      </c>
      <c r="GP41" s="7">
        <f>VC!GK18</f>
        <v>0</v>
      </c>
      <c r="GQ41" s="7">
        <f>VC!GL18</f>
        <v>0</v>
      </c>
      <c r="GR41" s="7">
        <f>VC!GM18</f>
        <v>0</v>
      </c>
      <c r="GS41" s="7">
        <f>VC!GN18</f>
        <v>0</v>
      </c>
      <c r="GT41" s="7">
        <f>VC!GO18</f>
        <v>0</v>
      </c>
      <c r="GU41" s="7">
        <f>VC!GP18</f>
        <v>0</v>
      </c>
      <c r="GV41" s="7">
        <f>VC!GQ18</f>
        <v>0</v>
      </c>
      <c r="GW41" s="7">
        <f>VC!GR18</f>
        <v>0</v>
      </c>
      <c r="GX41" s="7" t="str">
        <f>VC!GS18</f>
        <v>R104W</v>
      </c>
      <c r="GY41" s="7">
        <f>VC!GT18</f>
        <v>0</v>
      </c>
      <c r="GZ41" s="7">
        <f>VC!GU18</f>
        <v>0</v>
      </c>
      <c r="HA41" s="7">
        <f>VC!GV18</f>
        <v>0</v>
      </c>
      <c r="HB41" s="7" t="str">
        <f>VC!GW18</f>
        <v>G195D</v>
      </c>
      <c r="HC41" s="7">
        <f>VC!GX18</f>
        <v>0</v>
      </c>
    </row>
    <row r="42" spans="1:211" s="7" customFormat="1" ht="15.75" thickBot="1" x14ac:dyDescent="0.3">
      <c r="A42" s="40" t="s">
        <v>53</v>
      </c>
      <c r="B42" s="41" t="s">
        <v>54</v>
      </c>
      <c r="C42" s="42" t="s">
        <v>4</v>
      </c>
      <c r="D42" s="41" t="s">
        <v>76</v>
      </c>
      <c r="E42" s="41" t="s">
        <v>139</v>
      </c>
      <c r="F42" s="41" t="s">
        <v>74</v>
      </c>
      <c r="G42" s="43" t="s">
        <v>136</v>
      </c>
      <c r="H42" s="7">
        <f>VC!C18</f>
        <v>0</v>
      </c>
      <c r="I42" s="7" t="str">
        <f>VC!D18</f>
        <v>D83E</v>
      </c>
      <c r="J42" s="7">
        <f>VC!E18</f>
        <v>0</v>
      </c>
      <c r="K42" s="7">
        <f>VC!F18</f>
        <v>0</v>
      </c>
      <c r="L42" s="7" t="str">
        <f>VC!G18</f>
        <v>aa103∆1</v>
      </c>
      <c r="M42" s="7">
        <f>VC!H18</f>
        <v>0</v>
      </c>
      <c r="N42" s="7" t="str">
        <f>VC!I18</f>
        <v>aa163InsY</v>
      </c>
      <c r="O42" s="7">
        <f>VC!J18</f>
        <v>0</v>
      </c>
      <c r="P42" s="7">
        <f>VC!K18</f>
        <v>0</v>
      </c>
      <c r="Q42" s="7">
        <f>VC!L18</f>
        <v>0</v>
      </c>
      <c r="R42" s="7">
        <f>VC!M18</f>
        <v>0</v>
      </c>
      <c r="S42" s="7">
        <f>VC!N18</f>
        <v>0</v>
      </c>
      <c r="T42" s="7">
        <f>VC!O18</f>
        <v>0</v>
      </c>
      <c r="U42" s="7">
        <f>VC!P18</f>
        <v>0</v>
      </c>
      <c r="V42" s="7">
        <f>VC!Q18</f>
        <v>0</v>
      </c>
      <c r="W42" s="7">
        <f>VC!R18</f>
        <v>0</v>
      </c>
      <c r="X42" s="7">
        <f>VC!S18</f>
        <v>0</v>
      </c>
      <c r="Y42" s="7">
        <f>VC!T18</f>
        <v>0</v>
      </c>
      <c r="Z42" s="7">
        <f>VC!U18</f>
        <v>0</v>
      </c>
      <c r="AA42" s="7">
        <f>VC!V18</f>
        <v>0</v>
      </c>
      <c r="AB42" s="7">
        <f>VC!W18</f>
        <v>0</v>
      </c>
      <c r="AC42" s="7" t="str">
        <f>VC!X18</f>
        <v>T12N</v>
      </c>
      <c r="AD42" s="7">
        <f>VC!Y18</f>
        <v>0</v>
      </c>
      <c r="AE42" s="7">
        <f>VC!Z18</f>
        <v>0</v>
      </c>
      <c r="AF42" s="7">
        <f>VC!AA18</f>
        <v>0</v>
      </c>
      <c r="AG42" s="7">
        <f>VC!AB18</f>
        <v>0</v>
      </c>
      <c r="AH42" s="7">
        <f>VC!AC18</f>
        <v>0</v>
      </c>
      <c r="AI42" s="7">
        <f>VC!AD18</f>
        <v>0</v>
      </c>
      <c r="AJ42" s="7">
        <f>VC!AE18</f>
        <v>0</v>
      </c>
      <c r="AK42" s="7">
        <f>VC!AF18</f>
        <v>0</v>
      </c>
      <c r="AL42" s="7" t="str">
        <f>VC!AG18</f>
        <v>W185X</v>
      </c>
      <c r="AM42" s="7">
        <f>VC!AH18</f>
        <v>0</v>
      </c>
      <c r="AN42" s="7">
        <f>VC!AI18</f>
        <v>0</v>
      </c>
      <c r="AO42" s="7">
        <f>VC!AJ18</f>
        <v>0</v>
      </c>
      <c r="AP42" s="7">
        <f>VC!AK18</f>
        <v>0</v>
      </c>
      <c r="AQ42" s="7" t="str">
        <f>VC!AL18</f>
        <v>nt484InsC</v>
      </c>
      <c r="AR42" s="7">
        <f>VC!AM18</f>
        <v>0</v>
      </c>
      <c r="AS42" s="7">
        <f>VC!AN18</f>
        <v>0</v>
      </c>
      <c r="AT42" s="7">
        <f>VC!AO18</f>
        <v>0</v>
      </c>
      <c r="AU42" s="7">
        <f>VC!AP18</f>
        <v>0</v>
      </c>
      <c r="AV42" s="7">
        <f>VC!AQ18</f>
        <v>0</v>
      </c>
      <c r="AW42" s="7">
        <f>VC!AR18</f>
        <v>0</v>
      </c>
      <c r="AX42" s="7">
        <f>VC!AS18</f>
        <v>0</v>
      </c>
      <c r="AY42" s="7">
        <f>VC!AT18</f>
        <v>0</v>
      </c>
      <c r="AZ42" s="7">
        <f>VC!AU18</f>
        <v>0</v>
      </c>
      <c r="BA42" s="7" t="str">
        <f>VC!AV18</f>
        <v>G195D</v>
      </c>
      <c r="BB42" s="7">
        <f>VC!AW18</f>
        <v>0</v>
      </c>
      <c r="BC42" s="7" t="str">
        <f>VC!AX18</f>
        <v>G195D</v>
      </c>
      <c r="BD42" s="7">
        <f>VC!AY18</f>
        <v>0</v>
      </c>
      <c r="BE42" s="7" t="str">
        <f>VC!AZ18</f>
        <v>aa187∆6</v>
      </c>
      <c r="BF42" s="7">
        <f>VC!BA18</f>
        <v>0</v>
      </c>
      <c r="BG42" s="7" t="str">
        <f>VC!BB18</f>
        <v>G68D</v>
      </c>
      <c r="BH42" s="7">
        <f>VC!BC18</f>
        <v>0</v>
      </c>
      <c r="BI42" s="7" t="str">
        <f>VC!BD18</f>
        <v>G195D</v>
      </c>
      <c r="BJ42" s="7">
        <f>VC!BE18</f>
        <v>0</v>
      </c>
      <c r="BK42" s="7">
        <f>VC!BF18</f>
        <v>0</v>
      </c>
      <c r="BL42" s="7">
        <f>VC!BG18</f>
        <v>0</v>
      </c>
      <c r="BM42" s="7">
        <f>VC!BH18</f>
        <v>0</v>
      </c>
      <c r="BN42" s="7">
        <f>VC!BI18</f>
        <v>0</v>
      </c>
      <c r="BO42" s="7">
        <f>VC!BJ18</f>
        <v>0</v>
      </c>
      <c r="BP42" s="7">
        <f>VC!BK18</f>
        <v>0</v>
      </c>
      <c r="BQ42" s="7" t="str">
        <f>VC!BL18</f>
        <v>Q140K</v>
      </c>
      <c r="BR42" s="7">
        <f>VC!BM18</f>
        <v>0</v>
      </c>
      <c r="BS42" s="7" t="str">
        <f>VC!BN18</f>
        <v>G195D</v>
      </c>
      <c r="BT42" s="7" t="str">
        <f>VC!BO18</f>
        <v>nt526∆8</v>
      </c>
      <c r="BU42" s="7">
        <f>VC!BP18</f>
        <v>0</v>
      </c>
      <c r="BV42" s="7">
        <f>VC!BQ18</f>
        <v>0</v>
      </c>
      <c r="BW42" s="7" t="str">
        <f>VC!BR18</f>
        <v>V105G</v>
      </c>
      <c r="BX42" s="7">
        <f>VC!BS18</f>
        <v>0</v>
      </c>
      <c r="BY42" s="7">
        <f>VC!BT18</f>
        <v>0</v>
      </c>
      <c r="BZ42" s="7">
        <f>VC!BU18</f>
        <v>0</v>
      </c>
      <c r="CA42" s="7">
        <f>VC!BV18</f>
        <v>0</v>
      </c>
      <c r="CB42" s="7">
        <f>VC!BW18</f>
        <v>0</v>
      </c>
      <c r="CC42" s="7">
        <f>VC!BX18</f>
        <v>0</v>
      </c>
      <c r="CD42" s="7" t="str">
        <f>VC!BY18</f>
        <v>G195D</v>
      </c>
      <c r="CE42" s="7">
        <f>VC!BZ18</f>
        <v>0</v>
      </c>
      <c r="CF42" s="7">
        <f>VC!CA18</f>
        <v>0</v>
      </c>
      <c r="CG42" s="7">
        <f>VC!CB18</f>
        <v>0</v>
      </c>
      <c r="CH42" s="7">
        <f>VC!CC18</f>
        <v>0</v>
      </c>
      <c r="CI42" s="7">
        <f>VC!CD18</f>
        <v>0</v>
      </c>
      <c r="CJ42" s="7" t="str">
        <f>VC!CE18</f>
        <v>G195D</v>
      </c>
      <c r="CK42" s="7" t="str">
        <f>VC!CF18</f>
        <v>G195D</v>
      </c>
      <c r="CL42" s="7">
        <f>VC!CG18</f>
        <v>0</v>
      </c>
      <c r="CM42" s="7" t="str">
        <f>VC!CH18</f>
        <v>V105G</v>
      </c>
      <c r="CN42" s="7">
        <f>VC!CI18</f>
        <v>0</v>
      </c>
      <c r="CO42" s="7">
        <f>VC!CJ18</f>
        <v>0</v>
      </c>
      <c r="CP42" s="7" t="str">
        <f>VC!CK18</f>
        <v>G195D</v>
      </c>
      <c r="CQ42" s="7" t="str">
        <f>VC!CL18</f>
        <v>G195D</v>
      </c>
      <c r="CR42" s="7">
        <f>VC!CM18</f>
        <v>0</v>
      </c>
      <c r="CS42" s="7">
        <f>VC!CN18</f>
        <v>0</v>
      </c>
      <c r="CT42" s="7">
        <f>VC!CO18</f>
        <v>0</v>
      </c>
      <c r="CU42" s="7">
        <f>VC!CP18</f>
        <v>0</v>
      </c>
      <c r="CV42" s="7">
        <f>VC!CQ18</f>
        <v>0</v>
      </c>
      <c r="CW42" s="7">
        <f>VC!CR18</f>
        <v>0</v>
      </c>
      <c r="CX42" s="7">
        <f>VC!CS18</f>
        <v>0</v>
      </c>
      <c r="CY42" s="7">
        <f>VC!CT18</f>
        <v>0</v>
      </c>
      <c r="CZ42" s="7" t="str">
        <f>VC!CU18</f>
        <v>aa48∆9</v>
      </c>
      <c r="DA42" s="7">
        <f>VC!CV18</f>
        <v>0</v>
      </c>
      <c r="DB42" s="7" t="str">
        <f>VC!CW18</f>
        <v>H51D</v>
      </c>
      <c r="DC42" s="7">
        <f>VC!CX18</f>
        <v>0</v>
      </c>
      <c r="DD42" s="7">
        <f>VC!CY18</f>
        <v>0</v>
      </c>
      <c r="DE42" s="7">
        <f>VC!CZ18</f>
        <v>0</v>
      </c>
      <c r="DF42" s="7">
        <f>VC!DA18</f>
        <v>0</v>
      </c>
      <c r="DG42" s="7" t="str">
        <f>VC!DB18</f>
        <v>A35V</v>
      </c>
      <c r="DH42" s="7">
        <f>VC!DC18</f>
        <v>0</v>
      </c>
      <c r="DI42" s="7">
        <f>VC!DD18</f>
        <v>0</v>
      </c>
      <c r="DJ42" s="7">
        <f>VC!DE18</f>
        <v>0</v>
      </c>
      <c r="DK42" s="7">
        <f>VC!DF18</f>
        <v>0</v>
      </c>
      <c r="DL42" s="7" t="str">
        <f>VC!DG18</f>
        <v>R45C</v>
      </c>
      <c r="DM42" s="7" t="str">
        <f>VC!DH18</f>
        <v>nt386∆1</v>
      </c>
      <c r="DN42" s="7" t="str">
        <f>VC!DI18</f>
        <v>DELETED</v>
      </c>
      <c r="DO42" s="7">
        <f>VC!DJ18</f>
        <v>0</v>
      </c>
      <c r="DP42" s="7">
        <f>VC!DK18</f>
        <v>0</v>
      </c>
      <c r="DQ42" s="7" t="str">
        <f>VC!DL18</f>
        <v>D83E</v>
      </c>
      <c r="DR42" s="7">
        <f>VC!DM18</f>
        <v>0</v>
      </c>
      <c r="DS42" s="7">
        <f>VC!DN18</f>
        <v>0</v>
      </c>
      <c r="DT42" s="7">
        <f>VC!DO18</f>
        <v>0</v>
      </c>
      <c r="DU42" s="7" t="str">
        <f>VC!DP18</f>
        <v>G195D</v>
      </c>
      <c r="DV42" s="7">
        <f>VC!DQ18</f>
        <v>0</v>
      </c>
      <c r="DW42" s="7" t="str">
        <f>VC!DR18</f>
        <v>G195D</v>
      </c>
      <c r="DX42" s="7">
        <f>VC!DS18</f>
        <v>0</v>
      </c>
      <c r="DY42" s="7">
        <f>VC!DT18</f>
        <v>0</v>
      </c>
      <c r="DZ42" s="7">
        <f>VC!DU18</f>
        <v>0</v>
      </c>
      <c r="EA42" s="7" t="str">
        <f>VC!DV18</f>
        <v>G195D</v>
      </c>
      <c r="EB42" s="7">
        <f>VC!DW18</f>
        <v>0</v>
      </c>
      <c r="EC42" s="7" t="str">
        <f>VC!DX18</f>
        <v>L37P</v>
      </c>
      <c r="ED42" s="7" t="str">
        <f>VC!DY18</f>
        <v>nt491∆10</v>
      </c>
      <c r="EE42" s="7" t="str">
        <f>VC!DZ18</f>
        <v>G195D</v>
      </c>
      <c r="EF42" s="7">
        <f>VC!EA18</f>
        <v>0</v>
      </c>
      <c r="EG42" s="7" t="str">
        <f>VC!EB18</f>
        <v>Q132X</v>
      </c>
      <c r="EH42" s="7" t="str">
        <f>VC!EC18</f>
        <v>nt320∆16</v>
      </c>
      <c r="EI42" s="7">
        <f>VC!ED18</f>
        <v>0</v>
      </c>
      <c r="EJ42" s="7">
        <f>VC!EE18</f>
        <v>0</v>
      </c>
      <c r="EK42" s="7">
        <f>VC!EF18</f>
        <v>0</v>
      </c>
      <c r="EL42" s="7">
        <f>VC!EG18</f>
        <v>0</v>
      </c>
      <c r="EM42" s="7">
        <f>VC!EH18</f>
        <v>0</v>
      </c>
      <c r="EN42" s="7">
        <f>VC!EI18</f>
        <v>0</v>
      </c>
      <c r="EO42" s="7">
        <f>VC!EJ18</f>
        <v>0</v>
      </c>
      <c r="EP42" s="7">
        <f>VC!EK18</f>
        <v>0</v>
      </c>
      <c r="EQ42" s="7">
        <f>VC!EL18</f>
        <v>0</v>
      </c>
      <c r="ER42" s="7">
        <f>VC!EM18</f>
        <v>0</v>
      </c>
      <c r="ES42" s="7" t="str">
        <f>VC!EN18</f>
        <v>Y204X</v>
      </c>
      <c r="ET42" s="7">
        <f>VC!EO18</f>
        <v>0</v>
      </c>
      <c r="EU42" s="7">
        <f>VC!EP18</f>
        <v>0</v>
      </c>
      <c r="EV42" s="7">
        <f>VC!EQ18</f>
        <v>0</v>
      </c>
      <c r="EW42" s="7" t="str">
        <f>VC!ER18</f>
        <v>F192L</v>
      </c>
      <c r="EX42" s="7">
        <f>VC!ES18</f>
        <v>0</v>
      </c>
      <c r="EY42" s="7">
        <f>VC!ET18</f>
        <v>0</v>
      </c>
      <c r="EZ42" s="7" t="str">
        <f>VC!EU18</f>
        <v>nt367∆10</v>
      </c>
      <c r="FA42" s="7" t="str">
        <f>VC!EV18</f>
        <v>nt100∆1</v>
      </c>
      <c r="FB42" s="7">
        <f>VC!EW18</f>
        <v>0</v>
      </c>
      <c r="FC42" s="7">
        <f>VC!EX18</f>
        <v>0</v>
      </c>
      <c r="FD42" s="7">
        <f>VC!EY18</f>
        <v>0</v>
      </c>
      <c r="FE42" s="7" t="str">
        <f>VC!EZ18</f>
        <v>aa163InsY</v>
      </c>
      <c r="FF42" s="7">
        <f>VC!FA18</f>
        <v>0</v>
      </c>
      <c r="FG42" s="7">
        <f>VC!FB18</f>
        <v>0</v>
      </c>
      <c r="FH42" s="7">
        <f>VC!FC18</f>
        <v>0</v>
      </c>
      <c r="FI42" s="7" t="str">
        <f>VC!FD18</f>
        <v>A47V</v>
      </c>
      <c r="FJ42" s="7">
        <f>VC!FE18</f>
        <v>0</v>
      </c>
      <c r="FK42" s="7">
        <f>VC!FF18</f>
        <v>0</v>
      </c>
      <c r="FL42" s="7">
        <f>VC!FG18</f>
        <v>0</v>
      </c>
      <c r="FM42" s="7">
        <f>VC!FH18</f>
        <v>0</v>
      </c>
      <c r="FN42" s="7">
        <f>VC!FI18</f>
        <v>0</v>
      </c>
      <c r="FO42" s="7">
        <f>VC!FJ18</f>
        <v>0</v>
      </c>
      <c r="FP42" s="7">
        <f>VC!FK18</f>
        <v>0</v>
      </c>
      <c r="FQ42" s="7" t="str">
        <f>VC!FL18</f>
        <v>G195D</v>
      </c>
      <c r="FR42" s="7">
        <f>VC!FM18</f>
        <v>0</v>
      </c>
      <c r="FS42" s="7" t="str">
        <f>VC!FN18</f>
        <v>A81V; Q134R</v>
      </c>
      <c r="FT42" s="7">
        <f>VC!FO18</f>
        <v>0</v>
      </c>
      <c r="FU42" s="7" t="str">
        <f>VC!FP18</f>
        <v>Q132P</v>
      </c>
      <c r="FV42" s="7">
        <f>VC!FQ18</f>
        <v>0</v>
      </c>
      <c r="FW42" s="7">
        <f>VC!FR18</f>
        <v>0</v>
      </c>
      <c r="FX42" s="7">
        <f>VC!FS18</f>
        <v>0</v>
      </c>
      <c r="FY42" s="7">
        <f>VC!FT18</f>
        <v>0</v>
      </c>
      <c r="FZ42" s="7">
        <f>VC!FU18</f>
        <v>0</v>
      </c>
      <c r="GA42" s="7" t="str">
        <f>VC!FV18</f>
        <v>G195D</v>
      </c>
      <c r="GB42" s="7">
        <f>VC!FW18</f>
        <v>0</v>
      </c>
      <c r="GC42" s="7">
        <f>VC!FX18</f>
        <v>0</v>
      </c>
      <c r="GD42" s="7">
        <f>VC!FY18</f>
        <v>0</v>
      </c>
      <c r="GE42" s="7">
        <f>VC!FZ18</f>
        <v>0</v>
      </c>
      <c r="GF42" s="7">
        <f>VC!GA18</f>
        <v>0</v>
      </c>
      <c r="GG42" s="7">
        <f>VC!GB18</f>
        <v>0</v>
      </c>
      <c r="GH42" s="7">
        <f>VC!GC18</f>
        <v>0</v>
      </c>
      <c r="GI42" s="7">
        <f>VC!GD18</f>
        <v>0</v>
      </c>
      <c r="GJ42" s="7">
        <f>VC!GE18</f>
        <v>0</v>
      </c>
      <c r="GK42" s="7">
        <f>VC!GF18</f>
        <v>0</v>
      </c>
      <c r="GL42" s="7" t="str">
        <f>VC!GG18</f>
        <v>A88P</v>
      </c>
      <c r="GM42" s="7" t="str">
        <f>VC!GH18</f>
        <v>G195D</v>
      </c>
      <c r="GN42" s="7" t="str">
        <f>VC!GI18</f>
        <v>nt227∆1</v>
      </c>
      <c r="GO42" s="7">
        <f>VC!GJ18</f>
        <v>0</v>
      </c>
      <c r="GP42" s="7">
        <f>VC!GK18</f>
        <v>0</v>
      </c>
      <c r="GQ42" s="7">
        <f>VC!GL18</f>
        <v>0</v>
      </c>
      <c r="GR42" s="7">
        <f>VC!GM18</f>
        <v>0</v>
      </c>
      <c r="GS42" s="7">
        <f>VC!GN18</f>
        <v>0</v>
      </c>
      <c r="GT42" s="7">
        <f>VC!GO18</f>
        <v>0</v>
      </c>
      <c r="GU42" s="7">
        <f>VC!GP18</f>
        <v>0</v>
      </c>
      <c r="GV42" s="7">
        <f>VC!GQ18</f>
        <v>0</v>
      </c>
      <c r="GW42" s="7">
        <f>VC!GR18</f>
        <v>0</v>
      </c>
      <c r="GX42" s="7" t="str">
        <f>VC!GS18</f>
        <v>R104W</v>
      </c>
      <c r="GY42" s="7">
        <f>VC!GT18</f>
        <v>0</v>
      </c>
      <c r="GZ42" s="7">
        <f>VC!GU18</f>
        <v>0</v>
      </c>
      <c r="HA42" s="7">
        <f>VC!GV18</f>
        <v>0</v>
      </c>
      <c r="HB42" s="7" t="str">
        <f>VC!GW18</f>
        <v>G195D</v>
      </c>
      <c r="HC42" s="7">
        <f>VC!GX18</f>
        <v>0</v>
      </c>
    </row>
    <row r="43" spans="1:211" s="1" customFormat="1" x14ac:dyDescent="0.25">
      <c r="A43" s="1" t="s">
        <v>16</v>
      </c>
      <c r="B43" s="1" t="s">
        <v>17</v>
      </c>
      <c r="C43" s="4" t="s">
        <v>0</v>
      </c>
      <c r="D43" s="1" t="s">
        <v>77</v>
      </c>
      <c r="E43" s="17" t="s">
        <v>146</v>
      </c>
      <c r="F43" s="2" t="s">
        <v>74</v>
      </c>
      <c r="G43" s="2" t="s">
        <v>136</v>
      </c>
      <c r="H43" s="1">
        <f>VC!C19</f>
        <v>0</v>
      </c>
      <c r="I43" s="1">
        <f>VC!D19</f>
        <v>0</v>
      </c>
      <c r="J43" s="1">
        <f>VC!E19</f>
        <v>0</v>
      </c>
      <c r="K43" s="1">
        <f>VC!F19</f>
        <v>0</v>
      </c>
      <c r="L43" s="1">
        <f>VC!G19</f>
        <v>0</v>
      </c>
      <c r="M43" s="1">
        <f>VC!H19</f>
        <v>0</v>
      </c>
      <c r="N43" s="1">
        <f>VC!I19</f>
        <v>0</v>
      </c>
      <c r="O43" s="1">
        <f>VC!J19</f>
        <v>0</v>
      </c>
      <c r="P43" s="1">
        <f>VC!K19</f>
        <v>0</v>
      </c>
      <c r="Q43" s="1">
        <f>VC!L19</f>
        <v>0</v>
      </c>
      <c r="R43" s="1">
        <f>VC!M19</f>
        <v>0</v>
      </c>
      <c r="S43" s="1">
        <f>VC!N19</f>
        <v>0</v>
      </c>
      <c r="T43" s="1">
        <f>VC!O19</f>
        <v>0</v>
      </c>
      <c r="U43" s="1">
        <f>VC!P19</f>
        <v>0</v>
      </c>
      <c r="V43" s="1">
        <f>VC!Q19</f>
        <v>0</v>
      </c>
      <c r="W43" s="1">
        <f>VC!R19</f>
        <v>0</v>
      </c>
      <c r="X43" s="1">
        <f>VC!S19</f>
        <v>0</v>
      </c>
      <c r="Y43" s="1">
        <f>VC!T19</f>
        <v>0</v>
      </c>
      <c r="Z43" s="1">
        <f>VC!U19</f>
        <v>0</v>
      </c>
      <c r="AA43" s="1">
        <f>VC!V19</f>
        <v>0</v>
      </c>
      <c r="AB43" s="1">
        <f>VC!W19</f>
        <v>0</v>
      </c>
      <c r="AC43" s="1">
        <f>VC!X19</f>
        <v>0</v>
      </c>
      <c r="AD43" s="1">
        <f>VC!Y19</f>
        <v>0</v>
      </c>
      <c r="AE43" s="1">
        <f>VC!Z19</f>
        <v>0</v>
      </c>
      <c r="AF43" s="1">
        <f>VC!AA19</f>
        <v>0</v>
      </c>
      <c r="AG43" s="1">
        <f>VC!AB19</f>
        <v>0</v>
      </c>
      <c r="AH43" s="1">
        <f>VC!AC19</f>
        <v>0</v>
      </c>
      <c r="AI43" s="1">
        <f>VC!AD19</f>
        <v>0</v>
      </c>
      <c r="AJ43" s="1">
        <f>VC!AE19</f>
        <v>0</v>
      </c>
      <c r="AK43" s="1">
        <f>VC!AF19</f>
        <v>0</v>
      </c>
      <c r="AL43" s="1">
        <f>VC!AG19</f>
        <v>0</v>
      </c>
      <c r="AM43" s="1">
        <f>VC!AH19</f>
        <v>0</v>
      </c>
      <c r="AN43" s="1">
        <f>VC!AI19</f>
        <v>0</v>
      </c>
      <c r="AO43" s="1">
        <f>VC!AJ19</f>
        <v>0</v>
      </c>
      <c r="AP43" s="1">
        <f>VC!AK19</f>
        <v>0</v>
      </c>
      <c r="AQ43" s="1">
        <f>VC!AL19</f>
        <v>0</v>
      </c>
      <c r="AR43" s="1">
        <f>VC!AM19</f>
        <v>0</v>
      </c>
      <c r="AS43" s="1">
        <f>VC!AN19</f>
        <v>0</v>
      </c>
      <c r="AT43" s="1">
        <f>VC!AO19</f>
        <v>0</v>
      </c>
      <c r="AU43" s="1">
        <f>VC!AP19</f>
        <v>0</v>
      </c>
      <c r="AV43" s="1">
        <f>VC!AQ19</f>
        <v>0</v>
      </c>
      <c r="AW43" s="1">
        <f>VC!AR19</f>
        <v>0</v>
      </c>
      <c r="AX43" s="1">
        <f>VC!AS19</f>
        <v>0</v>
      </c>
      <c r="AY43" s="1">
        <f>VC!AT19</f>
        <v>0</v>
      </c>
      <c r="AZ43" s="1">
        <f>VC!AU19</f>
        <v>0</v>
      </c>
      <c r="BA43" s="1">
        <f>VC!AV19</f>
        <v>0</v>
      </c>
      <c r="BB43" s="1">
        <f>VC!AW19</f>
        <v>0</v>
      </c>
      <c r="BC43" s="1">
        <f>VC!AX19</f>
        <v>0</v>
      </c>
      <c r="BD43" s="1">
        <f>VC!AY19</f>
        <v>0</v>
      </c>
      <c r="BE43" s="1">
        <f>VC!AZ19</f>
        <v>0</v>
      </c>
      <c r="BF43" s="1">
        <f>VC!BA19</f>
        <v>0</v>
      </c>
      <c r="BG43" s="1">
        <f>VC!BB19</f>
        <v>0</v>
      </c>
      <c r="BH43" s="1">
        <f>VC!BC19</f>
        <v>0</v>
      </c>
      <c r="BI43" s="1">
        <f>VC!BD19</f>
        <v>0</v>
      </c>
      <c r="BJ43" s="1">
        <f>VC!BE19</f>
        <v>0</v>
      </c>
      <c r="BK43" s="1">
        <f>VC!BF19</f>
        <v>0</v>
      </c>
      <c r="BL43" s="1">
        <f>VC!BG19</f>
        <v>0</v>
      </c>
      <c r="BM43" s="1">
        <f>VC!BH19</f>
        <v>0</v>
      </c>
      <c r="BN43" s="1">
        <f>VC!BI19</f>
        <v>0</v>
      </c>
      <c r="BO43" s="1">
        <f>VC!BJ19</f>
        <v>0</v>
      </c>
      <c r="BP43" s="1">
        <f>VC!BK19</f>
        <v>0</v>
      </c>
      <c r="BQ43" s="1">
        <f>VC!BL19</f>
        <v>0</v>
      </c>
      <c r="BR43" s="1">
        <f>VC!BM19</f>
        <v>0</v>
      </c>
      <c r="BS43" s="1">
        <f>VC!BN19</f>
        <v>0</v>
      </c>
      <c r="BT43" s="1">
        <f>VC!BO19</f>
        <v>0</v>
      </c>
      <c r="BU43" s="1">
        <f>VC!BP19</f>
        <v>0</v>
      </c>
      <c r="BV43" s="1">
        <f>VC!BQ19</f>
        <v>0</v>
      </c>
      <c r="BW43" s="1">
        <f>VC!BR19</f>
        <v>0</v>
      </c>
      <c r="BX43" s="1">
        <f>VC!BS19</f>
        <v>0</v>
      </c>
      <c r="BY43" s="1">
        <f>VC!BT19</f>
        <v>0</v>
      </c>
      <c r="BZ43" s="1">
        <f>VC!BU19</f>
        <v>0</v>
      </c>
      <c r="CA43" s="1">
        <f>VC!BV19</f>
        <v>0</v>
      </c>
      <c r="CB43" s="1">
        <f>VC!BW19</f>
        <v>0</v>
      </c>
      <c r="CC43" s="1">
        <f>VC!BX19</f>
        <v>0</v>
      </c>
      <c r="CD43" s="1">
        <f>VC!BY19</f>
        <v>0</v>
      </c>
      <c r="CE43" s="1">
        <f>VC!BZ19</f>
        <v>0</v>
      </c>
      <c r="CF43" s="1">
        <f>VC!CA19</f>
        <v>0</v>
      </c>
      <c r="CG43" s="1">
        <f>VC!CB19</f>
        <v>0</v>
      </c>
      <c r="CH43" s="1">
        <f>VC!CC19</f>
        <v>0</v>
      </c>
      <c r="CI43" s="1">
        <f>VC!CD19</f>
        <v>0</v>
      </c>
      <c r="CJ43" s="1">
        <f>VC!CE19</f>
        <v>0</v>
      </c>
      <c r="CK43" s="1" t="str">
        <f>VC!CF19</f>
        <v>nt61∆5</v>
      </c>
      <c r="CL43" s="1">
        <f>VC!CG19</f>
        <v>0</v>
      </c>
      <c r="CM43" s="1">
        <f>VC!CH19</f>
        <v>0</v>
      </c>
      <c r="CN43" s="1">
        <f>VC!CI19</f>
        <v>0</v>
      </c>
      <c r="CO43" s="1">
        <f>VC!CJ19</f>
        <v>0</v>
      </c>
      <c r="CP43" s="1">
        <f>VC!CK19</f>
        <v>0</v>
      </c>
      <c r="CQ43" s="1">
        <f>VC!CL19</f>
        <v>0</v>
      </c>
      <c r="CR43" s="1">
        <f>VC!CM19</f>
        <v>0</v>
      </c>
      <c r="CS43" s="1">
        <f>VC!CN19</f>
        <v>0</v>
      </c>
      <c r="CT43" s="1">
        <f>VC!CO19</f>
        <v>0</v>
      </c>
      <c r="CU43" s="1">
        <f>VC!CP19</f>
        <v>0</v>
      </c>
      <c r="CV43" s="1">
        <f>VC!CQ19</f>
        <v>0</v>
      </c>
      <c r="CW43" s="1">
        <f>VC!CR19</f>
        <v>0</v>
      </c>
      <c r="CX43" s="1">
        <f>VC!CS19</f>
        <v>0</v>
      </c>
      <c r="CY43" s="1">
        <f>VC!CT19</f>
        <v>0</v>
      </c>
      <c r="CZ43" s="1">
        <f>VC!CU19</f>
        <v>0</v>
      </c>
      <c r="DA43" s="1">
        <f>VC!CV19</f>
        <v>0</v>
      </c>
      <c r="DB43" s="1">
        <f>VC!CW19</f>
        <v>0</v>
      </c>
      <c r="DC43" s="1">
        <f>VC!CX19</f>
        <v>0</v>
      </c>
      <c r="DD43" s="1">
        <f>VC!CY19</f>
        <v>0</v>
      </c>
      <c r="DE43" s="1">
        <f>VC!CZ19</f>
        <v>0</v>
      </c>
      <c r="DF43" s="1">
        <f>VC!DA19</f>
        <v>0</v>
      </c>
      <c r="DG43" s="1">
        <f>VC!DB19</f>
        <v>0</v>
      </c>
      <c r="DH43" s="1">
        <f>VC!DC19</f>
        <v>0</v>
      </c>
      <c r="DI43" s="1" t="str">
        <f>VC!DD19</f>
        <v>Δ63</v>
      </c>
      <c r="DJ43" s="1">
        <f>VC!DE19</f>
        <v>0</v>
      </c>
      <c r="DK43" s="1">
        <f>VC!DF19</f>
        <v>0</v>
      </c>
      <c r="DL43" s="1">
        <f>VC!DG19</f>
        <v>0</v>
      </c>
      <c r="DM43" s="1">
        <f>VC!DH19</f>
        <v>0</v>
      </c>
      <c r="DN43" s="1" t="str">
        <f>VC!DI19</f>
        <v>DELETED</v>
      </c>
      <c r="DO43" s="1">
        <f>VC!DJ19</f>
        <v>0</v>
      </c>
      <c r="DP43" s="1">
        <f>VC!DK19</f>
        <v>0</v>
      </c>
      <c r="DQ43" s="1">
        <f>VC!DL19</f>
        <v>0</v>
      </c>
      <c r="DR43" s="1">
        <f>VC!DM19</f>
        <v>0</v>
      </c>
      <c r="DS43" s="1">
        <f>VC!DN19</f>
        <v>0</v>
      </c>
      <c r="DT43" s="1">
        <f>VC!DO19</f>
        <v>0</v>
      </c>
      <c r="DU43" s="1">
        <f>VC!DP19</f>
        <v>0</v>
      </c>
      <c r="DV43" s="1">
        <f>VC!DQ19</f>
        <v>0</v>
      </c>
      <c r="DW43" s="1">
        <f>VC!DR19</f>
        <v>0</v>
      </c>
      <c r="DX43" s="1">
        <f>VC!DS19</f>
        <v>0</v>
      </c>
      <c r="DY43" s="1">
        <f>VC!DT19</f>
        <v>0</v>
      </c>
      <c r="DZ43" s="1">
        <f>VC!DU19</f>
        <v>0</v>
      </c>
      <c r="EA43" s="1">
        <f>VC!DV19</f>
        <v>0</v>
      </c>
      <c r="EB43" s="1">
        <f>VC!DW19</f>
        <v>0</v>
      </c>
      <c r="EC43" s="1" t="str">
        <f>VC!DX19</f>
        <v>G175S</v>
      </c>
      <c r="ED43" s="1">
        <f>VC!DY19</f>
        <v>0</v>
      </c>
      <c r="EE43" s="1">
        <f>VC!DZ19</f>
        <v>0</v>
      </c>
      <c r="EF43" s="1" t="str">
        <f>VC!EA19</f>
        <v>aa207∆4</v>
      </c>
      <c r="EG43" s="1" t="str">
        <f>VC!EB19</f>
        <v>Y12C; L21R; G56S</v>
      </c>
      <c r="EH43" s="1">
        <f>VC!EC19</f>
        <v>0</v>
      </c>
      <c r="EI43" s="1">
        <f>VC!ED19</f>
        <v>0</v>
      </c>
      <c r="EJ43" s="1">
        <f>VC!EE19</f>
        <v>0</v>
      </c>
      <c r="EK43" s="1">
        <f>VC!EF19</f>
        <v>0</v>
      </c>
      <c r="EL43" s="1">
        <f>VC!EG19</f>
        <v>0</v>
      </c>
      <c r="EM43" s="1">
        <f>VC!EH19</f>
        <v>0</v>
      </c>
      <c r="EN43" s="1">
        <f>VC!EI19</f>
        <v>0</v>
      </c>
      <c r="EO43" s="1">
        <f>VC!EJ19</f>
        <v>0</v>
      </c>
      <c r="EP43" s="1">
        <f>VC!EK19</f>
        <v>0</v>
      </c>
      <c r="EQ43" s="1">
        <f>VC!EL19</f>
        <v>0</v>
      </c>
      <c r="ER43" s="1">
        <f>VC!EM19</f>
        <v>0</v>
      </c>
      <c r="ES43" s="1" t="str">
        <f>VC!EN19</f>
        <v>C242X</v>
      </c>
      <c r="ET43" s="1">
        <f>VC!EO19</f>
        <v>0</v>
      </c>
      <c r="EU43" s="1">
        <f>VC!EP19</f>
        <v>0</v>
      </c>
      <c r="EV43" s="1">
        <f>VC!EQ19</f>
        <v>0</v>
      </c>
      <c r="EW43" s="1">
        <f>VC!ER19</f>
        <v>0</v>
      </c>
      <c r="EX43" s="1">
        <f>VC!ES19</f>
        <v>0</v>
      </c>
      <c r="EY43" s="1">
        <f>VC!ET19</f>
        <v>0</v>
      </c>
      <c r="EZ43" s="1">
        <f>VC!EU19</f>
        <v>0</v>
      </c>
      <c r="FA43" s="1">
        <f>VC!EV19</f>
        <v>0</v>
      </c>
      <c r="FB43" s="1">
        <f>VC!EW19</f>
        <v>0</v>
      </c>
      <c r="FC43" s="1">
        <f>VC!EX19</f>
        <v>0</v>
      </c>
      <c r="FD43" s="1">
        <f>VC!EY19</f>
        <v>0</v>
      </c>
      <c r="FE43" s="1">
        <f>VC!EZ19</f>
        <v>0</v>
      </c>
      <c r="FF43" s="1">
        <f>VC!FA19</f>
        <v>0</v>
      </c>
      <c r="FG43" s="1">
        <f>VC!FB19</f>
        <v>0</v>
      </c>
      <c r="FH43" s="1">
        <f>VC!FC19</f>
        <v>0</v>
      </c>
      <c r="FI43" s="1">
        <f>VC!FD19</f>
        <v>0</v>
      </c>
      <c r="FJ43" s="1" t="str">
        <f>VC!FE19</f>
        <v>nt679∆1</v>
      </c>
      <c r="FK43" s="1">
        <f>VC!FF19</f>
        <v>0</v>
      </c>
      <c r="FL43" s="1">
        <f>VC!FG19</f>
        <v>0</v>
      </c>
      <c r="FM43" s="1">
        <f>VC!FH19</f>
        <v>0</v>
      </c>
      <c r="FN43" s="1">
        <f>VC!FI19</f>
        <v>0</v>
      </c>
      <c r="FO43" s="1">
        <f>VC!FJ19</f>
        <v>0</v>
      </c>
      <c r="FP43" s="1">
        <f>VC!FK19</f>
        <v>0</v>
      </c>
      <c r="FQ43" s="1">
        <f>VC!FL19</f>
        <v>0</v>
      </c>
      <c r="FR43" s="1">
        <f>VC!FM19</f>
        <v>0</v>
      </c>
      <c r="FS43" s="1">
        <f>VC!FN19</f>
        <v>0</v>
      </c>
      <c r="FT43" s="1">
        <f>VC!FO19</f>
        <v>0</v>
      </c>
      <c r="FU43" s="1">
        <f>VC!FP19</f>
        <v>0</v>
      </c>
      <c r="FV43" s="1">
        <f>VC!FQ19</f>
        <v>0</v>
      </c>
      <c r="FW43" s="1">
        <f>VC!FR19</f>
        <v>0</v>
      </c>
      <c r="FX43" s="1">
        <f>VC!FS19</f>
        <v>0</v>
      </c>
      <c r="FY43" s="1">
        <f>VC!FT19</f>
        <v>0</v>
      </c>
      <c r="FZ43" s="1">
        <f>VC!FU19</f>
        <v>0</v>
      </c>
      <c r="GA43" s="1">
        <f>VC!FV19</f>
        <v>0</v>
      </c>
      <c r="GB43" s="1">
        <f>VC!FW19</f>
        <v>0</v>
      </c>
      <c r="GC43" s="1">
        <f>VC!FX19</f>
        <v>0</v>
      </c>
      <c r="GD43" s="1">
        <f>VC!FY19</f>
        <v>0</v>
      </c>
      <c r="GE43" s="1">
        <f>VC!FZ19</f>
        <v>0</v>
      </c>
      <c r="GF43" s="1">
        <f>VC!GA19</f>
        <v>0</v>
      </c>
      <c r="GG43" s="1">
        <f>VC!GB19</f>
        <v>0</v>
      </c>
      <c r="GH43" s="1">
        <f>VC!GC19</f>
        <v>0</v>
      </c>
      <c r="GI43" s="1">
        <f>VC!GD19</f>
        <v>0</v>
      </c>
      <c r="GJ43" s="1">
        <f>VC!GE19</f>
        <v>0</v>
      </c>
      <c r="GK43" s="1">
        <f>VC!GF19</f>
        <v>0</v>
      </c>
      <c r="GL43" s="1">
        <f>VC!GG19</f>
        <v>0</v>
      </c>
      <c r="GM43" s="1">
        <f>VC!GH19</f>
        <v>0</v>
      </c>
      <c r="GN43" s="1">
        <f>VC!GI19</f>
        <v>0</v>
      </c>
      <c r="GO43" s="1">
        <f>VC!GJ19</f>
        <v>0</v>
      </c>
      <c r="GP43" s="1">
        <f>VC!GK19</f>
        <v>0</v>
      </c>
      <c r="GQ43" s="1">
        <f>VC!GL19</f>
        <v>0</v>
      </c>
      <c r="GR43" s="1">
        <f>VC!GM19</f>
        <v>0</v>
      </c>
      <c r="GS43" s="1">
        <f>VC!GN19</f>
        <v>0</v>
      </c>
      <c r="GT43" s="1">
        <f>VC!GO19</f>
        <v>0</v>
      </c>
      <c r="GU43" s="1">
        <f>VC!GP19</f>
        <v>0</v>
      </c>
      <c r="GV43" s="1">
        <f>VC!GQ19</f>
        <v>0</v>
      </c>
      <c r="GW43" s="1">
        <f>VC!GR19</f>
        <v>0</v>
      </c>
      <c r="GX43" s="1" t="str">
        <f>VC!GS19</f>
        <v>F248S</v>
      </c>
      <c r="GY43" s="1">
        <f>VC!GT19</f>
        <v>0</v>
      </c>
      <c r="GZ43" s="1">
        <f>VC!GU19</f>
        <v>0</v>
      </c>
      <c r="HA43" s="1">
        <f>VC!GV19</f>
        <v>0</v>
      </c>
      <c r="HB43" s="1">
        <f>VC!GW19</f>
        <v>0</v>
      </c>
      <c r="HC43" s="1">
        <f>VC!GX19</f>
        <v>0</v>
      </c>
    </row>
    <row r="44" spans="1:211" s="1" customFormat="1" x14ac:dyDescent="0.25">
      <c r="A44" s="2" t="s">
        <v>16</v>
      </c>
      <c r="B44" s="2" t="s">
        <v>17</v>
      </c>
      <c r="C44" s="4" t="s">
        <v>1</v>
      </c>
      <c r="D44" s="2" t="s">
        <v>76</v>
      </c>
      <c r="E44" s="2" t="s">
        <v>138</v>
      </c>
      <c r="F44" s="2" t="s">
        <v>74</v>
      </c>
      <c r="G44" s="2" t="s">
        <v>136</v>
      </c>
      <c r="H44" s="1">
        <f>VC!C19</f>
        <v>0</v>
      </c>
      <c r="I44" s="1">
        <f>VC!D19</f>
        <v>0</v>
      </c>
      <c r="J44" s="1">
        <f>VC!E19</f>
        <v>0</v>
      </c>
      <c r="K44" s="1">
        <f>VC!F19</f>
        <v>0</v>
      </c>
      <c r="L44" s="1">
        <f>VC!G19</f>
        <v>0</v>
      </c>
      <c r="M44" s="1">
        <f>VC!H19</f>
        <v>0</v>
      </c>
      <c r="N44" s="1">
        <f>VC!I19</f>
        <v>0</v>
      </c>
      <c r="O44" s="1">
        <f>VC!J19</f>
        <v>0</v>
      </c>
      <c r="P44" s="1">
        <f>VC!K19</f>
        <v>0</v>
      </c>
      <c r="Q44" s="1">
        <f>VC!L19</f>
        <v>0</v>
      </c>
      <c r="R44" s="1">
        <f>VC!M19</f>
        <v>0</v>
      </c>
      <c r="S44" s="1">
        <f>VC!N19</f>
        <v>0</v>
      </c>
      <c r="T44" s="1">
        <f>VC!O19</f>
        <v>0</v>
      </c>
      <c r="U44" s="1">
        <f>VC!P19</f>
        <v>0</v>
      </c>
      <c r="V44" s="1">
        <f>VC!Q19</f>
        <v>0</v>
      </c>
      <c r="W44" s="1">
        <f>VC!R19</f>
        <v>0</v>
      </c>
      <c r="X44" s="1">
        <f>VC!S19</f>
        <v>0</v>
      </c>
      <c r="Y44" s="1">
        <f>VC!T19</f>
        <v>0</v>
      </c>
      <c r="Z44" s="1">
        <f>VC!U19</f>
        <v>0</v>
      </c>
      <c r="AA44" s="1">
        <f>VC!V19</f>
        <v>0</v>
      </c>
      <c r="AB44" s="1">
        <f>VC!W19</f>
        <v>0</v>
      </c>
      <c r="AC44" s="1">
        <f>VC!X19</f>
        <v>0</v>
      </c>
      <c r="AD44" s="1">
        <f>VC!Y19</f>
        <v>0</v>
      </c>
      <c r="AE44" s="1">
        <f>VC!Z19</f>
        <v>0</v>
      </c>
      <c r="AF44" s="1">
        <f>VC!AA19</f>
        <v>0</v>
      </c>
      <c r="AG44" s="1">
        <f>VC!AB19</f>
        <v>0</v>
      </c>
      <c r="AH44" s="1">
        <f>VC!AC19</f>
        <v>0</v>
      </c>
      <c r="AI44" s="1">
        <f>VC!AD19</f>
        <v>0</v>
      </c>
      <c r="AJ44" s="1">
        <f>VC!AE19</f>
        <v>0</v>
      </c>
      <c r="AK44" s="1">
        <f>VC!AF19</f>
        <v>0</v>
      </c>
      <c r="AL44" s="1">
        <f>VC!AG19</f>
        <v>0</v>
      </c>
      <c r="AM44" s="1">
        <f>VC!AH19</f>
        <v>0</v>
      </c>
      <c r="AN44" s="1">
        <f>VC!AI19</f>
        <v>0</v>
      </c>
      <c r="AO44" s="1">
        <f>VC!AJ19</f>
        <v>0</v>
      </c>
      <c r="AP44" s="1">
        <f>VC!AK19</f>
        <v>0</v>
      </c>
      <c r="AQ44" s="1">
        <f>VC!AL19</f>
        <v>0</v>
      </c>
      <c r="AR44" s="1">
        <f>VC!AM19</f>
        <v>0</v>
      </c>
      <c r="AS44" s="1">
        <f>VC!AN19</f>
        <v>0</v>
      </c>
      <c r="AT44" s="1">
        <f>VC!AO19</f>
        <v>0</v>
      </c>
      <c r="AU44" s="1">
        <f>VC!AP19</f>
        <v>0</v>
      </c>
      <c r="AV44" s="1">
        <f>VC!AQ19</f>
        <v>0</v>
      </c>
      <c r="AW44" s="1">
        <f>VC!AR19</f>
        <v>0</v>
      </c>
      <c r="AX44" s="1">
        <f>VC!AS19</f>
        <v>0</v>
      </c>
      <c r="AY44" s="1">
        <f>VC!AT19</f>
        <v>0</v>
      </c>
      <c r="AZ44" s="1">
        <f>VC!AU19</f>
        <v>0</v>
      </c>
      <c r="BA44" s="1">
        <f>VC!AV19</f>
        <v>0</v>
      </c>
      <c r="BB44" s="1">
        <f>VC!AW19</f>
        <v>0</v>
      </c>
      <c r="BC44" s="1">
        <f>VC!AX19</f>
        <v>0</v>
      </c>
      <c r="BD44" s="1">
        <f>VC!AY19</f>
        <v>0</v>
      </c>
      <c r="BE44" s="1">
        <f>VC!AZ19</f>
        <v>0</v>
      </c>
      <c r="BF44" s="1">
        <f>VC!BA19</f>
        <v>0</v>
      </c>
      <c r="BG44" s="1">
        <f>VC!BB19</f>
        <v>0</v>
      </c>
      <c r="BH44" s="1">
        <f>VC!BC19</f>
        <v>0</v>
      </c>
      <c r="BI44" s="1">
        <f>VC!BD19</f>
        <v>0</v>
      </c>
      <c r="BJ44" s="1">
        <f>VC!BE19</f>
        <v>0</v>
      </c>
      <c r="BK44" s="1">
        <f>VC!BF19</f>
        <v>0</v>
      </c>
      <c r="BL44" s="1">
        <f>VC!BG19</f>
        <v>0</v>
      </c>
      <c r="BM44" s="1">
        <f>VC!BH19</f>
        <v>0</v>
      </c>
      <c r="BN44" s="1">
        <f>VC!BI19</f>
        <v>0</v>
      </c>
      <c r="BO44" s="1">
        <f>VC!BJ19</f>
        <v>0</v>
      </c>
      <c r="BP44" s="1">
        <f>VC!BK19</f>
        <v>0</v>
      </c>
      <c r="BQ44" s="1">
        <f>VC!BL19</f>
        <v>0</v>
      </c>
      <c r="BR44" s="1">
        <f>VC!BM19</f>
        <v>0</v>
      </c>
      <c r="BS44" s="1">
        <f>VC!BN19</f>
        <v>0</v>
      </c>
      <c r="BT44" s="1">
        <f>VC!BO19</f>
        <v>0</v>
      </c>
      <c r="BU44" s="1">
        <f>VC!BP19</f>
        <v>0</v>
      </c>
      <c r="BV44" s="1">
        <f>VC!BQ19</f>
        <v>0</v>
      </c>
      <c r="BW44" s="1">
        <f>VC!BR19</f>
        <v>0</v>
      </c>
      <c r="BX44" s="1">
        <f>VC!BS19</f>
        <v>0</v>
      </c>
      <c r="BY44" s="1">
        <f>VC!BT19</f>
        <v>0</v>
      </c>
      <c r="BZ44" s="1">
        <f>VC!BU19</f>
        <v>0</v>
      </c>
      <c r="CA44" s="1">
        <f>VC!BV19</f>
        <v>0</v>
      </c>
      <c r="CB44" s="1">
        <f>VC!BW19</f>
        <v>0</v>
      </c>
      <c r="CC44" s="1">
        <f>VC!BX19</f>
        <v>0</v>
      </c>
      <c r="CD44" s="1">
        <f>VC!BY19</f>
        <v>0</v>
      </c>
      <c r="CE44" s="1">
        <f>VC!BZ19</f>
        <v>0</v>
      </c>
      <c r="CF44" s="1">
        <f>VC!CA19</f>
        <v>0</v>
      </c>
      <c r="CG44" s="1">
        <f>VC!CB19</f>
        <v>0</v>
      </c>
      <c r="CH44" s="1">
        <f>VC!CC19</f>
        <v>0</v>
      </c>
      <c r="CI44" s="1">
        <f>VC!CD19</f>
        <v>0</v>
      </c>
      <c r="CJ44" s="1">
        <f>VC!CE19</f>
        <v>0</v>
      </c>
      <c r="CK44" s="1" t="str">
        <f>VC!CF19</f>
        <v>nt61∆5</v>
      </c>
      <c r="CL44" s="1">
        <f>VC!CG19</f>
        <v>0</v>
      </c>
      <c r="CM44" s="1">
        <f>VC!CH19</f>
        <v>0</v>
      </c>
      <c r="CN44" s="1">
        <f>VC!CI19</f>
        <v>0</v>
      </c>
      <c r="CO44" s="1">
        <f>VC!CJ19</f>
        <v>0</v>
      </c>
      <c r="CP44" s="1">
        <f>VC!CK19</f>
        <v>0</v>
      </c>
      <c r="CQ44" s="1">
        <f>VC!CL19</f>
        <v>0</v>
      </c>
      <c r="CR44" s="1">
        <f>VC!CM19</f>
        <v>0</v>
      </c>
      <c r="CS44" s="1">
        <f>VC!CN19</f>
        <v>0</v>
      </c>
      <c r="CT44" s="1">
        <f>VC!CO19</f>
        <v>0</v>
      </c>
      <c r="CU44" s="1">
        <f>VC!CP19</f>
        <v>0</v>
      </c>
      <c r="CV44" s="1">
        <f>VC!CQ19</f>
        <v>0</v>
      </c>
      <c r="CW44" s="1">
        <f>VC!CR19</f>
        <v>0</v>
      </c>
      <c r="CX44" s="1">
        <f>VC!CS19</f>
        <v>0</v>
      </c>
      <c r="CY44" s="1">
        <f>VC!CT19</f>
        <v>0</v>
      </c>
      <c r="CZ44" s="1">
        <f>VC!CU19</f>
        <v>0</v>
      </c>
      <c r="DA44" s="1">
        <f>VC!CV19</f>
        <v>0</v>
      </c>
      <c r="DB44" s="1">
        <f>VC!CW19</f>
        <v>0</v>
      </c>
      <c r="DC44" s="1">
        <f>VC!CX19</f>
        <v>0</v>
      </c>
      <c r="DD44" s="1">
        <f>VC!CY19</f>
        <v>0</v>
      </c>
      <c r="DE44" s="1">
        <f>VC!CZ19</f>
        <v>0</v>
      </c>
      <c r="DF44" s="1">
        <f>VC!DA19</f>
        <v>0</v>
      </c>
      <c r="DG44" s="1">
        <f>VC!DB19</f>
        <v>0</v>
      </c>
      <c r="DH44" s="1">
        <f>VC!DC19</f>
        <v>0</v>
      </c>
      <c r="DI44" s="1" t="str">
        <f>VC!DD19</f>
        <v>Δ63</v>
      </c>
      <c r="DJ44" s="1">
        <f>VC!DE19</f>
        <v>0</v>
      </c>
      <c r="DK44" s="1">
        <f>VC!DF19</f>
        <v>0</v>
      </c>
      <c r="DL44" s="1">
        <f>VC!DG19</f>
        <v>0</v>
      </c>
      <c r="DM44" s="1">
        <f>VC!DH19</f>
        <v>0</v>
      </c>
      <c r="DN44" s="1" t="str">
        <f>VC!DI19</f>
        <v>DELETED</v>
      </c>
      <c r="DO44" s="1">
        <f>VC!DJ19</f>
        <v>0</v>
      </c>
      <c r="DP44" s="1">
        <f>VC!DK19</f>
        <v>0</v>
      </c>
      <c r="DQ44" s="1">
        <f>VC!DL19</f>
        <v>0</v>
      </c>
      <c r="DR44" s="1">
        <f>VC!DM19</f>
        <v>0</v>
      </c>
      <c r="DS44" s="1">
        <f>VC!DN19</f>
        <v>0</v>
      </c>
      <c r="DT44" s="1">
        <f>VC!DO19</f>
        <v>0</v>
      </c>
      <c r="DU44" s="1">
        <f>VC!DP19</f>
        <v>0</v>
      </c>
      <c r="DV44" s="1">
        <f>VC!DQ19</f>
        <v>0</v>
      </c>
      <c r="DW44" s="1">
        <f>VC!DR19</f>
        <v>0</v>
      </c>
      <c r="DX44" s="1">
        <f>VC!DS19</f>
        <v>0</v>
      </c>
      <c r="DY44" s="1">
        <f>VC!DT19</f>
        <v>0</v>
      </c>
      <c r="DZ44" s="1">
        <f>VC!DU19</f>
        <v>0</v>
      </c>
      <c r="EA44" s="1">
        <f>VC!DV19</f>
        <v>0</v>
      </c>
      <c r="EB44" s="1">
        <f>VC!DW19</f>
        <v>0</v>
      </c>
      <c r="EC44" s="1" t="str">
        <f>VC!DX19</f>
        <v>G175S</v>
      </c>
      <c r="ED44" s="1">
        <f>VC!DY19</f>
        <v>0</v>
      </c>
      <c r="EE44" s="1">
        <f>VC!DZ19</f>
        <v>0</v>
      </c>
      <c r="EF44" s="1" t="str">
        <f>VC!EA19</f>
        <v>aa207∆4</v>
      </c>
      <c r="EG44" s="1" t="str">
        <f>VC!EB19</f>
        <v>Y12C; L21R; G56S</v>
      </c>
      <c r="EH44" s="1">
        <f>VC!EC19</f>
        <v>0</v>
      </c>
      <c r="EI44" s="1">
        <f>VC!ED19</f>
        <v>0</v>
      </c>
      <c r="EJ44" s="1">
        <f>VC!EE19</f>
        <v>0</v>
      </c>
      <c r="EK44" s="1">
        <f>VC!EF19</f>
        <v>0</v>
      </c>
      <c r="EL44" s="1">
        <f>VC!EG19</f>
        <v>0</v>
      </c>
      <c r="EM44" s="1">
        <f>VC!EH19</f>
        <v>0</v>
      </c>
      <c r="EN44" s="1">
        <f>VC!EI19</f>
        <v>0</v>
      </c>
      <c r="EO44" s="1">
        <f>VC!EJ19</f>
        <v>0</v>
      </c>
      <c r="EP44" s="1">
        <f>VC!EK19</f>
        <v>0</v>
      </c>
      <c r="EQ44" s="1">
        <f>VC!EL19</f>
        <v>0</v>
      </c>
      <c r="ER44" s="1">
        <f>VC!EM19</f>
        <v>0</v>
      </c>
      <c r="ES44" s="1" t="str">
        <f>VC!EN19</f>
        <v>C242X</v>
      </c>
      <c r="ET44" s="1">
        <f>VC!EO19</f>
        <v>0</v>
      </c>
      <c r="EU44" s="1">
        <f>VC!EP19</f>
        <v>0</v>
      </c>
      <c r="EV44" s="1">
        <f>VC!EQ19</f>
        <v>0</v>
      </c>
      <c r="EW44" s="1">
        <f>VC!ER19</f>
        <v>0</v>
      </c>
      <c r="EX44" s="1">
        <f>VC!ES19</f>
        <v>0</v>
      </c>
      <c r="EY44" s="1">
        <f>VC!ET19</f>
        <v>0</v>
      </c>
      <c r="EZ44" s="1">
        <f>VC!EU19</f>
        <v>0</v>
      </c>
      <c r="FA44" s="1">
        <f>VC!EV19</f>
        <v>0</v>
      </c>
      <c r="FB44" s="1">
        <f>VC!EW19</f>
        <v>0</v>
      </c>
      <c r="FC44" s="1">
        <f>VC!EX19</f>
        <v>0</v>
      </c>
      <c r="FD44" s="1">
        <f>VC!EY19</f>
        <v>0</v>
      </c>
      <c r="FE44" s="1">
        <f>VC!EZ19</f>
        <v>0</v>
      </c>
      <c r="FF44" s="1">
        <f>VC!FA19</f>
        <v>0</v>
      </c>
      <c r="FG44" s="1">
        <f>VC!FB19</f>
        <v>0</v>
      </c>
      <c r="FH44" s="1">
        <f>VC!FC19</f>
        <v>0</v>
      </c>
      <c r="FI44" s="1">
        <f>VC!FD19</f>
        <v>0</v>
      </c>
      <c r="FJ44" s="1" t="str">
        <f>VC!FE19</f>
        <v>nt679∆1</v>
      </c>
      <c r="FK44" s="1">
        <f>VC!FF19</f>
        <v>0</v>
      </c>
      <c r="FL44" s="1">
        <f>VC!FG19</f>
        <v>0</v>
      </c>
      <c r="FM44" s="1">
        <f>VC!FH19</f>
        <v>0</v>
      </c>
      <c r="FN44" s="1">
        <f>VC!FI19</f>
        <v>0</v>
      </c>
      <c r="FO44" s="1">
        <f>VC!FJ19</f>
        <v>0</v>
      </c>
      <c r="FP44" s="1">
        <f>VC!FK19</f>
        <v>0</v>
      </c>
      <c r="FQ44" s="1">
        <f>VC!FL19</f>
        <v>0</v>
      </c>
      <c r="FR44" s="1">
        <f>VC!FM19</f>
        <v>0</v>
      </c>
      <c r="FS44" s="1">
        <f>VC!FN19</f>
        <v>0</v>
      </c>
      <c r="FT44" s="1">
        <f>VC!FO19</f>
        <v>0</v>
      </c>
      <c r="FU44" s="1">
        <f>VC!FP19</f>
        <v>0</v>
      </c>
      <c r="FV44" s="1">
        <f>VC!FQ19</f>
        <v>0</v>
      </c>
      <c r="FW44" s="1">
        <f>VC!FR19</f>
        <v>0</v>
      </c>
      <c r="FX44" s="1">
        <f>VC!FS19</f>
        <v>0</v>
      </c>
      <c r="FY44" s="1">
        <f>VC!FT19</f>
        <v>0</v>
      </c>
      <c r="FZ44" s="1">
        <f>VC!FU19</f>
        <v>0</v>
      </c>
      <c r="GA44" s="1">
        <f>VC!FV19</f>
        <v>0</v>
      </c>
      <c r="GB44" s="1">
        <f>VC!FW19</f>
        <v>0</v>
      </c>
      <c r="GC44" s="1">
        <f>VC!FX19</f>
        <v>0</v>
      </c>
      <c r="GD44" s="1">
        <f>VC!FY19</f>
        <v>0</v>
      </c>
      <c r="GE44" s="1">
        <f>VC!FZ19</f>
        <v>0</v>
      </c>
      <c r="GF44" s="1">
        <f>VC!GA19</f>
        <v>0</v>
      </c>
      <c r="GG44" s="1">
        <f>VC!GB19</f>
        <v>0</v>
      </c>
      <c r="GH44" s="1">
        <f>VC!GC19</f>
        <v>0</v>
      </c>
      <c r="GI44" s="1">
        <f>VC!GD19</f>
        <v>0</v>
      </c>
      <c r="GJ44" s="1">
        <f>VC!GE19</f>
        <v>0</v>
      </c>
      <c r="GK44" s="1">
        <f>VC!GF19</f>
        <v>0</v>
      </c>
      <c r="GL44" s="1">
        <f>VC!GG19</f>
        <v>0</v>
      </c>
      <c r="GM44" s="1">
        <f>VC!GH19</f>
        <v>0</v>
      </c>
      <c r="GN44" s="1">
        <f>VC!GI19</f>
        <v>0</v>
      </c>
      <c r="GO44" s="1">
        <f>VC!GJ19</f>
        <v>0</v>
      </c>
      <c r="GP44" s="1">
        <f>VC!GK19</f>
        <v>0</v>
      </c>
      <c r="GQ44" s="1">
        <f>VC!GL19</f>
        <v>0</v>
      </c>
      <c r="GR44" s="1">
        <f>VC!GM19</f>
        <v>0</v>
      </c>
      <c r="GS44" s="1">
        <f>VC!GN19</f>
        <v>0</v>
      </c>
      <c r="GT44" s="1">
        <f>VC!GO19</f>
        <v>0</v>
      </c>
      <c r="GU44" s="1">
        <f>VC!GP19</f>
        <v>0</v>
      </c>
      <c r="GV44" s="1">
        <f>VC!GQ19</f>
        <v>0</v>
      </c>
      <c r="GW44" s="1">
        <f>VC!GR19</f>
        <v>0</v>
      </c>
      <c r="GX44" s="1" t="str">
        <f>VC!GS19</f>
        <v>F248S</v>
      </c>
      <c r="GY44" s="1">
        <f>VC!GT19</f>
        <v>0</v>
      </c>
      <c r="GZ44" s="1">
        <f>VC!GU19</f>
        <v>0</v>
      </c>
      <c r="HA44" s="1">
        <f>VC!GV19</f>
        <v>0</v>
      </c>
      <c r="HB44" s="1">
        <f>VC!GW19</f>
        <v>0</v>
      </c>
      <c r="HC44" s="1">
        <f>VC!GX19</f>
        <v>0</v>
      </c>
    </row>
    <row r="45" spans="1:211" s="1" customFormat="1" x14ac:dyDescent="0.25">
      <c r="A45" s="2" t="s">
        <v>16</v>
      </c>
      <c r="B45" s="2" t="s">
        <v>17</v>
      </c>
      <c r="C45" s="4" t="s">
        <v>2</v>
      </c>
      <c r="D45" s="2" t="s">
        <v>76</v>
      </c>
      <c r="E45" s="2" t="s">
        <v>138</v>
      </c>
      <c r="F45" s="2" t="s">
        <v>74</v>
      </c>
      <c r="G45" s="2" t="s">
        <v>136</v>
      </c>
      <c r="H45" s="1">
        <f>VC!C19</f>
        <v>0</v>
      </c>
      <c r="I45" s="1">
        <f>VC!D19</f>
        <v>0</v>
      </c>
      <c r="J45" s="1">
        <f>VC!E19</f>
        <v>0</v>
      </c>
      <c r="K45" s="1">
        <f>VC!F19</f>
        <v>0</v>
      </c>
      <c r="L45" s="1">
        <f>VC!G19</f>
        <v>0</v>
      </c>
      <c r="M45" s="1">
        <f>VC!H19</f>
        <v>0</v>
      </c>
      <c r="N45" s="1">
        <f>VC!I19</f>
        <v>0</v>
      </c>
      <c r="O45" s="1">
        <f>VC!J19</f>
        <v>0</v>
      </c>
      <c r="P45" s="1">
        <f>VC!K19</f>
        <v>0</v>
      </c>
      <c r="Q45" s="1">
        <f>VC!L19</f>
        <v>0</v>
      </c>
      <c r="R45" s="1">
        <f>VC!M19</f>
        <v>0</v>
      </c>
      <c r="S45" s="1">
        <f>VC!N19</f>
        <v>0</v>
      </c>
      <c r="T45" s="1">
        <f>VC!O19</f>
        <v>0</v>
      </c>
      <c r="U45" s="1">
        <f>VC!P19</f>
        <v>0</v>
      </c>
      <c r="V45" s="1">
        <f>VC!Q19</f>
        <v>0</v>
      </c>
      <c r="W45" s="1">
        <f>VC!R19</f>
        <v>0</v>
      </c>
      <c r="X45" s="1">
        <f>VC!S19</f>
        <v>0</v>
      </c>
      <c r="Y45" s="1">
        <f>VC!T19</f>
        <v>0</v>
      </c>
      <c r="Z45" s="1">
        <f>VC!U19</f>
        <v>0</v>
      </c>
      <c r="AA45" s="1">
        <f>VC!V19</f>
        <v>0</v>
      </c>
      <c r="AB45" s="1">
        <f>VC!W19</f>
        <v>0</v>
      </c>
      <c r="AC45" s="1">
        <f>VC!X19</f>
        <v>0</v>
      </c>
      <c r="AD45" s="1">
        <f>VC!Y19</f>
        <v>0</v>
      </c>
      <c r="AE45" s="1">
        <f>VC!Z19</f>
        <v>0</v>
      </c>
      <c r="AF45" s="1">
        <f>VC!AA19</f>
        <v>0</v>
      </c>
      <c r="AG45" s="1">
        <f>VC!AB19</f>
        <v>0</v>
      </c>
      <c r="AH45" s="1">
        <f>VC!AC19</f>
        <v>0</v>
      </c>
      <c r="AI45" s="1">
        <f>VC!AD19</f>
        <v>0</v>
      </c>
      <c r="AJ45" s="1">
        <f>VC!AE19</f>
        <v>0</v>
      </c>
      <c r="AK45" s="1">
        <f>VC!AF19</f>
        <v>0</v>
      </c>
      <c r="AL45" s="1">
        <f>VC!AG19</f>
        <v>0</v>
      </c>
      <c r="AM45" s="1">
        <f>VC!AH19</f>
        <v>0</v>
      </c>
      <c r="AN45" s="1">
        <f>VC!AI19</f>
        <v>0</v>
      </c>
      <c r="AO45" s="1">
        <f>VC!AJ19</f>
        <v>0</v>
      </c>
      <c r="AP45" s="1">
        <f>VC!AK19</f>
        <v>0</v>
      </c>
      <c r="AQ45" s="1">
        <f>VC!AL19</f>
        <v>0</v>
      </c>
      <c r="AR45" s="1">
        <f>VC!AM19</f>
        <v>0</v>
      </c>
      <c r="AS45" s="1">
        <f>VC!AN19</f>
        <v>0</v>
      </c>
      <c r="AT45" s="1">
        <f>VC!AO19</f>
        <v>0</v>
      </c>
      <c r="AU45" s="1">
        <f>VC!AP19</f>
        <v>0</v>
      </c>
      <c r="AV45" s="1">
        <f>VC!AQ19</f>
        <v>0</v>
      </c>
      <c r="AW45" s="1">
        <f>VC!AR19</f>
        <v>0</v>
      </c>
      <c r="AX45" s="1">
        <f>VC!AS19</f>
        <v>0</v>
      </c>
      <c r="AY45" s="1">
        <f>VC!AT19</f>
        <v>0</v>
      </c>
      <c r="AZ45" s="1">
        <f>VC!AU19</f>
        <v>0</v>
      </c>
      <c r="BA45" s="1">
        <f>VC!AV19</f>
        <v>0</v>
      </c>
      <c r="BB45" s="1">
        <f>VC!AW19</f>
        <v>0</v>
      </c>
      <c r="BC45" s="1">
        <f>VC!AX19</f>
        <v>0</v>
      </c>
      <c r="BD45" s="1">
        <f>VC!AY19</f>
        <v>0</v>
      </c>
      <c r="BE45" s="1">
        <f>VC!AZ19</f>
        <v>0</v>
      </c>
      <c r="BF45" s="1">
        <f>VC!BA19</f>
        <v>0</v>
      </c>
      <c r="BG45" s="1">
        <f>VC!BB19</f>
        <v>0</v>
      </c>
      <c r="BH45" s="1">
        <f>VC!BC19</f>
        <v>0</v>
      </c>
      <c r="BI45" s="1">
        <f>VC!BD19</f>
        <v>0</v>
      </c>
      <c r="BJ45" s="1">
        <f>VC!BE19</f>
        <v>0</v>
      </c>
      <c r="BK45" s="1">
        <f>VC!BF19</f>
        <v>0</v>
      </c>
      <c r="BL45" s="1">
        <f>VC!BG19</f>
        <v>0</v>
      </c>
      <c r="BM45" s="1">
        <f>VC!BH19</f>
        <v>0</v>
      </c>
      <c r="BN45" s="1">
        <f>VC!BI19</f>
        <v>0</v>
      </c>
      <c r="BO45" s="1">
        <f>VC!BJ19</f>
        <v>0</v>
      </c>
      <c r="BP45" s="1">
        <f>VC!BK19</f>
        <v>0</v>
      </c>
      <c r="BQ45" s="1">
        <f>VC!BL19</f>
        <v>0</v>
      </c>
      <c r="BR45" s="1">
        <f>VC!BM19</f>
        <v>0</v>
      </c>
      <c r="BS45" s="1">
        <f>VC!BN19</f>
        <v>0</v>
      </c>
      <c r="BT45" s="1">
        <f>VC!BO19</f>
        <v>0</v>
      </c>
      <c r="BU45" s="1">
        <f>VC!BP19</f>
        <v>0</v>
      </c>
      <c r="BV45" s="1">
        <f>VC!BQ19</f>
        <v>0</v>
      </c>
      <c r="BW45" s="1">
        <f>VC!BR19</f>
        <v>0</v>
      </c>
      <c r="BX45" s="1">
        <f>VC!BS19</f>
        <v>0</v>
      </c>
      <c r="BY45" s="1">
        <f>VC!BT19</f>
        <v>0</v>
      </c>
      <c r="BZ45" s="1">
        <f>VC!BU19</f>
        <v>0</v>
      </c>
      <c r="CA45" s="1">
        <f>VC!BV19</f>
        <v>0</v>
      </c>
      <c r="CB45" s="1">
        <f>VC!BW19</f>
        <v>0</v>
      </c>
      <c r="CC45" s="1">
        <f>VC!BX19</f>
        <v>0</v>
      </c>
      <c r="CD45" s="1">
        <f>VC!BY19</f>
        <v>0</v>
      </c>
      <c r="CE45" s="1">
        <f>VC!BZ19</f>
        <v>0</v>
      </c>
      <c r="CF45" s="1">
        <f>VC!CA19</f>
        <v>0</v>
      </c>
      <c r="CG45" s="1">
        <f>VC!CB19</f>
        <v>0</v>
      </c>
      <c r="CH45" s="1">
        <f>VC!CC19</f>
        <v>0</v>
      </c>
      <c r="CI45" s="1">
        <f>VC!CD19</f>
        <v>0</v>
      </c>
      <c r="CJ45" s="1">
        <f>VC!CE19</f>
        <v>0</v>
      </c>
      <c r="CK45" s="1" t="str">
        <f>VC!CF19</f>
        <v>nt61∆5</v>
      </c>
      <c r="CL45" s="1">
        <f>VC!CG19</f>
        <v>0</v>
      </c>
      <c r="CM45" s="1">
        <f>VC!CH19</f>
        <v>0</v>
      </c>
      <c r="CN45" s="1">
        <f>VC!CI19</f>
        <v>0</v>
      </c>
      <c r="CO45" s="1">
        <f>VC!CJ19</f>
        <v>0</v>
      </c>
      <c r="CP45" s="1">
        <f>VC!CK19</f>
        <v>0</v>
      </c>
      <c r="CQ45" s="1">
        <f>VC!CL19</f>
        <v>0</v>
      </c>
      <c r="CR45" s="1">
        <f>VC!CM19</f>
        <v>0</v>
      </c>
      <c r="CS45" s="1">
        <f>VC!CN19</f>
        <v>0</v>
      </c>
      <c r="CT45" s="1">
        <f>VC!CO19</f>
        <v>0</v>
      </c>
      <c r="CU45" s="1">
        <f>VC!CP19</f>
        <v>0</v>
      </c>
      <c r="CV45" s="1">
        <f>VC!CQ19</f>
        <v>0</v>
      </c>
      <c r="CW45" s="1">
        <f>VC!CR19</f>
        <v>0</v>
      </c>
      <c r="CX45" s="1">
        <f>VC!CS19</f>
        <v>0</v>
      </c>
      <c r="CY45" s="1">
        <f>VC!CT19</f>
        <v>0</v>
      </c>
      <c r="CZ45" s="1">
        <f>VC!CU19</f>
        <v>0</v>
      </c>
      <c r="DA45" s="1">
        <f>VC!CV19</f>
        <v>0</v>
      </c>
      <c r="DB45" s="1">
        <f>VC!CW19</f>
        <v>0</v>
      </c>
      <c r="DC45" s="1">
        <f>VC!CX19</f>
        <v>0</v>
      </c>
      <c r="DD45" s="1">
        <f>VC!CY19</f>
        <v>0</v>
      </c>
      <c r="DE45" s="1">
        <f>VC!CZ19</f>
        <v>0</v>
      </c>
      <c r="DF45" s="1">
        <f>VC!DA19</f>
        <v>0</v>
      </c>
      <c r="DG45" s="1">
        <f>VC!DB19</f>
        <v>0</v>
      </c>
      <c r="DH45" s="1">
        <f>VC!DC19</f>
        <v>0</v>
      </c>
      <c r="DI45" s="1" t="str">
        <f>VC!DD19</f>
        <v>Δ63</v>
      </c>
      <c r="DJ45" s="1">
        <f>VC!DE19</f>
        <v>0</v>
      </c>
      <c r="DK45" s="1">
        <f>VC!DF19</f>
        <v>0</v>
      </c>
      <c r="DL45" s="1">
        <f>VC!DG19</f>
        <v>0</v>
      </c>
      <c r="DM45" s="1">
        <f>VC!DH19</f>
        <v>0</v>
      </c>
      <c r="DN45" s="1" t="str">
        <f>VC!DI19</f>
        <v>DELETED</v>
      </c>
      <c r="DO45" s="1">
        <f>VC!DJ19</f>
        <v>0</v>
      </c>
      <c r="DP45" s="1">
        <f>VC!DK19</f>
        <v>0</v>
      </c>
      <c r="DQ45" s="1">
        <f>VC!DL19</f>
        <v>0</v>
      </c>
      <c r="DR45" s="1">
        <f>VC!DM19</f>
        <v>0</v>
      </c>
      <c r="DS45" s="1">
        <f>VC!DN19</f>
        <v>0</v>
      </c>
      <c r="DT45" s="1">
        <f>VC!DO19</f>
        <v>0</v>
      </c>
      <c r="DU45" s="1">
        <f>VC!DP19</f>
        <v>0</v>
      </c>
      <c r="DV45" s="1">
        <f>VC!DQ19</f>
        <v>0</v>
      </c>
      <c r="DW45" s="1">
        <f>VC!DR19</f>
        <v>0</v>
      </c>
      <c r="DX45" s="1">
        <f>VC!DS19</f>
        <v>0</v>
      </c>
      <c r="DY45" s="1">
        <f>VC!DT19</f>
        <v>0</v>
      </c>
      <c r="DZ45" s="1">
        <f>VC!DU19</f>
        <v>0</v>
      </c>
      <c r="EA45" s="1">
        <f>VC!DV19</f>
        <v>0</v>
      </c>
      <c r="EB45" s="1">
        <f>VC!DW19</f>
        <v>0</v>
      </c>
      <c r="EC45" s="1" t="str">
        <f>VC!DX19</f>
        <v>G175S</v>
      </c>
      <c r="ED45" s="1">
        <f>VC!DY19</f>
        <v>0</v>
      </c>
      <c r="EE45" s="1">
        <f>VC!DZ19</f>
        <v>0</v>
      </c>
      <c r="EF45" s="1" t="str">
        <f>VC!EA19</f>
        <v>aa207∆4</v>
      </c>
      <c r="EG45" s="1" t="str">
        <f>VC!EB19</f>
        <v>Y12C; L21R; G56S</v>
      </c>
      <c r="EH45" s="1">
        <f>VC!EC19</f>
        <v>0</v>
      </c>
      <c r="EI45" s="1">
        <f>VC!ED19</f>
        <v>0</v>
      </c>
      <c r="EJ45" s="1">
        <f>VC!EE19</f>
        <v>0</v>
      </c>
      <c r="EK45" s="1">
        <f>VC!EF19</f>
        <v>0</v>
      </c>
      <c r="EL45" s="1">
        <f>VC!EG19</f>
        <v>0</v>
      </c>
      <c r="EM45" s="1">
        <f>VC!EH19</f>
        <v>0</v>
      </c>
      <c r="EN45" s="1">
        <f>VC!EI19</f>
        <v>0</v>
      </c>
      <c r="EO45" s="1">
        <f>VC!EJ19</f>
        <v>0</v>
      </c>
      <c r="EP45" s="1">
        <f>VC!EK19</f>
        <v>0</v>
      </c>
      <c r="EQ45" s="1">
        <f>VC!EL19</f>
        <v>0</v>
      </c>
      <c r="ER45" s="1">
        <f>VC!EM19</f>
        <v>0</v>
      </c>
      <c r="ES45" s="1" t="str">
        <f>VC!EN19</f>
        <v>C242X</v>
      </c>
      <c r="ET45" s="1">
        <f>VC!EO19</f>
        <v>0</v>
      </c>
      <c r="EU45" s="1">
        <f>VC!EP19</f>
        <v>0</v>
      </c>
      <c r="EV45" s="1">
        <f>VC!EQ19</f>
        <v>0</v>
      </c>
      <c r="EW45" s="1">
        <f>VC!ER19</f>
        <v>0</v>
      </c>
      <c r="EX45" s="1">
        <f>VC!ES19</f>
        <v>0</v>
      </c>
      <c r="EY45" s="1">
        <f>VC!ET19</f>
        <v>0</v>
      </c>
      <c r="EZ45" s="1">
        <f>VC!EU19</f>
        <v>0</v>
      </c>
      <c r="FA45" s="1">
        <f>VC!EV19</f>
        <v>0</v>
      </c>
      <c r="FB45" s="1">
        <f>VC!EW19</f>
        <v>0</v>
      </c>
      <c r="FC45" s="1">
        <f>VC!EX19</f>
        <v>0</v>
      </c>
      <c r="FD45" s="1">
        <f>VC!EY19</f>
        <v>0</v>
      </c>
      <c r="FE45" s="1">
        <f>VC!EZ19</f>
        <v>0</v>
      </c>
      <c r="FF45" s="1">
        <f>VC!FA19</f>
        <v>0</v>
      </c>
      <c r="FG45" s="1">
        <f>VC!FB19</f>
        <v>0</v>
      </c>
      <c r="FH45" s="1">
        <f>VC!FC19</f>
        <v>0</v>
      </c>
      <c r="FI45" s="1">
        <f>VC!FD19</f>
        <v>0</v>
      </c>
      <c r="FJ45" s="1" t="str">
        <f>VC!FE19</f>
        <v>nt679∆1</v>
      </c>
      <c r="FK45" s="1">
        <f>VC!FF19</f>
        <v>0</v>
      </c>
      <c r="FL45" s="1">
        <f>VC!FG19</f>
        <v>0</v>
      </c>
      <c r="FM45" s="1">
        <f>VC!FH19</f>
        <v>0</v>
      </c>
      <c r="FN45" s="1">
        <f>VC!FI19</f>
        <v>0</v>
      </c>
      <c r="FO45" s="1">
        <f>VC!FJ19</f>
        <v>0</v>
      </c>
      <c r="FP45" s="1">
        <f>VC!FK19</f>
        <v>0</v>
      </c>
      <c r="FQ45" s="1">
        <f>VC!FL19</f>
        <v>0</v>
      </c>
      <c r="FR45" s="1">
        <f>VC!FM19</f>
        <v>0</v>
      </c>
      <c r="FS45" s="1">
        <f>VC!FN19</f>
        <v>0</v>
      </c>
      <c r="FT45" s="1">
        <f>VC!FO19</f>
        <v>0</v>
      </c>
      <c r="FU45" s="1">
        <f>VC!FP19</f>
        <v>0</v>
      </c>
      <c r="FV45" s="1">
        <f>VC!FQ19</f>
        <v>0</v>
      </c>
      <c r="FW45" s="1">
        <f>VC!FR19</f>
        <v>0</v>
      </c>
      <c r="FX45" s="1">
        <f>VC!FS19</f>
        <v>0</v>
      </c>
      <c r="FY45" s="1">
        <f>VC!FT19</f>
        <v>0</v>
      </c>
      <c r="FZ45" s="1">
        <f>VC!FU19</f>
        <v>0</v>
      </c>
      <c r="GA45" s="1">
        <f>VC!FV19</f>
        <v>0</v>
      </c>
      <c r="GB45" s="1">
        <f>VC!FW19</f>
        <v>0</v>
      </c>
      <c r="GC45" s="1">
        <f>VC!FX19</f>
        <v>0</v>
      </c>
      <c r="GD45" s="1">
        <f>VC!FY19</f>
        <v>0</v>
      </c>
      <c r="GE45" s="1">
        <f>VC!FZ19</f>
        <v>0</v>
      </c>
      <c r="GF45" s="1">
        <f>VC!GA19</f>
        <v>0</v>
      </c>
      <c r="GG45" s="1">
        <f>VC!GB19</f>
        <v>0</v>
      </c>
      <c r="GH45" s="1">
        <f>VC!GC19</f>
        <v>0</v>
      </c>
      <c r="GI45" s="1">
        <f>VC!GD19</f>
        <v>0</v>
      </c>
      <c r="GJ45" s="1">
        <f>VC!GE19</f>
        <v>0</v>
      </c>
      <c r="GK45" s="1">
        <f>VC!GF19</f>
        <v>0</v>
      </c>
      <c r="GL45" s="1">
        <f>VC!GG19</f>
        <v>0</v>
      </c>
      <c r="GM45" s="1">
        <f>VC!GH19</f>
        <v>0</v>
      </c>
      <c r="GN45" s="1">
        <f>VC!GI19</f>
        <v>0</v>
      </c>
      <c r="GO45" s="1">
        <f>VC!GJ19</f>
        <v>0</v>
      </c>
      <c r="GP45" s="1">
        <f>VC!GK19</f>
        <v>0</v>
      </c>
      <c r="GQ45" s="1">
        <f>VC!GL19</f>
        <v>0</v>
      </c>
      <c r="GR45" s="1">
        <f>VC!GM19</f>
        <v>0</v>
      </c>
      <c r="GS45" s="1">
        <f>VC!GN19</f>
        <v>0</v>
      </c>
      <c r="GT45" s="1">
        <f>VC!GO19</f>
        <v>0</v>
      </c>
      <c r="GU45" s="1">
        <f>VC!GP19</f>
        <v>0</v>
      </c>
      <c r="GV45" s="1">
        <f>VC!GQ19</f>
        <v>0</v>
      </c>
      <c r="GW45" s="1">
        <f>VC!GR19</f>
        <v>0</v>
      </c>
      <c r="GX45" s="1" t="str">
        <f>VC!GS19</f>
        <v>F248S</v>
      </c>
      <c r="GY45" s="1">
        <f>VC!GT19</f>
        <v>0</v>
      </c>
      <c r="GZ45" s="1">
        <f>VC!GU19</f>
        <v>0</v>
      </c>
      <c r="HA45" s="1">
        <f>VC!GV19</f>
        <v>0</v>
      </c>
      <c r="HB45" s="1">
        <f>VC!GW19</f>
        <v>0</v>
      </c>
      <c r="HC45" s="1">
        <f>VC!GX19</f>
        <v>0</v>
      </c>
    </row>
    <row r="46" spans="1:211" s="1" customFormat="1" ht="15.75" thickBot="1" x14ac:dyDescent="0.3">
      <c r="A46" s="2" t="s">
        <v>16</v>
      </c>
      <c r="B46" s="2" t="s">
        <v>17</v>
      </c>
      <c r="C46" s="4" t="s">
        <v>3</v>
      </c>
      <c r="D46" s="2" t="s">
        <v>76</v>
      </c>
      <c r="E46" s="2" t="s">
        <v>138</v>
      </c>
      <c r="F46" s="2" t="s">
        <v>74</v>
      </c>
      <c r="G46" s="2" t="s">
        <v>136</v>
      </c>
      <c r="H46" s="1">
        <f>VC!C19</f>
        <v>0</v>
      </c>
      <c r="I46" s="1">
        <f>VC!D19</f>
        <v>0</v>
      </c>
      <c r="J46" s="1">
        <f>VC!E19</f>
        <v>0</v>
      </c>
      <c r="K46" s="1">
        <f>VC!F19</f>
        <v>0</v>
      </c>
      <c r="L46" s="1">
        <f>VC!G19</f>
        <v>0</v>
      </c>
      <c r="M46" s="1">
        <f>VC!H19</f>
        <v>0</v>
      </c>
      <c r="N46" s="1">
        <f>VC!I19</f>
        <v>0</v>
      </c>
      <c r="O46" s="1">
        <f>VC!J19</f>
        <v>0</v>
      </c>
      <c r="P46" s="1">
        <f>VC!K19</f>
        <v>0</v>
      </c>
      <c r="Q46" s="1">
        <f>VC!L19</f>
        <v>0</v>
      </c>
      <c r="R46" s="1">
        <f>VC!M19</f>
        <v>0</v>
      </c>
      <c r="S46" s="1">
        <f>VC!N19</f>
        <v>0</v>
      </c>
      <c r="T46" s="1">
        <f>VC!O19</f>
        <v>0</v>
      </c>
      <c r="U46" s="1">
        <f>VC!P19</f>
        <v>0</v>
      </c>
      <c r="V46" s="1">
        <f>VC!Q19</f>
        <v>0</v>
      </c>
      <c r="W46" s="1">
        <f>VC!R19</f>
        <v>0</v>
      </c>
      <c r="X46" s="1">
        <f>VC!S19</f>
        <v>0</v>
      </c>
      <c r="Y46" s="1">
        <f>VC!T19</f>
        <v>0</v>
      </c>
      <c r="Z46" s="1">
        <f>VC!U19</f>
        <v>0</v>
      </c>
      <c r="AA46" s="1">
        <f>VC!V19</f>
        <v>0</v>
      </c>
      <c r="AB46" s="1">
        <f>VC!W19</f>
        <v>0</v>
      </c>
      <c r="AC46" s="1">
        <f>VC!X19</f>
        <v>0</v>
      </c>
      <c r="AD46" s="1">
        <f>VC!Y19</f>
        <v>0</v>
      </c>
      <c r="AE46" s="1">
        <f>VC!Z19</f>
        <v>0</v>
      </c>
      <c r="AF46" s="1">
        <f>VC!AA19</f>
        <v>0</v>
      </c>
      <c r="AG46" s="1">
        <f>VC!AB19</f>
        <v>0</v>
      </c>
      <c r="AH46" s="1">
        <f>VC!AC19</f>
        <v>0</v>
      </c>
      <c r="AI46" s="1">
        <f>VC!AD19</f>
        <v>0</v>
      </c>
      <c r="AJ46" s="1">
        <f>VC!AE19</f>
        <v>0</v>
      </c>
      <c r="AK46" s="1">
        <f>VC!AF19</f>
        <v>0</v>
      </c>
      <c r="AL46" s="1">
        <f>VC!AG19</f>
        <v>0</v>
      </c>
      <c r="AM46" s="1">
        <f>VC!AH19</f>
        <v>0</v>
      </c>
      <c r="AN46" s="1">
        <f>VC!AI19</f>
        <v>0</v>
      </c>
      <c r="AO46" s="1">
        <f>VC!AJ19</f>
        <v>0</v>
      </c>
      <c r="AP46" s="1">
        <f>VC!AK19</f>
        <v>0</v>
      </c>
      <c r="AQ46" s="1">
        <f>VC!AL19</f>
        <v>0</v>
      </c>
      <c r="AR46" s="1">
        <f>VC!AM19</f>
        <v>0</v>
      </c>
      <c r="AS46" s="1">
        <f>VC!AN19</f>
        <v>0</v>
      </c>
      <c r="AT46" s="1">
        <f>VC!AO19</f>
        <v>0</v>
      </c>
      <c r="AU46" s="1">
        <f>VC!AP19</f>
        <v>0</v>
      </c>
      <c r="AV46" s="1">
        <f>VC!AQ19</f>
        <v>0</v>
      </c>
      <c r="AW46" s="1">
        <f>VC!AR19</f>
        <v>0</v>
      </c>
      <c r="AX46" s="1">
        <f>VC!AS19</f>
        <v>0</v>
      </c>
      <c r="AY46" s="1">
        <f>VC!AT19</f>
        <v>0</v>
      </c>
      <c r="AZ46" s="1">
        <f>VC!AU19</f>
        <v>0</v>
      </c>
      <c r="BA46" s="1">
        <f>VC!AV19</f>
        <v>0</v>
      </c>
      <c r="BB46" s="1">
        <f>VC!AW19</f>
        <v>0</v>
      </c>
      <c r="BC46" s="1">
        <f>VC!AX19</f>
        <v>0</v>
      </c>
      <c r="BD46" s="1">
        <f>VC!AY19</f>
        <v>0</v>
      </c>
      <c r="BE46" s="1">
        <f>VC!AZ19</f>
        <v>0</v>
      </c>
      <c r="BF46" s="1">
        <f>VC!BA19</f>
        <v>0</v>
      </c>
      <c r="BG46" s="1">
        <f>VC!BB19</f>
        <v>0</v>
      </c>
      <c r="BH46" s="1">
        <f>VC!BC19</f>
        <v>0</v>
      </c>
      <c r="BI46" s="1">
        <f>VC!BD19</f>
        <v>0</v>
      </c>
      <c r="BJ46" s="1">
        <f>VC!BE19</f>
        <v>0</v>
      </c>
      <c r="BK46" s="1">
        <f>VC!BF19</f>
        <v>0</v>
      </c>
      <c r="BL46" s="1">
        <f>VC!BG19</f>
        <v>0</v>
      </c>
      <c r="BM46" s="1">
        <f>VC!BH19</f>
        <v>0</v>
      </c>
      <c r="BN46" s="1">
        <f>VC!BI19</f>
        <v>0</v>
      </c>
      <c r="BO46" s="1">
        <f>VC!BJ19</f>
        <v>0</v>
      </c>
      <c r="BP46" s="1">
        <f>VC!BK19</f>
        <v>0</v>
      </c>
      <c r="BQ46" s="1">
        <f>VC!BL19</f>
        <v>0</v>
      </c>
      <c r="BR46" s="1">
        <f>VC!BM19</f>
        <v>0</v>
      </c>
      <c r="BS46" s="1">
        <f>VC!BN19</f>
        <v>0</v>
      </c>
      <c r="BT46" s="1">
        <f>VC!BO19</f>
        <v>0</v>
      </c>
      <c r="BU46" s="1">
        <f>VC!BP19</f>
        <v>0</v>
      </c>
      <c r="BV46" s="1">
        <f>VC!BQ19</f>
        <v>0</v>
      </c>
      <c r="BW46" s="1">
        <f>VC!BR19</f>
        <v>0</v>
      </c>
      <c r="BX46" s="1">
        <f>VC!BS19</f>
        <v>0</v>
      </c>
      <c r="BY46" s="1">
        <f>VC!BT19</f>
        <v>0</v>
      </c>
      <c r="BZ46" s="1">
        <f>VC!BU19</f>
        <v>0</v>
      </c>
      <c r="CA46" s="1">
        <f>VC!BV19</f>
        <v>0</v>
      </c>
      <c r="CB46" s="1">
        <f>VC!BW19</f>
        <v>0</v>
      </c>
      <c r="CC46" s="1">
        <f>VC!BX19</f>
        <v>0</v>
      </c>
      <c r="CD46" s="1">
        <f>VC!BY19</f>
        <v>0</v>
      </c>
      <c r="CE46" s="1">
        <f>VC!BZ19</f>
        <v>0</v>
      </c>
      <c r="CF46" s="1">
        <f>VC!CA19</f>
        <v>0</v>
      </c>
      <c r="CG46" s="1">
        <f>VC!CB19</f>
        <v>0</v>
      </c>
      <c r="CH46" s="1">
        <f>VC!CC19</f>
        <v>0</v>
      </c>
      <c r="CI46" s="1">
        <f>VC!CD19</f>
        <v>0</v>
      </c>
      <c r="CJ46" s="1">
        <f>VC!CE19</f>
        <v>0</v>
      </c>
      <c r="CK46" s="1" t="str">
        <f>VC!CF19</f>
        <v>nt61∆5</v>
      </c>
      <c r="CL46" s="1">
        <f>VC!CG19</f>
        <v>0</v>
      </c>
      <c r="CM46" s="1">
        <f>VC!CH19</f>
        <v>0</v>
      </c>
      <c r="CN46" s="1">
        <f>VC!CI19</f>
        <v>0</v>
      </c>
      <c r="CO46" s="1">
        <f>VC!CJ19</f>
        <v>0</v>
      </c>
      <c r="CP46" s="1">
        <f>VC!CK19</f>
        <v>0</v>
      </c>
      <c r="CQ46" s="1">
        <f>VC!CL19</f>
        <v>0</v>
      </c>
      <c r="CR46" s="1">
        <f>VC!CM19</f>
        <v>0</v>
      </c>
      <c r="CS46" s="1">
        <f>VC!CN19</f>
        <v>0</v>
      </c>
      <c r="CT46" s="1">
        <f>VC!CO19</f>
        <v>0</v>
      </c>
      <c r="CU46" s="1">
        <f>VC!CP19</f>
        <v>0</v>
      </c>
      <c r="CV46" s="1">
        <f>VC!CQ19</f>
        <v>0</v>
      </c>
      <c r="CW46" s="1">
        <f>VC!CR19</f>
        <v>0</v>
      </c>
      <c r="CX46" s="1">
        <f>VC!CS19</f>
        <v>0</v>
      </c>
      <c r="CY46" s="1">
        <f>VC!CT19</f>
        <v>0</v>
      </c>
      <c r="CZ46" s="1">
        <f>VC!CU19</f>
        <v>0</v>
      </c>
      <c r="DA46" s="1">
        <f>VC!CV19</f>
        <v>0</v>
      </c>
      <c r="DB46" s="1">
        <f>VC!CW19</f>
        <v>0</v>
      </c>
      <c r="DC46" s="1">
        <f>VC!CX19</f>
        <v>0</v>
      </c>
      <c r="DD46" s="1">
        <f>VC!CY19</f>
        <v>0</v>
      </c>
      <c r="DE46" s="1">
        <f>VC!CZ19</f>
        <v>0</v>
      </c>
      <c r="DF46" s="1">
        <f>VC!DA19</f>
        <v>0</v>
      </c>
      <c r="DG46" s="1">
        <f>VC!DB19</f>
        <v>0</v>
      </c>
      <c r="DH46" s="1">
        <f>VC!DC19</f>
        <v>0</v>
      </c>
      <c r="DI46" s="1" t="str">
        <f>VC!DD19</f>
        <v>Δ63</v>
      </c>
      <c r="DJ46" s="1">
        <f>VC!DE19</f>
        <v>0</v>
      </c>
      <c r="DK46" s="1">
        <f>VC!DF19</f>
        <v>0</v>
      </c>
      <c r="DL46" s="1">
        <f>VC!DG19</f>
        <v>0</v>
      </c>
      <c r="DM46" s="1">
        <f>VC!DH19</f>
        <v>0</v>
      </c>
      <c r="DN46" s="1" t="str">
        <f>VC!DI19</f>
        <v>DELETED</v>
      </c>
      <c r="DO46" s="1">
        <f>VC!DJ19</f>
        <v>0</v>
      </c>
      <c r="DP46" s="1">
        <f>VC!DK19</f>
        <v>0</v>
      </c>
      <c r="DQ46" s="1">
        <f>VC!DL19</f>
        <v>0</v>
      </c>
      <c r="DR46" s="1">
        <f>VC!DM19</f>
        <v>0</v>
      </c>
      <c r="DS46" s="1">
        <f>VC!DN19</f>
        <v>0</v>
      </c>
      <c r="DT46" s="1">
        <f>VC!DO19</f>
        <v>0</v>
      </c>
      <c r="DU46" s="1">
        <f>VC!DP19</f>
        <v>0</v>
      </c>
      <c r="DV46" s="1">
        <f>VC!DQ19</f>
        <v>0</v>
      </c>
      <c r="DW46" s="1">
        <f>VC!DR19</f>
        <v>0</v>
      </c>
      <c r="DX46" s="1">
        <f>VC!DS19</f>
        <v>0</v>
      </c>
      <c r="DY46" s="1">
        <f>VC!DT19</f>
        <v>0</v>
      </c>
      <c r="DZ46" s="1">
        <f>VC!DU19</f>
        <v>0</v>
      </c>
      <c r="EA46" s="1">
        <f>VC!DV19</f>
        <v>0</v>
      </c>
      <c r="EB46" s="1">
        <f>VC!DW19</f>
        <v>0</v>
      </c>
      <c r="EC46" s="1" t="str">
        <f>VC!DX19</f>
        <v>G175S</v>
      </c>
      <c r="ED46" s="1">
        <f>VC!DY19</f>
        <v>0</v>
      </c>
      <c r="EE46" s="1">
        <f>VC!DZ19</f>
        <v>0</v>
      </c>
      <c r="EF46" s="1" t="str">
        <f>VC!EA19</f>
        <v>aa207∆4</v>
      </c>
      <c r="EG46" s="1" t="str">
        <f>VC!EB19</f>
        <v>Y12C; L21R; G56S</v>
      </c>
      <c r="EH46" s="1">
        <f>VC!EC19</f>
        <v>0</v>
      </c>
      <c r="EI46" s="1">
        <f>VC!ED19</f>
        <v>0</v>
      </c>
      <c r="EJ46" s="1">
        <f>VC!EE19</f>
        <v>0</v>
      </c>
      <c r="EK46" s="1">
        <f>VC!EF19</f>
        <v>0</v>
      </c>
      <c r="EL46" s="1">
        <f>VC!EG19</f>
        <v>0</v>
      </c>
      <c r="EM46" s="1">
        <f>VC!EH19</f>
        <v>0</v>
      </c>
      <c r="EN46" s="1">
        <f>VC!EI19</f>
        <v>0</v>
      </c>
      <c r="EO46" s="1">
        <f>VC!EJ19</f>
        <v>0</v>
      </c>
      <c r="EP46" s="1">
        <f>VC!EK19</f>
        <v>0</v>
      </c>
      <c r="EQ46" s="1">
        <f>VC!EL19</f>
        <v>0</v>
      </c>
      <c r="ER46" s="1">
        <f>VC!EM19</f>
        <v>0</v>
      </c>
      <c r="ES46" s="1" t="str">
        <f>VC!EN19</f>
        <v>C242X</v>
      </c>
      <c r="ET46" s="1">
        <f>VC!EO19</f>
        <v>0</v>
      </c>
      <c r="EU46" s="1">
        <f>VC!EP19</f>
        <v>0</v>
      </c>
      <c r="EV46" s="1">
        <f>VC!EQ19</f>
        <v>0</v>
      </c>
      <c r="EW46" s="1">
        <f>VC!ER19</f>
        <v>0</v>
      </c>
      <c r="EX46" s="1">
        <f>VC!ES19</f>
        <v>0</v>
      </c>
      <c r="EY46" s="1">
        <f>VC!ET19</f>
        <v>0</v>
      </c>
      <c r="EZ46" s="1">
        <f>VC!EU19</f>
        <v>0</v>
      </c>
      <c r="FA46" s="1">
        <f>VC!EV19</f>
        <v>0</v>
      </c>
      <c r="FB46" s="1">
        <f>VC!EW19</f>
        <v>0</v>
      </c>
      <c r="FC46" s="1">
        <f>VC!EX19</f>
        <v>0</v>
      </c>
      <c r="FD46" s="1">
        <f>VC!EY19</f>
        <v>0</v>
      </c>
      <c r="FE46" s="1">
        <f>VC!EZ19</f>
        <v>0</v>
      </c>
      <c r="FF46" s="1">
        <f>VC!FA19</f>
        <v>0</v>
      </c>
      <c r="FG46" s="1">
        <f>VC!FB19</f>
        <v>0</v>
      </c>
      <c r="FH46" s="1">
        <f>VC!FC19</f>
        <v>0</v>
      </c>
      <c r="FI46" s="1">
        <f>VC!FD19</f>
        <v>0</v>
      </c>
      <c r="FJ46" s="1" t="str">
        <f>VC!FE19</f>
        <v>nt679∆1</v>
      </c>
      <c r="FK46" s="1">
        <f>VC!FF19</f>
        <v>0</v>
      </c>
      <c r="FL46" s="1">
        <f>VC!FG19</f>
        <v>0</v>
      </c>
      <c r="FM46" s="1">
        <f>VC!FH19</f>
        <v>0</v>
      </c>
      <c r="FN46" s="1">
        <f>VC!FI19</f>
        <v>0</v>
      </c>
      <c r="FO46" s="1">
        <f>VC!FJ19</f>
        <v>0</v>
      </c>
      <c r="FP46" s="1">
        <f>VC!FK19</f>
        <v>0</v>
      </c>
      <c r="FQ46" s="1">
        <f>VC!FL19</f>
        <v>0</v>
      </c>
      <c r="FR46" s="1">
        <f>VC!FM19</f>
        <v>0</v>
      </c>
      <c r="FS46" s="1">
        <f>VC!FN19</f>
        <v>0</v>
      </c>
      <c r="FT46" s="1">
        <f>VC!FO19</f>
        <v>0</v>
      </c>
      <c r="FU46" s="1">
        <f>VC!FP19</f>
        <v>0</v>
      </c>
      <c r="FV46" s="1">
        <f>VC!FQ19</f>
        <v>0</v>
      </c>
      <c r="FW46" s="1">
        <f>VC!FR19</f>
        <v>0</v>
      </c>
      <c r="FX46" s="1">
        <f>VC!FS19</f>
        <v>0</v>
      </c>
      <c r="FY46" s="1">
        <f>VC!FT19</f>
        <v>0</v>
      </c>
      <c r="FZ46" s="1">
        <f>VC!FU19</f>
        <v>0</v>
      </c>
      <c r="GA46" s="1">
        <f>VC!FV19</f>
        <v>0</v>
      </c>
      <c r="GB46" s="1">
        <f>VC!FW19</f>
        <v>0</v>
      </c>
      <c r="GC46" s="1">
        <f>VC!FX19</f>
        <v>0</v>
      </c>
      <c r="GD46" s="1">
        <f>VC!FY19</f>
        <v>0</v>
      </c>
      <c r="GE46" s="1">
        <f>VC!FZ19</f>
        <v>0</v>
      </c>
      <c r="GF46" s="1">
        <f>VC!GA19</f>
        <v>0</v>
      </c>
      <c r="GG46" s="1">
        <f>VC!GB19</f>
        <v>0</v>
      </c>
      <c r="GH46" s="1">
        <f>VC!GC19</f>
        <v>0</v>
      </c>
      <c r="GI46" s="1">
        <f>VC!GD19</f>
        <v>0</v>
      </c>
      <c r="GJ46" s="1">
        <f>VC!GE19</f>
        <v>0</v>
      </c>
      <c r="GK46" s="1">
        <f>VC!GF19</f>
        <v>0</v>
      </c>
      <c r="GL46" s="1">
        <f>VC!GG19</f>
        <v>0</v>
      </c>
      <c r="GM46" s="1">
        <f>VC!GH19</f>
        <v>0</v>
      </c>
      <c r="GN46" s="1">
        <f>VC!GI19</f>
        <v>0</v>
      </c>
      <c r="GO46" s="1">
        <f>VC!GJ19</f>
        <v>0</v>
      </c>
      <c r="GP46" s="1">
        <f>VC!GK19</f>
        <v>0</v>
      </c>
      <c r="GQ46" s="1">
        <f>VC!GL19</f>
        <v>0</v>
      </c>
      <c r="GR46" s="1">
        <f>VC!GM19</f>
        <v>0</v>
      </c>
      <c r="GS46" s="1">
        <f>VC!GN19</f>
        <v>0</v>
      </c>
      <c r="GT46" s="1">
        <f>VC!GO19</f>
        <v>0</v>
      </c>
      <c r="GU46" s="1">
        <f>VC!GP19</f>
        <v>0</v>
      </c>
      <c r="GV46" s="1">
        <f>VC!GQ19</f>
        <v>0</v>
      </c>
      <c r="GW46" s="1">
        <f>VC!GR19</f>
        <v>0</v>
      </c>
      <c r="GX46" s="1" t="str">
        <f>VC!GS19</f>
        <v>F248S</v>
      </c>
      <c r="GY46" s="1">
        <f>VC!GT19</f>
        <v>0</v>
      </c>
      <c r="GZ46" s="1">
        <f>VC!GU19</f>
        <v>0</v>
      </c>
      <c r="HA46" s="1">
        <f>VC!GV19</f>
        <v>0</v>
      </c>
      <c r="HB46" s="1">
        <f>VC!GW19</f>
        <v>0</v>
      </c>
      <c r="HC46" s="1">
        <f>VC!GX19</f>
        <v>0</v>
      </c>
    </row>
    <row r="47" spans="1:211" s="7" customFormat="1" x14ac:dyDescent="0.25">
      <c r="A47" s="13" t="s">
        <v>55</v>
      </c>
      <c r="B47" s="15" t="s">
        <v>151</v>
      </c>
      <c r="C47" s="14" t="s">
        <v>2</v>
      </c>
      <c r="D47" s="15" t="s">
        <v>76</v>
      </c>
      <c r="E47" s="15" t="s">
        <v>138</v>
      </c>
      <c r="F47" s="15" t="s">
        <v>74</v>
      </c>
      <c r="G47" s="16" t="s">
        <v>136</v>
      </c>
      <c r="H47" s="7">
        <f>VC!C21</f>
        <v>0</v>
      </c>
      <c r="I47" s="7">
        <f>VC!D21</f>
        <v>0</v>
      </c>
      <c r="J47" s="7">
        <f>VC!E21</f>
        <v>0</v>
      </c>
      <c r="K47" s="7">
        <f>VC!F21</f>
        <v>0</v>
      </c>
      <c r="L47" s="7">
        <f>VC!G21</f>
        <v>0</v>
      </c>
      <c r="M47" s="7">
        <f>VC!H21</f>
        <v>0</v>
      </c>
      <c r="N47" s="7">
        <f>VC!I21</f>
        <v>0</v>
      </c>
      <c r="O47" s="7">
        <f>VC!J21</f>
        <v>0</v>
      </c>
      <c r="P47" s="7">
        <f>VC!K21</f>
        <v>0</v>
      </c>
      <c r="Q47" s="7">
        <f>VC!L21</f>
        <v>0</v>
      </c>
      <c r="R47" s="7">
        <f>VC!M21</f>
        <v>0</v>
      </c>
      <c r="S47" s="7">
        <f>VC!N21</f>
        <v>0</v>
      </c>
      <c r="T47" s="7">
        <f>VC!O21</f>
        <v>0</v>
      </c>
      <c r="U47" s="7">
        <f>VC!P21</f>
        <v>0</v>
      </c>
      <c r="V47" s="7" t="str">
        <f>VC!Q21</f>
        <v>L32Q; V333M</v>
      </c>
      <c r="W47" s="7">
        <f>VC!R21</f>
        <v>0</v>
      </c>
      <c r="X47" s="7">
        <f>VC!S21</f>
        <v>0</v>
      </c>
      <c r="Y47" s="7">
        <f>VC!T21</f>
        <v>0</v>
      </c>
      <c r="Z47" s="7">
        <f>VC!U21</f>
        <v>0</v>
      </c>
      <c r="AA47" s="7">
        <f>VC!V21</f>
        <v>0</v>
      </c>
      <c r="AB47" s="7">
        <f>VC!W21</f>
        <v>0</v>
      </c>
      <c r="AC47" s="7">
        <f>VC!X21</f>
        <v>0</v>
      </c>
      <c r="AD47" s="7">
        <f>VC!Y21</f>
        <v>0</v>
      </c>
      <c r="AE47" s="7">
        <f>VC!Z21</f>
        <v>0</v>
      </c>
      <c r="AF47" s="7">
        <f>VC!AA21</f>
        <v>0</v>
      </c>
      <c r="AG47" s="7">
        <f>VC!AB21</f>
        <v>0</v>
      </c>
      <c r="AH47" s="7" t="str">
        <f>VC!AC21</f>
        <v xml:space="preserve">P90L </v>
      </c>
      <c r="AI47" s="7">
        <f>VC!AD21</f>
        <v>0</v>
      </c>
      <c r="AJ47" s="7">
        <f>VC!AE21</f>
        <v>0</v>
      </c>
      <c r="AK47" s="7">
        <f>VC!AF21</f>
        <v>0</v>
      </c>
      <c r="AL47" s="7">
        <f>VC!AG21</f>
        <v>0</v>
      </c>
      <c r="AM47" s="7">
        <f>VC!AH21</f>
        <v>0</v>
      </c>
      <c r="AN47" s="7">
        <f>VC!AI21</f>
        <v>0</v>
      </c>
      <c r="AO47" s="7">
        <f>VC!AJ21</f>
        <v>0</v>
      </c>
      <c r="AP47" s="7">
        <f>VC!AK21</f>
        <v>0</v>
      </c>
      <c r="AQ47" s="7">
        <f>VC!AL21</f>
        <v>0</v>
      </c>
      <c r="AR47" s="7">
        <f>VC!AM21</f>
        <v>0</v>
      </c>
      <c r="AS47" s="7">
        <f>VC!AN21</f>
        <v>0</v>
      </c>
      <c r="AT47" s="7">
        <f>VC!AO21</f>
        <v>0</v>
      </c>
      <c r="AU47" s="7">
        <f>VC!AP21</f>
        <v>0</v>
      </c>
      <c r="AV47" s="7">
        <f>VC!AQ21</f>
        <v>0</v>
      </c>
      <c r="AW47" s="7" t="str">
        <f>VC!AR21</f>
        <v>Q100H</v>
      </c>
      <c r="AX47" s="7">
        <f>VC!AS21</f>
        <v>0</v>
      </c>
      <c r="AY47" s="7">
        <f>VC!AT21</f>
        <v>0</v>
      </c>
      <c r="AZ47" s="7">
        <f>VC!AU21</f>
        <v>0</v>
      </c>
      <c r="BA47" s="7">
        <f>VC!AV21</f>
        <v>0</v>
      </c>
      <c r="BB47" s="7">
        <f>VC!AW21</f>
        <v>0</v>
      </c>
      <c r="BC47" s="7">
        <f>VC!AX21</f>
        <v>0</v>
      </c>
      <c r="BD47" s="7">
        <f>VC!AY21</f>
        <v>0</v>
      </c>
      <c r="BE47" s="7" t="str">
        <f>VC!AZ21</f>
        <v xml:space="preserve">G231S </v>
      </c>
      <c r="BF47" s="7">
        <f>VC!BA21</f>
        <v>0</v>
      </c>
      <c r="BG47" s="7" t="str">
        <f>VC!BB21</f>
        <v>V104A</v>
      </c>
      <c r="BH47" s="7">
        <f>VC!BC21</f>
        <v>0</v>
      </c>
      <c r="BI47" s="7">
        <f>VC!BD21</f>
        <v>0</v>
      </c>
      <c r="BJ47" s="7">
        <f>VC!BE21</f>
        <v>0</v>
      </c>
      <c r="BK47" s="7">
        <f>VC!BF21</f>
        <v>0</v>
      </c>
      <c r="BL47" s="7">
        <f>VC!BG21</f>
        <v>0</v>
      </c>
      <c r="BM47" s="7">
        <f>VC!BH21</f>
        <v>0</v>
      </c>
      <c r="BN47" s="7">
        <f>VC!BI21</f>
        <v>0</v>
      </c>
      <c r="BO47" s="7">
        <f>VC!BJ21</f>
        <v>0</v>
      </c>
      <c r="BP47" s="7">
        <f>VC!BK21</f>
        <v>0</v>
      </c>
      <c r="BQ47" s="7" t="str">
        <f>VC!BL21</f>
        <v>∆720</v>
      </c>
      <c r="BR47" s="7">
        <f>VC!BM21</f>
        <v>0</v>
      </c>
      <c r="BS47" s="7">
        <f>VC!BN21</f>
        <v>0</v>
      </c>
      <c r="BT47" s="7">
        <f>VC!BO21</f>
        <v>0</v>
      </c>
      <c r="BU47" s="7">
        <f>VC!BP21</f>
        <v>0</v>
      </c>
      <c r="BV47" s="7">
        <f>VC!BQ21</f>
        <v>0</v>
      </c>
      <c r="BW47" s="7">
        <f>VC!BR21</f>
        <v>0</v>
      </c>
      <c r="BX47" s="7">
        <f>VC!BS21</f>
        <v>0</v>
      </c>
      <c r="BY47" s="7">
        <f>VC!BT21</f>
        <v>0</v>
      </c>
      <c r="BZ47" s="7">
        <f>VC!BU21</f>
        <v>0</v>
      </c>
      <c r="CA47" s="7">
        <f>VC!BV21</f>
        <v>0</v>
      </c>
      <c r="CB47" s="7">
        <f>VC!BW21</f>
        <v>0</v>
      </c>
      <c r="CC47" s="7" t="str">
        <f>VC!BX21</f>
        <v>K43E</v>
      </c>
      <c r="CD47" s="7">
        <f>VC!BY21</f>
        <v>0</v>
      </c>
      <c r="CE47" s="7">
        <f>VC!BZ21</f>
        <v>0</v>
      </c>
      <c r="CF47" s="7">
        <f>VC!CA21</f>
        <v>0</v>
      </c>
      <c r="CG47" s="7" t="str">
        <f>VC!CB21</f>
        <v>V77I</v>
      </c>
      <c r="CH47" s="7">
        <f>VC!CC21</f>
        <v>0</v>
      </c>
      <c r="CI47" s="7" t="str">
        <f>VC!CD21</f>
        <v>V77I</v>
      </c>
      <c r="CJ47" s="7">
        <f>VC!CE21</f>
        <v>0</v>
      </c>
      <c r="CK47" s="7">
        <f>VC!CF21</f>
        <v>0</v>
      </c>
      <c r="CL47" s="7">
        <f>VC!CG21</f>
        <v>0</v>
      </c>
      <c r="CM47" s="7">
        <f>VC!CH21</f>
        <v>0</v>
      </c>
      <c r="CN47" s="7">
        <f>VC!CI21</f>
        <v>0</v>
      </c>
      <c r="CO47" s="7" t="str">
        <f>VC!CJ21</f>
        <v>M106T</v>
      </c>
      <c r="CP47" s="7">
        <f>VC!CK21</f>
        <v>0</v>
      </c>
      <c r="CQ47" s="7">
        <f>VC!CL21</f>
        <v>0</v>
      </c>
      <c r="CR47" s="7">
        <f>VC!CM21</f>
        <v>0</v>
      </c>
      <c r="CS47" s="7">
        <f>VC!CN21</f>
        <v>0</v>
      </c>
      <c r="CT47" s="7">
        <f>VC!CO21</f>
        <v>0</v>
      </c>
      <c r="CU47" s="7" t="str">
        <f>VC!CP21</f>
        <v>G11S</v>
      </c>
      <c r="CV47" s="7">
        <f>VC!CQ21</f>
        <v>0</v>
      </c>
      <c r="CW47" s="7">
        <f>VC!CR21</f>
        <v>0</v>
      </c>
      <c r="CX47" s="7">
        <f>VC!CS21</f>
        <v>0</v>
      </c>
      <c r="CY47" s="7">
        <f>VC!CT21</f>
        <v>0</v>
      </c>
      <c r="CZ47" s="7" t="str">
        <f>VC!CU21</f>
        <v>A52V</v>
      </c>
      <c r="DA47" s="7" t="str">
        <f>VC!CV21</f>
        <v>F10L</v>
      </c>
      <c r="DB47" s="7">
        <f>VC!CW21</f>
        <v>0</v>
      </c>
      <c r="DC47" s="7">
        <f>VC!CX21</f>
        <v>0</v>
      </c>
      <c r="DD47" s="7">
        <f>VC!CY21</f>
        <v>0</v>
      </c>
      <c r="DE47" s="7">
        <f>VC!CZ21</f>
        <v>0</v>
      </c>
      <c r="DF47" s="7">
        <f>VC!DA21</f>
        <v>0</v>
      </c>
      <c r="DG47" s="7">
        <f>VC!DB21</f>
        <v>0</v>
      </c>
      <c r="DH47" s="7">
        <f>VC!DC21</f>
        <v>0</v>
      </c>
      <c r="DI47" s="7">
        <f>VC!DD21</f>
        <v>0</v>
      </c>
      <c r="DJ47" s="7">
        <f>VC!DE21</f>
        <v>0</v>
      </c>
      <c r="DK47" s="7">
        <f>VC!DF21</f>
        <v>0</v>
      </c>
      <c r="DL47" s="7">
        <f>VC!DG21</f>
        <v>0</v>
      </c>
      <c r="DM47" s="7">
        <f>VC!DH21</f>
        <v>0</v>
      </c>
      <c r="DN47" s="7">
        <f>VC!DI21</f>
        <v>0</v>
      </c>
      <c r="DO47" s="7">
        <f>VC!DJ21</f>
        <v>0</v>
      </c>
      <c r="DP47" s="7" t="str">
        <f>VC!DK21</f>
        <v>P13L</v>
      </c>
      <c r="DQ47" s="7">
        <f>VC!DL21</f>
        <v>0</v>
      </c>
      <c r="DR47" s="7">
        <f>VC!DM21</f>
        <v>0</v>
      </c>
      <c r="DS47" s="7">
        <f>VC!DN21</f>
        <v>0</v>
      </c>
      <c r="DT47" s="7">
        <f>VC!DO21</f>
        <v>0</v>
      </c>
      <c r="DU47" s="7">
        <f>VC!DP21</f>
        <v>0</v>
      </c>
      <c r="DV47" s="7" t="str">
        <f>VC!DQ21</f>
        <v>nt907∆14</v>
      </c>
      <c r="DW47" s="7">
        <f>VC!DR21</f>
        <v>0</v>
      </c>
      <c r="DX47" s="7">
        <f>VC!DS21</f>
        <v>0</v>
      </c>
      <c r="DY47" s="7">
        <f>VC!DT21</f>
        <v>0</v>
      </c>
      <c r="DZ47" s="7" t="str">
        <f>VC!DU21</f>
        <v>P24L</v>
      </c>
      <c r="EA47" s="7">
        <f>VC!DV21</f>
        <v>0</v>
      </c>
      <c r="EB47" s="7">
        <f>VC!DW21</f>
        <v>0</v>
      </c>
      <c r="EC47" s="7">
        <f>VC!DX21</f>
        <v>0</v>
      </c>
      <c r="ED47" s="7">
        <f>VC!DY21</f>
        <v>0</v>
      </c>
      <c r="EE47" s="7">
        <f>VC!DZ21</f>
        <v>0</v>
      </c>
      <c r="EF47" s="7">
        <f>VC!EA21</f>
        <v>0</v>
      </c>
      <c r="EG47" s="7">
        <f>VC!EB21</f>
        <v>0</v>
      </c>
      <c r="EH47" s="7" t="str">
        <f>VC!EC21</f>
        <v>V241M</v>
      </c>
      <c r="EI47" s="7">
        <f>VC!ED21</f>
        <v>0</v>
      </c>
      <c r="EJ47" s="7" t="str">
        <f>VC!EE21</f>
        <v>nt396InsGT</v>
      </c>
      <c r="EK47" s="7" t="str">
        <f>VC!EF21</f>
        <v>X340ext</v>
      </c>
      <c r="EL47" s="7" t="str">
        <f>VC!EG21</f>
        <v>A175V; E181D; S289T; V308I</v>
      </c>
      <c r="EM47" s="7">
        <f>VC!EH21</f>
        <v>0</v>
      </c>
      <c r="EN47" s="7">
        <f>VC!EI21</f>
        <v>0</v>
      </c>
      <c r="EO47" s="7">
        <f>VC!EJ21</f>
        <v>0</v>
      </c>
      <c r="EP47" s="7">
        <f>VC!EK21</f>
        <v>0</v>
      </c>
      <c r="EQ47" s="7" t="str">
        <f>VC!EL21</f>
        <v>N246K</v>
      </c>
      <c r="ER47" s="7">
        <f>VC!EM21</f>
        <v>0</v>
      </c>
      <c r="ES47" s="7" t="str">
        <f>VC!EN21</f>
        <v>G76S</v>
      </c>
      <c r="ET47" s="7" t="str">
        <f>VC!EO21</f>
        <v>P225L</v>
      </c>
      <c r="EU47" s="7" t="str">
        <f>VC!EP21</f>
        <v>N246K</v>
      </c>
      <c r="EV47" s="7" t="str">
        <f>VC!EQ21</f>
        <v>DELETED</v>
      </c>
      <c r="EW47" s="7" t="str">
        <f>VC!ER21</f>
        <v>A175V; E181D; E286D</v>
      </c>
      <c r="EX47" s="7">
        <f>VC!ES21</f>
        <v>0</v>
      </c>
      <c r="EY47" s="7">
        <f>VC!ET21</f>
        <v>0</v>
      </c>
      <c r="EZ47" s="7">
        <f>VC!EU21</f>
        <v>0</v>
      </c>
      <c r="FA47" s="7">
        <f>VC!EV21</f>
        <v>0</v>
      </c>
      <c r="FB47" s="7" t="str">
        <f>VC!EW21</f>
        <v>G248C</v>
      </c>
      <c r="FC47" s="7">
        <f>VC!EX21</f>
        <v>0</v>
      </c>
      <c r="FD47" s="7">
        <f>VC!EY21</f>
        <v>0</v>
      </c>
      <c r="FE47" s="7">
        <f>VC!EZ21</f>
        <v>0</v>
      </c>
      <c r="FF47" s="7">
        <f>VC!FA21</f>
        <v>0</v>
      </c>
      <c r="FG47" s="7">
        <f>VC!FB21</f>
        <v>0</v>
      </c>
      <c r="FH47" s="7" t="str">
        <f>VC!FC21</f>
        <v>A175V; E181D; S289T; V308I</v>
      </c>
      <c r="FI47" s="7">
        <f>VC!FD21</f>
        <v>0</v>
      </c>
      <c r="FJ47" s="7">
        <f>VC!FE21</f>
        <v>0</v>
      </c>
      <c r="FK47" s="7">
        <f>VC!FF21</f>
        <v>0</v>
      </c>
      <c r="FL47" s="7">
        <f>VC!FG21</f>
        <v>0</v>
      </c>
      <c r="FM47" s="7">
        <f>VC!FH21</f>
        <v>0</v>
      </c>
      <c r="FN47" s="7">
        <f>VC!FI21</f>
        <v>0</v>
      </c>
      <c r="FO47" s="7">
        <f>VC!FJ21</f>
        <v>0</v>
      </c>
      <c r="FP47" s="7" t="str">
        <f>VC!FK21</f>
        <v>nt350∆1</v>
      </c>
      <c r="FQ47" s="7">
        <f>VC!FL21</f>
        <v>0</v>
      </c>
      <c r="FR47" s="7">
        <f>VC!FM21</f>
        <v>0</v>
      </c>
      <c r="FS47" s="7">
        <f>VC!FN21</f>
        <v>0</v>
      </c>
      <c r="FT47" s="7">
        <f>VC!FO21</f>
        <v>0</v>
      </c>
      <c r="FU47" s="7">
        <f>VC!FP21</f>
        <v>0</v>
      </c>
      <c r="FV47" s="7">
        <f>VC!FQ21</f>
        <v>0</v>
      </c>
      <c r="FW47" s="7">
        <f>VC!FR21</f>
        <v>0</v>
      </c>
      <c r="FX47" s="7">
        <f>VC!FS21</f>
        <v>0</v>
      </c>
      <c r="FY47" s="7">
        <f>VC!FT21</f>
        <v>0</v>
      </c>
      <c r="FZ47" s="7">
        <f>VC!FU21</f>
        <v>0</v>
      </c>
      <c r="GA47" s="7">
        <f>VC!FV21</f>
        <v>0</v>
      </c>
      <c r="GB47" s="7">
        <f>VC!FW21</f>
        <v>0</v>
      </c>
      <c r="GC47" s="7">
        <f>VC!FX21</f>
        <v>0</v>
      </c>
      <c r="GD47" s="7">
        <f>VC!FY21</f>
        <v>0</v>
      </c>
      <c r="GE47" s="7">
        <f>VC!FZ21</f>
        <v>0</v>
      </c>
      <c r="GF47" s="7">
        <f>VC!GA21</f>
        <v>0</v>
      </c>
      <c r="GG47" s="7">
        <f>VC!GB21</f>
        <v>0</v>
      </c>
      <c r="GH47" s="7">
        <f>VC!GC21</f>
        <v>0</v>
      </c>
      <c r="GI47" s="7">
        <f>VC!GD21</f>
        <v>0</v>
      </c>
      <c r="GJ47" s="7">
        <f>VC!GE21</f>
        <v>0</v>
      </c>
      <c r="GK47" s="7">
        <f>VC!GF21</f>
        <v>0</v>
      </c>
      <c r="GL47" s="7">
        <f>VC!GG21</f>
        <v>0</v>
      </c>
      <c r="GM47" s="7">
        <f>VC!GH21</f>
        <v>0</v>
      </c>
      <c r="GN47" s="7" t="str">
        <f>VC!GI21</f>
        <v>E205V</v>
      </c>
      <c r="GO47" s="7">
        <f>VC!GJ21</f>
        <v>0</v>
      </c>
      <c r="GP47" s="7">
        <f>VC!GK21</f>
        <v>0</v>
      </c>
      <c r="GQ47" s="7">
        <f>VC!GL21</f>
        <v>0</v>
      </c>
      <c r="GR47" s="7">
        <f>VC!GM21</f>
        <v>0</v>
      </c>
      <c r="GS47" s="7">
        <f>VC!GN21</f>
        <v>0</v>
      </c>
      <c r="GT47" s="7">
        <f>VC!GO21</f>
        <v>0</v>
      </c>
      <c r="GU47" s="7">
        <f>VC!GP21</f>
        <v>0</v>
      </c>
      <c r="GV47" s="7" t="str">
        <f>VC!GQ21</f>
        <v>G78S; aa147InsLKAG</v>
      </c>
      <c r="GW47" s="7">
        <f>VC!GR21</f>
        <v>0</v>
      </c>
      <c r="GX47" s="7">
        <f>VC!GS21</f>
        <v>0</v>
      </c>
      <c r="GY47" s="7">
        <f>VC!GT21</f>
        <v>0</v>
      </c>
      <c r="GZ47" s="7">
        <f>VC!GU21</f>
        <v>0</v>
      </c>
      <c r="HA47" s="7" t="str">
        <f>VC!GV21</f>
        <v>D232G</v>
      </c>
      <c r="HB47" s="7">
        <f>VC!GW21</f>
        <v>0</v>
      </c>
      <c r="HC47" s="7" t="str">
        <f>VC!GX21</f>
        <v>S84F</v>
      </c>
    </row>
    <row r="48" spans="1:211" s="7" customFormat="1" x14ac:dyDescent="0.25">
      <c r="A48" s="48" t="s">
        <v>55</v>
      </c>
      <c r="B48" s="49" t="s">
        <v>153</v>
      </c>
      <c r="C48" s="50" t="s">
        <v>4</v>
      </c>
      <c r="D48" s="49" t="s">
        <v>76</v>
      </c>
      <c r="E48" s="49" t="s">
        <v>147</v>
      </c>
      <c r="F48" s="49" t="s">
        <v>74</v>
      </c>
      <c r="G48" s="51" t="s">
        <v>136</v>
      </c>
      <c r="H48" s="7">
        <f>VC!C21</f>
        <v>0</v>
      </c>
      <c r="I48" s="7">
        <f>VC!D21</f>
        <v>0</v>
      </c>
      <c r="J48" s="7">
        <f>VC!E21</f>
        <v>0</v>
      </c>
      <c r="K48" s="7">
        <f>VC!F21</f>
        <v>0</v>
      </c>
      <c r="L48" s="7">
        <f>VC!G21</f>
        <v>0</v>
      </c>
      <c r="M48" s="7">
        <f>VC!H21</f>
        <v>0</v>
      </c>
      <c r="N48" s="7">
        <f>VC!I21</f>
        <v>0</v>
      </c>
      <c r="O48" s="7">
        <f>VC!J21</f>
        <v>0</v>
      </c>
      <c r="P48" s="7">
        <f>VC!K21</f>
        <v>0</v>
      </c>
      <c r="Q48" s="7">
        <f>VC!L21</f>
        <v>0</v>
      </c>
      <c r="R48" s="7">
        <f>VC!M21</f>
        <v>0</v>
      </c>
      <c r="S48" s="7">
        <f>VC!N21</f>
        <v>0</v>
      </c>
      <c r="T48" s="7">
        <f>VC!O21</f>
        <v>0</v>
      </c>
      <c r="U48" s="7">
        <f>VC!P21</f>
        <v>0</v>
      </c>
      <c r="V48" s="7" t="str">
        <f>VC!Q21</f>
        <v>L32Q; V333M</v>
      </c>
      <c r="W48" s="7">
        <f>VC!R21</f>
        <v>0</v>
      </c>
      <c r="X48" s="7">
        <f>VC!S21</f>
        <v>0</v>
      </c>
      <c r="Y48" s="7">
        <f>VC!T21</f>
        <v>0</v>
      </c>
      <c r="Z48" s="7">
        <f>VC!U21</f>
        <v>0</v>
      </c>
      <c r="AA48" s="7">
        <f>VC!V21</f>
        <v>0</v>
      </c>
      <c r="AB48" s="7">
        <f>VC!W21</f>
        <v>0</v>
      </c>
      <c r="AC48" s="7">
        <f>VC!X21</f>
        <v>0</v>
      </c>
      <c r="AD48" s="7">
        <f>VC!Y21</f>
        <v>0</v>
      </c>
      <c r="AE48" s="7">
        <f>VC!Z21</f>
        <v>0</v>
      </c>
      <c r="AF48" s="7">
        <f>VC!AA21</f>
        <v>0</v>
      </c>
      <c r="AG48" s="7">
        <f>VC!AB21</f>
        <v>0</v>
      </c>
      <c r="AH48" s="7" t="str">
        <f>VC!AC21</f>
        <v xml:space="preserve">P90L </v>
      </c>
      <c r="AI48" s="7">
        <f>VC!AD21</f>
        <v>0</v>
      </c>
      <c r="AJ48" s="7">
        <f>VC!AE21</f>
        <v>0</v>
      </c>
      <c r="AK48" s="7">
        <f>VC!AF21</f>
        <v>0</v>
      </c>
      <c r="AL48" s="7">
        <f>VC!AG21</f>
        <v>0</v>
      </c>
      <c r="AM48" s="7">
        <f>VC!AH21</f>
        <v>0</v>
      </c>
      <c r="AN48" s="7">
        <f>VC!AI21</f>
        <v>0</v>
      </c>
      <c r="AO48" s="7">
        <f>VC!AJ21</f>
        <v>0</v>
      </c>
      <c r="AP48" s="7">
        <f>VC!AK21</f>
        <v>0</v>
      </c>
      <c r="AQ48" s="7">
        <f>VC!AL21</f>
        <v>0</v>
      </c>
      <c r="AR48" s="7">
        <f>VC!AM21</f>
        <v>0</v>
      </c>
      <c r="AS48" s="7">
        <f>VC!AN21</f>
        <v>0</v>
      </c>
      <c r="AT48" s="7">
        <f>VC!AO21</f>
        <v>0</v>
      </c>
      <c r="AU48" s="7">
        <f>VC!AP21</f>
        <v>0</v>
      </c>
      <c r="AV48" s="7">
        <f>VC!AQ21</f>
        <v>0</v>
      </c>
      <c r="AW48" s="7" t="str">
        <f>VC!AR21</f>
        <v>Q100H</v>
      </c>
      <c r="AX48" s="7">
        <f>VC!AS21</f>
        <v>0</v>
      </c>
      <c r="AY48" s="7">
        <f>VC!AT21</f>
        <v>0</v>
      </c>
      <c r="AZ48" s="7">
        <f>VC!AU21</f>
        <v>0</v>
      </c>
      <c r="BA48" s="7">
        <f>VC!AV21</f>
        <v>0</v>
      </c>
      <c r="BB48" s="7">
        <f>VC!AW21</f>
        <v>0</v>
      </c>
      <c r="BC48" s="7">
        <f>VC!AX21</f>
        <v>0</v>
      </c>
      <c r="BD48" s="7">
        <f>VC!AY21</f>
        <v>0</v>
      </c>
      <c r="BE48" s="7" t="str">
        <f>VC!AZ21</f>
        <v xml:space="preserve">G231S </v>
      </c>
      <c r="BF48" s="7">
        <f>VC!BA21</f>
        <v>0</v>
      </c>
      <c r="BG48" s="7" t="str">
        <f>VC!BB21</f>
        <v>V104A</v>
      </c>
      <c r="BH48" s="7">
        <f>VC!BC21</f>
        <v>0</v>
      </c>
      <c r="BI48" s="7">
        <f>VC!BD21</f>
        <v>0</v>
      </c>
      <c r="BJ48" s="7">
        <f>VC!BE21</f>
        <v>0</v>
      </c>
      <c r="BK48" s="7">
        <f>VC!BF21</f>
        <v>0</v>
      </c>
      <c r="BL48" s="7">
        <f>VC!BG21</f>
        <v>0</v>
      </c>
      <c r="BM48" s="7">
        <f>VC!BH21</f>
        <v>0</v>
      </c>
      <c r="BN48" s="7">
        <f>VC!BI21</f>
        <v>0</v>
      </c>
      <c r="BO48" s="7">
        <f>VC!BJ21</f>
        <v>0</v>
      </c>
      <c r="BP48" s="7">
        <f>VC!BK21</f>
        <v>0</v>
      </c>
      <c r="BQ48" s="7" t="str">
        <f>VC!BL21</f>
        <v>∆720</v>
      </c>
      <c r="BR48" s="7">
        <f>VC!BM21</f>
        <v>0</v>
      </c>
      <c r="BS48" s="7">
        <f>VC!BN21</f>
        <v>0</v>
      </c>
      <c r="BT48" s="7">
        <f>VC!BO21</f>
        <v>0</v>
      </c>
      <c r="BU48" s="7">
        <f>VC!BP21</f>
        <v>0</v>
      </c>
      <c r="BV48" s="7">
        <f>VC!BQ21</f>
        <v>0</v>
      </c>
      <c r="BW48" s="7">
        <f>VC!BR21</f>
        <v>0</v>
      </c>
      <c r="BX48" s="7">
        <f>VC!BS21</f>
        <v>0</v>
      </c>
      <c r="BY48" s="7">
        <f>VC!BT21</f>
        <v>0</v>
      </c>
      <c r="BZ48" s="7">
        <f>VC!BU21</f>
        <v>0</v>
      </c>
      <c r="CA48" s="7">
        <f>VC!BV21</f>
        <v>0</v>
      </c>
      <c r="CB48" s="7">
        <f>VC!BW21</f>
        <v>0</v>
      </c>
      <c r="CC48" s="7" t="str">
        <f>VC!BX21</f>
        <v>K43E</v>
      </c>
      <c r="CD48" s="7">
        <f>VC!BY21</f>
        <v>0</v>
      </c>
      <c r="CE48" s="7">
        <f>VC!BZ21</f>
        <v>0</v>
      </c>
      <c r="CF48" s="7">
        <f>VC!CA21</f>
        <v>0</v>
      </c>
      <c r="CG48" s="7" t="str">
        <f>VC!CB21</f>
        <v>V77I</v>
      </c>
      <c r="CH48" s="7">
        <f>VC!CC21</f>
        <v>0</v>
      </c>
      <c r="CI48" s="7" t="str">
        <f>VC!CD21</f>
        <v>V77I</v>
      </c>
      <c r="CJ48" s="7">
        <f>VC!CE21</f>
        <v>0</v>
      </c>
      <c r="CK48" s="7">
        <f>VC!CF21</f>
        <v>0</v>
      </c>
      <c r="CL48" s="7">
        <f>VC!CG21</f>
        <v>0</v>
      </c>
      <c r="CM48" s="7">
        <f>VC!CH21</f>
        <v>0</v>
      </c>
      <c r="CN48" s="7">
        <f>VC!CI21</f>
        <v>0</v>
      </c>
      <c r="CO48" s="7" t="str">
        <f>VC!CJ21</f>
        <v>M106T</v>
      </c>
      <c r="CP48" s="7">
        <f>VC!CK21</f>
        <v>0</v>
      </c>
      <c r="CQ48" s="7">
        <f>VC!CL21</f>
        <v>0</v>
      </c>
      <c r="CR48" s="7">
        <f>VC!CM21</f>
        <v>0</v>
      </c>
      <c r="CS48" s="7">
        <f>VC!CN21</f>
        <v>0</v>
      </c>
      <c r="CT48" s="7">
        <f>VC!CO21</f>
        <v>0</v>
      </c>
      <c r="CU48" s="7" t="str">
        <f>VC!CP21</f>
        <v>G11S</v>
      </c>
      <c r="CV48" s="7">
        <f>VC!CQ21</f>
        <v>0</v>
      </c>
      <c r="CW48" s="7">
        <f>VC!CR21</f>
        <v>0</v>
      </c>
      <c r="CX48" s="7">
        <f>VC!CS21</f>
        <v>0</v>
      </c>
      <c r="CY48" s="7">
        <f>VC!CT21</f>
        <v>0</v>
      </c>
      <c r="CZ48" s="7" t="str">
        <f>VC!CU21</f>
        <v>A52V</v>
      </c>
      <c r="DA48" s="7" t="str">
        <f>VC!CV21</f>
        <v>F10L</v>
      </c>
      <c r="DB48" s="7">
        <f>VC!CW21</f>
        <v>0</v>
      </c>
      <c r="DC48" s="7">
        <f>VC!CX21</f>
        <v>0</v>
      </c>
      <c r="DD48" s="7">
        <f>VC!CY21</f>
        <v>0</v>
      </c>
      <c r="DE48" s="7">
        <f>VC!CZ21</f>
        <v>0</v>
      </c>
      <c r="DF48" s="7">
        <f>VC!DA21</f>
        <v>0</v>
      </c>
      <c r="DG48" s="7">
        <f>VC!DB21</f>
        <v>0</v>
      </c>
      <c r="DH48" s="7">
        <f>VC!DC21</f>
        <v>0</v>
      </c>
      <c r="DI48" s="7">
        <f>VC!DD21</f>
        <v>0</v>
      </c>
      <c r="DJ48" s="7">
        <f>VC!DE21</f>
        <v>0</v>
      </c>
      <c r="DK48" s="7">
        <f>VC!DF21</f>
        <v>0</v>
      </c>
      <c r="DL48" s="7">
        <f>VC!DG21</f>
        <v>0</v>
      </c>
      <c r="DM48" s="7">
        <f>VC!DH21</f>
        <v>0</v>
      </c>
      <c r="DN48" s="7">
        <f>VC!DI21</f>
        <v>0</v>
      </c>
      <c r="DO48" s="7">
        <f>VC!DJ21</f>
        <v>0</v>
      </c>
      <c r="DP48" s="7" t="str">
        <f>VC!DK21</f>
        <v>P13L</v>
      </c>
      <c r="DQ48" s="7">
        <f>VC!DL21</f>
        <v>0</v>
      </c>
      <c r="DR48" s="7">
        <f>VC!DM21</f>
        <v>0</v>
      </c>
      <c r="DS48" s="7">
        <f>VC!DN21</f>
        <v>0</v>
      </c>
      <c r="DT48" s="7">
        <f>VC!DO21</f>
        <v>0</v>
      </c>
      <c r="DU48" s="7">
        <f>VC!DP21</f>
        <v>0</v>
      </c>
      <c r="DV48" s="7" t="str">
        <f>VC!DQ21</f>
        <v>nt907∆14</v>
      </c>
      <c r="DW48" s="7">
        <f>VC!DR21</f>
        <v>0</v>
      </c>
      <c r="DX48" s="7">
        <f>VC!DS21</f>
        <v>0</v>
      </c>
      <c r="DY48" s="7">
        <f>VC!DT21</f>
        <v>0</v>
      </c>
      <c r="DZ48" s="7" t="str">
        <f>VC!DU21</f>
        <v>P24L</v>
      </c>
      <c r="EA48" s="7">
        <f>VC!DV21</f>
        <v>0</v>
      </c>
      <c r="EB48" s="7">
        <f>VC!DW21</f>
        <v>0</v>
      </c>
      <c r="EC48" s="7">
        <f>VC!DX21</f>
        <v>0</v>
      </c>
      <c r="ED48" s="7">
        <f>VC!DY21</f>
        <v>0</v>
      </c>
      <c r="EE48" s="7">
        <f>VC!DZ21</f>
        <v>0</v>
      </c>
      <c r="EF48" s="7">
        <f>VC!EA21</f>
        <v>0</v>
      </c>
      <c r="EG48" s="7">
        <f>VC!EB21</f>
        <v>0</v>
      </c>
      <c r="EH48" s="7" t="str">
        <f>VC!EC21</f>
        <v>V241M</v>
      </c>
      <c r="EI48" s="7">
        <f>VC!ED21</f>
        <v>0</v>
      </c>
      <c r="EJ48" s="7" t="str">
        <f>VC!EE21</f>
        <v>nt396InsGT</v>
      </c>
      <c r="EK48" s="7" t="str">
        <f>VC!EF21</f>
        <v>X340ext</v>
      </c>
      <c r="EL48" s="7" t="str">
        <f>VC!EG21</f>
        <v>A175V; E181D; S289T; V308I</v>
      </c>
      <c r="EM48" s="7">
        <f>VC!EH21</f>
        <v>0</v>
      </c>
      <c r="EN48" s="7">
        <f>VC!EI21</f>
        <v>0</v>
      </c>
      <c r="EO48" s="7">
        <f>VC!EJ21</f>
        <v>0</v>
      </c>
      <c r="EP48" s="7">
        <f>VC!EK21</f>
        <v>0</v>
      </c>
      <c r="EQ48" s="7" t="str">
        <f>VC!EL21</f>
        <v>N246K</v>
      </c>
      <c r="ER48" s="7">
        <f>VC!EM21</f>
        <v>0</v>
      </c>
      <c r="ES48" s="7" t="str">
        <f>VC!EN21</f>
        <v>G76S</v>
      </c>
      <c r="ET48" s="7" t="str">
        <f>VC!EO21</f>
        <v>P225L</v>
      </c>
      <c r="EU48" s="7" t="str">
        <f>VC!EP21</f>
        <v>N246K</v>
      </c>
      <c r="EV48" s="7" t="str">
        <f>VC!EQ21</f>
        <v>DELETED</v>
      </c>
      <c r="EW48" s="7" t="str">
        <f>VC!ER21</f>
        <v>A175V; E181D; E286D</v>
      </c>
      <c r="EX48" s="7">
        <f>VC!ES21</f>
        <v>0</v>
      </c>
      <c r="EY48" s="7">
        <f>VC!ET21</f>
        <v>0</v>
      </c>
      <c r="EZ48" s="7">
        <f>VC!EU21</f>
        <v>0</v>
      </c>
      <c r="FA48" s="7">
        <f>VC!EV21</f>
        <v>0</v>
      </c>
      <c r="FB48" s="7" t="str">
        <f>VC!EW21</f>
        <v>G248C</v>
      </c>
      <c r="FC48" s="7">
        <f>VC!EX21</f>
        <v>0</v>
      </c>
      <c r="FD48" s="7">
        <f>VC!EY21</f>
        <v>0</v>
      </c>
      <c r="FE48" s="7">
        <f>VC!EZ21</f>
        <v>0</v>
      </c>
      <c r="FF48" s="7">
        <f>VC!FA21</f>
        <v>0</v>
      </c>
      <c r="FG48" s="7">
        <f>VC!FB21</f>
        <v>0</v>
      </c>
      <c r="FH48" s="7" t="str">
        <f>VC!FC21</f>
        <v>A175V; E181D; S289T; V308I</v>
      </c>
      <c r="FI48" s="7">
        <f>VC!FD21</f>
        <v>0</v>
      </c>
      <c r="FJ48" s="7">
        <f>VC!FE21</f>
        <v>0</v>
      </c>
      <c r="FK48" s="7">
        <f>VC!FF21</f>
        <v>0</v>
      </c>
      <c r="FL48" s="7">
        <f>VC!FG21</f>
        <v>0</v>
      </c>
      <c r="FM48" s="7">
        <f>VC!FH21</f>
        <v>0</v>
      </c>
      <c r="FN48" s="7">
        <f>VC!FI21</f>
        <v>0</v>
      </c>
      <c r="FO48" s="7">
        <f>VC!FJ21</f>
        <v>0</v>
      </c>
      <c r="FP48" s="7" t="str">
        <f>VC!FK21</f>
        <v>nt350∆1</v>
      </c>
      <c r="FQ48" s="7">
        <f>VC!FL21</f>
        <v>0</v>
      </c>
      <c r="FR48" s="7">
        <f>VC!FM21</f>
        <v>0</v>
      </c>
      <c r="FS48" s="7">
        <f>VC!FN21</f>
        <v>0</v>
      </c>
      <c r="FT48" s="7">
        <f>VC!FO21</f>
        <v>0</v>
      </c>
      <c r="FU48" s="7">
        <f>VC!FP21</f>
        <v>0</v>
      </c>
      <c r="FV48" s="7">
        <f>VC!FQ21</f>
        <v>0</v>
      </c>
      <c r="FW48" s="7">
        <f>VC!FR21</f>
        <v>0</v>
      </c>
      <c r="FX48" s="7">
        <f>VC!FS21</f>
        <v>0</v>
      </c>
      <c r="FY48" s="7">
        <f>VC!FT21</f>
        <v>0</v>
      </c>
      <c r="FZ48" s="7">
        <f>VC!FU21</f>
        <v>0</v>
      </c>
      <c r="GA48" s="7">
        <f>VC!FV21</f>
        <v>0</v>
      </c>
      <c r="GB48" s="7">
        <f>VC!FW21</f>
        <v>0</v>
      </c>
      <c r="GC48" s="7">
        <f>VC!FX21</f>
        <v>0</v>
      </c>
      <c r="GD48" s="7">
        <f>VC!FY21</f>
        <v>0</v>
      </c>
      <c r="GE48" s="7">
        <f>VC!FZ21</f>
        <v>0</v>
      </c>
      <c r="GF48" s="7">
        <f>VC!GA21</f>
        <v>0</v>
      </c>
      <c r="GG48" s="7">
        <f>VC!GB21</f>
        <v>0</v>
      </c>
      <c r="GH48" s="7">
        <f>VC!GC21</f>
        <v>0</v>
      </c>
      <c r="GI48" s="7">
        <f>VC!GD21</f>
        <v>0</v>
      </c>
      <c r="GJ48" s="7">
        <f>VC!GE21</f>
        <v>0</v>
      </c>
      <c r="GK48" s="7">
        <f>VC!GF21</f>
        <v>0</v>
      </c>
      <c r="GL48" s="7">
        <f>VC!GG21</f>
        <v>0</v>
      </c>
      <c r="GM48" s="7">
        <f>VC!GH21</f>
        <v>0</v>
      </c>
      <c r="GN48" s="7" t="str">
        <f>VC!GI21</f>
        <v>E205V</v>
      </c>
      <c r="GO48" s="7">
        <f>VC!GJ21</f>
        <v>0</v>
      </c>
      <c r="GP48" s="7">
        <f>VC!GK21</f>
        <v>0</v>
      </c>
      <c r="GQ48" s="7">
        <f>VC!GL21</f>
        <v>0</v>
      </c>
      <c r="GR48" s="7">
        <f>VC!GM21</f>
        <v>0</v>
      </c>
      <c r="GS48" s="7">
        <f>VC!GN21</f>
        <v>0</v>
      </c>
      <c r="GT48" s="7">
        <f>VC!GO21</f>
        <v>0</v>
      </c>
      <c r="GU48" s="7">
        <f>VC!GP21</f>
        <v>0</v>
      </c>
      <c r="GV48" s="7" t="str">
        <f>VC!GQ21</f>
        <v>G78S; aa147InsLKAG</v>
      </c>
      <c r="GW48" s="7">
        <f>VC!GR21</f>
        <v>0</v>
      </c>
      <c r="GX48" s="7">
        <f>VC!GS21</f>
        <v>0</v>
      </c>
      <c r="GY48" s="7">
        <f>VC!GT21</f>
        <v>0</v>
      </c>
      <c r="GZ48" s="7">
        <f>VC!GU21</f>
        <v>0</v>
      </c>
      <c r="HA48" s="7" t="str">
        <f>VC!GV21</f>
        <v>D232G</v>
      </c>
      <c r="HB48" s="7">
        <f>VC!GW21</f>
        <v>0</v>
      </c>
      <c r="HC48" s="7" t="str">
        <f>VC!GX21</f>
        <v>S84F</v>
      </c>
    </row>
    <row r="49" spans="1:211" s="10" customFormat="1" x14ac:dyDescent="0.25">
      <c r="A49" s="18" t="s">
        <v>57</v>
      </c>
      <c r="B49" s="20" t="s">
        <v>150</v>
      </c>
      <c r="C49" s="19" t="s">
        <v>2</v>
      </c>
      <c r="D49" s="20" t="s">
        <v>76</v>
      </c>
      <c r="E49" s="20" t="s">
        <v>138</v>
      </c>
      <c r="F49" s="20" t="s">
        <v>73</v>
      </c>
      <c r="G49" s="21" t="s">
        <v>144</v>
      </c>
      <c r="H49" s="10" t="str">
        <f>VC!C22</f>
        <v>nt234∆8</v>
      </c>
      <c r="I49" s="10" t="str">
        <f>VC!D22</f>
        <v>nt234∆8</v>
      </c>
      <c r="J49" s="10" t="str">
        <f>VC!E22</f>
        <v>nt234∆8</v>
      </c>
      <c r="K49" s="10" t="str">
        <f>VC!F22</f>
        <v>nt234∆8</v>
      </c>
      <c r="L49" s="10" t="str">
        <f>VC!G22</f>
        <v>nt234∆8</v>
      </c>
      <c r="M49" s="10" t="str">
        <f>VC!H22</f>
        <v>nt234∆8</v>
      </c>
      <c r="N49" s="10" t="str">
        <f>VC!I22</f>
        <v>nt234∆8</v>
      </c>
      <c r="O49" s="10" t="str">
        <f>VC!J22</f>
        <v>nt234∆8</v>
      </c>
      <c r="P49" s="10" t="str">
        <f>VC!K22</f>
        <v>nt234∆8</v>
      </c>
      <c r="Q49" s="10" t="str">
        <f>VC!L22</f>
        <v>nt234∆8</v>
      </c>
      <c r="R49" s="10" t="str">
        <f>VC!M22</f>
        <v>nt234∆8</v>
      </c>
      <c r="S49" s="10" t="str">
        <f>VC!N22</f>
        <v>nt234∆8</v>
      </c>
      <c r="T49" s="10" t="str">
        <f>VC!O22</f>
        <v>nt234∆8</v>
      </c>
      <c r="U49" s="10" t="str">
        <f>VC!P22</f>
        <v>nt234∆8</v>
      </c>
      <c r="V49" s="10" t="str">
        <f>VC!Q22</f>
        <v>R334C; nt234∆8</v>
      </c>
      <c r="W49" s="10" t="str">
        <f>VC!R22</f>
        <v>nt234∆8</v>
      </c>
      <c r="X49" s="10" t="str">
        <f>VC!S22</f>
        <v>nt234∆8</v>
      </c>
      <c r="Y49" s="10" t="str">
        <f>VC!T22</f>
        <v>nt234∆8</v>
      </c>
      <c r="Z49" s="10" t="str">
        <f>VC!U22</f>
        <v>nt234∆8</v>
      </c>
      <c r="AA49" s="10" t="str">
        <f>VC!V22</f>
        <v>nt234∆8</v>
      </c>
      <c r="AB49" s="10" t="str">
        <f>VC!W22</f>
        <v>nt234∆8</v>
      </c>
      <c r="AC49" s="10" t="str">
        <f>VC!X22</f>
        <v>nt234∆8</v>
      </c>
      <c r="AD49" s="10" t="str">
        <f>VC!Y22</f>
        <v>nt234∆8</v>
      </c>
      <c r="AE49" s="10" t="str">
        <f>VC!Z22</f>
        <v>nt234∆8</v>
      </c>
      <c r="AF49" s="10">
        <f>VC!AA22</f>
        <v>0</v>
      </c>
      <c r="AG49" s="10" t="str">
        <f>VC!AB22</f>
        <v>nt234∆8</v>
      </c>
      <c r="AH49" s="10" t="str">
        <f>VC!AC22</f>
        <v>nt234∆8</v>
      </c>
      <c r="AI49" s="10" t="str">
        <f>VC!AD22</f>
        <v>nt234∆8</v>
      </c>
      <c r="AJ49" s="10" t="str">
        <f>VC!AE22</f>
        <v>nt234∆8</v>
      </c>
      <c r="AK49" s="10" t="str">
        <f>VC!AF22</f>
        <v>nt234∆8</v>
      </c>
      <c r="AL49" s="10" t="str">
        <f>VC!AG22</f>
        <v>nt234∆8</v>
      </c>
      <c r="AM49" s="10" t="str">
        <f>VC!AH22</f>
        <v>nt234∆8</v>
      </c>
      <c r="AN49" s="10" t="str">
        <f>VC!AI22</f>
        <v>nt234∆8</v>
      </c>
      <c r="AO49" s="10" t="str">
        <f>VC!AJ22</f>
        <v>nt234∆8</v>
      </c>
      <c r="AP49" s="10" t="str">
        <f>VC!AK22</f>
        <v>nt234∆8</v>
      </c>
      <c r="AQ49" s="10" t="str">
        <f>VC!AL22</f>
        <v>nt234∆8</v>
      </c>
      <c r="AR49" s="10" t="str">
        <f>VC!AM22</f>
        <v>nt234∆8</v>
      </c>
      <c r="AS49" s="10" t="str">
        <f>VC!AN22</f>
        <v>nt234∆8</v>
      </c>
      <c r="AT49" s="10" t="str">
        <f>VC!AO22</f>
        <v>nt234∆8</v>
      </c>
      <c r="AU49" s="10" t="str">
        <f>VC!AP22</f>
        <v>nt234∆8</v>
      </c>
      <c r="AV49" s="10" t="str">
        <f>VC!AQ22</f>
        <v>nt234∆8</v>
      </c>
      <c r="AW49" s="10" t="str">
        <f>VC!AR22</f>
        <v>nt234∆8</v>
      </c>
      <c r="AX49" s="10" t="str">
        <f>VC!AS22</f>
        <v>nt234∆8</v>
      </c>
      <c r="AY49" s="10" t="str">
        <f>VC!AT22</f>
        <v>nt234∆8</v>
      </c>
      <c r="AZ49" s="10" t="str">
        <f>VC!AU22</f>
        <v>nt234∆8</v>
      </c>
      <c r="BA49" s="10" t="str">
        <f>VC!AV22</f>
        <v>nt234∆8</v>
      </c>
      <c r="BB49" s="10" t="str">
        <f>VC!AW22</f>
        <v>nt234∆8</v>
      </c>
      <c r="BC49" s="10" t="str">
        <f>VC!AX22</f>
        <v>nt234∆8</v>
      </c>
      <c r="BD49" s="10" t="str">
        <f>VC!AY22</f>
        <v>nt234∆8</v>
      </c>
      <c r="BE49" s="10" t="str">
        <f>VC!AZ22</f>
        <v>nt234∆8</v>
      </c>
      <c r="BF49" s="10" t="str">
        <f>VC!BA22</f>
        <v>nt234∆8</v>
      </c>
      <c r="BG49" s="10" t="str">
        <f>VC!BB22</f>
        <v>nt234∆8</v>
      </c>
      <c r="BH49" s="10" t="str">
        <f>VC!BC22</f>
        <v>nt234∆8</v>
      </c>
      <c r="BI49" s="10" t="str">
        <f>VC!BD22</f>
        <v>nt234∆8</v>
      </c>
      <c r="BJ49" s="10" t="str">
        <f>VC!BE22</f>
        <v>nt234∆8</v>
      </c>
      <c r="BK49" s="10" t="str">
        <f>VC!BF22</f>
        <v>nt234∆8</v>
      </c>
      <c r="BL49" s="10" t="str">
        <f>VC!BG22</f>
        <v>nt234∆8</v>
      </c>
      <c r="BM49" s="10" t="str">
        <f>VC!BH22</f>
        <v>nt234∆8</v>
      </c>
      <c r="BN49" s="10" t="str">
        <f>VC!BI22</f>
        <v>nt234∆8</v>
      </c>
      <c r="BO49" s="10" t="str">
        <f>VC!BJ22</f>
        <v>nt234∆8</v>
      </c>
      <c r="BP49" s="10" t="str">
        <f>VC!BK22</f>
        <v>nt234∆8</v>
      </c>
      <c r="BQ49" s="10" t="str">
        <f>VC!BL22</f>
        <v>G276D; nt234∆8</v>
      </c>
      <c r="BR49" s="10" t="str">
        <f>VC!BM22</f>
        <v>nt234∆8</v>
      </c>
      <c r="BS49" s="10" t="str">
        <f>VC!BN22</f>
        <v>nt234∆8</v>
      </c>
      <c r="BT49" s="10" t="str">
        <f>VC!BO22</f>
        <v>nt234∆8</v>
      </c>
      <c r="BU49" s="10" t="str">
        <f>VC!BP22</f>
        <v>nt234∆8</v>
      </c>
      <c r="BV49" s="10" t="str">
        <f>VC!BQ22</f>
        <v>nt234∆8</v>
      </c>
      <c r="BW49" s="10" t="str">
        <f>VC!BR22</f>
        <v>nt234∆8</v>
      </c>
      <c r="BX49" s="10" t="str">
        <f>VC!BS22</f>
        <v>nt234∆8</v>
      </c>
      <c r="BY49" s="10" t="str">
        <f>VC!BT22</f>
        <v>nt234∆8</v>
      </c>
      <c r="BZ49" s="10" t="str">
        <f>VC!BU22</f>
        <v>nt234∆8</v>
      </c>
      <c r="CA49" s="10" t="str">
        <f>VC!BV22</f>
        <v>nt234∆8</v>
      </c>
      <c r="CB49" s="10" t="str">
        <f>VC!BW22</f>
        <v>nt234∆8</v>
      </c>
      <c r="CC49" s="10" t="str">
        <f>VC!BX22</f>
        <v>nt234∆8</v>
      </c>
      <c r="CD49" s="10" t="str">
        <f>VC!BY22</f>
        <v>nt234∆8</v>
      </c>
      <c r="CE49" s="10" t="str">
        <f>VC!BZ22</f>
        <v>nt234∆8</v>
      </c>
      <c r="CF49" s="10" t="str">
        <f>VC!CA22</f>
        <v>nt234∆8</v>
      </c>
      <c r="CG49" s="10" t="str">
        <f>VC!CB22</f>
        <v>nt234∆8</v>
      </c>
      <c r="CH49" s="10" t="str">
        <f>VC!CC22</f>
        <v>nt234∆8</v>
      </c>
      <c r="CI49" s="10" t="str">
        <f>VC!CD22</f>
        <v>nt234∆8</v>
      </c>
      <c r="CJ49" s="10" t="str">
        <f>VC!CE22</f>
        <v>nt234∆8</v>
      </c>
      <c r="CK49" s="10" t="str">
        <f>VC!CF22</f>
        <v>nt234∆8</v>
      </c>
      <c r="CL49" s="10" t="str">
        <f>VC!CG22</f>
        <v>nt234∆8</v>
      </c>
      <c r="CM49" s="10" t="str">
        <f>VC!CH22</f>
        <v>nt234∆8</v>
      </c>
      <c r="CN49" s="10" t="str">
        <f>VC!CI22</f>
        <v>nt234∆8</v>
      </c>
      <c r="CO49" s="10" t="str">
        <f>VC!CJ22</f>
        <v>nt234∆8</v>
      </c>
      <c r="CP49" s="10" t="str">
        <f>VC!CK22</f>
        <v>nt234∆8</v>
      </c>
      <c r="CQ49" s="10" t="str">
        <f>VC!CL22</f>
        <v>nt234∆8</v>
      </c>
      <c r="CR49" s="10" t="str">
        <f>VC!CM22</f>
        <v>nt234∆8</v>
      </c>
      <c r="CS49" s="10" t="str">
        <f>VC!CN22</f>
        <v>V265A; nt234∆8</v>
      </c>
      <c r="CT49" s="10" t="str">
        <f>VC!CO22</f>
        <v>nt234∆8</v>
      </c>
      <c r="CU49" s="10" t="str">
        <f>VC!CP22</f>
        <v>A245V; nt234∆8</v>
      </c>
      <c r="CV49" s="10" t="str">
        <f>VC!CQ22</f>
        <v>nt234∆8</v>
      </c>
      <c r="CW49" s="10" t="str">
        <f>VC!CR22</f>
        <v>nt234∆8</v>
      </c>
      <c r="CX49" s="10" t="str">
        <f>VC!CS22</f>
        <v>nt234∆8</v>
      </c>
      <c r="CY49" s="10" t="str">
        <f>VC!CT22</f>
        <v>nt234∆8</v>
      </c>
      <c r="CZ49" s="10" t="str">
        <f>VC!CU22</f>
        <v>nt234∆8; nt395InsC</v>
      </c>
      <c r="DA49" s="10" t="str">
        <f>VC!CV22</f>
        <v>nt234∆8</v>
      </c>
      <c r="DB49" s="10" t="str">
        <f>VC!CW22</f>
        <v>nt234∆8</v>
      </c>
      <c r="DC49" s="10" t="str">
        <f>VC!CX22</f>
        <v>nt234∆8</v>
      </c>
      <c r="DD49" s="10" t="str">
        <f>VC!CY22</f>
        <v>nt234∆8</v>
      </c>
      <c r="DE49" s="10" t="str">
        <f>VC!CZ22</f>
        <v>nt234∆8</v>
      </c>
      <c r="DF49" s="10" t="str">
        <f>VC!DA22</f>
        <v>nt234∆8</v>
      </c>
      <c r="DG49" s="10" t="str">
        <f>VC!DB22</f>
        <v>nt234∆8</v>
      </c>
      <c r="DH49" s="10" t="str">
        <f>VC!DC22</f>
        <v>nt234∆8</v>
      </c>
      <c r="DI49" s="10" t="str">
        <f>VC!DD22</f>
        <v>nt234∆8</v>
      </c>
      <c r="DJ49" s="10" t="str">
        <f>VC!DE22</f>
        <v>nt234∆8</v>
      </c>
      <c r="DK49" s="10" t="str">
        <f>VC!DF22</f>
        <v>nt234∆8</v>
      </c>
      <c r="DL49" s="10" t="str">
        <f>VC!DG22</f>
        <v>nt234∆8</v>
      </c>
      <c r="DM49" s="10" t="str">
        <f>VC!DH22</f>
        <v>nt234∆8</v>
      </c>
      <c r="DN49" s="10" t="str">
        <f>VC!DI22</f>
        <v>nt234∆8</v>
      </c>
      <c r="DO49" s="10" t="str">
        <f>VC!DJ22</f>
        <v>nt234∆8</v>
      </c>
      <c r="DP49" s="10" t="str">
        <f>VC!DK22</f>
        <v>nt234∆8</v>
      </c>
      <c r="DQ49" s="10" t="str">
        <f>VC!DL22</f>
        <v>nt234∆8</v>
      </c>
      <c r="DR49" s="10" t="str">
        <f>VC!DM22</f>
        <v>nt234∆8</v>
      </c>
      <c r="DS49" s="10" t="str">
        <f>VC!DN22</f>
        <v>nt234∆8</v>
      </c>
      <c r="DT49" s="10" t="str">
        <f>VC!DO22</f>
        <v>nt234∆8</v>
      </c>
      <c r="DU49" s="10" t="str">
        <f>VC!DP22</f>
        <v>nt234∆8</v>
      </c>
      <c r="DV49" s="10" t="str">
        <f>VC!DQ22</f>
        <v>nt234∆8</v>
      </c>
      <c r="DW49" s="10" t="str">
        <f>VC!DR22</f>
        <v>nt234∆8</v>
      </c>
      <c r="DX49" s="10" t="str">
        <f>VC!DS22</f>
        <v>nt234∆8</v>
      </c>
      <c r="DY49" s="10" t="str">
        <f>VC!DT22</f>
        <v>nt234∆8</v>
      </c>
      <c r="DZ49" s="10" t="str">
        <f>VC!DU22</f>
        <v>nt234∆8</v>
      </c>
      <c r="EA49" s="10" t="str">
        <f>VC!DV22</f>
        <v>nt234∆8</v>
      </c>
      <c r="EB49" s="10" t="str">
        <f>VC!DW22</f>
        <v>nt234∆8</v>
      </c>
      <c r="EC49" s="10" t="str">
        <f>VC!DX22</f>
        <v>nt234∆8</v>
      </c>
      <c r="ED49" s="10" t="str">
        <f>VC!DY22</f>
        <v>nt234∆8</v>
      </c>
      <c r="EE49" s="10" t="str">
        <f>VC!DZ22</f>
        <v>nt234∆8</v>
      </c>
      <c r="EF49" s="10" t="str">
        <f>VC!EA22</f>
        <v>nt234∆8</v>
      </c>
      <c r="EG49" s="10" t="str">
        <f>VC!EB22</f>
        <v>nt234∆8</v>
      </c>
      <c r="EH49" s="10" t="str">
        <f>VC!EC22</f>
        <v>D96A; nt234∆8</v>
      </c>
      <c r="EI49" s="10" t="str">
        <f>VC!ED22</f>
        <v>nt234∆8</v>
      </c>
      <c r="EJ49" s="10" t="str">
        <f>VC!EE22</f>
        <v>A47V; nt234∆8</v>
      </c>
      <c r="EK49" s="10" t="str">
        <f>VC!EF22</f>
        <v>R334P; nt234∆8</v>
      </c>
      <c r="EL49" s="10" t="str">
        <f>VC!EG22</f>
        <v>nt234∆8</v>
      </c>
      <c r="EM49" s="10" t="str">
        <f>VC!EH22</f>
        <v>nt234∆8</v>
      </c>
      <c r="EN49" s="10" t="str">
        <f>VC!EI22</f>
        <v>nt234∆8</v>
      </c>
      <c r="EO49" s="10" t="str">
        <f>VC!EJ22</f>
        <v>nt234∆8</v>
      </c>
      <c r="EP49" s="10" t="str">
        <f>VC!EK22</f>
        <v>nt234∆8</v>
      </c>
      <c r="EQ49" s="10" t="str">
        <f>VC!EL22</f>
        <v>nt234∆8</v>
      </c>
      <c r="ER49" s="10" t="str">
        <f>VC!EM22</f>
        <v>nt234∆8</v>
      </c>
      <c r="ES49" s="10" t="str">
        <f>VC!EN22</f>
        <v>nt234∆8</v>
      </c>
      <c r="ET49" s="10" t="str">
        <f>VC!EO22</f>
        <v>nt234∆8</v>
      </c>
      <c r="EU49" s="10" t="str">
        <f>VC!EP22</f>
        <v>nt234∆8</v>
      </c>
      <c r="EV49" s="10" t="str">
        <f>VC!EQ22</f>
        <v>DELETED</v>
      </c>
      <c r="EW49" s="10" t="str">
        <f>VC!ER22</f>
        <v>nt234∆8</v>
      </c>
      <c r="EX49" s="10" t="str">
        <f>VC!ES22</f>
        <v>nt234∆8</v>
      </c>
      <c r="EY49" s="10" t="str">
        <f>VC!ET22</f>
        <v>nt234∆8</v>
      </c>
      <c r="EZ49" s="10" t="str">
        <f>VC!EU22</f>
        <v>nt234∆8</v>
      </c>
      <c r="FA49" s="10" t="str">
        <f>VC!EV22</f>
        <v>nt234∆8</v>
      </c>
      <c r="FB49" s="10" t="str">
        <f>VC!EW22</f>
        <v>nt234∆8</v>
      </c>
      <c r="FC49" s="10" t="str">
        <f>VC!EX22</f>
        <v>nt234∆8</v>
      </c>
      <c r="FD49" s="10" t="str">
        <f>VC!EY22</f>
        <v>nt234∆8</v>
      </c>
      <c r="FE49" s="10" t="str">
        <f>VC!EZ22</f>
        <v>nt234∆8</v>
      </c>
      <c r="FF49" s="10" t="str">
        <f>VC!FA22</f>
        <v>nt234∆8</v>
      </c>
      <c r="FG49" s="10" t="str">
        <f>VC!FB22</f>
        <v>nt234∆8</v>
      </c>
      <c r="FH49" s="10" t="str">
        <f>VC!FC22</f>
        <v>nt234∆8</v>
      </c>
      <c r="FI49" s="10" t="str">
        <f>VC!FD22</f>
        <v>nt234∆8</v>
      </c>
      <c r="FJ49" s="10" t="str">
        <f>VC!FE22</f>
        <v>nt234∆8</v>
      </c>
      <c r="FK49" s="10" t="str">
        <f>VC!FF22</f>
        <v>nt234∆8</v>
      </c>
      <c r="FL49" s="10" t="str">
        <f>VC!FG22</f>
        <v>nt234∆8</v>
      </c>
      <c r="FM49" s="10" t="str">
        <f>VC!FH22</f>
        <v>nt234∆8</v>
      </c>
      <c r="FN49" s="10" t="str">
        <f>VC!FI22</f>
        <v>nt234∆8</v>
      </c>
      <c r="FO49" s="10" t="str">
        <f>VC!FJ22</f>
        <v>nt234∆8</v>
      </c>
      <c r="FP49" s="10" t="str">
        <f>VC!FK22</f>
        <v>nt234∆8</v>
      </c>
      <c r="FQ49" s="10" t="str">
        <f>VC!FL22</f>
        <v>nt234∆8</v>
      </c>
      <c r="FR49" s="10" t="str">
        <f>VC!FM22</f>
        <v>nt234∆8</v>
      </c>
      <c r="FS49" s="10" t="str">
        <f>VC!FN22</f>
        <v>nt234∆8</v>
      </c>
      <c r="FT49" s="10" t="str">
        <f>VC!FO22</f>
        <v>nt234∆8</v>
      </c>
      <c r="FU49" s="10" t="str">
        <f>VC!FP22</f>
        <v>nt234∆8</v>
      </c>
      <c r="FV49" s="10" t="str">
        <f>VC!FQ22</f>
        <v>nt234∆8</v>
      </c>
      <c r="FW49" s="10" t="str">
        <f>VC!FR22</f>
        <v>nt234∆8</v>
      </c>
      <c r="FX49" s="10" t="str">
        <f>VC!FS22</f>
        <v>nt234∆8</v>
      </c>
      <c r="FY49" s="10" t="str">
        <f>VC!FT22</f>
        <v>nt234∆8</v>
      </c>
      <c r="FZ49" s="10" t="str">
        <f>VC!FU22</f>
        <v>nt234∆8</v>
      </c>
      <c r="GA49" s="10" t="str">
        <f>VC!FV22</f>
        <v>nt234∆8</v>
      </c>
      <c r="GB49" s="10" t="str">
        <f>VC!FW22</f>
        <v>R209S; nt234∆8</v>
      </c>
      <c r="GC49" s="10" t="str">
        <f>VC!FX22</f>
        <v>nt234∆8</v>
      </c>
      <c r="GD49" s="10" t="str">
        <f>VC!FY22</f>
        <v>nt234∆8</v>
      </c>
      <c r="GE49" s="10" t="str">
        <f>VC!FZ22</f>
        <v>nt234∆8</v>
      </c>
      <c r="GF49" s="10" t="str">
        <f>VC!GA22</f>
        <v>nt234∆8</v>
      </c>
      <c r="GG49" s="10" t="str">
        <f>VC!GB22</f>
        <v>nt234∆8</v>
      </c>
      <c r="GH49" s="10" t="str">
        <f>VC!GC22</f>
        <v>nt234∆8</v>
      </c>
      <c r="GI49" s="10" t="str">
        <f>VC!GD22</f>
        <v>nt234∆8</v>
      </c>
      <c r="GJ49" s="10" t="str">
        <f>VC!GE22</f>
        <v>nt234∆8</v>
      </c>
      <c r="GK49" s="10" t="str">
        <f>VC!GF22</f>
        <v>nt234∆8</v>
      </c>
      <c r="GL49" s="10" t="str">
        <f>VC!GG22</f>
        <v>nt234∆8</v>
      </c>
      <c r="GM49" s="10" t="str">
        <f>VC!GH22</f>
        <v>nt234∆8</v>
      </c>
      <c r="GN49" s="10" t="str">
        <f>VC!GI22</f>
        <v>nt234∆8</v>
      </c>
      <c r="GO49" s="10" t="str">
        <f>VC!GJ22</f>
        <v>nt234∆8</v>
      </c>
      <c r="GP49" s="10" t="str">
        <f>VC!GK22</f>
        <v>nt234∆8</v>
      </c>
      <c r="GQ49" s="10" t="str">
        <f>VC!GL22</f>
        <v>nt234∆8</v>
      </c>
      <c r="GR49" s="10" t="str">
        <f>VC!GM22</f>
        <v>nt234∆8</v>
      </c>
      <c r="GS49" s="10" t="str">
        <f>VC!GN22</f>
        <v>nt234∆8</v>
      </c>
      <c r="GT49" s="10" t="str">
        <f>VC!GO22</f>
        <v>nt234∆8</v>
      </c>
      <c r="GU49" s="10" t="str">
        <f>VC!GP22</f>
        <v>nt234∆8</v>
      </c>
      <c r="GV49" s="10" t="str">
        <f>VC!GQ22</f>
        <v>nt234∆8</v>
      </c>
      <c r="GW49" s="10" t="str">
        <f>VC!GR22</f>
        <v>nt234∆8</v>
      </c>
      <c r="GX49" s="10" t="str">
        <f>VC!GS22</f>
        <v>nt234∆8</v>
      </c>
      <c r="GY49" s="10" t="str">
        <f>VC!GT22</f>
        <v>nt234∆8</v>
      </c>
      <c r="GZ49" s="10" t="str">
        <f>VC!GU22</f>
        <v>nt234∆8</v>
      </c>
      <c r="HA49" s="10" t="str">
        <f>VC!GV22</f>
        <v>nt234∆8</v>
      </c>
      <c r="HB49" s="10" t="str">
        <f>VC!GW22</f>
        <v>nt234∆8</v>
      </c>
      <c r="HC49" s="10" t="str">
        <f>VC!GX22</f>
        <v>nt234∆8</v>
      </c>
    </row>
    <row r="50" spans="1:211" s="10" customFormat="1" ht="15.75" thickBot="1" x14ac:dyDescent="0.3">
      <c r="A50" s="52" t="s">
        <v>57</v>
      </c>
      <c r="B50" s="53" t="s">
        <v>154</v>
      </c>
      <c r="C50" s="54" t="s">
        <v>4</v>
      </c>
      <c r="D50" s="53" t="s">
        <v>76</v>
      </c>
      <c r="E50" s="53" t="s">
        <v>147</v>
      </c>
      <c r="F50" s="53" t="s">
        <v>73</v>
      </c>
      <c r="G50" s="55" t="s">
        <v>144</v>
      </c>
      <c r="H50" s="10" t="str">
        <f>VC!C22</f>
        <v>nt234∆8</v>
      </c>
      <c r="I50" s="10" t="str">
        <f>VC!D22</f>
        <v>nt234∆8</v>
      </c>
      <c r="J50" s="10" t="str">
        <f>VC!E22</f>
        <v>nt234∆8</v>
      </c>
      <c r="K50" s="10" t="str">
        <f>VC!F22</f>
        <v>nt234∆8</v>
      </c>
      <c r="L50" s="10" t="str">
        <f>VC!G22</f>
        <v>nt234∆8</v>
      </c>
      <c r="M50" s="10" t="str">
        <f>VC!H22</f>
        <v>nt234∆8</v>
      </c>
      <c r="N50" s="10" t="str">
        <f>VC!I22</f>
        <v>nt234∆8</v>
      </c>
      <c r="O50" s="10" t="str">
        <f>VC!J22</f>
        <v>nt234∆8</v>
      </c>
      <c r="P50" s="10" t="str">
        <f>VC!K22</f>
        <v>nt234∆8</v>
      </c>
      <c r="Q50" s="10" t="str">
        <f>VC!L22</f>
        <v>nt234∆8</v>
      </c>
      <c r="R50" s="10" t="str">
        <f>VC!M22</f>
        <v>nt234∆8</v>
      </c>
      <c r="S50" s="10" t="str">
        <f>VC!N22</f>
        <v>nt234∆8</v>
      </c>
      <c r="T50" s="10" t="str">
        <f>VC!O22</f>
        <v>nt234∆8</v>
      </c>
      <c r="U50" s="10" t="str">
        <f>VC!P22</f>
        <v>nt234∆8</v>
      </c>
      <c r="V50" s="10" t="str">
        <f>VC!Q22</f>
        <v>R334C; nt234∆8</v>
      </c>
      <c r="W50" s="10" t="str">
        <f>VC!R22</f>
        <v>nt234∆8</v>
      </c>
      <c r="X50" s="10" t="str">
        <f>VC!S22</f>
        <v>nt234∆8</v>
      </c>
      <c r="Y50" s="10" t="str">
        <f>VC!T22</f>
        <v>nt234∆8</v>
      </c>
      <c r="Z50" s="10" t="str">
        <f>VC!U22</f>
        <v>nt234∆8</v>
      </c>
      <c r="AA50" s="10" t="str">
        <f>VC!V22</f>
        <v>nt234∆8</v>
      </c>
      <c r="AB50" s="10" t="str">
        <f>VC!W22</f>
        <v>nt234∆8</v>
      </c>
      <c r="AC50" s="10" t="str">
        <f>VC!X22</f>
        <v>nt234∆8</v>
      </c>
      <c r="AD50" s="10" t="str">
        <f>VC!Y22</f>
        <v>nt234∆8</v>
      </c>
      <c r="AE50" s="10" t="str">
        <f>VC!Z22</f>
        <v>nt234∆8</v>
      </c>
      <c r="AF50" s="10">
        <f>VC!AA22</f>
        <v>0</v>
      </c>
      <c r="AG50" s="10" t="str">
        <f>VC!AB22</f>
        <v>nt234∆8</v>
      </c>
      <c r="AH50" s="10" t="str">
        <f>VC!AC22</f>
        <v>nt234∆8</v>
      </c>
      <c r="AI50" s="10" t="str">
        <f>VC!AD22</f>
        <v>nt234∆8</v>
      </c>
      <c r="AJ50" s="10" t="str">
        <f>VC!AE22</f>
        <v>nt234∆8</v>
      </c>
      <c r="AK50" s="10" t="str">
        <f>VC!AF22</f>
        <v>nt234∆8</v>
      </c>
      <c r="AL50" s="10" t="str">
        <f>VC!AG22</f>
        <v>nt234∆8</v>
      </c>
      <c r="AM50" s="10" t="str">
        <f>VC!AH22</f>
        <v>nt234∆8</v>
      </c>
      <c r="AN50" s="10" t="str">
        <f>VC!AI22</f>
        <v>nt234∆8</v>
      </c>
      <c r="AO50" s="10" t="str">
        <f>VC!AJ22</f>
        <v>nt234∆8</v>
      </c>
      <c r="AP50" s="10" t="str">
        <f>VC!AK22</f>
        <v>nt234∆8</v>
      </c>
      <c r="AQ50" s="10" t="str">
        <f>VC!AL22</f>
        <v>nt234∆8</v>
      </c>
      <c r="AR50" s="10" t="str">
        <f>VC!AM22</f>
        <v>nt234∆8</v>
      </c>
      <c r="AS50" s="10" t="str">
        <f>VC!AN22</f>
        <v>nt234∆8</v>
      </c>
      <c r="AT50" s="10" t="str">
        <f>VC!AO22</f>
        <v>nt234∆8</v>
      </c>
      <c r="AU50" s="10" t="str">
        <f>VC!AP22</f>
        <v>nt234∆8</v>
      </c>
      <c r="AV50" s="10" t="str">
        <f>VC!AQ22</f>
        <v>nt234∆8</v>
      </c>
      <c r="AW50" s="10" t="str">
        <f>VC!AR22</f>
        <v>nt234∆8</v>
      </c>
      <c r="AX50" s="10" t="str">
        <f>VC!AS22</f>
        <v>nt234∆8</v>
      </c>
      <c r="AY50" s="10" t="str">
        <f>VC!AT22</f>
        <v>nt234∆8</v>
      </c>
      <c r="AZ50" s="10" t="str">
        <f>VC!AU22</f>
        <v>nt234∆8</v>
      </c>
      <c r="BA50" s="10" t="str">
        <f>VC!AV22</f>
        <v>nt234∆8</v>
      </c>
      <c r="BB50" s="10" t="str">
        <f>VC!AW22</f>
        <v>nt234∆8</v>
      </c>
      <c r="BC50" s="10" t="str">
        <f>VC!AX22</f>
        <v>nt234∆8</v>
      </c>
      <c r="BD50" s="10" t="str">
        <f>VC!AY22</f>
        <v>nt234∆8</v>
      </c>
      <c r="BE50" s="10" t="str">
        <f>VC!AZ22</f>
        <v>nt234∆8</v>
      </c>
      <c r="BF50" s="10" t="str">
        <f>VC!BA22</f>
        <v>nt234∆8</v>
      </c>
      <c r="BG50" s="10" t="str">
        <f>VC!BB22</f>
        <v>nt234∆8</v>
      </c>
      <c r="BH50" s="10" t="str">
        <f>VC!BC22</f>
        <v>nt234∆8</v>
      </c>
      <c r="BI50" s="10" t="str">
        <f>VC!BD22</f>
        <v>nt234∆8</v>
      </c>
      <c r="BJ50" s="10" t="str">
        <f>VC!BE22</f>
        <v>nt234∆8</v>
      </c>
      <c r="BK50" s="10" t="str">
        <f>VC!BF22</f>
        <v>nt234∆8</v>
      </c>
      <c r="BL50" s="10" t="str">
        <f>VC!BG22</f>
        <v>nt234∆8</v>
      </c>
      <c r="BM50" s="10" t="str">
        <f>VC!BH22</f>
        <v>nt234∆8</v>
      </c>
      <c r="BN50" s="10" t="str">
        <f>VC!BI22</f>
        <v>nt234∆8</v>
      </c>
      <c r="BO50" s="10" t="str">
        <f>VC!BJ22</f>
        <v>nt234∆8</v>
      </c>
      <c r="BP50" s="10" t="str">
        <f>VC!BK22</f>
        <v>nt234∆8</v>
      </c>
      <c r="BQ50" s="10" t="str">
        <f>VC!BL22</f>
        <v>G276D; nt234∆8</v>
      </c>
      <c r="BR50" s="10" t="str">
        <f>VC!BM22</f>
        <v>nt234∆8</v>
      </c>
      <c r="BS50" s="10" t="str">
        <f>VC!BN22</f>
        <v>nt234∆8</v>
      </c>
      <c r="BT50" s="10" t="str">
        <f>VC!BO22</f>
        <v>nt234∆8</v>
      </c>
      <c r="BU50" s="10" t="str">
        <f>VC!BP22</f>
        <v>nt234∆8</v>
      </c>
      <c r="BV50" s="10" t="str">
        <f>VC!BQ22</f>
        <v>nt234∆8</v>
      </c>
      <c r="BW50" s="10" t="str">
        <f>VC!BR22</f>
        <v>nt234∆8</v>
      </c>
      <c r="BX50" s="10" t="str">
        <f>VC!BS22</f>
        <v>nt234∆8</v>
      </c>
      <c r="BY50" s="10" t="str">
        <f>VC!BT22</f>
        <v>nt234∆8</v>
      </c>
      <c r="BZ50" s="10" t="str">
        <f>VC!BU22</f>
        <v>nt234∆8</v>
      </c>
      <c r="CA50" s="10" t="str">
        <f>VC!BV22</f>
        <v>nt234∆8</v>
      </c>
      <c r="CB50" s="10" t="str">
        <f>VC!BW22</f>
        <v>nt234∆8</v>
      </c>
      <c r="CC50" s="10" t="str">
        <f>VC!BX22</f>
        <v>nt234∆8</v>
      </c>
      <c r="CD50" s="10" t="str">
        <f>VC!BY22</f>
        <v>nt234∆8</v>
      </c>
      <c r="CE50" s="10" t="str">
        <f>VC!BZ22</f>
        <v>nt234∆8</v>
      </c>
      <c r="CF50" s="10" t="str">
        <f>VC!CA22</f>
        <v>nt234∆8</v>
      </c>
      <c r="CG50" s="10" t="str">
        <f>VC!CB22</f>
        <v>nt234∆8</v>
      </c>
      <c r="CH50" s="10" t="str">
        <f>VC!CC22</f>
        <v>nt234∆8</v>
      </c>
      <c r="CI50" s="10" t="str">
        <f>VC!CD22</f>
        <v>nt234∆8</v>
      </c>
      <c r="CJ50" s="10" t="str">
        <f>VC!CE22</f>
        <v>nt234∆8</v>
      </c>
      <c r="CK50" s="10" t="str">
        <f>VC!CF22</f>
        <v>nt234∆8</v>
      </c>
      <c r="CL50" s="10" t="str">
        <f>VC!CG22</f>
        <v>nt234∆8</v>
      </c>
      <c r="CM50" s="10" t="str">
        <f>VC!CH22</f>
        <v>nt234∆8</v>
      </c>
      <c r="CN50" s="10" t="str">
        <f>VC!CI22</f>
        <v>nt234∆8</v>
      </c>
      <c r="CO50" s="10" t="str">
        <f>VC!CJ22</f>
        <v>nt234∆8</v>
      </c>
      <c r="CP50" s="10" t="str">
        <f>VC!CK22</f>
        <v>nt234∆8</v>
      </c>
      <c r="CQ50" s="10" t="str">
        <f>VC!CL22</f>
        <v>nt234∆8</v>
      </c>
      <c r="CR50" s="10" t="str">
        <f>VC!CM22</f>
        <v>nt234∆8</v>
      </c>
      <c r="CS50" s="10" t="str">
        <f>VC!CN22</f>
        <v>V265A; nt234∆8</v>
      </c>
      <c r="CT50" s="10" t="str">
        <f>VC!CO22</f>
        <v>nt234∆8</v>
      </c>
      <c r="CU50" s="10" t="str">
        <f>VC!CP22</f>
        <v>A245V; nt234∆8</v>
      </c>
      <c r="CV50" s="10" t="str">
        <f>VC!CQ22</f>
        <v>nt234∆8</v>
      </c>
      <c r="CW50" s="10" t="str">
        <f>VC!CR22</f>
        <v>nt234∆8</v>
      </c>
      <c r="CX50" s="10" t="str">
        <f>VC!CS22</f>
        <v>nt234∆8</v>
      </c>
      <c r="CY50" s="10" t="str">
        <f>VC!CT22</f>
        <v>nt234∆8</v>
      </c>
      <c r="CZ50" s="10" t="str">
        <f>VC!CU22</f>
        <v>nt234∆8; nt395InsC</v>
      </c>
      <c r="DA50" s="10" t="str">
        <f>VC!CV22</f>
        <v>nt234∆8</v>
      </c>
      <c r="DB50" s="10" t="str">
        <f>VC!CW22</f>
        <v>nt234∆8</v>
      </c>
      <c r="DC50" s="10" t="str">
        <f>VC!CX22</f>
        <v>nt234∆8</v>
      </c>
      <c r="DD50" s="10" t="str">
        <f>VC!CY22</f>
        <v>nt234∆8</v>
      </c>
      <c r="DE50" s="10" t="str">
        <f>VC!CZ22</f>
        <v>nt234∆8</v>
      </c>
      <c r="DF50" s="10" t="str">
        <f>VC!DA22</f>
        <v>nt234∆8</v>
      </c>
      <c r="DG50" s="10" t="str">
        <f>VC!DB22</f>
        <v>nt234∆8</v>
      </c>
      <c r="DH50" s="10" t="str">
        <f>VC!DC22</f>
        <v>nt234∆8</v>
      </c>
      <c r="DI50" s="10" t="str">
        <f>VC!DD22</f>
        <v>nt234∆8</v>
      </c>
      <c r="DJ50" s="10" t="str">
        <f>VC!DE22</f>
        <v>nt234∆8</v>
      </c>
      <c r="DK50" s="10" t="str">
        <f>VC!DF22</f>
        <v>nt234∆8</v>
      </c>
      <c r="DL50" s="10" t="str">
        <f>VC!DG22</f>
        <v>nt234∆8</v>
      </c>
      <c r="DM50" s="10" t="str">
        <f>VC!DH22</f>
        <v>nt234∆8</v>
      </c>
      <c r="DN50" s="10" t="str">
        <f>VC!DI22</f>
        <v>nt234∆8</v>
      </c>
      <c r="DO50" s="10" t="str">
        <f>VC!DJ22</f>
        <v>nt234∆8</v>
      </c>
      <c r="DP50" s="10" t="str">
        <f>VC!DK22</f>
        <v>nt234∆8</v>
      </c>
      <c r="DQ50" s="10" t="str">
        <f>VC!DL22</f>
        <v>nt234∆8</v>
      </c>
      <c r="DR50" s="10" t="str">
        <f>VC!DM22</f>
        <v>nt234∆8</v>
      </c>
      <c r="DS50" s="10" t="str">
        <f>VC!DN22</f>
        <v>nt234∆8</v>
      </c>
      <c r="DT50" s="10" t="str">
        <f>VC!DO22</f>
        <v>nt234∆8</v>
      </c>
      <c r="DU50" s="10" t="str">
        <f>VC!DP22</f>
        <v>nt234∆8</v>
      </c>
      <c r="DV50" s="10" t="str">
        <f>VC!DQ22</f>
        <v>nt234∆8</v>
      </c>
      <c r="DW50" s="10" t="str">
        <f>VC!DR22</f>
        <v>nt234∆8</v>
      </c>
      <c r="DX50" s="10" t="str">
        <f>VC!DS22</f>
        <v>nt234∆8</v>
      </c>
      <c r="DY50" s="10" t="str">
        <f>VC!DT22</f>
        <v>nt234∆8</v>
      </c>
      <c r="DZ50" s="10" t="str">
        <f>VC!DU22</f>
        <v>nt234∆8</v>
      </c>
      <c r="EA50" s="10" t="str">
        <f>VC!DV22</f>
        <v>nt234∆8</v>
      </c>
      <c r="EB50" s="10" t="str">
        <f>VC!DW22</f>
        <v>nt234∆8</v>
      </c>
      <c r="EC50" s="10" t="str">
        <f>VC!DX22</f>
        <v>nt234∆8</v>
      </c>
      <c r="ED50" s="10" t="str">
        <f>VC!DY22</f>
        <v>nt234∆8</v>
      </c>
      <c r="EE50" s="10" t="str">
        <f>VC!DZ22</f>
        <v>nt234∆8</v>
      </c>
      <c r="EF50" s="10" t="str">
        <f>VC!EA22</f>
        <v>nt234∆8</v>
      </c>
      <c r="EG50" s="10" t="str">
        <f>VC!EB22</f>
        <v>nt234∆8</v>
      </c>
      <c r="EH50" s="10" t="str">
        <f>VC!EC22</f>
        <v>D96A; nt234∆8</v>
      </c>
      <c r="EI50" s="10" t="str">
        <f>VC!ED22</f>
        <v>nt234∆8</v>
      </c>
      <c r="EJ50" s="10" t="str">
        <f>VC!EE22</f>
        <v>A47V; nt234∆8</v>
      </c>
      <c r="EK50" s="10" t="str">
        <f>VC!EF22</f>
        <v>R334P; nt234∆8</v>
      </c>
      <c r="EL50" s="10" t="str">
        <f>VC!EG22</f>
        <v>nt234∆8</v>
      </c>
      <c r="EM50" s="10" t="str">
        <f>VC!EH22</f>
        <v>nt234∆8</v>
      </c>
      <c r="EN50" s="10" t="str">
        <f>VC!EI22</f>
        <v>nt234∆8</v>
      </c>
      <c r="EO50" s="10" t="str">
        <f>VC!EJ22</f>
        <v>nt234∆8</v>
      </c>
      <c r="EP50" s="10" t="str">
        <f>VC!EK22</f>
        <v>nt234∆8</v>
      </c>
      <c r="EQ50" s="10" t="str">
        <f>VC!EL22</f>
        <v>nt234∆8</v>
      </c>
      <c r="ER50" s="10" t="str">
        <f>VC!EM22</f>
        <v>nt234∆8</v>
      </c>
      <c r="ES50" s="10" t="str">
        <f>VC!EN22</f>
        <v>nt234∆8</v>
      </c>
      <c r="ET50" s="10" t="str">
        <f>VC!EO22</f>
        <v>nt234∆8</v>
      </c>
      <c r="EU50" s="10" t="str">
        <f>VC!EP22</f>
        <v>nt234∆8</v>
      </c>
      <c r="EV50" s="10" t="str">
        <f>VC!EQ22</f>
        <v>DELETED</v>
      </c>
      <c r="EW50" s="10" t="str">
        <f>VC!ER22</f>
        <v>nt234∆8</v>
      </c>
      <c r="EX50" s="10" t="str">
        <f>VC!ES22</f>
        <v>nt234∆8</v>
      </c>
      <c r="EY50" s="10" t="str">
        <f>VC!ET22</f>
        <v>nt234∆8</v>
      </c>
      <c r="EZ50" s="10" t="str">
        <f>VC!EU22</f>
        <v>nt234∆8</v>
      </c>
      <c r="FA50" s="10" t="str">
        <f>VC!EV22</f>
        <v>nt234∆8</v>
      </c>
      <c r="FB50" s="10" t="str">
        <f>VC!EW22</f>
        <v>nt234∆8</v>
      </c>
      <c r="FC50" s="10" t="str">
        <f>VC!EX22</f>
        <v>nt234∆8</v>
      </c>
      <c r="FD50" s="10" t="str">
        <f>VC!EY22</f>
        <v>nt234∆8</v>
      </c>
      <c r="FE50" s="10" t="str">
        <f>VC!EZ22</f>
        <v>nt234∆8</v>
      </c>
      <c r="FF50" s="10" t="str">
        <f>VC!FA22</f>
        <v>nt234∆8</v>
      </c>
      <c r="FG50" s="10" t="str">
        <f>VC!FB22</f>
        <v>nt234∆8</v>
      </c>
      <c r="FH50" s="10" t="str">
        <f>VC!FC22</f>
        <v>nt234∆8</v>
      </c>
      <c r="FI50" s="10" t="str">
        <f>VC!FD22</f>
        <v>nt234∆8</v>
      </c>
      <c r="FJ50" s="10" t="str">
        <f>VC!FE22</f>
        <v>nt234∆8</v>
      </c>
      <c r="FK50" s="10" t="str">
        <f>VC!FF22</f>
        <v>nt234∆8</v>
      </c>
      <c r="FL50" s="10" t="str">
        <f>VC!FG22</f>
        <v>nt234∆8</v>
      </c>
      <c r="FM50" s="10" t="str">
        <f>VC!FH22</f>
        <v>nt234∆8</v>
      </c>
      <c r="FN50" s="10" t="str">
        <f>VC!FI22</f>
        <v>nt234∆8</v>
      </c>
      <c r="FO50" s="10" t="str">
        <f>VC!FJ22</f>
        <v>nt234∆8</v>
      </c>
      <c r="FP50" s="10" t="str">
        <f>VC!FK22</f>
        <v>nt234∆8</v>
      </c>
      <c r="FQ50" s="10" t="str">
        <f>VC!FL22</f>
        <v>nt234∆8</v>
      </c>
      <c r="FR50" s="10" t="str">
        <f>VC!FM22</f>
        <v>nt234∆8</v>
      </c>
      <c r="FS50" s="10" t="str">
        <f>VC!FN22</f>
        <v>nt234∆8</v>
      </c>
      <c r="FT50" s="10" t="str">
        <f>VC!FO22</f>
        <v>nt234∆8</v>
      </c>
      <c r="FU50" s="10" t="str">
        <f>VC!FP22</f>
        <v>nt234∆8</v>
      </c>
      <c r="FV50" s="10" t="str">
        <f>VC!FQ22</f>
        <v>nt234∆8</v>
      </c>
      <c r="FW50" s="10" t="str">
        <f>VC!FR22</f>
        <v>nt234∆8</v>
      </c>
      <c r="FX50" s="10" t="str">
        <f>VC!FS22</f>
        <v>nt234∆8</v>
      </c>
      <c r="FY50" s="10" t="str">
        <f>VC!FT22</f>
        <v>nt234∆8</v>
      </c>
      <c r="FZ50" s="10" t="str">
        <f>VC!FU22</f>
        <v>nt234∆8</v>
      </c>
      <c r="GA50" s="10" t="str">
        <f>VC!FV22</f>
        <v>nt234∆8</v>
      </c>
      <c r="GB50" s="10" t="str">
        <f>VC!FW22</f>
        <v>R209S; nt234∆8</v>
      </c>
      <c r="GC50" s="10" t="str">
        <f>VC!FX22</f>
        <v>nt234∆8</v>
      </c>
      <c r="GD50" s="10" t="str">
        <f>VC!FY22</f>
        <v>nt234∆8</v>
      </c>
      <c r="GE50" s="10" t="str">
        <f>VC!FZ22</f>
        <v>nt234∆8</v>
      </c>
      <c r="GF50" s="10" t="str">
        <f>VC!GA22</f>
        <v>nt234∆8</v>
      </c>
      <c r="GG50" s="10" t="str">
        <f>VC!GB22</f>
        <v>nt234∆8</v>
      </c>
      <c r="GH50" s="10" t="str">
        <f>VC!GC22</f>
        <v>nt234∆8</v>
      </c>
      <c r="GI50" s="10" t="str">
        <f>VC!GD22</f>
        <v>nt234∆8</v>
      </c>
      <c r="GJ50" s="10" t="str">
        <f>VC!GE22</f>
        <v>nt234∆8</v>
      </c>
      <c r="GK50" s="10" t="str">
        <f>VC!GF22</f>
        <v>nt234∆8</v>
      </c>
      <c r="GL50" s="10" t="str">
        <f>VC!GG22</f>
        <v>nt234∆8</v>
      </c>
      <c r="GM50" s="10" t="str">
        <f>VC!GH22</f>
        <v>nt234∆8</v>
      </c>
      <c r="GN50" s="10" t="str">
        <f>VC!GI22</f>
        <v>nt234∆8</v>
      </c>
      <c r="GO50" s="10" t="str">
        <f>VC!GJ22</f>
        <v>nt234∆8</v>
      </c>
      <c r="GP50" s="10" t="str">
        <f>VC!GK22</f>
        <v>nt234∆8</v>
      </c>
      <c r="GQ50" s="10" t="str">
        <f>VC!GL22</f>
        <v>nt234∆8</v>
      </c>
      <c r="GR50" s="10" t="str">
        <f>VC!GM22</f>
        <v>nt234∆8</v>
      </c>
      <c r="GS50" s="10" t="str">
        <f>VC!GN22</f>
        <v>nt234∆8</v>
      </c>
      <c r="GT50" s="10" t="str">
        <f>VC!GO22</f>
        <v>nt234∆8</v>
      </c>
      <c r="GU50" s="10" t="str">
        <f>VC!GP22</f>
        <v>nt234∆8</v>
      </c>
      <c r="GV50" s="10" t="str">
        <f>VC!GQ22</f>
        <v>nt234∆8</v>
      </c>
      <c r="GW50" s="10" t="str">
        <f>VC!GR22</f>
        <v>nt234∆8</v>
      </c>
      <c r="GX50" s="10" t="str">
        <f>VC!GS22</f>
        <v>nt234∆8</v>
      </c>
      <c r="GY50" s="10" t="str">
        <f>VC!GT22</f>
        <v>nt234∆8</v>
      </c>
      <c r="GZ50" s="10" t="str">
        <f>VC!GU22</f>
        <v>nt234∆8</v>
      </c>
      <c r="HA50" s="10" t="str">
        <f>VC!GV22</f>
        <v>nt234∆8</v>
      </c>
      <c r="HB50" s="10" t="str">
        <f>VC!GW22</f>
        <v>nt234∆8</v>
      </c>
      <c r="HC50" s="10" t="str">
        <f>VC!GX22</f>
        <v>nt234∆8</v>
      </c>
    </row>
    <row r="51" spans="1:211" s="1" customFormat="1" x14ac:dyDescent="0.25">
      <c r="A51" s="78" t="s">
        <v>82</v>
      </c>
      <c r="B51" s="79" t="s">
        <v>85</v>
      </c>
      <c r="C51" s="80" t="s">
        <v>4</v>
      </c>
      <c r="D51" s="79" t="s">
        <v>77</v>
      </c>
      <c r="E51" s="79"/>
      <c r="F51" s="79" t="s">
        <v>74</v>
      </c>
      <c r="G51" s="110" t="s">
        <v>1055</v>
      </c>
      <c r="H51" s="1">
        <f>VC!C23</f>
        <v>0</v>
      </c>
      <c r="I51" s="1">
        <f>VC!D23</f>
        <v>0</v>
      </c>
      <c r="J51" s="1">
        <f>VC!E23</f>
        <v>0</v>
      </c>
      <c r="K51" s="1" t="str">
        <f>VC!F23</f>
        <v>G282S</v>
      </c>
      <c r="L51" s="1">
        <f>VC!G23</f>
        <v>0</v>
      </c>
      <c r="M51" s="1">
        <f>VC!H23</f>
        <v>0</v>
      </c>
      <c r="N51" s="1">
        <f>VC!I23</f>
        <v>0</v>
      </c>
      <c r="O51" s="1">
        <f>VC!J23</f>
        <v>0</v>
      </c>
      <c r="P51" s="1">
        <f>VC!K23</f>
        <v>0</v>
      </c>
      <c r="Q51" s="1">
        <f>VC!L23</f>
        <v>0</v>
      </c>
      <c r="R51" s="1">
        <f>VC!M23</f>
        <v>0</v>
      </c>
      <c r="S51" s="1">
        <f>VC!N23</f>
        <v>0</v>
      </c>
      <c r="T51" s="1">
        <f>VC!O23</f>
        <v>0</v>
      </c>
      <c r="U51" s="1">
        <f>VC!P23</f>
        <v>0</v>
      </c>
      <c r="V51" s="1">
        <f>VC!Q23</f>
        <v>0</v>
      </c>
      <c r="W51" s="1">
        <f>VC!R23</f>
        <v>0</v>
      </c>
      <c r="X51" s="1">
        <f>VC!S23</f>
        <v>0</v>
      </c>
      <c r="Y51" s="1" t="str">
        <f>VC!T23</f>
        <v>V156A</v>
      </c>
      <c r="Z51" s="1">
        <f>VC!U23</f>
        <v>0</v>
      </c>
      <c r="AA51" s="1">
        <f>VC!V23</f>
        <v>0</v>
      </c>
      <c r="AB51" s="1" t="str">
        <f>VC!W23</f>
        <v>P337A</v>
      </c>
      <c r="AC51" s="1">
        <f>VC!X23</f>
        <v>0</v>
      </c>
      <c r="AD51" s="1">
        <f>VC!Y23</f>
        <v>0</v>
      </c>
      <c r="AE51" s="1">
        <f>VC!Z23</f>
        <v>0</v>
      </c>
      <c r="AF51" s="1">
        <f>VC!AA23</f>
        <v>0</v>
      </c>
      <c r="AG51" s="1">
        <f>VC!AB23</f>
        <v>0</v>
      </c>
      <c r="AH51" s="1">
        <f>VC!AC23</f>
        <v>0</v>
      </c>
      <c r="AI51" s="1">
        <f>VC!AD23</f>
        <v>0</v>
      </c>
      <c r="AJ51" s="1">
        <f>VC!AE23</f>
        <v>0</v>
      </c>
      <c r="AK51" s="1">
        <f>VC!AF23</f>
        <v>0</v>
      </c>
      <c r="AL51" s="1">
        <f>VC!AG23</f>
        <v>0</v>
      </c>
      <c r="AM51" s="1">
        <f>VC!AH23</f>
        <v>0</v>
      </c>
      <c r="AN51" s="1">
        <f>VC!AI23</f>
        <v>0</v>
      </c>
      <c r="AO51" s="1">
        <f>VC!AJ23</f>
        <v>0</v>
      </c>
      <c r="AP51" s="1">
        <f>VC!AK23</f>
        <v>0</v>
      </c>
      <c r="AQ51" s="1">
        <f>VC!AL23</f>
        <v>0</v>
      </c>
      <c r="AR51" s="1">
        <f>VC!AM23</f>
        <v>0</v>
      </c>
      <c r="AS51" s="1">
        <f>VC!AN23</f>
        <v>0</v>
      </c>
      <c r="AT51" s="1">
        <f>VC!AO23</f>
        <v>0</v>
      </c>
      <c r="AU51" s="1">
        <f>VC!AP23</f>
        <v>0</v>
      </c>
      <c r="AV51" s="1">
        <f>VC!AQ23</f>
        <v>0</v>
      </c>
      <c r="AW51" s="1">
        <f>VC!AR23</f>
        <v>0</v>
      </c>
      <c r="AX51" s="1">
        <f>VC!AS23</f>
        <v>0</v>
      </c>
      <c r="AY51" s="1">
        <f>VC!AT23</f>
        <v>0</v>
      </c>
      <c r="AZ51" s="1">
        <f>VC!AU23</f>
        <v>0</v>
      </c>
      <c r="BA51" s="1">
        <f>VC!AV23</f>
        <v>0</v>
      </c>
      <c r="BB51" s="1">
        <f>VC!AW23</f>
        <v>0</v>
      </c>
      <c r="BC51" s="1">
        <f>VC!AX23</f>
        <v>0</v>
      </c>
      <c r="BD51" s="1">
        <f>VC!AY23</f>
        <v>0</v>
      </c>
      <c r="BE51" s="1">
        <f>VC!AZ23</f>
        <v>0</v>
      </c>
      <c r="BF51" s="1">
        <f>VC!BA23</f>
        <v>0</v>
      </c>
      <c r="BG51" s="1">
        <f>VC!BB23</f>
        <v>0</v>
      </c>
      <c r="BH51" s="1" t="str">
        <f>VC!BC23</f>
        <v>P337A</v>
      </c>
      <c r="BI51" s="1">
        <f>VC!BD23</f>
        <v>0</v>
      </c>
      <c r="BJ51" s="1">
        <f>VC!BE23</f>
        <v>0</v>
      </c>
      <c r="BK51" s="1">
        <f>VC!BF23</f>
        <v>0</v>
      </c>
      <c r="BL51" s="1">
        <f>VC!BG23</f>
        <v>0</v>
      </c>
      <c r="BM51" s="1">
        <f>VC!BH23</f>
        <v>0</v>
      </c>
      <c r="BN51" s="1">
        <f>VC!BI23</f>
        <v>0</v>
      </c>
      <c r="BO51" s="1">
        <f>VC!BJ23</f>
        <v>0</v>
      </c>
      <c r="BP51" s="1">
        <f>VC!BK23</f>
        <v>0</v>
      </c>
      <c r="BQ51" s="1">
        <f>VC!BL23</f>
        <v>0</v>
      </c>
      <c r="BR51" s="1">
        <f>VC!BM23</f>
        <v>0</v>
      </c>
      <c r="BS51" s="1">
        <f>VC!BN23</f>
        <v>0</v>
      </c>
      <c r="BT51" s="1">
        <f>VC!BO23</f>
        <v>0</v>
      </c>
      <c r="BU51" s="1">
        <f>VC!BP23</f>
        <v>0</v>
      </c>
      <c r="BV51" s="1">
        <f>VC!BQ23</f>
        <v>0</v>
      </c>
      <c r="BW51" s="1">
        <f>VC!BR23</f>
        <v>0</v>
      </c>
      <c r="BX51" s="1" t="str">
        <f>VC!BS23</f>
        <v>G250D</v>
      </c>
      <c r="BY51" s="1">
        <f>VC!BT23</f>
        <v>0</v>
      </c>
      <c r="BZ51" s="1">
        <f>VC!BU23</f>
        <v>0</v>
      </c>
      <c r="CA51" s="1">
        <f>VC!BV23</f>
        <v>0</v>
      </c>
      <c r="CB51" s="1">
        <f>VC!BW23</f>
        <v>0</v>
      </c>
      <c r="CC51" s="1">
        <f>VC!BX23</f>
        <v>0</v>
      </c>
      <c r="CD51" s="1">
        <f>VC!BY23</f>
        <v>0</v>
      </c>
      <c r="CE51" s="1">
        <f>VC!BZ23</f>
        <v>0</v>
      </c>
      <c r="CF51" s="1">
        <f>VC!CA23</f>
        <v>0</v>
      </c>
      <c r="CG51" s="1">
        <f>VC!CB23</f>
        <v>0</v>
      </c>
      <c r="CH51" s="1">
        <f>VC!CC23</f>
        <v>0</v>
      </c>
      <c r="CI51" s="1">
        <f>VC!CD23</f>
        <v>0</v>
      </c>
      <c r="CJ51" s="1">
        <f>VC!CE23</f>
        <v>0</v>
      </c>
      <c r="CK51" s="1">
        <f>VC!CF23</f>
        <v>0</v>
      </c>
      <c r="CL51" s="1">
        <f>VC!CG23</f>
        <v>0</v>
      </c>
      <c r="CM51" s="1">
        <f>VC!CH23</f>
        <v>0</v>
      </c>
      <c r="CN51" s="1">
        <f>VC!CI23</f>
        <v>0</v>
      </c>
      <c r="CO51" s="1" t="str">
        <f>VC!CJ23</f>
        <v>A377V</v>
      </c>
      <c r="CP51" s="1">
        <f>VC!CK23</f>
        <v>0</v>
      </c>
      <c r="CQ51" s="1">
        <f>VC!CL23</f>
        <v>0</v>
      </c>
      <c r="CR51" s="1">
        <f>VC!CM23</f>
        <v>0</v>
      </c>
      <c r="CS51" s="1" t="str">
        <f>VC!CN23</f>
        <v>F284L</v>
      </c>
      <c r="CT51" s="1">
        <f>VC!CO23</f>
        <v>0</v>
      </c>
      <c r="CU51" s="1">
        <f>VC!CP23</f>
        <v>0</v>
      </c>
      <c r="CV51" s="1">
        <f>VC!CQ23</f>
        <v>0</v>
      </c>
      <c r="CW51" s="1">
        <f>VC!CR23</f>
        <v>0</v>
      </c>
      <c r="CX51" s="1">
        <f>VC!CS23</f>
        <v>0</v>
      </c>
      <c r="CY51" s="1">
        <f>VC!CT23</f>
        <v>0</v>
      </c>
      <c r="CZ51" s="1" t="str">
        <f>VC!CU23</f>
        <v>E2V; Q368R</v>
      </c>
      <c r="DA51" s="1">
        <f>VC!CV23</f>
        <v>0</v>
      </c>
      <c r="DB51" s="1">
        <f>VC!CW23</f>
        <v>0</v>
      </c>
      <c r="DC51" s="1">
        <f>VC!CX23</f>
        <v>0</v>
      </c>
      <c r="DD51" s="1">
        <f>VC!CY23</f>
        <v>0</v>
      </c>
      <c r="DE51" s="1">
        <f>VC!CZ23</f>
        <v>0</v>
      </c>
      <c r="DF51" s="1">
        <f>VC!DA23</f>
        <v>0</v>
      </c>
      <c r="DG51" s="1">
        <f>VC!DB23</f>
        <v>0</v>
      </c>
      <c r="DH51" s="1">
        <f>VC!DC23</f>
        <v>0</v>
      </c>
      <c r="DI51" s="1">
        <f>VC!DD23</f>
        <v>0</v>
      </c>
      <c r="DJ51" s="1" t="str">
        <f>VC!DE23</f>
        <v>E2V; Q368R</v>
      </c>
      <c r="DK51" s="1">
        <f>VC!DF23</f>
        <v>0</v>
      </c>
      <c r="DL51" s="1">
        <f>VC!DG23</f>
        <v>0</v>
      </c>
      <c r="DM51" s="1">
        <f>VC!DH23</f>
        <v>0</v>
      </c>
      <c r="DN51" s="1">
        <f>VC!DI23</f>
        <v>0</v>
      </c>
      <c r="DO51" s="1">
        <f>VC!DJ23</f>
        <v>0</v>
      </c>
      <c r="DP51" s="1">
        <f>VC!DK23</f>
        <v>0</v>
      </c>
      <c r="DQ51" s="1">
        <f>VC!DL23</f>
        <v>0</v>
      </c>
      <c r="DR51" s="1">
        <f>VC!DM23</f>
        <v>0</v>
      </c>
      <c r="DS51" s="1">
        <f>VC!DN23</f>
        <v>0</v>
      </c>
      <c r="DT51" s="1">
        <f>VC!DO23</f>
        <v>0</v>
      </c>
      <c r="DU51" s="1">
        <f>VC!DP23</f>
        <v>0</v>
      </c>
      <c r="DV51" s="1">
        <f>VC!DQ23</f>
        <v>0</v>
      </c>
      <c r="DW51" s="1">
        <f>VC!DR23</f>
        <v>0</v>
      </c>
      <c r="DX51" s="1">
        <f>VC!DS23</f>
        <v>0</v>
      </c>
      <c r="DY51" s="1">
        <f>VC!DT23</f>
        <v>0</v>
      </c>
      <c r="DZ51" s="1">
        <f>VC!DU23</f>
        <v>0</v>
      </c>
      <c r="EA51" s="1">
        <f>VC!DV23</f>
        <v>0</v>
      </c>
      <c r="EB51" s="1">
        <f>VC!DW23</f>
        <v>0</v>
      </c>
      <c r="EC51" s="1">
        <f>VC!DX23</f>
        <v>0</v>
      </c>
      <c r="ED51" s="1">
        <f>VC!DY23</f>
        <v>0</v>
      </c>
      <c r="EE51" s="1">
        <f>VC!DZ23</f>
        <v>0</v>
      </c>
      <c r="EF51" s="1">
        <f>VC!EA23</f>
        <v>0</v>
      </c>
      <c r="EG51" s="1">
        <f>VC!EB23</f>
        <v>0</v>
      </c>
      <c r="EH51" s="1">
        <f>VC!EC23</f>
        <v>0</v>
      </c>
      <c r="EI51" s="1">
        <f>VC!ED23</f>
        <v>0</v>
      </c>
      <c r="EJ51" s="1">
        <f>VC!EE23</f>
        <v>0</v>
      </c>
      <c r="EK51" s="1">
        <f>VC!EF23</f>
        <v>0</v>
      </c>
      <c r="EL51" s="1">
        <f>VC!EG23</f>
        <v>0</v>
      </c>
      <c r="EM51" s="1">
        <f>VC!EH23</f>
        <v>0</v>
      </c>
      <c r="EN51" s="1">
        <f>VC!EI23</f>
        <v>0</v>
      </c>
      <c r="EO51" s="1">
        <f>VC!EJ23</f>
        <v>0</v>
      </c>
      <c r="EP51" s="1">
        <f>VC!EK23</f>
        <v>0</v>
      </c>
      <c r="EQ51" s="1">
        <f>VC!EL23</f>
        <v>0</v>
      </c>
      <c r="ER51" s="1">
        <f>VC!EM23</f>
        <v>0</v>
      </c>
      <c r="ES51" s="1">
        <f>VC!EN23</f>
        <v>0</v>
      </c>
      <c r="ET51" s="1">
        <f>VC!EO23</f>
        <v>0</v>
      </c>
      <c r="EU51" s="1">
        <f>VC!EP23</f>
        <v>0</v>
      </c>
      <c r="EV51" s="1" t="str">
        <f>VC!EQ23</f>
        <v>DELETED</v>
      </c>
      <c r="EW51" s="1">
        <f>VC!ER23</f>
        <v>0</v>
      </c>
      <c r="EX51" s="1">
        <f>VC!ES23</f>
        <v>0</v>
      </c>
      <c r="EY51" s="1">
        <f>VC!ET23</f>
        <v>0</v>
      </c>
      <c r="EZ51" s="1">
        <f>VC!EU23</f>
        <v>0</v>
      </c>
      <c r="FA51" s="1" t="str">
        <f>VC!EV23</f>
        <v>E2V; Q368R</v>
      </c>
      <c r="FB51" s="1">
        <f>VC!EW23</f>
        <v>0</v>
      </c>
      <c r="FC51" s="1">
        <f>VC!EX23</f>
        <v>0</v>
      </c>
      <c r="FD51" s="1" t="str">
        <f>VC!EY23</f>
        <v>E2V; Q368R</v>
      </c>
      <c r="FE51" s="1">
        <f>VC!EZ23</f>
        <v>0</v>
      </c>
      <c r="FF51" s="1">
        <f>VC!FA23</f>
        <v>0</v>
      </c>
      <c r="FG51" s="1">
        <f>VC!FB23</f>
        <v>0</v>
      </c>
      <c r="FH51" s="1">
        <f>VC!FC23</f>
        <v>0</v>
      </c>
      <c r="FI51" s="1">
        <f>VC!FD23</f>
        <v>0</v>
      </c>
      <c r="FJ51" s="1">
        <f>VC!FE23</f>
        <v>0</v>
      </c>
      <c r="FK51" s="1">
        <f>VC!FF23</f>
        <v>0</v>
      </c>
      <c r="FL51" s="1">
        <f>VC!FG23</f>
        <v>0</v>
      </c>
      <c r="FM51" s="1">
        <f>VC!FH23</f>
        <v>0</v>
      </c>
      <c r="FN51" s="1">
        <f>VC!FI23</f>
        <v>0</v>
      </c>
      <c r="FO51" s="1" t="str">
        <f>VC!FJ23</f>
        <v>V156A</v>
      </c>
      <c r="FP51" s="1">
        <f>VC!FK23</f>
        <v>0</v>
      </c>
      <c r="FQ51" s="1">
        <f>VC!FL23</f>
        <v>0</v>
      </c>
      <c r="FR51" s="1">
        <f>VC!FM23</f>
        <v>0</v>
      </c>
      <c r="FS51" s="1">
        <f>VC!FN23</f>
        <v>0</v>
      </c>
      <c r="FT51" s="1">
        <f>VC!FO23</f>
        <v>0</v>
      </c>
      <c r="FU51" s="1">
        <f>VC!FP23</f>
        <v>0</v>
      </c>
      <c r="FV51" s="1">
        <f>VC!FQ23</f>
        <v>0</v>
      </c>
      <c r="FW51" s="1">
        <f>VC!FR23</f>
        <v>0</v>
      </c>
      <c r="FX51" s="1">
        <f>VC!FS23</f>
        <v>0</v>
      </c>
      <c r="FY51" s="1">
        <f>VC!FT23</f>
        <v>0</v>
      </c>
      <c r="FZ51" s="1">
        <f>VC!FU23</f>
        <v>0</v>
      </c>
      <c r="GA51" s="1">
        <f>VC!FV23</f>
        <v>0</v>
      </c>
      <c r="GB51" s="1">
        <f>VC!FW23</f>
        <v>0</v>
      </c>
      <c r="GC51" s="1">
        <f>VC!FX23</f>
        <v>0</v>
      </c>
      <c r="GD51" s="1">
        <f>VC!FY23</f>
        <v>0</v>
      </c>
      <c r="GE51" s="1">
        <f>VC!FZ23</f>
        <v>0</v>
      </c>
      <c r="GF51" s="1">
        <f>VC!GA23</f>
        <v>0</v>
      </c>
      <c r="GG51" s="1">
        <f>VC!GB23</f>
        <v>0</v>
      </c>
      <c r="GH51" s="1">
        <f>VC!GC23</f>
        <v>0</v>
      </c>
      <c r="GI51" s="1">
        <f>VC!GD23</f>
        <v>0</v>
      </c>
      <c r="GJ51" s="1">
        <f>VC!GE23</f>
        <v>0</v>
      </c>
      <c r="GK51" s="1">
        <f>VC!GF23</f>
        <v>0</v>
      </c>
      <c r="GL51" s="1">
        <f>VC!GG23</f>
        <v>0</v>
      </c>
      <c r="GM51" s="1">
        <f>VC!GH23</f>
        <v>0</v>
      </c>
      <c r="GN51" s="1">
        <f>VC!GI23</f>
        <v>0</v>
      </c>
      <c r="GO51" s="1">
        <f>VC!GJ23</f>
        <v>0</v>
      </c>
      <c r="GP51" s="1">
        <f>VC!GK23</f>
        <v>0</v>
      </c>
      <c r="GQ51" s="1">
        <f>VC!GL23</f>
        <v>0</v>
      </c>
      <c r="GR51" s="1">
        <f>VC!GM23</f>
        <v>0</v>
      </c>
      <c r="GS51" s="1">
        <f>VC!GN23</f>
        <v>0</v>
      </c>
      <c r="GT51" s="1">
        <f>VC!GO23</f>
        <v>0</v>
      </c>
      <c r="GU51" s="1">
        <f>VC!GP23</f>
        <v>0</v>
      </c>
      <c r="GV51" s="1">
        <f>VC!GQ23</f>
        <v>0</v>
      </c>
      <c r="GW51" s="1">
        <f>VC!GR23</f>
        <v>0</v>
      </c>
      <c r="GX51" s="1">
        <f>VC!GS23</f>
        <v>0</v>
      </c>
      <c r="GY51" s="1">
        <f>VC!GT23</f>
        <v>0</v>
      </c>
      <c r="GZ51" s="1">
        <f>VC!GU23</f>
        <v>0</v>
      </c>
      <c r="HA51" s="1">
        <f>VC!GV23</f>
        <v>0</v>
      </c>
      <c r="HB51" s="1">
        <f>VC!GW23</f>
        <v>0</v>
      </c>
      <c r="HC51" s="1">
        <f>VC!GX23</f>
        <v>0</v>
      </c>
    </row>
    <row r="52" spans="1:211" s="7" customFormat="1" x14ac:dyDescent="0.25">
      <c r="A52" s="78" t="s">
        <v>83</v>
      </c>
      <c r="B52" s="79" t="s">
        <v>86</v>
      </c>
      <c r="C52" s="80" t="s">
        <v>4</v>
      </c>
      <c r="D52" s="79" t="s">
        <v>77</v>
      </c>
      <c r="E52" s="79"/>
      <c r="F52" s="79" t="s">
        <v>74</v>
      </c>
      <c r="G52" s="110"/>
      <c r="H52" s="7">
        <f>VC!C24</f>
        <v>0</v>
      </c>
      <c r="I52" s="7">
        <f>VC!D24</f>
        <v>0</v>
      </c>
      <c r="J52" s="7">
        <f>VC!E24</f>
        <v>0</v>
      </c>
      <c r="K52" s="7">
        <f>VC!F24</f>
        <v>0</v>
      </c>
      <c r="L52" s="7">
        <f>VC!G24</f>
        <v>0</v>
      </c>
      <c r="M52" s="7">
        <f>VC!H24</f>
        <v>0</v>
      </c>
      <c r="N52" s="7">
        <f>VC!I24</f>
        <v>0</v>
      </c>
      <c r="O52" s="7">
        <f>VC!J24</f>
        <v>0</v>
      </c>
      <c r="P52" s="7">
        <f>VC!K24</f>
        <v>0</v>
      </c>
      <c r="Q52" s="7">
        <f>VC!L24</f>
        <v>0</v>
      </c>
      <c r="R52" s="7">
        <f>VC!M24</f>
        <v>0</v>
      </c>
      <c r="S52" s="7">
        <f>VC!N24</f>
        <v>0</v>
      </c>
      <c r="T52" s="7">
        <f>VC!O24</f>
        <v>0</v>
      </c>
      <c r="U52" s="7">
        <f>VC!P24</f>
        <v>0</v>
      </c>
      <c r="V52" s="7">
        <f>VC!Q24</f>
        <v>0</v>
      </c>
      <c r="W52" s="7">
        <f>VC!R24</f>
        <v>0</v>
      </c>
      <c r="X52" s="7">
        <f>VC!S24</f>
        <v>0</v>
      </c>
      <c r="Y52" s="7">
        <f>VC!T24</f>
        <v>0</v>
      </c>
      <c r="Z52" s="7">
        <f>VC!U24</f>
        <v>0</v>
      </c>
      <c r="AA52" s="7">
        <f>VC!V24</f>
        <v>0</v>
      </c>
      <c r="AB52" s="7">
        <f>VC!W24</f>
        <v>0</v>
      </c>
      <c r="AC52" s="7">
        <f>VC!X24</f>
        <v>0</v>
      </c>
      <c r="AD52" s="7">
        <f>VC!Y24</f>
        <v>0</v>
      </c>
      <c r="AE52" s="7">
        <f>VC!Z24</f>
        <v>0</v>
      </c>
      <c r="AF52" s="7">
        <f>VC!AA24</f>
        <v>0</v>
      </c>
      <c r="AG52" s="7">
        <f>VC!AB24</f>
        <v>0</v>
      </c>
      <c r="AH52" s="7">
        <f>VC!AC24</f>
        <v>0</v>
      </c>
      <c r="AI52" s="7">
        <f>VC!AD24</f>
        <v>0</v>
      </c>
      <c r="AJ52" s="7" t="str">
        <f>VC!AE24</f>
        <v>F509V</v>
      </c>
      <c r="AK52" s="7">
        <f>VC!AF24</f>
        <v>0</v>
      </c>
      <c r="AL52" s="7" t="str">
        <f>VC!AG24</f>
        <v>Q363R</v>
      </c>
      <c r="AM52" s="7">
        <f>VC!AH24</f>
        <v>0</v>
      </c>
      <c r="AN52" s="7">
        <f>VC!AI24</f>
        <v>0</v>
      </c>
      <c r="AO52" s="7">
        <f>VC!AJ24</f>
        <v>0</v>
      </c>
      <c r="AP52" s="7">
        <f>VC!AK24</f>
        <v>0</v>
      </c>
      <c r="AQ52" s="7">
        <f>VC!AL24</f>
        <v>0</v>
      </c>
      <c r="AR52" s="7">
        <f>VC!AM24</f>
        <v>0</v>
      </c>
      <c r="AS52" s="7">
        <f>VC!AN24</f>
        <v>0</v>
      </c>
      <c r="AT52" s="7">
        <f>VC!AO24</f>
        <v>0</v>
      </c>
      <c r="AU52" s="7">
        <f>VC!AP24</f>
        <v>0</v>
      </c>
      <c r="AV52" s="7">
        <f>VC!AQ24</f>
        <v>0</v>
      </c>
      <c r="AW52" s="7">
        <f>VC!AR24</f>
        <v>0</v>
      </c>
      <c r="AX52" s="7" t="str">
        <f>VC!AS24</f>
        <v>G1056D</v>
      </c>
      <c r="AY52" s="7">
        <f>VC!AT24</f>
        <v>0</v>
      </c>
      <c r="AZ52" s="7">
        <f>VC!AU24</f>
        <v>0</v>
      </c>
      <c r="BA52" s="7">
        <f>VC!AV24</f>
        <v>0</v>
      </c>
      <c r="BB52" s="7">
        <f>VC!AW24</f>
        <v>0</v>
      </c>
      <c r="BC52" s="7">
        <f>VC!AX24</f>
        <v>0</v>
      </c>
      <c r="BD52" s="7">
        <f>VC!AY24</f>
        <v>0</v>
      </c>
      <c r="BE52" s="7">
        <f>VC!AZ24</f>
        <v>0</v>
      </c>
      <c r="BF52" s="7">
        <f>VC!BA24</f>
        <v>0</v>
      </c>
      <c r="BG52" s="7">
        <f>VC!BB24</f>
        <v>0</v>
      </c>
      <c r="BH52" s="7">
        <f>VC!BC24</f>
        <v>0</v>
      </c>
      <c r="BI52" s="7">
        <f>VC!BD24</f>
        <v>0</v>
      </c>
      <c r="BJ52" s="7">
        <f>VC!BE24</f>
        <v>0</v>
      </c>
      <c r="BK52" s="7">
        <f>VC!BF24</f>
        <v>0</v>
      </c>
      <c r="BL52" s="7" t="str">
        <f>VC!BG24</f>
        <v>A1062T</v>
      </c>
      <c r="BM52" s="7">
        <f>VC!BH24</f>
        <v>0</v>
      </c>
      <c r="BN52" s="7">
        <f>VC!BI24</f>
        <v>0</v>
      </c>
      <c r="BO52" s="7">
        <f>VC!BJ24</f>
        <v>0</v>
      </c>
      <c r="BP52" s="7">
        <f>VC!BK24</f>
        <v>0</v>
      </c>
      <c r="BQ52" s="7">
        <f>VC!BL24</f>
        <v>0</v>
      </c>
      <c r="BR52" s="7">
        <f>VC!BM24</f>
        <v>0</v>
      </c>
      <c r="BS52" s="7">
        <f>VC!BN24</f>
        <v>0</v>
      </c>
      <c r="BT52" s="7">
        <f>VC!BO24</f>
        <v>0</v>
      </c>
      <c r="BU52" s="7">
        <f>VC!BP24</f>
        <v>0</v>
      </c>
      <c r="BV52" s="7">
        <f>VC!BQ24</f>
        <v>0</v>
      </c>
      <c r="BW52" s="7">
        <f>VC!BR24</f>
        <v>0</v>
      </c>
      <c r="BX52" s="7">
        <f>VC!BS24</f>
        <v>0</v>
      </c>
      <c r="BY52" s="7">
        <f>VC!BT24</f>
        <v>0</v>
      </c>
      <c r="BZ52" s="7">
        <f>VC!BU24</f>
        <v>0</v>
      </c>
      <c r="CA52" s="7">
        <f>VC!BV24</f>
        <v>0</v>
      </c>
      <c r="CB52" s="7">
        <f>VC!BW24</f>
        <v>0</v>
      </c>
      <c r="CC52" s="7">
        <f>VC!BX24</f>
        <v>0</v>
      </c>
      <c r="CD52" s="7">
        <f>VC!BY24</f>
        <v>0</v>
      </c>
      <c r="CE52" s="7">
        <f>VC!BZ24</f>
        <v>0</v>
      </c>
      <c r="CF52" s="7">
        <f>VC!CA24</f>
        <v>0</v>
      </c>
      <c r="CG52" s="7">
        <f>VC!CB24</f>
        <v>0</v>
      </c>
      <c r="CH52" s="7">
        <f>VC!CC24</f>
        <v>0</v>
      </c>
      <c r="CI52" s="7">
        <f>VC!CD24</f>
        <v>0</v>
      </c>
      <c r="CJ52" s="7">
        <f>VC!CE24</f>
        <v>0</v>
      </c>
      <c r="CK52" s="7">
        <f>VC!CF24</f>
        <v>0</v>
      </c>
      <c r="CL52" s="7">
        <f>VC!CG24</f>
        <v>0</v>
      </c>
      <c r="CM52" s="7">
        <f>VC!CH24</f>
        <v>0</v>
      </c>
      <c r="CN52" s="7">
        <f>VC!CI24</f>
        <v>0</v>
      </c>
      <c r="CO52" s="7">
        <f>VC!CJ24</f>
        <v>0</v>
      </c>
      <c r="CP52" s="7">
        <f>VC!CK24</f>
        <v>0</v>
      </c>
      <c r="CQ52" s="7">
        <f>VC!CL24</f>
        <v>0</v>
      </c>
      <c r="CR52" s="7">
        <f>VC!CM24</f>
        <v>0</v>
      </c>
      <c r="CS52" s="7">
        <f>VC!CN24</f>
        <v>0</v>
      </c>
      <c r="CT52" s="7">
        <f>VC!CO24</f>
        <v>0</v>
      </c>
      <c r="CU52" s="7">
        <f>VC!CP24</f>
        <v>0</v>
      </c>
      <c r="CV52" s="7">
        <f>VC!CQ24</f>
        <v>0</v>
      </c>
      <c r="CW52" s="7">
        <f>VC!CR24</f>
        <v>0</v>
      </c>
      <c r="CX52" s="7">
        <f>VC!CS24</f>
        <v>0</v>
      </c>
      <c r="CY52" s="7">
        <f>VC!CT24</f>
        <v>0</v>
      </c>
      <c r="CZ52" s="7">
        <f>VC!CU24</f>
        <v>0</v>
      </c>
      <c r="DA52" s="7">
        <f>VC!CV24</f>
        <v>0</v>
      </c>
      <c r="DB52" s="7">
        <f>VC!CW24</f>
        <v>0</v>
      </c>
      <c r="DC52" s="7">
        <f>VC!CX24</f>
        <v>0</v>
      </c>
      <c r="DD52" s="7">
        <f>VC!CY24</f>
        <v>0</v>
      </c>
      <c r="DE52" s="7">
        <f>VC!CZ24</f>
        <v>0</v>
      </c>
      <c r="DF52" s="7">
        <f>VC!DA24</f>
        <v>0</v>
      </c>
      <c r="DG52" s="7">
        <f>VC!DB24</f>
        <v>0</v>
      </c>
      <c r="DH52" s="7" t="str">
        <f>VC!DC24</f>
        <v>S510L</v>
      </c>
      <c r="DI52" s="7">
        <f>VC!DD24</f>
        <v>0</v>
      </c>
      <c r="DJ52" s="7">
        <f>VC!DE24</f>
        <v>0</v>
      </c>
      <c r="DK52" s="7">
        <f>VC!DF24</f>
        <v>0</v>
      </c>
      <c r="DL52" s="7">
        <f>VC!DG24</f>
        <v>0</v>
      </c>
      <c r="DM52" s="7">
        <f>VC!DH24</f>
        <v>0</v>
      </c>
      <c r="DN52" s="7">
        <f>VC!DI24</f>
        <v>0</v>
      </c>
      <c r="DO52" s="7">
        <f>VC!DJ24</f>
        <v>0</v>
      </c>
      <c r="DP52" s="7">
        <f>VC!DK24</f>
        <v>0</v>
      </c>
      <c r="DQ52" s="7">
        <f>VC!DL24</f>
        <v>0</v>
      </c>
      <c r="DR52" s="7">
        <f>VC!DM24</f>
        <v>0</v>
      </c>
      <c r="DS52" s="7">
        <f>VC!DN24</f>
        <v>0</v>
      </c>
      <c r="DT52" s="7">
        <f>VC!DO24</f>
        <v>0</v>
      </c>
      <c r="DU52" s="7">
        <f>VC!DP24</f>
        <v>0</v>
      </c>
      <c r="DV52" s="7">
        <f>VC!DQ24</f>
        <v>0</v>
      </c>
      <c r="DW52" s="7">
        <f>VC!DR24</f>
        <v>0</v>
      </c>
      <c r="DX52" s="7">
        <f>VC!DS24</f>
        <v>0</v>
      </c>
      <c r="DY52" s="7" t="str">
        <f>VC!DT24</f>
        <v>F509V</v>
      </c>
      <c r="DZ52" s="7">
        <f>VC!DU24</f>
        <v>0</v>
      </c>
      <c r="EA52" s="7">
        <f>VC!DV24</f>
        <v>0</v>
      </c>
      <c r="EB52" s="7">
        <f>VC!DW24</f>
        <v>0</v>
      </c>
      <c r="EC52" s="7" t="str">
        <f>VC!DX24</f>
        <v>I753V</v>
      </c>
      <c r="ED52" s="7" t="str">
        <f>VC!DY24</f>
        <v>A598S</v>
      </c>
      <c r="EE52" s="7">
        <f>VC!DZ24</f>
        <v>0</v>
      </c>
      <c r="EF52" s="7">
        <f>VC!EA24</f>
        <v>0</v>
      </c>
      <c r="EG52" s="7" t="str">
        <f>VC!EB24</f>
        <v>T95I</v>
      </c>
      <c r="EH52" s="7" t="str">
        <f>VC!EC24</f>
        <v>A550V</v>
      </c>
      <c r="EI52" s="7">
        <f>VC!ED24</f>
        <v>0</v>
      </c>
      <c r="EJ52" s="7">
        <f>VC!EE24</f>
        <v>0</v>
      </c>
      <c r="EK52" s="7">
        <f>VC!EF24</f>
        <v>0</v>
      </c>
      <c r="EL52" s="7">
        <f>VC!EG24</f>
        <v>0</v>
      </c>
      <c r="EM52" s="7">
        <f>VC!EH24</f>
        <v>0</v>
      </c>
      <c r="EN52" s="7">
        <f>VC!EI24</f>
        <v>0</v>
      </c>
      <c r="EO52" s="7">
        <f>VC!EJ24</f>
        <v>0</v>
      </c>
      <c r="EP52" s="7">
        <f>VC!EK24</f>
        <v>0</v>
      </c>
      <c r="EQ52" s="7">
        <f>VC!EL24</f>
        <v>0</v>
      </c>
      <c r="ER52" s="7">
        <f>VC!EM24</f>
        <v>0</v>
      </c>
      <c r="ES52" s="7">
        <f>VC!EN24</f>
        <v>0</v>
      </c>
      <c r="ET52" s="7">
        <f>VC!EO24</f>
        <v>0</v>
      </c>
      <c r="EU52" s="7">
        <f>VC!EP24</f>
        <v>0</v>
      </c>
      <c r="EV52" s="7" t="str">
        <f>VC!EQ24</f>
        <v>DELETED</v>
      </c>
      <c r="EW52" s="7" t="str">
        <f>VC!ER24</f>
        <v>A256T; N276S; T713A</v>
      </c>
      <c r="EX52" s="7">
        <f>VC!ES24</f>
        <v>0</v>
      </c>
      <c r="EY52" s="7">
        <f>VC!ET24</f>
        <v>0</v>
      </c>
      <c r="EZ52" s="7">
        <f>VC!EU24</f>
        <v>0</v>
      </c>
      <c r="FA52" s="7">
        <f>VC!EV24</f>
        <v>0</v>
      </c>
      <c r="FB52" s="7">
        <f>VC!EW24</f>
        <v>0</v>
      </c>
      <c r="FC52" s="7">
        <f>VC!EX24</f>
        <v>0</v>
      </c>
      <c r="FD52" s="7">
        <f>VC!EY24</f>
        <v>0</v>
      </c>
      <c r="FE52" s="7">
        <f>VC!EZ24</f>
        <v>0</v>
      </c>
      <c r="FF52" s="7">
        <f>VC!FA24</f>
        <v>0</v>
      </c>
      <c r="FG52" s="7">
        <f>VC!FB24</f>
        <v>0</v>
      </c>
      <c r="FH52" s="7">
        <f>VC!FC24</f>
        <v>0</v>
      </c>
      <c r="FI52" s="7">
        <f>VC!FD24</f>
        <v>0</v>
      </c>
      <c r="FJ52" s="7">
        <f>VC!FE24</f>
        <v>0</v>
      </c>
      <c r="FK52" s="7">
        <f>VC!FF24</f>
        <v>0</v>
      </c>
      <c r="FL52" s="7">
        <f>VC!FG24</f>
        <v>0</v>
      </c>
      <c r="FM52" s="7">
        <f>VC!FH24</f>
        <v>0</v>
      </c>
      <c r="FN52" s="7">
        <f>VC!FI24</f>
        <v>0</v>
      </c>
      <c r="FO52" s="7">
        <f>VC!FJ24</f>
        <v>0</v>
      </c>
      <c r="FP52" s="7">
        <f>VC!FK24</f>
        <v>0</v>
      </c>
      <c r="FQ52" s="7">
        <f>VC!FL24</f>
        <v>0</v>
      </c>
      <c r="FR52" s="7" t="str">
        <f>VC!FM24</f>
        <v>F509V</v>
      </c>
      <c r="FS52" s="7">
        <f>VC!FN24</f>
        <v>0</v>
      </c>
      <c r="FT52" s="7">
        <f>VC!FO24</f>
        <v>0</v>
      </c>
      <c r="FU52" s="7">
        <f>VC!FP24</f>
        <v>0</v>
      </c>
      <c r="FV52" s="7">
        <f>VC!FQ24</f>
        <v>0</v>
      </c>
      <c r="FW52" s="7" t="str">
        <f>VC!FR24</f>
        <v>A842T</v>
      </c>
      <c r="FX52" s="7">
        <f>VC!FS24</f>
        <v>0</v>
      </c>
      <c r="FY52" s="7">
        <f>VC!FT24</f>
        <v>0</v>
      </c>
      <c r="FZ52" s="7">
        <f>VC!FU24</f>
        <v>0</v>
      </c>
      <c r="GA52" s="7">
        <f>VC!FV24</f>
        <v>0</v>
      </c>
      <c r="GB52" s="7">
        <f>VC!FW24</f>
        <v>0</v>
      </c>
      <c r="GC52" s="7">
        <f>VC!FX24</f>
        <v>0</v>
      </c>
      <c r="GD52" s="7">
        <f>VC!FY24</f>
        <v>0</v>
      </c>
      <c r="GE52" s="7">
        <f>VC!FZ24</f>
        <v>0</v>
      </c>
      <c r="GF52" s="7" t="str">
        <f>VC!GA24</f>
        <v>D669G</v>
      </c>
      <c r="GG52" s="7">
        <f>VC!GB24</f>
        <v>0</v>
      </c>
      <c r="GH52" s="7">
        <f>VC!GC24</f>
        <v>0</v>
      </c>
      <c r="GI52" s="7" t="str">
        <f>VC!GD24</f>
        <v>D669G</v>
      </c>
      <c r="GJ52" s="7">
        <f>VC!GE24</f>
        <v>0</v>
      </c>
      <c r="GK52" s="7">
        <f>VC!GF24</f>
        <v>0</v>
      </c>
      <c r="GL52" s="7">
        <f>VC!GG24</f>
        <v>0</v>
      </c>
      <c r="GM52" s="7">
        <f>VC!GH24</f>
        <v>0</v>
      </c>
      <c r="GN52" s="7" t="str">
        <f>VC!GI24</f>
        <v>F509V</v>
      </c>
      <c r="GO52" s="7">
        <f>VC!GJ24</f>
        <v>0</v>
      </c>
      <c r="GP52" s="7">
        <f>VC!GK24</f>
        <v>0</v>
      </c>
      <c r="GQ52" s="7">
        <f>VC!GL24</f>
        <v>0</v>
      </c>
      <c r="GR52" s="7">
        <f>VC!GM24</f>
        <v>0</v>
      </c>
      <c r="GS52" s="7">
        <f>VC!GN24</f>
        <v>0</v>
      </c>
      <c r="GT52" s="7">
        <f>VC!GO24</f>
        <v>0</v>
      </c>
      <c r="GU52" s="7">
        <f>VC!GP24</f>
        <v>0</v>
      </c>
      <c r="GV52" s="7">
        <f>VC!GQ24</f>
        <v>0</v>
      </c>
      <c r="GW52" s="7">
        <f>VC!GR24</f>
        <v>0</v>
      </c>
      <c r="GX52" s="7">
        <f>VC!GS24</f>
        <v>0</v>
      </c>
      <c r="GY52" s="7">
        <f>VC!GT24</f>
        <v>0</v>
      </c>
      <c r="GZ52" s="7">
        <f>VC!GU24</f>
        <v>0</v>
      </c>
      <c r="HA52" s="7">
        <f>VC!GV24</f>
        <v>0</v>
      </c>
      <c r="HB52" s="7">
        <f>VC!GW24</f>
        <v>0</v>
      </c>
      <c r="HC52" s="7">
        <f>VC!GX24</f>
        <v>0</v>
      </c>
    </row>
    <row r="53" spans="1:211" s="1" customFormat="1" ht="15.75" thickBot="1" x14ac:dyDescent="0.3">
      <c r="A53" s="81" t="s">
        <v>84</v>
      </c>
      <c r="B53" s="82" t="s">
        <v>87</v>
      </c>
      <c r="C53" s="83" t="s">
        <v>4</v>
      </c>
      <c r="D53" s="82" t="s">
        <v>77</v>
      </c>
      <c r="E53" s="82"/>
      <c r="F53" s="82" t="s">
        <v>74</v>
      </c>
      <c r="G53" s="111"/>
      <c r="H53" s="1">
        <f>VC!C25</f>
        <v>0</v>
      </c>
      <c r="I53" s="1" t="str">
        <f>VC!D25</f>
        <v>A12T</v>
      </c>
      <c r="J53" s="1">
        <f>VC!E25</f>
        <v>0</v>
      </c>
      <c r="K53" s="1">
        <f>VC!F25</f>
        <v>0</v>
      </c>
      <c r="L53" s="1">
        <f>VC!G25</f>
        <v>0</v>
      </c>
      <c r="M53" s="1">
        <f>VC!H25</f>
        <v>0</v>
      </c>
      <c r="N53" s="1">
        <f>VC!I25</f>
        <v>0</v>
      </c>
      <c r="O53" s="1">
        <f>VC!J25</f>
        <v>0</v>
      </c>
      <c r="P53" s="1">
        <f>VC!K25</f>
        <v>0</v>
      </c>
      <c r="Q53" s="1" t="str">
        <f>VC!L25</f>
        <v>A228V</v>
      </c>
      <c r="R53" s="1">
        <f>VC!M25</f>
        <v>0</v>
      </c>
      <c r="S53" s="1">
        <f>VC!N25</f>
        <v>0</v>
      </c>
      <c r="T53" s="1">
        <f>VC!O25</f>
        <v>0</v>
      </c>
      <c r="U53" s="1">
        <f>VC!P25</f>
        <v>0</v>
      </c>
      <c r="V53" s="1">
        <f>VC!Q25</f>
        <v>0</v>
      </c>
      <c r="W53" s="1">
        <f>VC!R25</f>
        <v>0</v>
      </c>
      <c r="X53" s="1">
        <f>VC!S25</f>
        <v>0</v>
      </c>
      <c r="Y53" s="1">
        <f>VC!T25</f>
        <v>0</v>
      </c>
      <c r="Z53" s="1">
        <f>VC!U25</f>
        <v>0</v>
      </c>
      <c r="AA53" s="1">
        <f>VC!V25</f>
        <v>0</v>
      </c>
      <c r="AB53" s="1">
        <f>VC!W25</f>
        <v>0</v>
      </c>
      <c r="AC53" s="1">
        <f>VC!X25</f>
        <v>0</v>
      </c>
      <c r="AD53" s="1">
        <f>VC!Y25</f>
        <v>0</v>
      </c>
      <c r="AE53" s="1">
        <f>VC!Z25</f>
        <v>0</v>
      </c>
      <c r="AF53" s="1">
        <f>VC!AA25</f>
        <v>0</v>
      </c>
      <c r="AG53" s="1">
        <f>VC!AB25</f>
        <v>0</v>
      </c>
      <c r="AH53" s="1" t="str">
        <f>VC!AC25</f>
        <v>R363H</v>
      </c>
      <c r="AI53" s="1">
        <f>VC!AD25</f>
        <v>0</v>
      </c>
      <c r="AJ53" s="1">
        <f>VC!AE25</f>
        <v>0</v>
      </c>
      <c r="AK53" s="1">
        <f>VC!AF25</f>
        <v>0</v>
      </c>
      <c r="AL53" s="1">
        <f>VC!AG25</f>
        <v>0</v>
      </c>
      <c r="AM53" s="1">
        <f>VC!AH25</f>
        <v>0</v>
      </c>
      <c r="AN53" s="1">
        <f>VC!AI25</f>
        <v>0</v>
      </c>
      <c r="AO53" s="1">
        <f>VC!AJ25</f>
        <v>0</v>
      </c>
      <c r="AP53" s="1" t="str">
        <f>VC!AK25</f>
        <v>R151L</v>
      </c>
      <c r="AQ53" s="1">
        <f>VC!AL25</f>
        <v>0</v>
      </c>
      <c r="AR53" s="1">
        <f>VC!AM25</f>
        <v>0</v>
      </c>
      <c r="AS53" s="1">
        <f>VC!AN25</f>
        <v>0</v>
      </c>
      <c r="AT53" s="1">
        <f>VC!AO25</f>
        <v>0</v>
      </c>
      <c r="AU53" s="1">
        <f>VC!AP25</f>
        <v>0</v>
      </c>
      <c r="AV53" s="1">
        <f>VC!AQ25</f>
        <v>0</v>
      </c>
      <c r="AW53" s="1">
        <f>VC!AR25</f>
        <v>0</v>
      </c>
      <c r="AX53" s="1" t="str">
        <f>VC!AS25</f>
        <v>D102N</v>
      </c>
      <c r="AY53" s="1">
        <f>VC!AT25</f>
        <v>0</v>
      </c>
      <c r="AZ53" s="1">
        <f>VC!AU25</f>
        <v>0</v>
      </c>
      <c r="BA53" s="1">
        <f>VC!AV25</f>
        <v>0</v>
      </c>
      <c r="BB53" s="1">
        <f>VC!AW25</f>
        <v>0</v>
      </c>
      <c r="BC53" s="1">
        <f>VC!AX25</f>
        <v>0</v>
      </c>
      <c r="BD53" s="1">
        <f>VC!AY25</f>
        <v>0</v>
      </c>
      <c r="BE53" s="1">
        <f>VC!AZ25</f>
        <v>0</v>
      </c>
      <c r="BF53" s="1" t="str">
        <f>VC!BA25</f>
        <v>R455H</v>
      </c>
      <c r="BG53" s="1">
        <f>VC!BB25</f>
        <v>0</v>
      </c>
      <c r="BH53" s="1" t="str">
        <f>VC!BC25</f>
        <v>G364S</v>
      </c>
      <c r="BI53" s="1">
        <f>VC!BD25</f>
        <v>0</v>
      </c>
      <c r="BJ53" s="1">
        <f>VC!BE25</f>
        <v>0</v>
      </c>
      <c r="BK53" s="1">
        <f>VC!BF25</f>
        <v>0</v>
      </c>
      <c r="BL53" s="1">
        <f>VC!BG25</f>
        <v>0</v>
      </c>
      <c r="BM53" s="1">
        <f>VC!BH25</f>
        <v>0</v>
      </c>
      <c r="BN53" s="1">
        <f>VC!BI25</f>
        <v>0</v>
      </c>
      <c r="BO53" s="1">
        <f>VC!BJ25</f>
        <v>0</v>
      </c>
      <c r="BP53" s="1">
        <f>VC!BK25</f>
        <v>0</v>
      </c>
      <c r="BQ53" s="1">
        <f>VC!BL25</f>
        <v>0</v>
      </c>
      <c r="BR53" s="1">
        <f>VC!BM25</f>
        <v>0</v>
      </c>
      <c r="BS53" s="1">
        <f>VC!BN25</f>
        <v>0</v>
      </c>
      <c r="BT53" s="1">
        <f>VC!BO25</f>
        <v>0</v>
      </c>
      <c r="BU53" s="1">
        <f>VC!BP25</f>
        <v>0</v>
      </c>
      <c r="BV53" s="1">
        <f>VC!BQ25</f>
        <v>0</v>
      </c>
      <c r="BW53" s="1">
        <f>VC!BR25</f>
        <v>0</v>
      </c>
      <c r="BX53" s="1">
        <f>VC!BS25</f>
        <v>0</v>
      </c>
      <c r="BY53" s="1">
        <f>VC!BT25</f>
        <v>0</v>
      </c>
      <c r="BZ53" s="1">
        <f>VC!BU25</f>
        <v>0</v>
      </c>
      <c r="CA53" s="1">
        <f>VC!BV25</f>
        <v>0</v>
      </c>
      <c r="CB53" s="1">
        <f>VC!BW25</f>
        <v>0</v>
      </c>
      <c r="CC53" s="1">
        <f>VC!BX25</f>
        <v>0</v>
      </c>
      <c r="CD53" s="1">
        <f>VC!BY25</f>
        <v>0</v>
      </c>
      <c r="CE53" s="1">
        <f>VC!BZ25</f>
        <v>0</v>
      </c>
      <c r="CF53" s="1">
        <f>VC!CA25</f>
        <v>0</v>
      </c>
      <c r="CG53" s="1">
        <f>VC!CB25</f>
        <v>0</v>
      </c>
      <c r="CH53" s="1">
        <f>VC!CC25</f>
        <v>0</v>
      </c>
      <c r="CI53" s="1">
        <f>VC!CD25</f>
        <v>0</v>
      </c>
      <c r="CJ53" s="1">
        <f>VC!CE25</f>
        <v>0</v>
      </c>
      <c r="CK53" s="1">
        <f>VC!CF25</f>
        <v>0</v>
      </c>
      <c r="CL53" s="1">
        <f>VC!CG25</f>
        <v>0</v>
      </c>
      <c r="CM53" s="1">
        <f>VC!CH25</f>
        <v>0</v>
      </c>
      <c r="CN53" s="1">
        <f>VC!CI25</f>
        <v>0</v>
      </c>
      <c r="CO53" s="1" t="str">
        <f>VC!CJ25</f>
        <v>T27A</v>
      </c>
      <c r="CP53" s="1">
        <f>VC!CK25</f>
        <v>0</v>
      </c>
      <c r="CQ53" s="1">
        <f>VC!CL25</f>
        <v>0</v>
      </c>
      <c r="CR53" s="1" t="str">
        <f>VC!CM25</f>
        <v>P35L</v>
      </c>
      <c r="CS53" s="1">
        <f>VC!CN25</f>
        <v>0</v>
      </c>
      <c r="CT53" s="1">
        <f>VC!CO25</f>
        <v>0</v>
      </c>
      <c r="CU53" s="1">
        <f>VC!CP25</f>
        <v>0</v>
      </c>
      <c r="CV53" s="1">
        <f>VC!CQ25</f>
        <v>0</v>
      </c>
      <c r="CW53" s="1">
        <f>VC!CR25</f>
        <v>0</v>
      </c>
      <c r="CX53" s="1">
        <f>VC!CS25</f>
        <v>0</v>
      </c>
      <c r="CY53" s="1">
        <f>VC!CT25</f>
        <v>0</v>
      </c>
      <c r="CZ53" s="1">
        <f>VC!CU25</f>
        <v>0</v>
      </c>
      <c r="DA53" s="1">
        <f>VC!CV25</f>
        <v>0</v>
      </c>
      <c r="DB53" s="1">
        <f>VC!CW25</f>
        <v>0</v>
      </c>
      <c r="DC53" s="1">
        <f>VC!CX25</f>
        <v>0</v>
      </c>
      <c r="DD53" s="1">
        <f>VC!CY25</f>
        <v>0</v>
      </c>
      <c r="DE53" s="1">
        <f>VC!CZ25</f>
        <v>0</v>
      </c>
      <c r="DF53" s="1">
        <f>VC!DA25</f>
        <v>0</v>
      </c>
      <c r="DG53" s="1">
        <f>VC!DB25</f>
        <v>0</v>
      </c>
      <c r="DH53" s="1" t="str">
        <f>VC!DC25</f>
        <v>A12T</v>
      </c>
      <c r="DI53" s="1">
        <f>VC!DD25</f>
        <v>0</v>
      </c>
      <c r="DJ53" s="1">
        <f>VC!DE25</f>
        <v>0</v>
      </c>
      <c r="DK53" s="1">
        <f>VC!DF25</f>
        <v>0</v>
      </c>
      <c r="DL53" s="1">
        <f>VC!DG25</f>
        <v>0</v>
      </c>
      <c r="DM53" s="1">
        <f>VC!DH25</f>
        <v>0</v>
      </c>
      <c r="DN53" s="1">
        <f>VC!DI25</f>
        <v>0</v>
      </c>
      <c r="DO53" s="1">
        <f>VC!DJ25</f>
        <v>0</v>
      </c>
      <c r="DP53" s="1" t="str">
        <f>VC!DK25</f>
        <v>R151L</v>
      </c>
      <c r="DQ53" s="1">
        <f>VC!DL25</f>
        <v>0</v>
      </c>
      <c r="DR53" s="1">
        <f>VC!DM25</f>
        <v>0</v>
      </c>
      <c r="DS53" s="1" t="str">
        <f>VC!DN25</f>
        <v>A113S</v>
      </c>
      <c r="DT53" s="1">
        <f>VC!DO25</f>
        <v>0</v>
      </c>
      <c r="DU53" s="1" t="str">
        <f>VC!DP25</f>
        <v>P470S</v>
      </c>
      <c r="DV53" s="1">
        <f>VC!DQ25</f>
        <v>0</v>
      </c>
      <c r="DW53" s="1">
        <f>VC!DR25</f>
        <v>0</v>
      </c>
      <c r="DX53" s="1">
        <f>VC!DS25</f>
        <v>0</v>
      </c>
      <c r="DY53" s="1" t="str">
        <f>VC!DT25</f>
        <v>R150H</v>
      </c>
      <c r="DZ53" s="1">
        <f>VC!DU25</f>
        <v>0</v>
      </c>
      <c r="EA53" s="1">
        <f>VC!DV25</f>
        <v>0</v>
      </c>
      <c r="EB53" s="1">
        <f>VC!DW25</f>
        <v>0</v>
      </c>
      <c r="EC53" s="1">
        <f>VC!DX25</f>
        <v>0</v>
      </c>
      <c r="ED53" s="1">
        <f>VC!DY25</f>
        <v>0</v>
      </c>
      <c r="EE53" s="1">
        <f>VC!DZ25</f>
        <v>0</v>
      </c>
      <c r="EF53" s="1">
        <f>VC!EA25</f>
        <v>0</v>
      </c>
      <c r="EG53" s="1">
        <f>VC!EB25</f>
        <v>0</v>
      </c>
      <c r="EH53" s="1">
        <f>VC!EC25</f>
        <v>0</v>
      </c>
      <c r="EI53" s="1" t="str">
        <f>VC!ED25</f>
        <v>T34S</v>
      </c>
      <c r="EJ53" s="1">
        <f>VC!EE25</f>
        <v>0</v>
      </c>
      <c r="EK53" s="1" t="str">
        <f>VC!EF25</f>
        <v>A12T</v>
      </c>
      <c r="EL53" s="1">
        <f>VC!EG25</f>
        <v>0</v>
      </c>
      <c r="EM53" s="1">
        <f>VC!EH25</f>
        <v>0</v>
      </c>
      <c r="EN53" s="1">
        <f>VC!EI25</f>
        <v>0</v>
      </c>
      <c r="EO53" s="1" t="str">
        <f>VC!EJ25</f>
        <v>A140T</v>
      </c>
      <c r="EP53" s="1">
        <f>VC!EK25</f>
        <v>0</v>
      </c>
      <c r="EQ53" s="1">
        <f>VC!EL25</f>
        <v>0</v>
      </c>
      <c r="ER53" s="1">
        <f>VC!EM25</f>
        <v>0</v>
      </c>
      <c r="ES53" s="1">
        <f>VC!EN25</f>
        <v>0</v>
      </c>
      <c r="ET53" s="1">
        <f>VC!EO25</f>
        <v>0</v>
      </c>
      <c r="EU53" s="1">
        <f>VC!EP25</f>
        <v>0</v>
      </c>
      <c r="EV53" s="1" t="str">
        <f>VC!EQ25</f>
        <v>DELETED</v>
      </c>
      <c r="EW53" s="1" t="str">
        <f>VC!ER25</f>
        <v>S77T; T275S</v>
      </c>
      <c r="EX53" s="1">
        <f>VC!ES25</f>
        <v>0</v>
      </c>
      <c r="EY53" s="1">
        <f>VC!ET25</f>
        <v>0</v>
      </c>
      <c r="EZ53" s="1">
        <f>VC!EU25</f>
        <v>0</v>
      </c>
      <c r="FA53" s="1">
        <f>VC!EV25</f>
        <v>0</v>
      </c>
      <c r="FB53" s="1">
        <f>VC!EW25</f>
        <v>0</v>
      </c>
      <c r="FC53" s="1">
        <f>VC!EX25</f>
        <v>0</v>
      </c>
      <c r="FD53" s="1">
        <f>VC!EY25</f>
        <v>0</v>
      </c>
      <c r="FE53" s="1">
        <f>VC!EZ25</f>
        <v>0</v>
      </c>
      <c r="FF53" s="1">
        <f>VC!FA25</f>
        <v>0</v>
      </c>
      <c r="FG53" s="1">
        <f>VC!FB25</f>
        <v>0</v>
      </c>
      <c r="FH53" s="1">
        <f>VC!FC25</f>
        <v>0</v>
      </c>
      <c r="FI53" s="1">
        <f>VC!FD25</f>
        <v>0</v>
      </c>
      <c r="FJ53" s="1">
        <f>VC!FE25</f>
        <v>0</v>
      </c>
      <c r="FK53" s="1">
        <f>VC!FF25</f>
        <v>0</v>
      </c>
      <c r="FL53" s="1">
        <f>VC!FG25</f>
        <v>0</v>
      </c>
      <c r="FM53" s="1">
        <f>VC!FH25</f>
        <v>0</v>
      </c>
      <c r="FN53" s="1">
        <f>VC!FI25</f>
        <v>0</v>
      </c>
      <c r="FO53" s="1">
        <f>VC!FJ25</f>
        <v>0</v>
      </c>
      <c r="FP53" s="1">
        <f>VC!FK25</f>
        <v>0</v>
      </c>
      <c r="FQ53" s="1">
        <f>VC!FL25</f>
        <v>0</v>
      </c>
      <c r="FR53" s="1">
        <f>VC!FM25</f>
        <v>0</v>
      </c>
      <c r="FS53" s="1">
        <f>VC!FN25</f>
        <v>0</v>
      </c>
      <c r="FT53" s="1">
        <f>VC!FO25</f>
        <v>0</v>
      </c>
      <c r="FU53" s="1">
        <f>VC!FP25</f>
        <v>0</v>
      </c>
      <c r="FV53" s="1">
        <f>VC!FQ25</f>
        <v>0</v>
      </c>
      <c r="FW53" s="1">
        <f>VC!FR25</f>
        <v>0</v>
      </c>
      <c r="FX53" s="1">
        <f>VC!FS25</f>
        <v>0</v>
      </c>
      <c r="FY53" s="1">
        <f>VC!FT25</f>
        <v>0</v>
      </c>
      <c r="FZ53" s="1">
        <f>VC!FU25</f>
        <v>0</v>
      </c>
      <c r="GA53" s="1">
        <f>VC!FV25</f>
        <v>0</v>
      </c>
      <c r="GB53" s="1">
        <f>VC!FW25</f>
        <v>0</v>
      </c>
      <c r="GC53" s="1">
        <f>VC!FX25</f>
        <v>0</v>
      </c>
      <c r="GD53" s="1">
        <f>VC!FY25</f>
        <v>0</v>
      </c>
      <c r="GE53" s="1" t="str">
        <f>VC!FZ25</f>
        <v>V172I</v>
      </c>
      <c r="GF53" s="1">
        <f>VC!GA25</f>
        <v>0</v>
      </c>
      <c r="GG53" s="1">
        <f>VC!GB25</f>
        <v>0</v>
      </c>
      <c r="GH53" s="1" t="str">
        <f>VC!GC25</f>
        <v>D31V</v>
      </c>
      <c r="GI53" s="1">
        <f>VC!GD25</f>
        <v>0</v>
      </c>
      <c r="GJ53" s="1">
        <f>VC!GE25</f>
        <v>0</v>
      </c>
      <c r="GK53" s="1">
        <f>VC!GF25</f>
        <v>0</v>
      </c>
      <c r="GL53" s="1">
        <f>VC!GG25</f>
        <v>0</v>
      </c>
      <c r="GM53" s="1">
        <f>VC!GH25</f>
        <v>0</v>
      </c>
      <c r="GN53" s="1">
        <f>VC!GI25</f>
        <v>0</v>
      </c>
      <c r="GO53" s="1">
        <f>VC!GJ25</f>
        <v>0</v>
      </c>
      <c r="GP53" s="1">
        <f>VC!GK25</f>
        <v>0</v>
      </c>
      <c r="GQ53" s="1">
        <f>VC!GL25</f>
        <v>0</v>
      </c>
      <c r="GR53" s="1" t="str">
        <f>VC!GM25</f>
        <v>A113S</v>
      </c>
      <c r="GS53" s="1">
        <f>VC!GN25</f>
        <v>0</v>
      </c>
      <c r="GT53" s="1">
        <f>VC!GO25</f>
        <v>0</v>
      </c>
      <c r="GU53" s="1">
        <f>VC!GP25</f>
        <v>0</v>
      </c>
      <c r="GV53" s="1">
        <f>VC!GQ25</f>
        <v>0</v>
      </c>
      <c r="GW53" s="1" t="str">
        <f>VC!GR25</f>
        <v>D98E</v>
      </c>
      <c r="GX53" s="1">
        <f>VC!GS25</f>
        <v>0</v>
      </c>
      <c r="GY53" s="1">
        <f>VC!GT25</f>
        <v>0</v>
      </c>
      <c r="GZ53" s="1">
        <f>VC!GU25</f>
        <v>0</v>
      </c>
      <c r="HA53" s="1">
        <f>VC!GV25</f>
        <v>0</v>
      </c>
      <c r="HB53" s="1">
        <f>VC!GW25</f>
        <v>0</v>
      </c>
      <c r="HC53" s="1">
        <f>VC!GX25</f>
        <v>0</v>
      </c>
    </row>
    <row r="54" spans="1:211" s="7" customFormat="1" x14ac:dyDescent="0.25">
      <c r="A54" s="30" t="s">
        <v>19</v>
      </c>
      <c r="B54" s="30" t="s">
        <v>79</v>
      </c>
      <c r="C54" s="31" t="s">
        <v>1</v>
      </c>
      <c r="D54" s="30" t="s">
        <v>76</v>
      </c>
      <c r="E54" s="30" t="s">
        <v>147</v>
      </c>
      <c r="F54" s="30" t="s">
        <v>74</v>
      </c>
      <c r="G54" s="30" t="s">
        <v>136</v>
      </c>
      <c r="H54" s="7" t="str">
        <f>VC!C26</f>
        <v>T428P</v>
      </c>
      <c r="I54" s="7">
        <f>VC!D26</f>
        <v>0</v>
      </c>
      <c r="J54" s="7">
        <f>VC!E26</f>
        <v>0</v>
      </c>
      <c r="K54" s="7">
        <f>VC!F26</f>
        <v>0</v>
      </c>
      <c r="L54" s="7">
        <f>VC!G26</f>
        <v>0</v>
      </c>
      <c r="M54" s="7">
        <f>VC!H26</f>
        <v>0</v>
      </c>
      <c r="N54" s="7">
        <f>VC!I26</f>
        <v>0</v>
      </c>
      <c r="O54" s="7">
        <f>VC!J26</f>
        <v>0</v>
      </c>
      <c r="P54" s="7">
        <f>VC!K26</f>
        <v>0</v>
      </c>
      <c r="Q54" s="7">
        <f>VC!L26</f>
        <v>0</v>
      </c>
      <c r="R54" s="7">
        <f>VC!M26</f>
        <v>0</v>
      </c>
      <c r="S54" s="7">
        <f>VC!N26</f>
        <v>0</v>
      </c>
      <c r="T54" s="7">
        <f>VC!O26</f>
        <v>0</v>
      </c>
      <c r="U54" s="7">
        <f>VC!P26</f>
        <v>0</v>
      </c>
      <c r="V54" s="7">
        <f>VC!Q26</f>
        <v>0</v>
      </c>
      <c r="W54" s="7">
        <f>VC!R26</f>
        <v>0</v>
      </c>
      <c r="X54" s="7">
        <f>VC!S26</f>
        <v>0</v>
      </c>
      <c r="Y54" s="7">
        <f>VC!T26</f>
        <v>0</v>
      </c>
      <c r="Z54" s="7">
        <f>VC!U26</f>
        <v>0</v>
      </c>
      <c r="AA54" s="7">
        <f>VC!V26</f>
        <v>0</v>
      </c>
      <c r="AB54" s="7">
        <f>VC!W26</f>
        <v>0</v>
      </c>
      <c r="AC54" s="7">
        <f>VC!X26</f>
        <v>0</v>
      </c>
      <c r="AD54" s="7">
        <f>VC!Y26</f>
        <v>0</v>
      </c>
      <c r="AE54" s="7">
        <f>VC!Z26</f>
        <v>0</v>
      </c>
      <c r="AF54" s="7">
        <f>VC!AA26</f>
        <v>0</v>
      </c>
      <c r="AG54" s="7">
        <f>VC!AB26</f>
        <v>0</v>
      </c>
      <c r="AH54" s="7">
        <f>VC!AC26</f>
        <v>0</v>
      </c>
      <c r="AI54" s="7">
        <f>VC!AD26</f>
        <v>0</v>
      </c>
      <c r="AJ54" s="7">
        <f>VC!AE26</f>
        <v>0</v>
      </c>
      <c r="AK54" s="7">
        <f>VC!AF26</f>
        <v>0</v>
      </c>
      <c r="AL54" s="7">
        <f>VC!AG26</f>
        <v>0</v>
      </c>
      <c r="AM54" s="7">
        <f>VC!AH26</f>
        <v>0</v>
      </c>
      <c r="AN54" s="7">
        <f>VC!AI26</f>
        <v>0</v>
      </c>
      <c r="AO54" s="93" t="str">
        <f>VC!AJ26</f>
        <v>Y61H</v>
      </c>
      <c r="AP54" s="7">
        <f>VC!AK26</f>
        <v>0</v>
      </c>
      <c r="AQ54" s="7">
        <f>VC!AL26</f>
        <v>0</v>
      </c>
      <c r="AR54" s="7">
        <f>VC!AM26</f>
        <v>0</v>
      </c>
      <c r="AS54" s="7">
        <f>VC!AN26</f>
        <v>0</v>
      </c>
      <c r="AT54" s="7">
        <f>VC!AO26</f>
        <v>0</v>
      </c>
      <c r="AU54" s="7">
        <f>VC!AP26</f>
        <v>0</v>
      </c>
      <c r="AV54" s="7">
        <f>VC!AQ26</f>
        <v>0</v>
      </c>
      <c r="AW54" s="7">
        <f>VC!AR26</f>
        <v>0</v>
      </c>
      <c r="AX54" s="7">
        <f>VC!AS26</f>
        <v>0</v>
      </c>
      <c r="AY54" s="7">
        <f>VC!AT26</f>
        <v>0</v>
      </c>
      <c r="AZ54" s="7">
        <f>VC!AU26</f>
        <v>0</v>
      </c>
      <c r="BA54" s="7">
        <f>VC!AV26</f>
        <v>0</v>
      </c>
      <c r="BB54" s="7">
        <f>VC!AW26</f>
        <v>0</v>
      </c>
      <c r="BC54" s="7">
        <f>VC!AX26</f>
        <v>0</v>
      </c>
      <c r="BD54" s="7">
        <f>VC!AY26</f>
        <v>0</v>
      </c>
      <c r="BE54" s="7">
        <f>VC!AZ26</f>
        <v>0</v>
      </c>
      <c r="BF54" s="7">
        <f>VC!BA26</f>
        <v>0</v>
      </c>
      <c r="BG54" s="7">
        <f>VC!BB26</f>
        <v>0</v>
      </c>
      <c r="BH54" s="7">
        <f>VC!BC26</f>
        <v>0</v>
      </c>
      <c r="BI54" s="7">
        <f>VC!BD26</f>
        <v>0</v>
      </c>
      <c r="BJ54" s="7">
        <f>VC!BE26</f>
        <v>0</v>
      </c>
      <c r="BK54" s="7">
        <f>VC!BF26</f>
        <v>0</v>
      </c>
      <c r="BL54" s="7">
        <f>VC!BG26</f>
        <v>0</v>
      </c>
      <c r="BM54" s="7">
        <f>VC!BH26</f>
        <v>0</v>
      </c>
      <c r="BN54" s="7">
        <f>VC!BI26</f>
        <v>0</v>
      </c>
      <c r="BO54" s="7">
        <f>VC!BJ26</f>
        <v>0</v>
      </c>
      <c r="BP54" s="7">
        <f>VC!BK26</f>
        <v>0</v>
      </c>
      <c r="BQ54" s="7">
        <f>VC!BL26</f>
        <v>0</v>
      </c>
      <c r="BR54" s="7">
        <f>VC!BM26</f>
        <v>0</v>
      </c>
      <c r="BS54" s="7">
        <f>VC!BN26</f>
        <v>0</v>
      </c>
      <c r="BT54" s="7">
        <f>VC!BO26</f>
        <v>0</v>
      </c>
      <c r="BU54" s="7">
        <f>VC!BP26</f>
        <v>0</v>
      </c>
      <c r="BV54" s="7" t="str">
        <f>VC!BQ26</f>
        <v>G263S</v>
      </c>
      <c r="BW54" s="7">
        <f>VC!BR26</f>
        <v>0</v>
      </c>
      <c r="BX54" s="7" t="str">
        <f>VC!BS26</f>
        <v>D176N</v>
      </c>
      <c r="BY54" s="7">
        <f>VC!BT26</f>
        <v>0</v>
      </c>
      <c r="BZ54" s="7">
        <f>VC!BU26</f>
        <v>0</v>
      </c>
      <c r="CA54" s="7" t="str">
        <f>VC!BV26</f>
        <v>A340G</v>
      </c>
      <c r="CB54" s="7">
        <f>VC!BW26</f>
        <v>0</v>
      </c>
      <c r="CC54" s="7">
        <f>VC!BX26</f>
        <v>0</v>
      </c>
      <c r="CD54" s="7">
        <f>VC!BY26</f>
        <v>0</v>
      </c>
      <c r="CE54" s="7">
        <f>VC!BZ26</f>
        <v>0</v>
      </c>
      <c r="CF54" s="7">
        <f>VC!CA26</f>
        <v>0</v>
      </c>
      <c r="CG54" s="7">
        <f>VC!CB26</f>
        <v>0</v>
      </c>
      <c r="CH54" s="7">
        <f>VC!CC26</f>
        <v>0</v>
      </c>
      <c r="CI54" s="7">
        <f>VC!CD26</f>
        <v>0</v>
      </c>
      <c r="CJ54" s="7">
        <f>VC!CE26</f>
        <v>0</v>
      </c>
      <c r="CK54" s="7">
        <f>VC!CF26</f>
        <v>0</v>
      </c>
      <c r="CL54" s="7">
        <f>VC!CG26</f>
        <v>0</v>
      </c>
      <c r="CM54" s="7">
        <f>VC!CH26</f>
        <v>0</v>
      </c>
      <c r="CN54" s="7">
        <f>VC!CI26</f>
        <v>0</v>
      </c>
      <c r="CO54" s="7">
        <f>VC!CJ26</f>
        <v>0</v>
      </c>
      <c r="CP54" s="7">
        <f>VC!CK26</f>
        <v>0</v>
      </c>
      <c r="CQ54" s="7" t="str">
        <f>VC!CL26</f>
        <v>A434T</v>
      </c>
      <c r="CR54" s="7">
        <f>VC!CM26</f>
        <v>0</v>
      </c>
      <c r="CS54" s="7">
        <f>VC!CN26</f>
        <v>0</v>
      </c>
      <c r="CT54" s="7">
        <f>VC!CO26</f>
        <v>0</v>
      </c>
      <c r="CU54" s="7">
        <f>VC!CP26</f>
        <v>0</v>
      </c>
      <c r="CV54" s="7">
        <f>VC!CQ26</f>
        <v>0</v>
      </c>
      <c r="CW54" s="7">
        <f>VC!CR26</f>
        <v>0</v>
      </c>
      <c r="CX54" s="7">
        <f>VC!CS26</f>
        <v>0</v>
      </c>
      <c r="CY54" s="7">
        <f>VC!CT26</f>
        <v>0</v>
      </c>
      <c r="CZ54" s="7">
        <f>VC!CU26</f>
        <v>0</v>
      </c>
      <c r="DA54" s="7">
        <f>VC!CV26</f>
        <v>0</v>
      </c>
      <c r="DB54" s="7">
        <f>VC!CW26</f>
        <v>0</v>
      </c>
      <c r="DC54" s="7">
        <f>VC!CX26</f>
        <v>0</v>
      </c>
      <c r="DD54" s="7">
        <f>VC!CY26</f>
        <v>0</v>
      </c>
      <c r="DE54" s="7">
        <f>VC!CZ26</f>
        <v>0</v>
      </c>
      <c r="DF54" s="7">
        <f>VC!DA26</f>
        <v>0</v>
      </c>
      <c r="DG54" s="7">
        <f>VC!DB26</f>
        <v>0</v>
      </c>
      <c r="DH54" s="7">
        <f>VC!DC26</f>
        <v>0</v>
      </c>
      <c r="DI54" s="7">
        <f>VC!DD26</f>
        <v>0</v>
      </c>
      <c r="DJ54" s="7">
        <f>VC!DE26</f>
        <v>0</v>
      </c>
      <c r="DK54" s="7">
        <f>VC!DF26</f>
        <v>0</v>
      </c>
      <c r="DL54" s="7">
        <f>VC!DG26</f>
        <v>0</v>
      </c>
      <c r="DM54" s="7">
        <f>VC!DH26</f>
        <v>0</v>
      </c>
      <c r="DN54" s="7">
        <f>VC!DI26</f>
        <v>0</v>
      </c>
      <c r="DO54" s="7">
        <f>VC!DJ26</f>
        <v>0</v>
      </c>
      <c r="DP54" s="7">
        <f>VC!DK26</f>
        <v>0</v>
      </c>
      <c r="DQ54" s="7">
        <f>VC!DL26</f>
        <v>0</v>
      </c>
      <c r="DR54" s="7">
        <f>VC!DM26</f>
        <v>0</v>
      </c>
      <c r="DS54" s="7">
        <f>VC!DN26</f>
        <v>0</v>
      </c>
      <c r="DT54" s="7">
        <f>VC!DO26</f>
        <v>0</v>
      </c>
      <c r="DU54" s="7">
        <f>VC!DP26</f>
        <v>0</v>
      </c>
      <c r="DV54" s="7">
        <f>VC!DQ26</f>
        <v>0</v>
      </c>
      <c r="DW54" s="7">
        <f>VC!DR26</f>
        <v>0</v>
      </c>
      <c r="DX54" s="7">
        <f>VC!DS26</f>
        <v>0</v>
      </c>
      <c r="DY54" s="7">
        <f>VC!DT26</f>
        <v>0</v>
      </c>
      <c r="DZ54" s="7">
        <f>VC!DU26</f>
        <v>0</v>
      </c>
      <c r="EA54" s="7">
        <f>VC!DV26</f>
        <v>0</v>
      </c>
      <c r="EB54" s="7">
        <f>VC!DW26</f>
        <v>0</v>
      </c>
      <c r="EC54" s="7">
        <f>VC!DX26</f>
        <v>0</v>
      </c>
      <c r="ED54" s="7">
        <f>VC!DY26</f>
        <v>0</v>
      </c>
      <c r="EE54" s="7">
        <f>VC!DZ26</f>
        <v>0</v>
      </c>
      <c r="EF54" s="7">
        <f>VC!EA26</f>
        <v>0</v>
      </c>
      <c r="EG54" s="7">
        <f>VC!EB26</f>
        <v>0</v>
      </c>
      <c r="EH54" s="7" t="str">
        <f>VC!EC26</f>
        <v>T27S; S150G</v>
      </c>
      <c r="EI54" s="7">
        <f>VC!ED26</f>
        <v>0</v>
      </c>
      <c r="EJ54" s="7">
        <f>VC!EE26</f>
        <v>0</v>
      </c>
      <c r="EK54" s="7">
        <f>VC!EF26</f>
        <v>0</v>
      </c>
      <c r="EL54" s="7">
        <f>VC!EG26</f>
        <v>0</v>
      </c>
      <c r="EM54" s="7">
        <f>VC!EH26</f>
        <v>0</v>
      </c>
      <c r="EN54" s="7">
        <f>VC!EI26</f>
        <v>0</v>
      </c>
      <c r="EO54" s="7">
        <f>VC!EJ26</f>
        <v>0</v>
      </c>
      <c r="EP54" s="7">
        <f>VC!EK26</f>
        <v>0</v>
      </c>
      <c r="EQ54" s="7">
        <f>VC!EL26</f>
        <v>0</v>
      </c>
      <c r="ER54" s="7">
        <f>VC!EM26</f>
        <v>0</v>
      </c>
      <c r="ES54" s="7">
        <f>VC!EN26</f>
        <v>0</v>
      </c>
      <c r="ET54" s="7">
        <f>VC!EO26</f>
        <v>0</v>
      </c>
      <c r="EU54" s="7">
        <f>VC!EP26</f>
        <v>0</v>
      </c>
      <c r="EV54" s="7">
        <f>VC!EQ26</f>
        <v>0</v>
      </c>
      <c r="EW54" s="7" t="str">
        <f>VC!ER26</f>
        <v>R475Q</v>
      </c>
      <c r="EX54" s="7">
        <f>VC!ES26</f>
        <v>0</v>
      </c>
      <c r="EY54" s="7">
        <f>VC!ET26</f>
        <v>0</v>
      </c>
      <c r="EZ54" s="7">
        <f>VC!EU26</f>
        <v>0</v>
      </c>
      <c r="FA54" s="7">
        <f>VC!EV26</f>
        <v>0</v>
      </c>
      <c r="FB54" s="7">
        <f>VC!EW26</f>
        <v>0</v>
      </c>
      <c r="FC54" s="7">
        <f>VC!EX26</f>
        <v>0</v>
      </c>
      <c r="FD54" s="7">
        <f>VC!EY26</f>
        <v>0</v>
      </c>
      <c r="FE54" s="7">
        <f>VC!EZ26</f>
        <v>0</v>
      </c>
      <c r="FF54" s="7">
        <f>VC!FA26</f>
        <v>0</v>
      </c>
      <c r="FG54" s="7">
        <f>VC!FB26</f>
        <v>0</v>
      </c>
      <c r="FH54" s="7">
        <f>VC!FC26</f>
        <v>0</v>
      </c>
      <c r="FI54" s="7" t="str">
        <f>VC!FD26</f>
        <v>F324I</v>
      </c>
      <c r="FJ54" s="7">
        <f>VC!FE26</f>
        <v>0</v>
      </c>
      <c r="FK54" s="7">
        <f>VC!FF26</f>
        <v>0</v>
      </c>
      <c r="FL54" s="7" t="s">
        <v>1049</v>
      </c>
      <c r="FM54" s="7">
        <f>VC!FH26</f>
        <v>0</v>
      </c>
      <c r="FN54" s="7">
        <f>VC!FI26</f>
        <v>0</v>
      </c>
      <c r="FO54" s="7">
        <f>VC!FJ26</f>
        <v>0</v>
      </c>
      <c r="FP54" s="7">
        <f>VC!FK26</f>
        <v>0</v>
      </c>
      <c r="FQ54" s="7">
        <f>VC!FL26</f>
        <v>0</v>
      </c>
      <c r="FR54" s="7">
        <f>VC!FM26</f>
        <v>0</v>
      </c>
      <c r="FS54" s="7">
        <f>VC!FN26</f>
        <v>0</v>
      </c>
      <c r="FT54" s="7">
        <f>VC!FO26</f>
        <v>0</v>
      </c>
      <c r="FU54" s="7">
        <f>VC!FP26</f>
        <v>0</v>
      </c>
      <c r="FV54" s="7">
        <f>VC!FQ26</f>
        <v>0</v>
      </c>
      <c r="FW54" s="7">
        <f>VC!FR26</f>
        <v>0</v>
      </c>
      <c r="FX54" s="7">
        <f>VC!FS26</f>
        <v>0</v>
      </c>
      <c r="FY54" s="7">
        <f>VC!FT26</f>
        <v>0</v>
      </c>
      <c r="FZ54" s="7">
        <f>VC!FU26</f>
        <v>0</v>
      </c>
      <c r="GA54" s="7">
        <f>VC!FV26</f>
        <v>0</v>
      </c>
      <c r="GB54" s="7">
        <f>VC!FW26</f>
        <v>0</v>
      </c>
      <c r="GC54" s="7">
        <f>VC!FX26</f>
        <v>0</v>
      </c>
      <c r="GD54" s="7">
        <f>VC!FY26</f>
        <v>0</v>
      </c>
      <c r="GE54" s="7">
        <f>VC!FZ26</f>
        <v>0</v>
      </c>
      <c r="GF54" s="7">
        <f>VC!GA26</f>
        <v>0</v>
      </c>
      <c r="GG54" s="7">
        <f>VC!GB26</f>
        <v>0</v>
      </c>
      <c r="GH54" s="7">
        <f>VC!GC26</f>
        <v>0</v>
      </c>
      <c r="GI54" s="7">
        <f>VC!GD26</f>
        <v>0</v>
      </c>
      <c r="GJ54" s="7">
        <f>VC!GE26</f>
        <v>0</v>
      </c>
      <c r="GK54" s="7">
        <f>VC!GF26</f>
        <v>0</v>
      </c>
      <c r="GL54" s="7">
        <f>VC!GG26</f>
        <v>0</v>
      </c>
      <c r="GM54" s="7">
        <f>VC!GH26</f>
        <v>0</v>
      </c>
      <c r="GN54" s="7">
        <f>VC!GI26</f>
        <v>0</v>
      </c>
      <c r="GO54" s="7">
        <f>VC!GJ26</f>
        <v>0</v>
      </c>
      <c r="GP54" s="7">
        <f>VC!GK26</f>
        <v>0</v>
      </c>
      <c r="GQ54" s="7">
        <f>VC!GL26</f>
        <v>0</v>
      </c>
      <c r="GR54" s="7">
        <f>VC!GM26</f>
        <v>0</v>
      </c>
      <c r="GS54" s="7" t="str">
        <f>VC!GN26</f>
        <v>V289I</v>
      </c>
      <c r="GT54" s="7">
        <f>VC!GO26</f>
        <v>0</v>
      </c>
      <c r="GU54" s="7">
        <f>VC!GP26</f>
        <v>0</v>
      </c>
      <c r="GV54" s="7">
        <f>VC!GQ26</f>
        <v>0</v>
      </c>
      <c r="GW54" s="7">
        <f>VC!GR26</f>
        <v>0</v>
      </c>
      <c r="GX54" s="7">
        <f>VC!GS26</f>
        <v>0</v>
      </c>
      <c r="GY54" s="7" t="str">
        <f>VC!GT26</f>
        <v>nt675InsTGGCC</v>
      </c>
      <c r="GZ54" s="7">
        <f>VC!GU26</f>
        <v>0</v>
      </c>
      <c r="HA54" s="7">
        <f>VC!GV26</f>
        <v>0</v>
      </c>
      <c r="HB54" s="7">
        <f>VC!GW26</f>
        <v>0</v>
      </c>
      <c r="HC54" s="7">
        <f>VC!GX26</f>
        <v>0</v>
      </c>
    </row>
    <row r="55" spans="1:211" s="7" customFormat="1" x14ac:dyDescent="0.25">
      <c r="A55" s="30" t="s">
        <v>19</v>
      </c>
      <c r="B55" s="30" t="s">
        <v>79</v>
      </c>
      <c r="C55" s="31" t="s">
        <v>2</v>
      </c>
      <c r="D55" s="30" t="s">
        <v>76</v>
      </c>
      <c r="E55" s="30" t="s">
        <v>139</v>
      </c>
      <c r="F55" s="30" t="s">
        <v>74</v>
      </c>
      <c r="G55" s="30" t="s">
        <v>136</v>
      </c>
      <c r="H55" s="7" t="str">
        <f>VC!C26</f>
        <v>T428P</v>
      </c>
      <c r="I55" s="7">
        <f>VC!D26</f>
        <v>0</v>
      </c>
      <c r="J55" s="7">
        <f>VC!E26</f>
        <v>0</v>
      </c>
      <c r="K55" s="7">
        <f>VC!F26</f>
        <v>0</v>
      </c>
      <c r="L55" s="7">
        <f>VC!G26</f>
        <v>0</v>
      </c>
      <c r="M55" s="7">
        <f>VC!H26</f>
        <v>0</v>
      </c>
      <c r="N55" s="7">
        <f>VC!I26</f>
        <v>0</v>
      </c>
      <c r="O55" s="7">
        <f>VC!J26</f>
        <v>0</v>
      </c>
      <c r="P55" s="7">
        <f>VC!K26</f>
        <v>0</v>
      </c>
      <c r="Q55" s="7">
        <f>VC!L26</f>
        <v>0</v>
      </c>
      <c r="R55" s="7">
        <f>VC!M26</f>
        <v>0</v>
      </c>
      <c r="S55" s="7">
        <f>VC!N26</f>
        <v>0</v>
      </c>
      <c r="T55" s="7">
        <f>VC!O26</f>
        <v>0</v>
      </c>
      <c r="U55" s="7">
        <f>VC!P26</f>
        <v>0</v>
      </c>
      <c r="V55" s="7">
        <f>VC!Q26</f>
        <v>0</v>
      </c>
      <c r="W55" s="7">
        <f>VC!R26</f>
        <v>0</v>
      </c>
      <c r="X55" s="7">
        <f>VC!S26</f>
        <v>0</v>
      </c>
      <c r="Y55" s="7">
        <f>VC!T26</f>
        <v>0</v>
      </c>
      <c r="Z55" s="7">
        <f>VC!U26</f>
        <v>0</v>
      </c>
      <c r="AA55" s="7">
        <f>VC!V26</f>
        <v>0</v>
      </c>
      <c r="AB55" s="7">
        <f>VC!W26</f>
        <v>0</v>
      </c>
      <c r="AC55" s="7">
        <f>VC!X26</f>
        <v>0</v>
      </c>
      <c r="AD55" s="7">
        <f>VC!Y26</f>
        <v>0</v>
      </c>
      <c r="AE55" s="7">
        <f>VC!Z26</f>
        <v>0</v>
      </c>
      <c r="AF55" s="7">
        <f>VC!AA26</f>
        <v>0</v>
      </c>
      <c r="AG55" s="7">
        <f>VC!AB26</f>
        <v>0</v>
      </c>
      <c r="AH55" s="7">
        <f>VC!AC26</f>
        <v>0</v>
      </c>
      <c r="AI55" s="7">
        <f>VC!AD26</f>
        <v>0</v>
      </c>
      <c r="AJ55" s="7">
        <f>VC!AE26</f>
        <v>0</v>
      </c>
      <c r="AK55" s="7">
        <f>VC!AF26</f>
        <v>0</v>
      </c>
      <c r="AL55" s="7">
        <f>VC!AG26</f>
        <v>0</v>
      </c>
      <c r="AM55" s="7">
        <f>VC!AH26</f>
        <v>0</v>
      </c>
      <c r="AN55" s="7">
        <f>VC!AI26</f>
        <v>0</v>
      </c>
      <c r="AO55" s="7" t="str">
        <f>VC!AJ26</f>
        <v>Y61H</v>
      </c>
      <c r="AP55" s="7">
        <f>VC!AK26</f>
        <v>0</v>
      </c>
      <c r="AQ55" s="7">
        <f>VC!AL26</f>
        <v>0</v>
      </c>
      <c r="AR55" s="7">
        <f>VC!AM26</f>
        <v>0</v>
      </c>
      <c r="AS55" s="7">
        <f>VC!AN26</f>
        <v>0</v>
      </c>
      <c r="AT55" s="7">
        <f>VC!AO26</f>
        <v>0</v>
      </c>
      <c r="AU55" s="7">
        <f>VC!AP26</f>
        <v>0</v>
      </c>
      <c r="AV55" s="7">
        <f>VC!AQ26</f>
        <v>0</v>
      </c>
      <c r="AW55" s="7">
        <f>VC!AR26</f>
        <v>0</v>
      </c>
      <c r="AX55" s="7">
        <f>VC!AS26</f>
        <v>0</v>
      </c>
      <c r="AY55" s="7">
        <f>VC!AT26</f>
        <v>0</v>
      </c>
      <c r="AZ55" s="7">
        <f>VC!AU26</f>
        <v>0</v>
      </c>
      <c r="BA55" s="7">
        <f>VC!AV26</f>
        <v>0</v>
      </c>
      <c r="BB55" s="7">
        <f>VC!AW26</f>
        <v>0</v>
      </c>
      <c r="BC55" s="7">
        <f>VC!AX26</f>
        <v>0</v>
      </c>
      <c r="BD55" s="7">
        <f>VC!AY26</f>
        <v>0</v>
      </c>
      <c r="BE55" s="7">
        <f>VC!AZ26</f>
        <v>0</v>
      </c>
      <c r="BF55" s="7">
        <f>VC!BA26</f>
        <v>0</v>
      </c>
      <c r="BG55" s="7">
        <f>VC!BB26</f>
        <v>0</v>
      </c>
      <c r="BH55" s="7">
        <f>VC!BC26</f>
        <v>0</v>
      </c>
      <c r="BI55" s="7">
        <f>VC!BD26</f>
        <v>0</v>
      </c>
      <c r="BJ55" s="7">
        <f>VC!BE26</f>
        <v>0</v>
      </c>
      <c r="BK55" s="7">
        <f>VC!BF26</f>
        <v>0</v>
      </c>
      <c r="BL55" s="7">
        <f>VC!BG26</f>
        <v>0</v>
      </c>
      <c r="BM55" s="7">
        <f>VC!BH26</f>
        <v>0</v>
      </c>
      <c r="BN55" s="7">
        <f>VC!BI26</f>
        <v>0</v>
      </c>
      <c r="BO55" s="7">
        <f>VC!BJ26</f>
        <v>0</v>
      </c>
      <c r="BP55" s="7">
        <f>VC!BK26</f>
        <v>0</v>
      </c>
      <c r="BQ55" s="7">
        <f>VC!BL26</f>
        <v>0</v>
      </c>
      <c r="BR55" s="7">
        <f>VC!BM26</f>
        <v>0</v>
      </c>
      <c r="BS55" s="7">
        <f>VC!BN26</f>
        <v>0</v>
      </c>
      <c r="BT55" s="7">
        <f>VC!BO26</f>
        <v>0</v>
      </c>
      <c r="BU55" s="7">
        <f>VC!BP26</f>
        <v>0</v>
      </c>
      <c r="BV55" s="7" t="str">
        <f>VC!BQ26</f>
        <v>G263S</v>
      </c>
      <c r="BW55" s="7">
        <f>VC!BR26</f>
        <v>0</v>
      </c>
      <c r="BX55" s="7" t="str">
        <f>VC!BS26</f>
        <v>D176N</v>
      </c>
      <c r="BY55" s="7">
        <f>VC!BT26</f>
        <v>0</v>
      </c>
      <c r="BZ55" s="7">
        <f>VC!BU26</f>
        <v>0</v>
      </c>
      <c r="CA55" s="7" t="str">
        <f>VC!BV26</f>
        <v>A340G</v>
      </c>
      <c r="CB55" s="7">
        <f>VC!BW26</f>
        <v>0</v>
      </c>
      <c r="CC55" s="7">
        <f>VC!BX26</f>
        <v>0</v>
      </c>
      <c r="CD55" s="7">
        <f>VC!BY26</f>
        <v>0</v>
      </c>
      <c r="CE55" s="7">
        <f>VC!BZ26</f>
        <v>0</v>
      </c>
      <c r="CF55" s="7">
        <f>VC!CA26</f>
        <v>0</v>
      </c>
      <c r="CG55" s="7">
        <f>VC!CB26</f>
        <v>0</v>
      </c>
      <c r="CH55" s="7">
        <f>VC!CC26</f>
        <v>0</v>
      </c>
      <c r="CI55" s="7">
        <f>VC!CD26</f>
        <v>0</v>
      </c>
      <c r="CJ55" s="7">
        <f>VC!CE26</f>
        <v>0</v>
      </c>
      <c r="CK55" s="7">
        <f>VC!CF26</f>
        <v>0</v>
      </c>
      <c r="CL55" s="7">
        <f>VC!CG26</f>
        <v>0</v>
      </c>
      <c r="CM55" s="7">
        <f>VC!CH26</f>
        <v>0</v>
      </c>
      <c r="CN55" s="7">
        <f>VC!CI26</f>
        <v>0</v>
      </c>
      <c r="CO55" s="7">
        <f>VC!CJ26</f>
        <v>0</v>
      </c>
      <c r="CP55" s="7">
        <f>VC!CK26</f>
        <v>0</v>
      </c>
      <c r="CQ55" s="7" t="str">
        <f>VC!CL26</f>
        <v>A434T</v>
      </c>
      <c r="CR55" s="7">
        <f>VC!CM26</f>
        <v>0</v>
      </c>
      <c r="CS55" s="7">
        <f>VC!CN26</f>
        <v>0</v>
      </c>
      <c r="CT55" s="7">
        <f>VC!CO26</f>
        <v>0</v>
      </c>
      <c r="CU55" s="7">
        <f>VC!CP26</f>
        <v>0</v>
      </c>
      <c r="CV55" s="7">
        <f>VC!CQ26</f>
        <v>0</v>
      </c>
      <c r="CW55" s="7">
        <f>VC!CR26</f>
        <v>0</v>
      </c>
      <c r="CX55" s="7">
        <f>VC!CS26</f>
        <v>0</v>
      </c>
      <c r="CY55" s="7">
        <f>VC!CT26</f>
        <v>0</v>
      </c>
      <c r="CZ55" s="7">
        <f>VC!CU26</f>
        <v>0</v>
      </c>
      <c r="DA55" s="7">
        <f>VC!CV26</f>
        <v>0</v>
      </c>
      <c r="DB55" s="7">
        <f>VC!CW26</f>
        <v>0</v>
      </c>
      <c r="DC55" s="7">
        <f>VC!CX26</f>
        <v>0</v>
      </c>
      <c r="DD55" s="7">
        <f>VC!CY26</f>
        <v>0</v>
      </c>
      <c r="DE55" s="7">
        <f>VC!CZ26</f>
        <v>0</v>
      </c>
      <c r="DF55" s="7">
        <f>VC!DA26</f>
        <v>0</v>
      </c>
      <c r="DG55" s="7">
        <f>VC!DB26</f>
        <v>0</v>
      </c>
      <c r="DH55" s="7">
        <f>VC!DC26</f>
        <v>0</v>
      </c>
      <c r="DI55" s="7">
        <f>VC!DD26</f>
        <v>0</v>
      </c>
      <c r="DJ55" s="7">
        <f>VC!DE26</f>
        <v>0</v>
      </c>
      <c r="DK55" s="7">
        <f>VC!DF26</f>
        <v>0</v>
      </c>
      <c r="DL55" s="7">
        <f>VC!DG26</f>
        <v>0</v>
      </c>
      <c r="DM55" s="7">
        <f>VC!DH26</f>
        <v>0</v>
      </c>
      <c r="DN55" s="7">
        <f>VC!DI26</f>
        <v>0</v>
      </c>
      <c r="DO55" s="7">
        <f>VC!DJ26</f>
        <v>0</v>
      </c>
      <c r="DP55" s="7">
        <f>VC!DK26</f>
        <v>0</v>
      </c>
      <c r="DQ55" s="7">
        <f>VC!DL26</f>
        <v>0</v>
      </c>
      <c r="DR55" s="7">
        <f>VC!DM26</f>
        <v>0</v>
      </c>
      <c r="DS55" s="7">
        <f>VC!DN26</f>
        <v>0</v>
      </c>
      <c r="DT55" s="7">
        <f>VC!DO26</f>
        <v>0</v>
      </c>
      <c r="DU55" s="7">
        <f>VC!DP26</f>
        <v>0</v>
      </c>
      <c r="DV55" s="7">
        <f>VC!DQ26</f>
        <v>0</v>
      </c>
      <c r="DW55" s="7">
        <f>VC!DR26</f>
        <v>0</v>
      </c>
      <c r="DX55" s="7">
        <f>VC!DS26</f>
        <v>0</v>
      </c>
      <c r="DY55" s="7">
        <f>VC!DT26</f>
        <v>0</v>
      </c>
      <c r="DZ55" s="7">
        <f>VC!DU26</f>
        <v>0</v>
      </c>
      <c r="EA55" s="7">
        <f>VC!DV26</f>
        <v>0</v>
      </c>
      <c r="EB55" s="7">
        <f>VC!DW26</f>
        <v>0</v>
      </c>
      <c r="EC55" s="7">
        <f>VC!DX26</f>
        <v>0</v>
      </c>
      <c r="ED55" s="7">
        <f>VC!DY26</f>
        <v>0</v>
      </c>
      <c r="EE55" s="7">
        <f>VC!DZ26</f>
        <v>0</v>
      </c>
      <c r="EF55" s="7">
        <f>VC!EA26</f>
        <v>0</v>
      </c>
      <c r="EG55" s="7">
        <f>VC!EB26</f>
        <v>0</v>
      </c>
      <c r="EH55" s="7" t="str">
        <f>VC!EC26</f>
        <v>T27S; S150G</v>
      </c>
      <c r="EI55" s="7">
        <f>VC!ED26</f>
        <v>0</v>
      </c>
      <c r="EJ55" s="7">
        <f>VC!EE26</f>
        <v>0</v>
      </c>
      <c r="EK55" s="7">
        <f>VC!EF26</f>
        <v>0</v>
      </c>
      <c r="EL55" s="7">
        <f>VC!EG26</f>
        <v>0</v>
      </c>
      <c r="EM55" s="7">
        <f>VC!EH26</f>
        <v>0</v>
      </c>
      <c r="EN55" s="7">
        <f>VC!EI26</f>
        <v>0</v>
      </c>
      <c r="EO55" s="7">
        <f>VC!EJ26</f>
        <v>0</v>
      </c>
      <c r="EP55" s="7">
        <f>VC!EK26</f>
        <v>0</v>
      </c>
      <c r="EQ55" s="7">
        <f>VC!EL26</f>
        <v>0</v>
      </c>
      <c r="ER55" s="7">
        <f>VC!EM26</f>
        <v>0</v>
      </c>
      <c r="ES55" s="7">
        <f>VC!EN26</f>
        <v>0</v>
      </c>
      <c r="ET55" s="7">
        <f>VC!EO26</f>
        <v>0</v>
      </c>
      <c r="EU55" s="7">
        <f>VC!EP26</f>
        <v>0</v>
      </c>
      <c r="EV55" s="7">
        <f>VC!EQ26</f>
        <v>0</v>
      </c>
      <c r="EW55" s="7" t="str">
        <f>VC!ER26</f>
        <v>R475Q</v>
      </c>
      <c r="EX55" s="7">
        <f>VC!ES26</f>
        <v>0</v>
      </c>
      <c r="EY55" s="7">
        <f>VC!ET26</f>
        <v>0</v>
      </c>
      <c r="EZ55" s="7">
        <f>VC!EU26</f>
        <v>0</v>
      </c>
      <c r="FA55" s="7">
        <f>VC!EV26</f>
        <v>0</v>
      </c>
      <c r="FB55" s="7">
        <f>VC!EW26</f>
        <v>0</v>
      </c>
      <c r="FC55" s="7">
        <f>VC!EX26</f>
        <v>0</v>
      </c>
      <c r="FD55" s="7">
        <f>VC!EY26</f>
        <v>0</v>
      </c>
      <c r="FE55" s="7">
        <f>VC!EZ26</f>
        <v>0</v>
      </c>
      <c r="FF55" s="7">
        <f>VC!FA26</f>
        <v>0</v>
      </c>
      <c r="FG55" s="7">
        <f>VC!FB26</f>
        <v>0</v>
      </c>
      <c r="FH55" s="7">
        <f>VC!FC26</f>
        <v>0</v>
      </c>
      <c r="FI55" s="7" t="str">
        <f>VC!FD26</f>
        <v>F324I</v>
      </c>
      <c r="FJ55" s="7">
        <f>VC!FE26</f>
        <v>0</v>
      </c>
      <c r="FK55" s="7">
        <f>VC!FF26</f>
        <v>0</v>
      </c>
      <c r="FL55" s="7" t="s">
        <v>1049</v>
      </c>
      <c r="FM55" s="7">
        <f>VC!FH26</f>
        <v>0</v>
      </c>
      <c r="FN55" s="7">
        <f>VC!FI26</f>
        <v>0</v>
      </c>
      <c r="FO55" s="7">
        <f>VC!FJ26</f>
        <v>0</v>
      </c>
      <c r="FP55" s="7">
        <f>VC!FK26</f>
        <v>0</v>
      </c>
      <c r="FQ55" s="7">
        <f>VC!FL26</f>
        <v>0</v>
      </c>
      <c r="FR55" s="7">
        <f>VC!FM26</f>
        <v>0</v>
      </c>
      <c r="FS55" s="7">
        <f>VC!FN26</f>
        <v>0</v>
      </c>
      <c r="FT55" s="7">
        <f>VC!FO26</f>
        <v>0</v>
      </c>
      <c r="FU55" s="7">
        <f>VC!FP26</f>
        <v>0</v>
      </c>
      <c r="FV55" s="7">
        <f>VC!FQ26</f>
        <v>0</v>
      </c>
      <c r="FW55" s="7">
        <f>VC!FR26</f>
        <v>0</v>
      </c>
      <c r="FX55" s="7">
        <f>VC!FS26</f>
        <v>0</v>
      </c>
      <c r="FY55" s="7">
        <f>VC!FT26</f>
        <v>0</v>
      </c>
      <c r="FZ55" s="7">
        <f>VC!FU26</f>
        <v>0</v>
      </c>
      <c r="GA55" s="7">
        <f>VC!FV26</f>
        <v>0</v>
      </c>
      <c r="GB55" s="7">
        <f>VC!FW26</f>
        <v>0</v>
      </c>
      <c r="GC55" s="7">
        <f>VC!FX26</f>
        <v>0</v>
      </c>
      <c r="GD55" s="7">
        <f>VC!FY26</f>
        <v>0</v>
      </c>
      <c r="GE55" s="7">
        <f>VC!FZ26</f>
        <v>0</v>
      </c>
      <c r="GF55" s="7">
        <f>VC!GA26</f>
        <v>0</v>
      </c>
      <c r="GG55" s="7">
        <f>VC!GB26</f>
        <v>0</v>
      </c>
      <c r="GH55" s="7">
        <f>VC!GC26</f>
        <v>0</v>
      </c>
      <c r="GI55" s="7">
        <f>VC!GD26</f>
        <v>0</v>
      </c>
      <c r="GJ55" s="7">
        <f>VC!GE26</f>
        <v>0</v>
      </c>
      <c r="GK55" s="7">
        <f>VC!GF26</f>
        <v>0</v>
      </c>
      <c r="GL55" s="7">
        <f>VC!GG26</f>
        <v>0</v>
      </c>
      <c r="GM55" s="7">
        <f>VC!GH26</f>
        <v>0</v>
      </c>
      <c r="GN55" s="7">
        <f>VC!GI26</f>
        <v>0</v>
      </c>
      <c r="GO55" s="7">
        <f>VC!GJ26</f>
        <v>0</v>
      </c>
      <c r="GP55" s="7">
        <f>VC!GK26</f>
        <v>0</v>
      </c>
      <c r="GQ55" s="7">
        <f>VC!GL26</f>
        <v>0</v>
      </c>
      <c r="GR55" s="7">
        <f>VC!GM26</f>
        <v>0</v>
      </c>
      <c r="GS55" s="7" t="str">
        <f>VC!GN26</f>
        <v>V289I</v>
      </c>
      <c r="GT55" s="7">
        <f>VC!GO26</f>
        <v>0</v>
      </c>
      <c r="GU55" s="7">
        <f>VC!GP26</f>
        <v>0</v>
      </c>
      <c r="GV55" s="7">
        <f>VC!GQ26</f>
        <v>0</v>
      </c>
      <c r="GW55" s="7">
        <f>VC!GR26</f>
        <v>0</v>
      </c>
      <c r="GX55" s="7">
        <f>VC!GS26</f>
        <v>0</v>
      </c>
      <c r="GY55" s="7" t="str">
        <f>VC!GT26</f>
        <v>nt675InsTGGCC</v>
      </c>
      <c r="GZ55" s="7">
        <f>VC!GU26</f>
        <v>0</v>
      </c>
      <c r="HA55" s="7">
        <f>VC!GV26</f>
        <v>0</v>
      </c>
      <c r="HB55" s="7">
        <f>VC!GW26</f>
        <v>0</v>
      </c>
      <c r="HC55" s="7">
        <f>VC!GX26</f>
        <v>0</v>
      </c>
    </row>
    <row r="56" spans="1:211" s="7" customFormat="1" x14ac:dyDescent="0.25">
      <c r="A56" s="30" t="s">
        <v>19</v>
      </c>
      <c r="B56" s="30" t="s">
        <v>79</v>
      </c>
      <c r="C56" s="31" t="s">
        <v>3</v>
      </c>
      <c r="D56" s="30" t="s">
        <v>76</v>
      </c>
      <c r="E56" s="30" t="s">
        <v>139</v>
      </c>
      <c r="F56" s="30" t="s">
        <v>74</v>
      </c>
      <c r="G56" s="30" t="s">
        <v>136</v>
      </c>
      <c r="H56" s="7" t="str">
        <f>VC!C26</f>
        <v>T428P</v>
      </c>
      <c r="I56" s="7">
        <f>VC!D26</f>
        <v>0</v>
      </c>
      <c r="J56" s="7">
        <f>VC!E26</f>
        <v>0</v>
      </c>
      <c r="K56" s="7">
        <f>VC!F26</f>
        <v>0</v>
      </c>
      <c r="L56" s="7">
        <f>VC!G26</f>
        <v>0</v>
      </c>
      <c r="M56" s="7">
        <f>VC!H26</f>
        <v>0</v>
      </c>
      <c r="N56" s="7">
        <f>VC!I26</f>
        <v>0</v>
      </c>
      <c r="O56" s="7">
        <f>VC!J26</f>
        <v>0</v>
      </c>
      <c r="P56" s="7">
        <f>VC!K26</f>
        <v>0</v>
      </c>
      <c r="Q56" s="7">
        <f>VC!L26</f>
        <v>0</v>
      </c>
      <c r="R56" s="7">
        <f>VC!M26</f>
        <v>0</v>
      </c>
      <c r="S56" s="7">
        <f>VC!N26</f>
        <v>0</v>
      </c>
      <c r="T56" s="7">
        <f>VC!O26</f>
        <v>0</v>
      </c>
      <c r="U56" s="7">
        <f>VC!P26</f>
        <v>0</v>
      </c>
      <c r="V56" s="7">
        <f>VC!Q26</f>
        <v>0</v>
      </c>
      <c r="W56" s="7">
        <f>VC!R26</f>
        <v>0</v>
      </c>
      <c r="X56" s="7">
        <f>VC!S26</f>
        <v>0</v>
      </c>
      <c r="Y56" s="7">
        <f>VC!T26</f>
        <v>0</v>
      </c>
      <c r="Z56" s="7">
        <f>VC!U26</f>
        <v>0</v>
      </c>
      <c r="AA56" s="7">
        <f>VC!V26</f>
        <v>0</v>
      </c>
      <c r="AB56" s="7">
        <f>VC!W26</f>
        <v>0</v>
      </c>
      <c r="AC56" s="7">
        <f>VC!X26</f>
        <v>0</v>
      </c>
      <c r="AD56" s="7">
        <f>VC!Y26</f>
        <v>0</v>
      </c>
      <c r="AE56" s="7">
        <f>VC!Z26</f>
        <v>0</v>
      </c>
      <c r="AF56" s="7">
        <f>VC!AA26</f>
        <v>0</v>
      </c>
      <c r="AG56" s="7">
        <f>VC!AB26</f>
        <v>0</v>
      </c>
      <c r="AH56" s="7">
        <f>VC!AC26</f>
        <v>0</v>
      </c>
      <c r="AI56" s="7">
        <f>VC!AD26</f>
        <v>0</v>
      </c>
      <c r="AJ56" s="7">
        <f>VC!AE26</f>
        <v>0</v>
      </c>
      <c r="AK56" s="7">
        <f>VC!AF26</f>
        <v>0</v>
      </c>
      <c r="AL56" s="7">
        <f>VC!AG26</f>
        <v>0</v>
      </c>
      <c r="AM56" s="7">
        <f>VC!AH26</f>
        <v>0</v>
      </c>
      <c r="AN56" s="7">
        <f>VC!AI26</f>
        <v>0</v>
      </c>
      <c r="AO56" s="7" t="str">
        <f>VC!AJ26</f>
        <v>Y61H</v>
      </c>
      <c r="AP56" s="7">
        <f>VC!AK26</f>
        <v>0</v>
      </c>
      <c r="AQ56" s="7">
        <f>VC!AL26</f>
        <v>0</v>
      </c>
      <c r="AR56" s="7">
        <f>VC!AM26</f>
        <v>0</v>
      </c>
      <c r="AS56" s="7">
        <f>VC!AN26</f>
        <v>0</v>
      </c>
      <c r="AT56" s="7">
        <f>VC!AO26</f>
        <v>0</v>
      </c>
      <c r="AU56" s="7">
        <f>VC!AP26</f>
        <v>0</v>
      </c>
      <c r="AV56" s="7">
        <f>VC!AQ26</f>
        <v>0</v>
      </c>
      <c r="AW56" s="7">
        <f>VC!AR26</f>
        <v>0</v>
      </c>
      <c r="AX56" s="7">
        <f>VC!AS26</f>
        <v>0</v>
      </c>
      <c r="AY56" s="7">
        <f>VC!AT26</f>
        <v>0</v>
      </c>
      <c r="AZ56" s="7">
        <f>VC!AU26</f>
        <v>0</v>
      </c>
      <c r="BA56" s="7">
        <f>VC!AV26</f>
        <v>0</v>
      </c>
      <c r="BB56" s="7">
        <f>VC!AW26</f>
        <v>0</v>
      </c>
      <c r="BC56" s="7">
        <f>VC!AX26</f>
        <v>0</v>
      </c>
      <c r="BD56" s="7">
        <f>VC!AY26</f>
        <v>0</v>
      </c>
      <c r="BE56" s="7">
        <f>VC!AZ26</f>
        <v>0</v>
      </c>
      <c r="BF56" s="7">
        <f>VC!BA26</f>
        <v>0</v>
      </c>
      <c r="BG56" s="7">
        <f>VC!BB26</f>
        <v>0</v>
      </c>
      <c r="BH56" s="7">
        <f>VC!BC26</f>
        <v>0</v>
      </c>
      <c r="BI56" s="7">
        <f>VC!BD26</f>
        <v>0</v>
      </c>
      <c r="BJ56" s="7">
        <f>VC!BE26</f>
        <v>0</v>
      </c>
      <c r="BK56" s="7">
        <f>VC!BF26</f>
        <v>0</v>
      </c>
      <c r="BL56" s="7">
        <f>VC!BG26</f>
        <v>0</v>
      </c>
      <c r="BM56" s="7">
        <f>VC!BH26</f>
        <v>0</v>
      </c>
      <c r="BN56" s="7">
        <f>VC!BI26</f>
        <v>0</v>
      </c>
      <c r="BO56" s="7">
        <f>VC!BJ26</f>
        <v>0</v>
      </c>
      <c r="BP56" s="7">
        <f>VC!BK26</f>
        <v>0</v>
      </c>
      <c r="BQ56" s="7">
        <f>VC!BL26</f>
        <v>0</v>
      </c>
      <c r="BR56" s="7">
        <f>VC!BM26</f>
        <v>0</v>
      </c>
      <c r="BS56" s="7">
        <f>VC!BN26</f>
        <v>0</v>
      </c>
      <c r="BT56" s="7">
        <f>VC!BO26</f>
        <v>0</v>
      </c>
      <c r="BU56" s="7">
        <f>VC!BP26</f>
        <v>0</v>
      </c>
      <c r="BV56" s="7" t="str">
        <f>VC!BQ26</f>
        <v>G263S</v>
      </c>
      <c r="BW56" s="7">
        <f>VC!BR26</f>
        <v>0</v>
      </c>
      <c r="BX56" s="7" t="str">
        <f>VC!BS26</f>
        <v>D176N</v>
      </c>
      <c r="BY56" s="7">
        <f>VC!BT26</f>
        <v>0</v>
      </c>
      <c r="BZ56" s="7">
        <f>VC!BU26</f>
        <v>0</v>
      </c>
      <c r="CA56" s="7" t="str">
        <f>VC!BV26</f>
        <v>A340G</v>
      </c>
      <c r="CB56" s="7">
        <f>VC!BW26</f>
        <v>0</v>
      </c>
      <c r="CC56" s="7">
        <f>VC!BX26</f>
        <v>0</v>
      </c>
      <c r="CD56" s="7">
        <f>VC!BY26</f>
        <v>0</v>
      </c>
      <c r="CE56" s="7">
        <f>VC!BZ26</f>
        <v>0</v>
      </c>
      <c r="CF56" s="7">
        <f>VC!CA26</f>
        <v>0</v>
      </c>
      <c r="CG56" s="7">
        <f>VC!CB26</f>
        <v>0</v>
      </c>
      <c r="CH56" s="7">
        <f>VC!CC26</f>
        <v>0</v>
      </c>
      <c r="CI56" s="7">
        <f>VC!CD26</f>
        <v>0</v>
      </c>
      <c r="CJ56" s="7">
        <f>VC!CE26</f>
        <v>0</v>
      </c>
      <c r="CK56" s="7">
        <f>VC!CF26</f>
        <v>0</v>
      </c>
      <c r="CL56" s="7">
        <f>VC!CG26</f>
        <v>0</v>
      </c>
      <c r="CM56" s="7">
        <f>VC!CH26</f>
        <v>0</v>
      </c>
      <c r="CN56" s="7">
        <f>VC!CI26</f>
        <v>0</v>
      </c>
      <c r="CO56" s="7">
        <f>VC!CJ26</f>
        <v>0</v>
      </c>
      <c r="CP56" s="7">
        <f>VC!CK26</f>
        <v>0</v>
      </c>
      <c r="CQ56" s="7" t="str">
        <f>VC!CL26</f>
        <v>A434T</v>
      </c>
      <c r="CR56" s="7">
        <f>VC!CM26</f>
        <v>0</v>
      </c>
      <c r="CS56" s="7">
        <f>VC!CN26</f>
        <v>0</v>
      </c>
      <c r="CT56" s="7">
        <f>VC!CO26</f>
        <v>0</v>
      </c>
      <c r="CU56" s="7">
        <f>VC!CP26</f>
        <v>0</v>
      </c>
      <c r="CV56" s="7">
        <f>VC!CQ26</f>
        <v>0</v>
      </c>
      <c r="CW56" s="7">
        <f>VC!CR26</f>
        <v>0</v>
      </c>
      <c r="CX56" s="7">
        <f>VC!CS26</f>
        <v>0</v>
      </c>
      <c r="CY56" s="7">
        <f>VC!CT26</f>
        <v>0</v>
      </c>
      <c r="CZ56" s="7">
        <f>VC!CU26</f>
        <v>0</v>
      </c>
      <c r="DA56" s="7">
        <f>VC!CV26</f>
        <v>0</v>
      </c>
      <c r="DB56" s="7">
        <f>VC!CW26</f>
        <v>0</v>
      </c>
      <c r="DC56" s="7">
        <f>VC!CX26</f>
        <v>0</v>
      </c>
      <c r="DD56" s="7">
        <f>VC!CY26</f>
        <v>0</v>
      </c>
      <c r="DE56" s="7">
        <f>VC!CZ26</f>
        <v>0</v>
      </c>
      <c r="DF56" s="7">
        <f>VC!DA26</f>
        <v>0</v>
      </c>
      <c r="DG56" s="7">
        <f>VC!DB26</f>
        <v>0</v>
      </c>
      <c r="DH56" s="7">
        <f>VC!DC26</f>
        <v>0</v>
      </c>
      <c r="DI56" s="7">
        <f>VC!DD26</f>
        <v>0</v>
      </c>
      <c r="DJ56" s="7">
        <f>VC!DE26</f>
        <v>0</v>
      </c>
      <c r="DK56" s="7">
        <f>VC!DF26</f>
        <v>0</v>
      </c>
      <c r="DL56" s="7">
        <f>VC!DG26</f>
        <v>0</v>
      </c>
      <c r="DM56" s="7">
        <f>VC!DH26</f>
        <v>0</v>
      </c>
      <c r="DN56" s="7">
        <f>VC!DI26</f>
        <v>0</v>
      </c>
      <c r="DO56" s="7">
        <f>VC!DJ26</f>
        <v>0</v>
      </c>
      <c r="DP56" s="7">
        <f>VC!DK26</f>
        <v>0</v>
      </c>
      <c r="DQ56" s="7">
        <f>VC!DL26</f>
        <v>0</v>
      </c>
      <c r="DR56" s="7">
        <f>VC!DM26</f>
        <v>0</v>
      </c>
      <c r="DS56" s="7">
        <f>VC!DN26</f>
        <v>0</v>
      </c>
      <c r="DT56" s="7">
        <f>VC!DO26</f>
        <v>0</v>
      </c>
      <c r="DU56" s="7">
        <f>VC!DP26</f>
        <v>0</v>
      </c>
      <c r="DV56" s="7">
        <f>VC!DQ26</f>
        <v>0</v>
      </c>
      <c r="DW56" s="7">
        <f>VC!DR26</f>
        <v>0</v>
      </c>
      <c r="DX56" s="7">
        <f>VC!DS26</f>
        <v>0</v>
      </c>
      <c r="DY56" s="7">
        <f>VC!DT26</f>
        <v>0</v>
      </c>
      <c r="DZ56" s="7">
        <f>VC!DU26</f>
        <v>0</v>
      </c>
      <c r="EA56" s="7">
        <f>VC!DV26</f>
        <v>0</v>
      </c>
      <c r="EB56" s="7">
        <f>VC!DW26</f>
        <v>0</v>
      </c>
      <c r="EC56" s="7">
        <f>VC!DX26</f>
        <v>0</v>
      </c>
      <c r="ED56" s="7">
        <f>VC!DY26</f>
        <v>0</v>
      </c>
      <c r="EE56" s="7">
        <f>VC!DZ26</f>
        <v>0</v>
      </c>
      <c r="EF56" s="7">
        <f>VC!EA26</f>
        <v>0</v>
      </c>
      <c r="EG56" s="7">
        <f>VC!EB26</f>
        <v>0</v>
      </c>
      <c r="EH56" s="7" t="str">
        <f>VC!EC26</f>
        <v>T27S; S150G</v>
      </c>
      <c r="EI56" s="7">
        <f>VC!ED26</f>
        <v>0</v>
      </c>
      <c r="EJ56" s="7">
        <f>VC!EE26</f>
        <v>0</v>
      </c>
      <c r="EK56" s="7">
        <f>VC!EF26</f>
        <v>0</v>
      </c>
      <c r="EL56" s="7">
        <f>VC!EG26</f>
        <v>0</v>
      </c>
      <c r="EM56" s="7">
        <f>VC!EH26</f>
        <v>0</v>
      </c>
      <c r="EN56" s="7">
        <f>VC!EI26</f>
        <v>0</v>
      </c>
      <c r="EO56" s="7">
        <f>VC!EJ26</f>
        <v>0</v>
      </c>
      <c r="EP56" s="7">
        <f>VC!EK26</f>
        <v>0</v>
      </c>
      <c r="EQ56" s="7">
        <f>VC!EL26</f>
        <v>0</v>
      </c>
      <c r="ER56" s="7">
        <f>VC!EM26</f>
        <v>0</v>
      </c>
      <c r="ES56" s="7">
        <f>VC!EN26</f>
        <v>0</v>
      </c>
      <c r="ET56" s="7">
        <f>VC!EO26</f>
        <v>0</v>
      </c>
      <c r="EU56" s="7">
        <f>VC!EP26</f>
        <v>0</v>
      </c>
      <c r="EV56" s="7">
        <f>VC!EQ26</f>
        <v>0</v>
      </c>
      <c r="EW56" s="7" t="str">
        <f>VC!ER26</f>
        <v>R475Q</v>
      </c>
      <c r="EX56" s="7">
        <f>VC!ES26</f>
        <v>0</v>
      </c>
      <c r="EY56" s="7">
        <f>VC!ET26</f>
        <v>0</v>
      </c>
      <c r="EZ56" s="7">
        <f>VC!EU26</f>
        <v>0</v>
      </c>
      <c r="FA56" s="7">
        <f>VC!EV26</f>
        <v>0</v>
      </c>
      <c r="FB56" s="7">
        <f>VC!EW26</f>
        <v>0</v>
      </c>
      <c r="FC56" s="7">
        <f>VC!EX26</f>
        <v>0</v>
      </c>
      <c r="FD56" s="7">
        <f>VC!EY26</f>
        <v>0</v>
      </c>
      <c r="FE56" s="7">
        <f>VC!EZ26</f>
        <v>0</v>
      </c>
      <c r="FF56" s="7">
        <f>VC!FA26</f>
        <v>0</v>
      </c>
      <c r="FG56" s="7">
        <f>VC!FB26</f>
        <v>0</v>
      </c>
      <c r="FH56" s="7">
        <f>VC!FC26</f>
        <v>0</v>
      </c>
      <c r="FI56" s="7" t="str">
        <f>VC!FD26</f>
        <v>F324I</v>
      </c>
      <c r="FJ56" s="7">
        <f>VC!FE26</f>
        <v>0</v>
      </c>
      <c r="FK56" s="7">
        <f>VC!FF26</f>
        <v>0</v>
      </c>
      <c r="FL56" s="7" t="s">
        <v>1049</v>
      </c>
      <c r="FM56" s="7">
        <f>VC!FH26</f>
        <v>0</v>
      </c>
      <c r="FN56" s="7">
        <f>VC!FI26</f>
        <v>0</v>
      </c>
      <c r="FO56" s="7">
        <f>VC!FJ26</f>
        <v>0</v>
      </c>
      <c r="FP56" s="7">
        <f>VC!FK26</f>
        <v>0</v>
      </c>
      <c r="FQ56" s="7">
        <f>VC!FL26</f>
        <v>0</v>
      </c>
      <c r="FR56" s="7">
        <f>VC!FM26</f>
        <v>0</v>
      </c>
      <c r="FS56" s="7">
        <f>VC!FN26</f>
        <v>0</v>
      </c>
      <c r="FT56" s="7">
        <f>VC!FO26</f>
        <v>0</v>
      </c>
      <c r="FU56" s="7">
        <f>VC!FP26</f>
        <v>0</v>
      </c>
      <c r="FV56" s="7">
        <f>VC!FQ26</f>
        <v>0</v>
      </c>
      <c r="FW56" s="7">
        <f>VC!FR26</f>
        <v>0</v>
      </c>
      <c r="FX56" s="7">
        <f>VC!FS26</f>
        <v>0</v>
      </c>
      <c r="FY56" s="7">
        <f>VC!FT26</f>
        <v>0</v>
      </c>
      <c r="FZ56" s="7">
        <f>VC!FU26</f>
        <v>0</v>
      </c>
      <c r="GA56" s="7">
        <f>VC!FV26</f>
        <v>0</v>
      </c>
      <c r="GB56" s="7">
        <f>VC!FW26</f>
        <v>0</v>
      </c>
      <c r="GC56" s="7">
        <f>VC!FX26</f>
        <v>0</v>
      </c>
      <c r="GD56" s="7">
        <f>VC!FY26</f>
        <v>0</v>
      </c>
      <c r="GE56" s="7">
        <f>VC!FZ26</f>
        <v>0</v>
      </c>
      <c r="GF56" s="7">
        <f>VC!GA26</f>
        <v>0</v>
      </c>
      <c r="GG56" s="7">
        <f>VC!GB26</f>
        <v>0</v>
      </c>
      <c r="GH56" s="7">
        <f>VC!GC26</f>
        <v>0</v>
      </c>
      <c r="GI56" s="7">
        <f>VC!GD26</f>
        <v>0</v>
      </c>
      <c r="GJ56" s="7">
        <f>VC!GE26</f>
        <v>0</v>
      </c>
      <c r="GK56" s="7">
        <f>VC!GF26</f>
        <v>0</v>
      </c>
      <c r="GL56" s="7">
        <f>VC!GG26</f>
        <v>0</v>
      </c>
      <c r="GM56" s="7">
        <f>VC!GH26</f>
        <v>0</v>
      </c>
      <c r="GN56" s="7">
        <f>VC!GI26</f>
        <v>0</v>
      </c>
      <c r="GO56" s="7">
        <f>VC!GJ26</f>
        <v>0</v>
      </c>
      <c r="GP56" s="7">
        <f>VC!GK26</f>
        <v>0</v>
      </c>
      <c r="GQ56" s="7">
        <f>VC!GL26</f>
        <v>0</v>
      </c>
      <c r="GR56" s="7">
        <f>VC!GM26</f>
        <v>0</v>
      </c>
      <c r="GS56" s="7" t="str">
        <f>VC!GN26</f>
        <v>V289I</v>
      </c>
      <c r="GT56" s="7">
        <f>VC!GO26</f>
        <v>0</v>
      </c>
      <c r="GU56" s="7">
        <f>VC!GP26</f>
        <v>0</v>
      </c>
      <c r="GV56" s="7">
        <f>VC!GQ26</f>
        <v>0</v>
      </c>
      <c r="GW56" s="7">
        <f>VC!GR26</f>
        <v>0</v>
      </c>
      <c r="GX56" s="7">
        <f>VC!GS26</f>
        <v>0</v>
      </c>
      <c r="GY56" s="7" t="str">
        <f>VC!GT26</f>
        <v>nt675InsTGGCC</v>
      </c>
      <c r="GZ56" s="7">
        <f>VC!GU26</f>
        <v>0</v>
      </c>
      <c r="HA56" s="7">
        <f>VC!GV26</f>
        <v>0</v>
      </c>
      <c r="HB56" s="7">
        <f>VC!GW26</f>
        <v>0</v>
      </c>
      <c r="HC56" s="7">
        <f>VC!GX26</f>
        <v>0</v>
      </c>
    </row>
    <row r="57" spans="1:211" s="1" customFormat="1" ht="15.75" thickBot="1" x14ac:dyDescent="0.3">
      <c r="A57" s="1" t="s">
        <v>64</v>
      </c>
      <c r="B57" s="1" t="s">
        <v>65</v>
      </c>
      <c r="C57" s="4" t="s">
        <v>4</v>
      </c>
      <c r="D57" s="1" t="s">
        <v>76</v>
      </c>
      <c r="E57" s="2">
        <v>1</v>
      </c>
      <c r="F57" s="2" t="s">
        <v>73</v>
      </c>
      <c r="G57" s="12" t="s">
        <v>145</v>
      </c>
      <c r="H57" s="1" t="str">
        <f>VC!C27</f>
        <v>T83I</v>
      </c>
      <c r="I57" s="1">
        <f>VC!D27</f>
        <v>0</v>
      </c>
      <c r="J57" s="1">
        <f>VC!E27</f>
        <v>0</v>
      </c>
      <c r="K57" s="1">
        <f>VC!F27</f>
        <v>0</v>
      </c>
      <c r="L57" s="1" t="str">
        <f>VC!G27</f>
        <v>T83I</v>
      </c>
      <c r="M57" s="1">
        <f>VC!H27</f>
        <v>0</v>
      </c>
      <c r="N57" s="1" t="str">
        <f>VC!I27</f>
        <v>T83I</v>
      </c>
      <c r="O57" s="1">
        <f>VC!J27</f>
        <v>0</v>
      </c>
      <c r="P57" s="1">
        <f>VC!K27</f>
        <v>0</v>
      </c>
      <c r="Q57" s="1">
        <f>VC!L27</f>
        <v>0</v>
      </c>
      <c r="R57" s="1">
        <f>VC!M27</f>
        <v>0</v>
      </c>
      <c r="S57" s="1">
        <f>VC!N27</f>
        <v>0</v>
      </c>
      <c r="T57" s="1">
        <f>VC!O27</f>
        <v>0</v>
      </c>
      <c r="U57" s="1">
        <f>VC!P27</f>
        <v>0</v>
      </c>
      <c r="V57" s="1" t="str">
        <f>VC!Q27</f>
        <v>T83I</v>
      </c>
      <c r="W57" s="1">
        <f>VC!R27</f>
        <v>0</v>
      </c>
      <c r="X57" s="1">
        <f>VC!S27</f>
        <v>0</v>
      </c>
      <c r="Y57" s="1">
        <f>VC!T27</f>
        <v>0</v>
      </c>
      <c r="Z57" s="1">
        <f>VC!U27</f>
        <v>0</v>
      </c>
      <c r="AA57" s="1">
        <f>VC!V27</f>
        <v>0</v>
      </c>
      <c r="AB57" s="1">
        <f>VC!W27</f>
        <v>0</v>
      </c>
      <c r="AC57" s="1" t="str">
        <f>VC!X27</f>
        <v>D87N</v>
      </c>
      <c r="AD57" s="1">
        <f>VC!Y27</f>
        <v>0</v>
      </c>
      <c r="AE57" s="1">
        <f>VC!Z27</f>
        <v>0</v>
      </c>
      <c r="AF57" s="1">
        <f>VC!AA27</f>
        <v>0</v>
      </c>
      <c r="AG57" s="1">
        <f>VC!AB27</f>
        <v>0</v>
      </c>
      <c r="AH57" s="1">
        <f>VC!AC27</f>
        <v>0</v>
      </c>
      <c r="AI57" s="1">
        <f>VC!AD27</f>
        <v>0</v>
      </c>
      <c r="AJ57" s="1">
        <f>VC!AE27</f>
        <v>0</v>
      </c>
      <c r="AK57" s="1">
        <f>VC!AF27</f>
        <v>0</v>
      </c>
      <c r="AL57" s="1">
        <f>VC!AG27</f>
        <v>0</v>
      </c>
      <c r="AM57" s="1">
        <f>VC!AH27</f>
        <v>0</v>
      </c>
      <c r="AN57" s="1">
        <f>VC!AI27</f>
        <v>0</v>
      </c>
      <c r="AO57" s="1">
        <f>VC!AJ27</f>
        <v>0</v>
      </c>
      <c r="AP57" s="1">
        <f>VC!AK27</f>
        <v>0</v>
      </c>
      <c r="AQ57" s="1">
        <f>VC!AL27</f>
        <v>0</v>
      </c>
      <c r="AR57" s="1">
        <f>VC!AM27</f>
        <v>0</v>
      </c>
      <c r="AS57" s="1">
        <f>VC!AN27</f>
        <v>0</v>
      </c>
      <c r="AT57" s="1">
        <f>VC!AO27</f>
        <v>0</v>
      </c>
      <c r="AU57" s="1" t="str">
        <f>VC!AP27</f>
        <v>D87N</v>
      </c>
      <c r="AV57" s="1">
        <f>VC!AQ27</f>
        <v>0</v>
      </c>
      <c r="AW57" s="1">
        <f>VC!AR27</f>
        <v>0</v>
      </c>
      <c r="AX57" s="1">
        <f>VC!AS27</f>
        <v>0</v>
      </c>
      <c r="AY57" s="1">
        <f>VC!AT27</f>
        <v>0</v>
      </c>
      <c r="AZ57" s="1">
        <f>VC!AU27</f>
        <v>0</v>
      </c>
      <c r="BA57" s="1" t="str">
        <f>VC!AV27</f>
        <v>T83I; D87N</v>
      </c>
      <c r="BB57" s="1">
        <f>VC!AW27</f>
        <v>0</v>
      </c>
      <c r="BC57" s="1" t="str">
        <f>VC!AX27</f>
        <v>T83I; D87N</v>
      </c>
      <c r="BD57" s="1">
        <f>VC!AY27</f>
        <v>0</v>
      </c>
      <c r="BE57" s="1">
        <f>VC!AZ27</f>
        <v>0</v>
      </c>
      <c r="BF57" s="1">
        <f>VC!BA27</f>
        <v>0</v>
      </c>
      <c r="BG57" s="1">
        <f>VC!BB27</f>
        <v>0</v>
      </c>
      <c r="BH57" s="1">
        <f>VC!BC27</f>
        <v>0</v>
      </c>
      <c r="BI57" s="1" t="str">
        <f>VC!BD27</f>
        <v>T83I; D87N</v>
      </c>
      <c r="BJ57" s="1">
        <f>VC!BE27</f>
        <v>0</v>
      </c>
      <c r="BK57" s="1" t="str">
        <f>VC!BF27</f>
        <v>D87G</v>
      </c>
      <c r="BL57" s="1">
        <f>VC!BG27</f>
        <v>0</v>
      </c>
      <c r="BM57" s="1">
        <f>VC!BH27</f>
        <v>0</v>
      </c>
      <c r="BN57" s="1" t="str">
        <f>VC!BI27</f>
        <v>T83I</v>
      </c>
      <c r="BO57" s="1">
        <f>VC!BJ27</f>
        <v>0</v>
      </c>
      <c r="BP57" s="1">
        <f>VC!BK27</f>
        <v>0</v>
      </c>
      <c r="BQ57" s="1">
        <f>VC!BL27</f>
        <v>0</v>
      </c>
      <c r="BR57" s="1" t="str">
        <f>VC!BM27</f>
        <v>T83I</v>
      </c>
      <c r="BS57" s="1" t="str">
        <f>VC!BN27</f>
        <v>T83I; D87N</v>
      </c>
      <c r="BT57" s="1" t="str">
        <f>VC!BO27</f>
        <v>T83I</v>
      </c>
      <c r="BU57" s="1">
        <f>VC!BP27</f>
        <v>0</v>
      </c>
      <c r="BV57" s="1">
        <f>VC!BQ27</f>
        <v>0</v>
      </c>
      <c r="BW57" s="1" t="str">
        <f>VC!BR27</f>
        <v>T83I; D87N</v>
      </c>
      <c r="BX57" s="1">
        <f>VC!BS27</f>
        <v>0</v>
      </c>
      <c r="BY57" s="1">
        <f>VC!BT27</f>
        <v>0</v>
      </c>
      <c r="BZ57" s="1">
        <f>VC!BU27</f>
        <v>0</v>
      </c>
      <c r="CA57" s="1">
        <f>VC!BV27</f>
        <v>0</v>
      </c>
      <c r="CB57" s="1">
        <f>VC!BW27</f>
        <v>0</v>
      </c>
      <c r="CC57" s="1">
        <f>VC!BX27</f>
        <v>0</v>
      </c>
      <c r="CD57" s="1" t="str">
        <f>VC!BY27</f>
        <v>T83I; D87N</v>
      </c>
      <c r="CE57" s="1">
        <f>VC!BZ27</f>
        <v>0</v>
      </c>
      <c r="CF57" s="1" t="str">
        <f>VC!CA27</f>
        <v xml:space="preserve">T83I; </v>
      </c>
      <c r="CG57" s="1">
        <f>VC!CB27</f>
        <v>0</v>
      </c>
      <c r="CH57" s="1">
        <f>VC!CC27</f>
        <v>0</v>
      </c>
      <c r="CI57" s="1">
        <f>VC!CD27</f>
        <v>0</v>
      </c>
      <c r="CJ57" s="1" t="str">
        <f>VC!CE27</f>
        <v>T83I; D87N</v>
      </c>
      <c r="CK57" s="1" t="str">
        <f>VC!CF27</f>
        <v>T83I; D87N</v>
      </c>
      <c r="CL57" s="1">
        <f>VC!CG27</f>
        <v>0</v>
      </c>
      <c r="CM57" s="1" t="str">
        <f>VC!CH27</f>
        <v>T83I</v>
      </c>
      <c r="CN57" s="1">
        <f>VC!CI27</f>
        <v>0</v>
      </c>
      <c r="CO57" s="1">
        <f>VC!CJ27</f>
        <v>0</v>
      </c>
      <c r="CP57" s="1" t="str">
        <f>VC!CK27</f>
        <v>T83I; D87N</v>
      </c>
      <c r="CQ57" s="1" t="str">
        <f>VC!CL27</f>
        <v>T83I; D87N</v>
      </c>
      <c r="CR57" s="1">
        <f>VC!CM27</f>
        <v>0</v>
      </c>
      <c r="CS57" s="1">
        <f>VC!CN27</f>
        <v>0</v>
      </c>
      <c r="CT57" s="1">
        <f>VC!CO27</f>
        <v>0</v>
      </c>
      <c r="CU57" s="1">
        <f>VC!CP27</f>
        <v>0</v>
      </c>
      <c r="CV57" s="1">
        <f>VC!CQ27</f>
        <v>0</v>
      </c>
      <c r="CW57" s="1" t="str">
        <f>VC!CR27</f>
        <v>T83I</v>
      </c>
      <c r="CX57" s="1">
        <f>VC!CS27</f>
        <v>0</v>
      </c>
      <c r="CY57" s="1">
        <f>VC!CT27</f>
        <v>0</v>
      </c>
      <c r="CZ57" s="1" t="str">
        <f>VC!CU27</f>
        <v>T83I</v>
      </c>
      <c r="DA57" s="1">
        <f>VC!CV27</f>
        <v>0</v>
      </c>
      <c r="DB57" s="1">
        <f>VC!CW27</f>
        <v>0</v>
      </c>
      <c r="DC57" s="1">
        <f>VC!CX27</f>
        <v>0</v>
      </c>
      <c r="DD57" s="1">
        <f>VC!CY27</f>
        <v>0</v>
      </c>
      <c r="DE57" s="1">
        <f>VC!CZ27</f>
        <v>0</v>
      </c>
      <c r="DF57" s="1">
        <f>VC!DA27</f>
        <v>0</v>
      </c>
      <c r="DG57" s="1">
        <f>VC!DB27</f>
        <v>0</v>
      </c>
      <c r="DH57" s="1">
        <f>VC!DC27</f>
        <v>0</v>
      </c>
      <c r="DI57" s="1">
        <f>VC!DD27</f>
        <v>0</v>
      </c>
      <c r="DJ57" s="1" t="str">
        <f>VC!DE27</f>
        <v>T83I</v>
      </c>
      <c r="DK57" s="1" t="str">
        <f>VC!DF27</f>
        <v>T83I</v>
      </c>
      <c r="DL57" s="1" t="str">
        <f>VC!DG27</f>
        <v>T83I</v>
      </c>
      <c r="DM57" s="1">
        <f>VC!DH27</f>
        <v>0</v>
      </c>
      <c r="DN57" s="1">
        <f>VC!DI27</f>
        <v>0</v>
      </c>
      <c r="DO57" s="1" t="str">
        <f>VC!DJ27</f>
        <v>D87N</v>
      </c>
      <c r="DP57" s="1" t="str">
        <f>VC!DK27</f>
        <v>T83I</v>
      </c>
      <c r="DQ57" s="1">
        <f>VC!DL27</f>
        <v>0</v>
      </c>
      <c r="DR57" s="1">
        <f>VC!DM27</f>
        <v>0</v>
      </c>
      <c r="DS57" s="1">
        <f>VC!DN27</f>
        <v>0</v>
      </c>
      <c r="DT57" s="1">
        <f>VC!DO27</f>
        <v>0</v>
      </c>
      <c r="DU57" s="1" t="str">
        <f>VC!DP27</f>
        <v>T83I</v>
      </c>
      <c r="DV57" s="1" t="str">
        <f>VC!DQ27</f>
        <v>T83I</v>
      </c>
      <c r="DW57" s="1" t="str">
        <f>VC!DR27</f>
        <v>T83I</v>
      </c>
      <c r="DX57" s="1">
        <f>VC!DS27</f>
        <v>0</v>
      </c>
      <c r="DY57" s="1" t="str">
        <f>VC!DT27</f>
        <v>D87N</v>
      </c>
      <c r="DZ57" s="1">
        <f>VC!DU27</f>
        <v>0</v>
      </c>
      <c r="EA57" s="1" t="str">
        <f>VC!DV27</f>
        <v>T83I; D87N</v>
      </c>
      <c r="EB57" s="1">
        <f>VC!DW27</f>
        <v>0</v>
      </c>
      <c r="EC57" s="1">
        <f>VC!DX27</f>
        <v>0</v>
      </c>
      <c r="ED57" s="1">
        <f>VC!DY27</f>
        <v>0</v>
      </c>
      <c r="EE57" s="1" t="str">
        <f>VC!DZ27</f>
        <v>T83I; D87N</v>
      </c>
      <c r="EF57" s="1">
        <f>VC!EA27</f>
        <v>0</v>
      </c>
      <c r="EG57" s="1" t="str">
        <f>VC!EB27</f>
        <v>T83A; D87N</v>
      </c>
      <c r="EH57" s="1" t="str">
        <f>VC!EC27</f>
        <v>T83I</v>
      </c>
      <c r="EI57" s="1">
        <f>VC!ED27</f>
        <v>0</v>
      </c>
      <c r="EJ57" s="1" t="str">
        <f>VC!EE27</f>
        <v>T83I</v>
      </c>
      <c r="EK57" s="1" t="str">
        <f>VC!EF27</f>
        <v>T83I</v>
      </c>
      <c r="EL57" s="1">
        <f>VC!EG27</f>
        <v>0</v>
      </c>
      <c r="EM57" s="1">
        <f>VC!EH27</f>
        <v>0</v>
      </c>
      <c r="EN57" s="1" t="str">
        <f>VC!EI27</f>
        <v>T83I</v>
      </c>
      <c r="EO57" s="1">
        <f>VC!EJ27</f>
        <v>0</v>
      </c>
      <c r="EP57" s="1">
        <f>VC!EK27</f>
        <v>0</v>
      </c>
      <c r="EQ57" s="1" t="str">
        <f>VC!EL27</f>
        <v>T83I</v>
      </c>
      <c r="ER57" s="1">
        <f>VC!EM27</f>
        <v>0</v>
      </c>
      <c r="ES57" s="1">
        <f>VC!EN27</f>
        <v>0</v>
      </c>
      <c r="ET57" s="1">
        <f>VC!EO27</f>
        <v>0</v>
      </c>
      <c r="EU57" s="1" t="str">
        <f>VC!EP27</f>
        <v>T83I</v>
      </c>
      <c r="EV57" s="1" t="str">
        <f>VC!EQ27</f>
        <v>D87N</v>
      </c>
      <c r="EW57" s="1">
        <f>VC!ER27</f>
        <v>0</v>
      </c>
      <c r="EX57" s="1">
        <f>VC!ES27</f>
        <v>0</v>
      </c>
      <c r="EY57" s="1">
        <f>VC!ET27</f>
        <v>0</v>
      </c>
      <c r="EZ57" s="1">
        <f>VC!EU27</f>
        <v>0</v>
      </c>
      <c r="FA57" s="1" t="str">
        <f>VC!EV27</f>
        <v>T83I</v>
      </c>
      <c r="FB57" s="1">
        <f>VC!EW27</f>
        <v>0</v>
      </c>
      <c r="FC57" s="1" t="str">
        <f>VC!EX27</f>
        <v>T83I</v>
      </c>
      <c r="FD57" s="1">
        <f>VC!EY27</f>
        <v>0</v>
      </c>
      <c r="FE57" s="1" t="str">
        <f>VC!EZ27</f>
        <v>T83I</v>
      </c>
      <c r="FF57" s="1">
        <f>VC!FA27</f>
        <v>0</v>
      </c>
      <c r="FG57" s="1">
        <f>VC!FB27</f>
        <v>0</v>
      </c>
      <c r="FH57" s="1">
        <f>VC!FC27</f>
        <v>0</v>
      </c>
      <c r="FI57" s="1" t="str">
        <f>VC!FD27</f>
        <v>T83I; D87N</v>
      </c>
      <c r="FJ57" s="1">
        <f>VC!FE27</f>
        <v>0</v>
      </c>
      <c r="FK57" s="1">
        <f>VC!FF27</f>
        <v>0</v>
      </c>
      <c r="FL57" s="1" t="str">
        <f>VC!FG27</f>
        <v>T83I</v>
      </c>
      <c r="FM57" s="1">
        <f>VC!FH27</f>
        <v>0</v>
      </c>
      <c r="FN57" s="1">
        <f>VC!FI27</f>
        <v>0</v>
      </c>
      <c r="FO57" s="1">
        <f>VC!FJ27</f>
        <v>0</v>
      </c>
      <c r="FP57" s="1">
        <f>VC!FK27</f>
        <v>0</v>
      </c>
      <c r="FQ57" s="1" t="str">
        <f>VC!FL27</f>
        <v>T83I; D87N</v>
      </c>
      <c r="FR57" s="1">
        <f>VC!FM27</f>
        <v>0</v>
      </c>
      <c r="FS57" s="1">
        <f>VC!FN27</f>
        <v>0</v>
      </c>
      <c r="FT57" s="1">
        <f>VC!FO27</f>
        <v>0</v>
      </c>
      <c r="FU57" s="1">
        <f>VC!FP27</f>
        <v>0</v>
      </c>
      <c r="FV57" s="1">
        <f>VC!FQ27</f>
        <v>0</v>
      </c>
      <c r="FW57" s="1" t="str">
        <f>VC!FR27</f>
        <v>T83I</v>
      </c>
      <c r="FX57" s="1">
        <f>VC!FS27</f>
        <v>0</v>
      </c>
      <c r="FY57" s="1">
        <f>VC!FT27</f>
        <v>0</v>
      </c>
      <c r="FZ57" s="1">
        <f>VC!FU27</f>
        <v>0</v>
      </c>
      <c r="GA57" s="1" t="str">
        <f>VC!FV27</f>
        <v>T83I; D87N</v>
      </c>
      <c r="GB57" s="1" t="str">
        <f>VC!FW27</f>
        <v>T83I</v>
      </c>
      <c r="GC57" s="1" t="str">
        <f>VC!FX27</f>
        <v>D87N</v>
      </c>
      <c r="GD57" s="1">
        <f>VC!FY27</f>
        <v>0</v>
      </c>
      <c r="GE57" s="1">
        <f>VC!FZ27</f>
        <v>0</v>
      </c>
      <c r="GF57" s="1">
        <f>VC!GA27</f>
        <v>0</v>
      </c>
      <c r="GG57" s="1">
        <f>VC!GB27</f>
        <v>0</v>
      </c>
      <c r="GH57" s="1">
        <f>VC!GC27</f>
        <v>0</v>
      </c>
      <c r="GI57" s="1">
        <f>VC!GD27</f>
        <v>0</v>
      </c>
      <c r="GJ57" s="1">
        <f>VC!GE27</f>
        <v>0</v>
      </c>
      <c r="GK57" s="1">
        <f>VC!GF27</f>
        <v>0</v>
      </c>
      <c r="GL57" s="1">
        <f>VC!GG27</f>
        <v>0</v>
      </c>
      <c r="GM57" s="1" t="str">
        <f>VC!GH27</f>
        <v>T83I; D87N</v>
      </c>
      <c r="GN57" s="1">
        <f>VC!GI27</f>
        <v>0</v>
      </c>
      <c r="GO57" s="1">
        <f>VC!GJ27</f>
        <v>0</v>
      </c>
      <c r="GP57" s="1">
        <f>VC!GK27</f>
        <v>0</v>
      </c>
      <c r="GQ57" s="1">
        <f>VC!GL27</f>
        <v>0</v>
      </c>
      <c r="GR57" s="1">
        <f>VC!GM27</f>
        <v>0</v>
      </c>
      <c r="GS57" s="1">
        <f>VC!GN27</f>
        <v>0</v>
      </c>
      <c r="GT57" s="1">
        <f>VC!GO27</f>
        <v>0</v>
      </c>
      <c r="GU57" s="1">
        <f>VC!GP27</f>
        <v>0</v>
      </c>
      <c r="GV57" s="1">
        <f>VC!GQ27</f>
        <v>0</v>
      </c>
      <c r="GW57" s="1">
        <f>VC!GR27</f>
        <v>0</v>
      </c>
      <c r="GX57" s="1">
        <f>VC!GS27</f>
        <v>0</v>
      </c>
      <c r="GY57" s="1" t="str">
        <f>VC!GT27</f>
        <v>T83I</v>
      </c>
      <c r="GZ57" s="1">
        <f>VC!GU27</f>
        <v>0</v>
      </c>
      <c r="HA57" s="1" t="str">
        <f>VC!GV27</f>
        <v>T83I</v>
      </c>
      <c r="HB57" s="1" t="str">
        <f>VC!GW27</f>
        <v>T83I; D87N</v>
      </c>
      <c r="HC57" s="1">
        <f>VC!GX27</f>
        <v>0</v>
      </c>
    </row>
    <row r="58" spans="1:211" s="7" customFormat="1" x14ac:dyDescent="0.25">
      <c r="A58" s="32" t="s">
        <v>20</v>
      </c>
      <c r="B58" s="33" t="s">
        <v>21</v>
      </c>
      <c r="C58" s="34" t="s">
        <v>1</v>
      </c>
      <c r="D58" s="33" t="s">
        <v>76</v>
      </c>
      <c r="E58" s="33" t="s">
        <v>138</v>
      </c>
      <c r="F58" s="33" t="s">
        <v>74</v>
      </c>
      <c r="G58" s="35" t="s">
        <v>136</v>
      </c>
      <c r="H58" s="7">
        <f>VC!C28</f>
        <v>0</v>
      </c>
      <c r="I58" s="7">
        <f>VC!D28</f>
        <v>0</v>
      </c>
      <c r="J58" s="7">
        <f>VC!E28</f>
        <v>0</v>
      </c>
      <c r="K58" s="7">
        <f>VC!F28</f>
        <v>0</v>
      </c>
      <c r="L58" s="7">
        <f>VC!G28</f>
        <v>0</v>
      </c>
      <c r="M58" s="7">
        <f>VC!H28</f>
        <v>0</v>
      </c>
      <c r="N58" s="7">
        <f>VC!I28</f>
        <v>0</v>
      </c>
      <c r="O58" s="7">
        <f>VC!J28</f>
        <v>0</v>
      </c>
      <c r="P58" s="7">
        <f>VC!K28</f>
        <v>0</v>
      </c>
      <c r="Q58" s="7">
        <f>VC!L28</f>
        <v>0</v>
      </c>
      <c r="R58" s="7">
        <f>VC!M28</f>
        <v>0</v>
      </c>
      <c r="S58" s="7">
        <f>VC!N28</f>
        <v>0</v>
      </c>
      <c r="T58" s="7">
        <f>VC!O28</f>
        <v>0</v>
      </c>
      <c r="U58" s="7">
        <f>VC!P28</f>
        <v>0</v>
      </c>
      <c r="V58" s="7" t="str">
        <f>VC!Q28</f>
        <v>Q97X</v>
      </c>
      <c r="W58" s="7">
        <f>VC!R28</f>
        <v>0</v>
      </c>
      <c r="X58" s="7">
        <f>VC!S28</f>
        <v>0</v>
      </c>
      <c r="Y58" s="7">
        <f>VC!T28</f>
        <v>0</v>
      </c>
      <c r="Z58" s="7">
        <f>VC!U28</f>
        <v>0</v>
      </c>
      <c r="AA58" s="7">
        <f>VC!V28</f>
        <v>0</v>
      </c>
      <c r="AB58" s="7">
        <f>VC!W28</f>
        <v>0</v>
      </c>
      <c r="AC58" s="7">
        <f>VC!X28</f>
        <v>0</v>
      </c>
      <c r="AD58" s="7">
        <f>VC!Y28</f>
        <v>0</v>
      </c>
      <c r="AE58" s="7">
        <f>VC!Z28</f>
        <v>0</v>
      </c>
      <c r="AF58" s="7">
        <f>VC!AA28</f>
        <v>0</v>
      </c>
      <c r="AG58" s="7">
        <f>VC!AB28</f>
        <v>0</v>
      </c>
      <c r="AH58" s="7">
        <f>VC!AC28</f>
        <v>0</v>
      </c>
      <c r="AI58" s="7">
        <f>VC!AD28</f>
        <v>0</v>
      </c>
      <c r="AJ58" s="7">
        <f>VC!AE28</f>
        <v>0</v>
      </c>
      <c r="AK58" s="7">
        <f>VC!AF28</f>
        <v>0</v>
      </c>
      <c r="AL58" s="7">
        <f>VC!AG28</f>
        <v>0</v>
      </c>
      <c r="AM58" s="7">
        <f>VC!AH28</f>
        <v>0</v>
      </c>
      <c r="AN58" s="7">
        <f>VC!AI28</f>
        <v>0</v>
      </c>
      <c r="AO58" s="7">
        <f>VC!AJ28</f>
        <v>0</v>
      </c>
      <c r="AP58" s="7">
        <f>VC!AK28</f>
        <v>0</v>
      </c>
      <c r="AQ58" s="7">
        <f>VC!AL28</f>
        <v>0</v>
      </c>
      <c r="AR58" s="7">
        <f>VC!AM28</f>
        <v>0</v>
      </c>
      <c r="AS58" s="7">
        <f>VC!AN28</f>
        <v>0</v>
      </c>
      <c r="AT58" s="7">
        <f>VC!AO28</f>
        <v>0</v>
      </c>
      <c r="AU58" s="7">
        <f>VC!AP28</f>
        <v>0</v>
      </c>
      <c r="AV58" s="7">
        <f>VC!AQ28</f>
        <v>0</v>
      </c>
      <c r="AW58" s="7">
        <f>VC!AR28</f>
        <v>0</v>
      </c>
      <c r="AX58" s="7">
        <f>VC!AS28</f>
        <v>0</v>
      </c>
      <c r="AY58" s="7">
        <f>VC!AT28</f>
        <v>0</v>
      </c>
      <c r="AZ58" s="7">
        <f>VC!AU28</f>
        <v>0</v>
      </c>
      <c r="BA58" s="7">
        <f>VC!AV28</f>
        <v>0</v>
      </c>
      <c r="BB58" s="7">
        <f>VC!AW28</f>
        <v>0</v>
      </c>
      <c r="BC58" s="7">
        <f>VC!AX28</f>
        <v>0</v>
      </c>
      <c r="BD58" s="7">
        <f>VC!AY28</f>
        <v>0</v>
      </c>
      <c r="BE58" s="7">
        <f>VC!AZ28</f>
        <v>0</v>
      </c>
      <c r="BF58" s="7">
        <f>VC!BA28</f>
        <v>0</v>
      </c>
      <c r="BG58" s="7">
        <f>VC!BB28</f>
        <v>0</v>
      </c>
      <c r="BH58" s="7">
        <f>VC!BC28</f>
        <v>0</v>
      </c>
      <c r="BI58" s="7">
        <f>VC!BD28</f>
        <v>0</v>
      </c>
      <c r="BJ58" s="7" t="str">
        <f>VC!BE28</f>
        <v>aa25∆1</v>
      </c>
      <c r="BK58" s="7">
        <f>VC!BF28</f>
        <v>0</v>
      </c>
      <c r="BL58" s="7">
        <f>VC!BG28</f>
        <v>0</v>
      </c>
      <c r="BM58" s="7">
        <f>VC!BH28</f>
        <v>0</v>
      </c>
      <c r="BN58" s="7">
        <f>VC!BI28</f>
        <v>0</v>
      </c>
      <c r="BO58" s="7">
        <f>VC!BJ28</f>
        <v>0</v>
      </c>
      <c r="BP58" s="7">
        <f>VC!BK28</f>
        <v>0</v>
      </c>
      <c r="BQ58" s="7">
        <f>VC!BL28</f>
        <v>0</v>
      </c>
      <c r="BR58" s="7">
        <f>VC!BM28</f>
        <v>0</v>
      </c>
      <c r="BS58" s="7">
        <f>VC!BN28</f>
        <v>0</v>
      </c>
      <c r="BT58" s="7" t="str">
        <f>VC!BO28</f>
        <v>T11N</v>
      </c>
      <c r="BU58" s="7">
        <f>VC!BP28</f>
        <v>0</v>
      </c>
      <c r="BV58" s="7">
        <f>VC!BQ28</f>
        <v>0</v>
      </c>
      <c r="BW58" s="7" t="str">
        <f>VC!BR28</f>
        <v>∆204</v>
      </c>
      <c r="BX58" s="7">
        <f>VC!BS28</f>
        <v>0</v>
      </c>
      <c r="BY58" s="7">
        <f>VC!BT28</f>
        <v>0</v>
      </c>
      <c r="BZ58" s="7">
        <f>VC!BU28</f>
        <v>0</v>
      </c>
      <c r="CA58" s="7">
        <f>VC!BV28</f>
        <v>0</v>
      </c>
      <c r="CB58" s="7">
        <f>VC!BW28</f>
        <v>0</v>
      </c>
      <c r="CC58" s="7">
        <f>VC!BX28</f>
        <v>0</v>
      </c>
      <c r="CD58" s="7">
        <f>VC!BY28</f>
        <v>0</v>
      </c>
      <c r="CE58" s="7">
        <f>VC!BZ28</f>
        <v>0</v>
      </c>
      <c r="CF58" s="7">
        <f>VC!CA28</f>
        <v>0</v>
      </c>
      <c r="CG58" s="7">
        <f>VC!CB28</f>
        <v>0</v>
      </c>
      <c r="CH58" s="7">
        <f>VC!CC28</f>
        <v>0</v>
      </c>
      <c r="CI58" s="7">
        <f>VC!CD28</f>
        <v>0</v>
      </c>
      <c r="CJ58" s="7">
        <f>VC!CE28</f>
        <v>0</v>
      </c>
      <c r="CK58" s="7">
        <f>VC!CF28</f>
        <v>0</v>
      </c>
      <c r="CL58" s="7">
        <f>VC!CG28</f>
        <v>0</v>
      </c>
      <c r="CM58" s="7">
        <f>VC!CH28</f>
        <v>0</v>
      </c>
      <c r="CN58" s="7">
        <f>VC!CI28</f>
        <v>0</v>
      </c>
      <c r="CO58" s="7">
        <f>VC!CJ28</f>
        <v>0</v>
      </c>
      <c r="CP58" s="7">
        <f>VC!CK28</f>
        <v>0</v>
      </c>
      <c r="CQ58" s="7">
        <f>VC!CL28</f>
        <v>0</v>
      </c>
      <c r="CR58" s="7">
        <f>VC!CM28</f>
        <v>0</v>
      </c>
      <c r="CS58" s="7">
        <f>VC!CN28</f>
        <v>0</v>
      </c>
      <c r="CT58" s="7">
        <f>VC!CO28</f>
        <v>0</v>
      </c>
      <c r="CU58" s="7">
        <f>VC!CP28</f>
        <v>0</v>
      </c>
      <c r="CV58" s="7">
        <f>VC!CQ28</f>
        <v>0</v>
      </c>
      <c r="CW58" s="7">
        <f>VC!CR28</f>
        <v>0</v>
      </c>
      <c r="CX58" s="7" t="str">
        <f>VC!CS28</f>
        <v>T188A</v>
      </c>
      <c r="CY58" s="7">
        <f>VC!CT28</f>
        <v>0</v>
      </c>
      <c r="CZ58" s="7" t="str">
        <f>VC!CU28</f>
        <v>nt263∆17</v>
      </c>
      <c r="DA58" s="7">
        <f>VC!CV28</f>
        <v>0</v>
      </c>
      <c r="DB58" s="7">
        <f>VC!CW28</f>
        <v>0</v>
      </c>
      <c r="DC58" s="7">
        <f>VC!CX28</f>
        <v>0</v>
      </c>
      <c r="DD58" s="7">
        <f>VC!CY28</f>
        <v>0</v>
      </c>
      <c r="DE58" s="7">
        <f>VC!CZ28</f>
        <v>0</v>
      </c>
      <c r="DF58" s="7">
        <f>VC!DA28</f>
        <v>0</v>
      </c>
      <c r="DG58" s="7">
        <f>VC!DB28</f>
        <v>0</v>
      </c>
      <c r="DH58" s="7">
        <f>VC!DC28</f>
        <v>0</v>
      </c>
      <c r="DI58" s="7">
        <f>VC!DD28</f>
        <v>0</v>
      </c>
      <c r="DJ58" s="7">
        <f>VC!DE28</f>
        <v>0</v>
      </c>
      <c r="DK58" s="7" t="str">
        <f>VC!DF28</f>
        <v>nt396∆2</v>
      </c>
      <c r="DL58" s="7">
        <f>VC!DG28</f>
        <v>0</v>
      </c>
      <c r="DM58" s="7">
        <f>VC!DH28</f>
        <v>0</v>
      </c>
      <c r="DN58" s="7">
        <f>VC!DI28</f>
        <v>0</v>
      </c>
      <c r="DO58" s="7">
        <f>VC!DJ28</f>
        <v>0</v>
      </c>
      <c r="DP58" s="7" t="str">
        <f>VC!DK28</f>
        <v>C149Y</v>
      </c>
      <c r="DQ58" s="7">
        <f>VC!DL28</f>
        <v>0</v>
      </c>
      <c r="DR58" s="7">
        <f>VC!DM28</f>
        <v>0</v>
      </c>
      <c r="DS58" s="7">
        <f>VC!DN28</f>
        <v>0</v>
      </c>
      <c r="DT58" s="7">
        <f>VC!DO28</f>
        <v>0</v>
      </c>
      <c r="DU58" s="7">
        <f>VC!DP28</f>
        <v>0</v>
      </c>
      <c r="DV58" s="7">
        <f>VC!DQ28</f>
        <v>0</v>
      </c>
      <c r="DW58" s="7">
        <f>VC!DR28</f>
        <v>0</v>
      </c>
      <c r="DX58" s="7">
        <f>VC!DS28</f>
        <v>0</v>
      </c>
      <c r="DY58" s="7">
        <f>VC!DT28</f>
        <v>0</v>
      </c>
      <c r="DZ58" s="7">
        <f>VC!DU28</f>
        <v>0</v>
      </c>
      <c r="EA58" s="7">
        <f>VC!DV28</f>
        <v>0</v>
      </c>
      <c r="EB58" s="7">
        <f>VC!DW28</f>
        <v>0</v>
      </c>
      <c r="EC58" s="7">
        <f>VC!DX28</f>
        <v>0</v>
      </c>
      <c r="ED58" s="7">
        <f>VC!DY28</f>
        <v>0</v>
      </c>
      <c r="EE58" s="7">
        <f>VC!DZ28</f>
        <v>0</v>
      </c>
      <c r="EF58" s="7">
        <f>VC!EA28</f>
        <v>0</v>
      </c>
      <c r="EG58" s="7">
        <f>VC!EB28</f>
        <v>0</v>
      </c>
      <c r="EH58" s="7" t="str">
        <f>VC!EC28</f>
        <v>G78R; nt232∆19</v>
      </c>
      <c r="EI58" s="7">
        <f>VC!ED28</f>
        <v>0</v>
      </c>
      <c r="EJ58" s="7">
        <f>VC!EE28</f>
        <v>0</v>
      </c>
      <c r="EK58" s="7">
        <f>VC!EF28</f>
        <v>0</v>
      </c>
      <c r="EL58" s="7">
        <f>VC!EG28</f>
        <v>0</v>
      </c>
      <c r="EM58" s="7">
        <f>VC!EH28</f>
        <v>0</v>
      </c>
      <c r="EN58" s="7">
        <f>VC!EI28</f>
        <v>0</v>
      </c>
      <c r="EO58" s="7">
        <f>VC!EJ28</f>
        <v>0</v>
      </c>
      <c r="EP58" s="7">
        <f>VC!EK28</f>
        <v>0</v>
      </c>
      <c r="EQ58" s="7" t="str">
        <f>VC!EL28</f>
        <v>nt232∆19</v>
      </c>
      <c r="ER58" s="7">
        <f>VC!EM28</f>
        <v>0</v>
      </c>
      <c r="ES58" s="7">
        <f>VC!EN28</f>
        <v>0</v>
      </c>
      <c r="ET58" s="7">
        <f>VC!EO28</f>
        <v>0</v>
      </c>
      <c r="EU58" s="7" t="str">
        <f>VC!EP28</f>
        <v>nt232∆19</v>
      </c>
      <c r="EV58" s="7">
        <f>VC!EQ28</f>
        <v>0</v>
      </c>
      <c r="EW58" s="7" t="str">
        <f>VC!ER28</f>
        <v>E21D</v>
      </c>
      <c r="EX58" s="7">
        <f>VC!ES28</f>
        <v>0</v>
      </c>
      <c r="EY58" s="7">
        <f>VC!ET28</f>
        <v>0</v>
      </c>
      <c r="EZ58" s="7">
        <f>VC!EU28</f>
        <v>0</v>
      </c>
      <c r="FA58" s="7" t="str">
        <f>VC!EV28</f>
        <v>nt295∆17</v>
      </c>
      <c r="FB58" s="7">
        <f>VC!EW28</f>
        <v>0</v>
      </c>
      <c r="FC58" s="7" t="str">
        <f>VC!EX28</f>
        <v>T188A</v>
      </c>
      <c r="FD58" s="7">
        <f>VC!EY28</f>
        <v>0</v>
      </c>
      <c r="FE58" s="7">
        <f>VC!EZ28</f>
        <v>0</v>
      </c>
      <c r="FF58" s="7">
        <f>VC!FA28</f>
        <v>0</v>
      </c>
      <c r="FG58" s="7">
        <f>VC!FB28</f>
        <v>0</v>
      </c>
      <c r="FH58" s="7">
        <f>VC!FC28</f>
        <v>0</v>
      </c>
      <c r="FI58" s="7" t="str">
        <f>VC!FD28</f>
        <v>∆605</v>
      </c>
      <c r="FJ58" s="7">
        <f>VC!FE28</f>
        <v>0</v>
      </c>
      <c r="FK58" s="7">
        <f>VC!FF28</f>
        <v>0</v>
      </c>
      <c r="FL58" s="7">
        <f>VC!FG28</f>
        <v>0</v>
      </c>
      <c r="FM58" s="7">
        <f>VC!FH28</f>
        <v>0</v>
      </c>
      <c r="FN58" s="7">
        <f>VC!FI28</f>
        <v>0</v>
      </c>
      <c r="FO58" s="7">
        <f>VC!FJ28</f>
        <v>0</v>
      </c>
      <c r="FP58" s="7">
        <f>VC!FK28</f>
        <v>0</v>
      </c>
      <c r="FQ58" s="7">
        <f>VC!FL28</f>
        <v>0</v>
      </c>
      <c r="FR58" s="7">
        <f>VC!FM28</f>
        <v>0</v>
      </c>
      <c r="FS58" s="7">
        <f>VC!FN28</f>
        <v>0</v>
      </c>
      <c r="FT58" s="7">
        <f>VC!FO28</f>
        <v>0</v>
      </c>
      <c r="FU58" s="7">
        <f>VC!FP28</f>
        <v>0</v>
      </c>
      <c r="FV58" s="7">
        <f>VC!FQ28</f>
        <v>0</v>
      </c>
      <c r="FW58" s="7">
        <f>VC!FR28</f>
        <v>0</v>
      </c>
      <c r="FX58" s="7">
        <f>VC!FS28</f>
        <v>0</v>
      </c>
      <c r="FY58" s="7">
        <f>VC!FT28</f>
        <v>0</v>
      </c>
      <c r="FZ58" s="7">
        <f>VC!FU28</f>
        <v>0</v>
      </c>
      <c r="GA58" s="7">
        <f>VC!FV28</f>
        <v>0</v>
      </c>
      <c r="GB58" s="7" t="str">
        <f>VC!FW28</f>
        <v>nt475∆16</v>
      </c>
      <c r="GC58" s="7">
        <f>VC!FX28</f>
        <v>0</v>
      </c>
      <c r="GD58" s="7">
        <f>VC!FY28</f>
        <v>0</v>
      </c>
      <c r="GE58" s="7">
        <f>VC!FZ28</f>
        <v>0</v>
      </c>
      <c r="GF58" s="7" t="str">
        <f>VC!GA28</f>
        <v>T188A</v>
      </c>
      <c r="GG58" s="7">
        <f>VC!GB28</f>
        <v>0</v>
      </c>
      <c r="GH58" s="7">
        <f>VC!GC28</f>
        <v>0</v>
      </c>
      <c r="GI58" s="7" t="str">
        <f>VC!GD28</f>
        <v>T188A</v>
      </c>
      <c r="GJ58" s="7">
        <f>VC!GE28</f>
        <v>0</v>
      </c>
      <c r="GK58" s="7">
        <f>VC!GF28</f>
        <v>0</v>
      </c>
      <c r="GL58" s="7">
        <f>VC!GG28</f>
        <v>0</v>
      </c>
      <c r="GM58" s="7">
        <f>VC!GH28</f>
        <v>0</v>
      </c>
      <c r="GN58" s="7">
        <f>VC!GI28</f>
        <v>0</v>
      </c>
      <c r="GO58" s="7" t="str">
        <f>VC!GJ28</f>
        <v>T188A</v>
      </c>
      <c r="GP58" s="7">
        <f>VC!GK28</f>
        <v>0</v>
      </c>
      <c r="GQ58" s="7">
        <f>VC!GL28</f>
        <v>0</v>
      </c>
      <c r="GR58" s="7">
        <f>VC!GM28</f>
        <v>0</v>
      </c>
      <c r="GS58" s="7">
        <f>VC!GN28</f>
        <v>0</v>
      </c>
      <c r="GT58" s="7">
        <f>VC!GO28</f>
        <v>0</v>
      </c>
      <c r="GU58" s="7">
        <f>VC!GP28</f>
        <v>0</v>
      </c>
      <c r="GV58" s="7" t="str">
        <f>VC!GQ28</f>
        <v>G172D</v>
      </c>
      <c r="GW58" s="7">
        <f>VC!GR28</f>
        <v>0</v>
      </c>
      <c r="GX58" s="7">
        <f>VC!GS28</f>
        <v>0</v>
      </c>
      <c r="GY58" s="7">
        <f>VC!GT28</f>
        <v>0</v>
      </c>
      <c r="GZ58" s="7">
        <f>VC!GU28</f>
        <v>0</v>
      </c>
      <c r="HA58" s="7">
        <f>VC!GV28</f>
        <v>0</v>
      </c>
      <c r="HB58" s="7">
        <f>VC!GW28</f>
        <v>0</v>
      </c>
      <c r="HC58" s="7">
        <f>VC!GX28</f>
        <v>0</v>
      </c>
    </row>
    <row r="59" spans="1:211" s="7" customFormat="1" x14ac:dyDescent="0.25">
      <c r="A59" s="36" t="s">
        <v>20</v>
      </c>
      <c r="B59" s="37" t="s">
        <v>21</v>
      </c>
      <c r="C59" s="38" t="s">
        <v>2</v>
      </c>
      <c r="D59" s="37" t="s">
        <v>76</v>
      </c>
      <c r="E59" s="37" t="s">
        <v>138</v>
      </c>
      <c r="F59" s="37" t="s">
        <v>74</v>
      </c>
      <c r="G59" s="39" t="s">
        <v>136</v>
      </c>
      <c r="H59" s="7">
        <f>VC!C28</f>
        <v>0</v>
      </c>
      <c r="I59" s="7">
        <f>VC!D28</f>
        <v>0</v>
      </c>
      <c r="J59" s="7">
        <f>VC!E28</f>
        <v>0</v>
      </c>
      <c r="K59" s="7">
        <f>VC!F28</f>
        <v>0</v>
      </c>
      <c r="L59" s="7">
        <f>VC!G28</f>
        <v>0</v>
      </c>
      <c r="M59" s="7">
        <f>VC!H28</f>
        <v>0</v>
      </c>
      <c r="N59" s="7">
        <f>VC!I28</f>
        <v>0</v>
      </c>
      <c r="O59" s="7">
        <f>VC!J28</f>
        <v>0</v>
      </c>
      <c r="P59" s="7">
        <f>VC!K28</f>
        <v>0</v>
      </c>
      <c r="Q59" s="7">
        <f>VC!L28</f>
        <v>0</v>
      </c>
      <c r="R59" s="7">
        <f>VC!M28</f>
        <v>0</v>
      </c>
      <c r="S59" s="7">
        <f>VC!N28</f>
        <v>0</v>
      </c>
      <c r="T59" s="7">
        <f>VC!O28</f>
        <v>0</v>
      </c>
      <c r="U59" s="7">
        <f>VC!P28</f>
        <v>0</v>
      </c>
      <c r="V59" s="7" t="str">
        <f>VC!Q28</f>
        <v>Q97X</v>
      </c>
      <c r="W59" s="7">
        <f>VC!R28</f>
        <v>0</v>
      </c>
      <c r="X59" s="7">
        <f>VC!S28</f>
        <v>0</v>
      </c>
      <c r="Y59" s="7">
        <f>VC!T28</f>
        <v>0</v>
      </c>
      <c r="Z59" s="7">
        <f>VC!U28</f>
        <v>0</v>
      </c>
      <c r="AA59" s="7">
        <f>VC!V28</f>
        <v>0</v>
      </c>
      <c r="AB59" s="7">
        <f>VC!W28</f>
        <v>0</v>
      </c>
      <c r="AC59" s="7">
        <f>VC!X28</f>
        <v>0</v>
      </c>
      <c r="AD59" s="7">
        <f>VC!Y28</f>
        <v>0</v>
      </c>
      <c r="AE59" s="7">
        <f>VC!Z28</f>
        <v>0</v>
      </c>
      <c r="AF59" s="7">
        <f>VC!AA28</f>
        <v>0</v>
      </c>
      <c r="AG59" s="7">
        <f>VC!AB28</f>
        <v>0</v>
      </c>
      <c r="AH59" s="7">
        <f>VC!AC28</f>
        <v>0</v>
      </c>
      <c r="AI59" s="7">
        <f>VC!AD28</f>
        <v>0</v>
      </c>
      <c r="AJ59" s="7">
        <f>VC!AE28</f>
        <v>0</v>
      </c>
      <c r="AK59" s="7">
        <f>VC!AF28</f>
        <v>0</v>
      </c>
      <c r="AL59" s="7">
        <f>VC!AG28</f>
        <v>0</v>
      </c>
      <c r="AM59" s="7">
        <f>VC!AH28</f>
        <v>0</v>
      </c>
      <c r="AN59" s="7">
        <f>VC!AI28</f>
        <v>0</v>
      </c>
      <c r="AO59" s="7">
        <f>VC!AJ28</f>
        <v>0</v>
      </c>
      <c r="AP59" s="7">
        <f>VC!AK28</f>
        <v>0</v>
      </c>
      <c r="AQ59" s="7">
        <f>VC!AL28</f>
        <v>0</v>
      </c>
      <c r="AR59" s="7">
        <f>VC!AM28</f>
        <v>0</v>
      </c>
      <c r="AS59" s="7">
        <f>VC!AN28</f>
        <v>0</v>
      </c>
      <c r="AT59" s="7">
        <f>VC!AO28</f>
        <v>0</v>
      </c>
      <c r="AU59" s="7">
        <f>VC!AP28</f>
        <v>0</v>
      </c>
      <c r="AV59" s="7">
        <f>VC!AQ28</f>
        <v>0</v>
      </c>
      <c r="AW59" s="7">
        <f>VC!AR28</f>
        <v>0</v>
      </c>
      <c r="AX59" s="7">
        <f>VC!AS28</f>
        <v>0</v>
      </c>
      <c r="AY59" s="7">
        <f>VC!AT28</f>
        <v>0</v>
      </c>
      <c r="AZ59" s="7">
        <f>VC!AU28</f>
        <v>0</v>
      </c>
      <c r="BA59" s="7">
        <f>VC!AV28</f>
        <v>0</v>
      </c>
      <c r="BB59" s="7">
        <f>VC!AW28</f>
        <v>0</v>
      </c>
      <c r="BC59" s="7">
        <f>VC!AX28</f>
        <v>0</v>
      </c>
      <c r="BD59" s="7">
        <f>VC!AY28</f>
        <v>0</v>
      </c>
      <c r="BE59" s="7">
        <f>VC!AZ28</f>
        <v>0</v>
      </c>
      <c r="BF59" s="7">
        <f>VC!BA28</f>
        <v>0</v>
      </c>
      <c r="BG59" s="7">
        <f>VC!BB28</f>
        <v>0</v>
      </c>
      <c r="BH59" s="7">
        <f>VC!BC28</f>
        <v>0</v>
      </c>
      <c r="BI59" s="7">
        <f>VC!BD28</f>
        <v>0</v>
      </c>
      <c r="BJ59" s="7" t="str">
        <f>VC!BE28</f>
        <v>aa25∆1</v>
      </c>
      <c r="BK59" s="7">
        <f>VC!BF28</f>
        <v>0</v>
      </c>
      <c r="BL59" s="7">
        <f>VC!BG28</f>
        <v>0</v>
      </c>
      <c r="BM59" s="7">
        <f>VC!BH28</f>
        <v>0</v>
      </c>
      <c r="BN59" s="7">
        <f>VC!BI28</f>
        <v>0</v>
      </c>
      <c r="BO59" s="7">
        <f>VC!BJ28</f>
        <v>0</v>
      </c>
      <c r="BP59" s="7">
        <f>VC!BK28</f>
        <v>0</v>
      </c>
      <c r="BQ59" s="7">
        <f>VC!BL28</f>
        <v>0</v>
      </c>
      <c r="BR59" s="7">
        <f>VC!BM28</f>
        <v>0</v>
      </c>
      <c r="BS59" s="7">
        <f>VC!BN28</f>
        <v>0</v>
      </c>
      <c r="BT59" s="7" t="str">
        <f>VC!BO28</f>
        <v>T11N</v>
      </c>
      <c r="BU59" s="7">
        <f>VC!BP28</f>
        <v>0</v>
      </c>
      <c r="BV59" s="7">
        <f>VC!BQ28</f>
        <v>0</v>
      </c>
      <c r="BW59" s="7" t="str">
        <f>VC!BR28</f>
        <v>∆204</v>
      </c>
      <c r="BX59" s="7">
        <f>VC!BS28</f>
        <v>0</v>
      </c>
      <c r="BY59" s="7">
        <f>VC!BT28</f>
        <v>0</v>
      </c>
      <c r="BZ59" s="7">
        <f>VC!BU28</f>
        <v>0</v>
      </c>
      <c r="CA59" s="7">
        <f>VC!BV28</f>
        <v>0</v>
      </c>
      <c r="CB59" s="7">
        <f>VC!BW28</f>
        <v>0</v>
      </c>
      <c r="CC59" s="7">
        <f>VC!BX28</f>
        <v>0</v>
      </c>
      <c r="CD59" s="7">
        <f>VC!BY28</f>
        <v>0</v>
      </c>
      <c r="CE59" s="7">
        <f>VC!BZ28</f>
        <v>0</v>
      </c>
      <c r="CF59" s="7">
        <f>VC!CA28</f>
        <v>0</v>
      </c>
      <c r="CG59" s="7">
        <f>VC!CB28</f>
        <v>0</v>
      </c>
      <c r="CH59" s="7">
        <f>VC!CC28</f>
        <v>0</v>
      </c>
      <c r="CI59" s="7">
        <f>VC!CD28</f>
        <v>0</v>
      </c>
      <c r="CJ59" s="7">
        <f>VC!CE28</f>
        <v>0</v>
      </c>
      <c r="CK59" s="7">
        <f>VC!CF28</f>
        <v>0</v>
      </c>
      <c r="CL59" s="7">
        <f>VC!CG28</f>
        <v>0</v>
      </c>
      <c r="CM59" s="7">
        <f>VC!CH28</f>
        <v>0</v>
      </c>
      <c r="CN59" s="7">
        <f>VC!CI28</f>
        <v>0</v>
      </c>
      <c r="CO59" s="7">
        <f>VC!CJ28</f>
        <v>0</v>
      </c>
      <c r="CP59" s="7">
        <f>VC!CK28</f>
        <v>0</v>
      </c>
      <c r="CQ59" s="7">
        <f>VC!CL28</f>
        <v>0</v>
      </c>
      <c r="CR59" s="7">
        <f>VC!CM28</f>
        <v>0</v>
      </c>
      <c r="CS59" s="7">
        <f>VC!CN28</f>
        <v>0</v>
      </c>
      <c r="CT59" s="7">
        <f>VC!CO28</f>
        <v>0</v>
      </c>
      <c r="CU59" s="7">
        <f>VC!CP28</f>
        <v>0</v>
      </c>
      <c r="CV59" s="7">
        <f>VC!CQ28</f>
        <v>0</v>
      </c>
      <c r="CW59" s="7">
        <f>VC!CR28</f>
        <v>0</v>
      </c>
      <c r="CX59" s="7" t="str">
        <f>VC!CS28</f>
        <v>T188A</v>
      </c>
      <c r="CY59" s="7">
        <f>VC!CT28</f>
        <v>0</v>
      </c>
      <c r="CZ59" s="7" t="str">
        <f>VC!CU28</f>
        <v>nt263∆17</v>
      </c>
      <c r="DA59" s="7">
        <f>VC!CV28</f>
        <v>0</v>
      </c>
      <c r="DB59" s="7">
        <f>VC!CW28</f>
        <v>0</v>
      </c>
      <c r="DC59" s="7">
        <f>VC!CX28</f>
        <v>0</v>
      </c>
      <c r="DD59" s="7">
        <f>VC!CY28</f>
        <v>0</v>
      </c>
      <c r="DE59" s="7">
        <f>VC!CZ28</f>
        <v>0</v>
      </c>
      <c r="DF59" s="7">
        <f>VC!DA28</f>
        <v>0</v>
      </c>
      <c r="DG59" s="7">
        <f>VC!DB28</f>
        <v>0</v>
      </c>
      <c r="DH59" s="7">
        <f>VC!DC28</f>
        <v>0</v>
      </c>
      <c r="DI59" s="7">
        <f>VC!DD28</f>
        <v>0</v>
      </c>
      <c r="DJ59" s="7">
        <f>VC!DE28</f>
        <v>0</v>
      </c>
      <c r="DK59" s="7" t="str">
        <f>VC!DF28</f>
        <v>nt396∆2</v>
      </c>
      <c r="DL59" s="7">
        <f>VC!DG28</f>
        <v>0</v>
      </c>
      <c r="DM59" s="7">
        <f>VC!DH28</f>
        <v>0</v>
      </c>
      <c r="DN59" s="7">
        <f>VC!DI28</f>
        <v>0</v>
      </c>
      <c r="DO59" s="7">
        <f>VC!DJ28</f>
        <v>0</v>
      </c>
      <c r="DP59" s="7" t="str">
        <f>VC!DK28</f>
        <v>C149Y</v>
      </c>
      <c r="DQ59" s="7">
        <f>VC!DL28</f>
        <v>0</v>
      </c>
      <c r="DR59" s="7">
        <f>VC!DM28</f>
        <v>0</v>
      </c>
      <c r="DS59" s="7">
        <f>VC!DN28</f>
        <v>0</v>
      </c>
      <c r="DT59" s="7">
        <f>VC!DO28</f>
        <v>0</v>
      </c>
      <c r="DU59" s="7">
        <f>VC!DP28</f>
        <v>0</v>
      </c>
      <c r="DV59" s="7">
        <f>VC!DQ28</f>
        <v>0</v>
      </c>
      <c r="DW59" s="7">
        <f>VC!DR28</f>
        <v>0</v>
      </c>
      <c r="DX59" s="7">
        <f>VC!DS28</f>
        <v>0</v>
      </c>
      <c r="DY59" s="7">
        <f>VC!DT28</f>
        <v>0</v>
      </c>
      <c r="DZ59" s="7">
        <f>VC!DU28</f>
        <v>0</v>
      </c>
      <c r="EA59" s="7">
        <f>VC!DV28</f>
        <v>0</v>
      </c>
      <c r="EB59" s="7">
        <f>VC!DW28</f>
        <v>0</v>
      </c>
      <c r="EC59" s="7">
        <f>VC!DX28</f>
        <v>0</v>
      </c>
      <c r="ED59" s="7">
        <f>VC!DY28</f>
        <v>0</v>
      </c>
      <c r="EE59" s="7">
        <f>VC!DZ28</f>
        <v>0</v>
      </c>
      <c r="EF59" s="7">
        <f>VC!EA28</f>
        <v>0</v>
      </c>
      <c r="EG59" s="7">
        <f>VC!EB28</f>
        <v>0</v>
      </c>
      <c r="EH59" s="7" t="str">
        <f>VC!EC28</f>
        <v>G78R; nt232∆19</v>
      </c>
      <c r="EI59" s="7">
        <f>VC!ED28</f>
        <v>0</v>
      </c>
      <c r="EJ59" s="7">
        <f>VC!EE28</f>
        <v>0</v>
      </c>
      <c r="EK59" s="7">
        <f>VC!EF28</f>
        <v>0</v>
      </c>
      <c r="EL59" s="7">
        <f>VC!EG28</f>
        <v>0</v>
      </c>
      <c r="EM59" s="7">
        <f>VC!EH28</f>
        <v>0</v>
      </c>
      <c r="EN59" s="7">
        <f>VC!EI28</f>
        <v>0</v>
      </c>
      <c r="EO59" s="7">
        <f>VC!EJ28</f>
        <v>0</v>
      </c>
      <c r="EP59" s="7">
        <f>VC!EK28</f>
        <v>0</v>
      </c>
      <c r="EQ59" s="7" t="str">
        <f>VC!EL28</f>
        <v>nt232∆19</v>
      </c>
      <c r="ER59" s="7">
        <f>VC!EM28</f>
        <v>0</v>
      </c>
      <c r="ES59" s="7">
        <f>VC!EN28</f>
        <v>0</v>
      </c>
      <c r="ET59" s="7">
        <f>VC!EO28</f>
        <v>0</v>
      </c>
      <c r="EU59" s="7" t="str">
        <f>VC!EP28</f>
        <v>nt232∆19</v>
      </c>
      <c r="EV59" s="7">
        <f>VC!EQ28</f>
        <v>0</v>
      </c>
      <c r="EW59" s="7" t="str">
        <f>VC!ER28</f>
        <v>E21D</v>
      </c>
      <c r="EX59" s="7">
        <f>VC!ES28</f>
        <v>0</v>
      </c>
      <c r="EY59" s="7">
        <f>VC!ET28</f>
        <v>0</v>
      </c>
      <c r="EZ59" s="7">
        <f>VC!EU28</f>
        <v>0</v>
      </c>
      <c r="FA59" s="7" t="str">
        <f>VC!EV28</f>
        <v>nt295∆17</v>
      </c>
      <c r="FB59" s="7">
        <f>VC!EW28</f>
        <v>0</v>
      </c>
      <c r="FC59" s="7" t="str">
        <f>VC!EX28</f>
        <v>T188A</v>
      </c>
      <c r="FD59" s="7">
        <f>VC!EY28</f>
        <v>0</v>
      </c>
      <c r="FE59" s="7">
        <f>VC!EZ28</f>
        <v>0</v>
      </c>
      <c r="FF59" s="7">
        <f>VC!FA28</f>
        <v>0</v>
      </c>
      <c r="FG59" s="7">
        <f>VC!FB28</f>
        <v>0</v>
      </c>
      <c r="FH59" s="7">
        <f>VC!FC28</f>
        <v>0</v>
      </c>
      <c r="FI59" s="7" t="str">
        <f>VC!FD28</f>
        <v>∆605</v>
      </c>
      <c r="FJ59" s="7">
        <f>VC!FE28</f>
        <v>0</v>
      </c>
      <c r="FK59" s="7">
        <f>VC!FF28</f>
        <v>0</v>
      </c>
      <c r="FL59" s="7">
        <f>VC!FG28</f>
        <v>0</v>
      </c>
      <c r="FM59" s="7">
        <f>VC!FH28</f>
        <v>0</v>
      </c>
      <c r="FN59" s="7">
        <f>VC!FI28</f>
        <v>0</v>
      </c>
      <c r="FO59" s="7">
        <f>VC!FJ28</f>
        <v>0</v>
      </c>
      <c r="FP59" s="7">
        <f>VC!FK28</f>
        <v>0</v>
      </c>
      <c r="FQ59" s="7">
        <f>VC!FL28</f>
        <v>0</v>
      </c>
      <c r="FR59" s="7">
        <f>VC!FM28</f>
        <v>0</v>
      </c>
      <c r="FS59" s="7">
        <f>VC!FN28</f>
        <v>0</v>
      </c>
      <c r="FT59" s="7">
        <f>VC!FO28</f>
        <v>0</v>
      </c>
      <c r="FU59" s="7">
        <f>VC!FP28</f>
        <v>0</v>
      </c>
      <c r="FV59" s="7">
        <f>VC!FQ28</f>
        <v>0</v>
      </c>
      <c r="FW59" s="7">
        <f>VC!FR28</f>
        <v>0</v>
      </c>
      <c r="FX59" s="7">
        <f>VC!FS28</f>
        <v>0</v>
      </c>
      <c r="FY59" s="7">
        <f>VC!FT28</f>
        <v>0</v>
      </c>
      <c r="FZ59" s="7">
        <f>VC!FU28</f>
        <v>0</v>
      </c>
      <c r="GA59" s="7">
        <f>VC!FV28</f>
        <v>0</v>
      </c>
      <c r="GB59" s="7" t="str">
        <f>VC!FW28</f>
        <v>nt475∆16</v>
      </c>
      <c r="GC59" s="7">
        <f>VC!FX28</f>
        <v>0</v>
      </c>
      <c r="GD59" s="7">
        <f>VC!FY28</f>
        <v>0</v>
      </c>
      <c r="GE59" s="7">
        <f>VC!FZ28</f>
        <v>0</v>
      </c>
      <c r="GF59" s="7" t="str">
        <f>VC!GA28</f>
        <v>T188A</v>
      </c>
      <c r="GG59" s="7">
        <f>VC!GB28</f>
        <v>0</v>
      </c>
      <c r="GH59" s="7">
        <f>VC!GC28</f>
        <v>0</v>
      </c>
      <c r="GI59" s="7" t="str">
        <f>VC!GD28</f>
        <v>T188A</v>
      </c>
      <c r="GJ59" s="7">
        <f>VC!GE28</f>
        <v>0</v>
      </c>
      <c r="GK59" s="7">
        <f>VC!GF28</f>
        <v>0</v>
      </c>
      <c r="GL59" s="7">
        <f>VC!GG28</f>
        <v>0</v>
      </c>
      <c r="GM59" s="7">
        <f>VC!GH28</f>
        <v>0</v>
      </c>
      <c r="GN59" s="7">
        <f>VC!GI28</f>
        <v>0</v>
      </c>
      <c r="GO59" s="7" t="str">
        <f>VC!GJ28</f>
        <v>T188A</v>
      </c>
      <c r="GP59" s="7">
        <f>VC!GK28</f>
        <v>0</v>
      </c>
      <c r="GQ59" s="7">
        <f>VC!GL28</f>
        <v>0</v>
      </c>
      <c r="GR59" s="7">
        <f>VC!GM28</f>
        <v>0</v>
      </c>
      <c r="GS59" s="7">
        <f>VC!GN28</f>
        <v>0</v>
      </c>
      <c r="GT59" s="7">
        <f>VC!GO28</f>
        <v>0</v>
      </c>
      <c r="GU59" s="7">
        <f>VC!GP28</f>
        <v>0</v>
      </c>
      <c r="GV59" s="7" t="str">
        <f>VC!GQ28</f>
        <v>G172D</v>
      </c>
      <c r="GW59" s="7">
        <f>VC!GR28</f>
        <v>0</v>
      </c>
      <c r="GX59" s="7">
        <f>VC!GS28</f>
        <v>0</v>
      </c>
      <c r="GY59" s="7">
        <f>VC!GT28</f>
        <v>0</v>
      </c>
      <c r="GZ59" s="7">
        <f>VC!GU28</f>
        <v>0</v>
      </c>
      <c r="HA59" s="7">
        <f>VC!GV28</f>
        <v>0</v>
      </c>
      <c r="HB59" s="7">
        <f>VC!GW28</f>
        <v>0</v>
      </c>
      <c r="HC59" s="7">
        <f>VC!GX28</f>
        <v>0</v>
      </c>
    </row>
    <row r="60" spans="1:211" s="7" customFormat="1" x14ac:dyDescent="0.25">
      <c r="A60" s="36" t="s">
        <v>20</v>
      </c>
      <c r="B60" s="37" t="s">
        <v>21</v>
      </c>
      <c r="C60" s="38" t="s">
        <v>4</v>
      </c>
      <c r="D60" s="37" t="s">
        <v>76</v>
      </c>
      <c r="E60" s="37" t="s">
        <v>138</v>
      </c>
      <c r="F60" s="37" t="s">
        <v>74</v>
      </c>
      <c r="G60" s="39" t="s">
        <v>136</v>
      </c>
      <c r="H60" s="7">
        <f>VC!C28</f>
        <v>0</v>
      </c>
      <c r="I60" s="7">
        <f>VC!D28</f>
        <v>0</v>
      </c>
      <c r="J60" s="7">
        <f>VC!E28</f>
        <v>0</v>
      </c>
      <c r="K60" s="7">
        <f>VC!F28</f>
        <v>0</v>
      </c>
      <c r="L60" s="7">
        <f>VC!G28</f>
        <v>0</v>
      </c>
      <c r="M60" s="7">
        <f>VC!H28</f>
        <v>0</v>
      </c>
      <c r="N60" s="7">
        <f>VC!I28</f>
        <v>0</v>
      </c>
      <c r="O60" s="7">
        <f>VC!J28</f>
        <v>0</v>
      </c>
      <c r="P60" s="7">
        <f>VC!K28</f>
        <v>0</v>
      </c>
      <c r="Q60" s="7">
        <f>VC!L28</f>
        <v>0</v>
      </c>
      <c r="R60" s="7">
        <f>VC!M28</f>
        <v>0</v>
      </c>
      <c r="S60" s="7">
        <f>VC!N28</f>
        <v>0</v>
      </c>
      <c r="T60" s="7">
        <f>VC!O28</f>
        <v>0</v>
      </c>
      <c r="U60" s="7">
        <f>VC!P28</f>
        <v>0</v>
      </c>
      <c r="V60" s="7" t="str">
        <f>VC!Q28</f>
        <v>Q97X</v>
      </c>
      <c r="W60" s="7">
        <f>VC!R28</f>
        <v>0</v>
      </c>
      <c r="X60" s="7">
        <f>VC!S28</f>
        <v>0</v>
      </c>
      <c r="Y60" s="7">
        <f>VC!T28</f>
        <v>0</v>
      </c>
      <c r="Z60" s="7">
        <f>VC!U28</f>
        <v>0</v>
      </c>
      <c r="AA60" s="7">
        <f>VC!V28</f>
        <v>0</v>
      </c>
      <c r="AB60" s="7">
        <f>VC!W28</f>
        <v>0</v>
      </c>
      <c r="AC60" s="7">
        <f>VC!X28</f>
        <v>0</v>
      </c>
      <c r="AD60" s="7">
        <f>VC!Y28</f>
        <v>0</v>
      </c>
      <c r="AE60" s="7">
        <f>VC!Z28</f>
        <v>0</v>
      </c>
      <c r="AF60" s="7">
        <f>VC!AA28</f>
        <v>0</v>
      </c>
      <c r="AG60" s="7">
        <f>VC!AB28</f>
        <v>0</v>
      </c>
      <c r="AH60" s="7">
        <f>VC!AC28</f>
        <v>0</v>
      </c>
      <c r="AI60" s="7">
        <f>VC!AD28</f>
        <v>0</v>
      </c>
      <c r="AJ60" s="7">
        <f>VC!AE28</f>
        <v>0</v>
      </c>
      <c r="AK60" s="7">
        <f>VC!AF28</f>
        <v>0</v>
      </c>
      <c r="AL60" s="7">
        <f>VC!AG28</f>
        <v>0</v>
      </c>
      <c r="AM60" s="7">
        <f>VC!AH28</f>
        <v>0</v>
      </c>
      <c r="AN60" s="7">
        <f>VC!AI28</f>
        <v>0</v>
      </c>
      <c r="AO60" s="7">
        <f>VC!AJ28</f>
        <v>0</v>
      </c>
      <c r="AP60" s="7">
        <f>VC!AK28</f>
        <v>0</v>
      </c>
      <c r="AQ60" s="7">
        <f>VC!AL28</f>
        <v>0</v>
      </c>
      <c r="AR60" s="7">
        <f>VC!AM28</f>
        <v>0</v>
      </c>
      <c r="AS60" s="7">
        <f>VC!AN28</f>
        <v>0</v>
      </c>
      <c r="AT60" s="7">
        <f>VC!AO28</f>
        <v>0</v>
      </c>
      <c r="AU60" s="7">
        <f>VC!AP28</f>
        <v>0</v>
      </c>
      <c r="AV60" s="7">
        <f>VC!AQ28</f>
        <v>0</v>
      </c>
      <c r="AW60" s="7">
        <f>VC!AR28</f>
        <v>0</v>
      </c>
      <c r="AX60" s="7">
        <f>VC!AS28</f>
        <v>0</v>
      </c>
      <c r="AY60" s="7">
        <f>VC!AT28</f>
        <v>0</v>
      </c>
      <c r="AZ60" s="7">
        <f>VC!AU28</f>
        <v>0</v>
      </c>
      <c r="BA60" s="7">
        <f>VC!AV28</f>
        <v>0</v>
      </c>
      <c r="BB60" s="7">
        <f>VC!AW28</f>
        <v>0</v>
      </c>
      <c r="BC60" s="7">
        <f>VC!AX28</f>
        <v>0</v>
      </c>
      <c r="BD60" s="7">
        <f>VC!AY28</f>
        <v>0</v>
      </c>
      <c r="BE60" s="7">
        <f>VC!AZ28</f>
        <v>0</v>
      </c>
      <c r="BF60" s="7">
        <f>VC!BA28</f>
        <v>0</v>
      </c>
      <c r="BG60" s="7">
        <f>VC!BB28</f>
        <v>0</v>
      </c>
      <c r="BH60" s="7">
        <f>VC!BC28</f>
        <v>0</v>
      </c>
      <c r="BI60" s="7">
        <f>VC!BD28</f>
        <v>0</v>
      </c>
      <c r="BJ60" s="7" t="str">
        <f>VC!BE28</f>
        <v>aa25∆1</v>
      </c>
      <c r="BK60" s="7">
        <f>VC!BF28</f>
        <v>0</v>
      </c>
      <c r="BL60" s="7">
        <f>VC!BG28</f>
        <v>0</v>
      </c>
      <c r="BM60" s="7">
        <f>VC!BH28</f>
        <v>0</v>
      </c>
      <c r="BN60" s="7">
        <f>VC!BI28</f>
        <v>0</v>
      </c>
      <c r="BO60" s="7">
        <f>VC!BJ28</f>
        <v>0</v>
      </c>
      <c r="BP60" s="7">
        <f>VC!BK28</f>
        <v>0</v>
      </c>
      <c r="BQ60" s="7">
        <f>VC!BL28</f>
        <v>0</v>
      </c>
      <c r="BR60" s="7">
        <f>VC!BM28</f>
        <v>0</v>
      </c>
      <c r="BS60" s="7">
        <f>VC!BN28</f>
        <v>0</v>
      </c>
      <c r="BT60" s="7" t="str">
        <f>VC!BO28</f>
        <v>T11N</v>
      </c>
      <c r="BU60" s="7">
        <f>VC!BP28</f>
        <v>0</v>
      </c>
      <c r="BV60" s="7">
        <f>VC!BQ28</f>
        <v>0</v>
      </c>
      <c r="BW60" s="7" t="str">
        <f>VC!BR28</f>
        <v>∆204</v>
      </c>
      <c r="BX60" s="7">
        <f>VC!BS28</f>
        <v>0</v>
      </c>
      <c r="BY60" s="7">
        <f>VC!BT28</f>
        <v>0</v>
      </c>
      <c r="BZ60" s="7">
        <f>VC!BU28</f>
        <v>0</v>
      </c>
      <c r="CA60" s="7">
        <f>VC!BV28</f>
        <v>0</v>
      </c>
      <c r="CB60" s="7">
        <f>VC!BW28</f>
        <v>0</v>
      </c>
      <c r="CC60" s="7">
        <f>VC!BX28</f>
        <v>0</v>
      </c>
      <c r="CD60" s="7">
        <f>VC!BY28</f>
        <v>0</v>
      </c>
      <c r="CE60" s="7">
        <f>VC!BZ28</f>
        <v>0</v>
      </c>
      <c r="CF60" s="7">
        <f>VC!CA28</f>
        <v>0</v>
      </c>
      <c r="CG60" s="7">
        <f>VC!CB28</f>
        <v>0</v>
      </c>
      <c r="CH60" s="7">
        <f>VC!CC28</f>
        <v>0</v>
      </c>
      <c r="CI60" s="7">
        <f>VC!CD28</f>
        <v>0</v>
      </c>
      <c r="CJ60" s="7">
        <f>VC!CE28</f>
        <v>0</v>
      </c>
      <c r="CK60" s="7">
        <f>VC!CF28</f>
        <v>0</v>
      </c>
      <c r="CL60" s="7">
        <f>VC!CG28</f>
        <v>0</v>
      </c>
      <c r="CM60" s="7">
        <f>VC!CH28</f>
        <v>0</v>
      </c>
      <c r="CN60" s="7">
        <f>VC!CI28</f>
        <v>0</v>
      </c>
      <c r="CO60" s="7">
        <f>VC!CJ28</f>
        <v>0</v>
      </c>
      <c r="CP60" s="7">
        <f>VC!CK28</f>
        <v>0</v>
      </c>
      <c r="CQ60" s="7">
        <f>VC!CL28</f>
        <v>0</v>
      </c>
      <c r="CR60" s="7">
        <f>VC!CM28</f>
        <v>0</v>
      </c>
      <c r="CS60" s="7">
        <f>VC!CN28</f>
        <v>0</v>
      </c>
      <c r="CT60" s="7">
        <f>VC!CO28</f>
        <v>0</v>
      </c>
      <c r="CU60" s="7">
        <f>VC!CP28</f>
        <v>0</v>
      </c>
      <c r="CV60" s="7">
        <f>VC!CQ28</f>
        <v>0</v>
      </c>
      <c r="CW60" s="7">
        <f>VC!CR28</f>
        <v>0</v>
      </c>
      <c r="CX60" s="7" t="str">
        <f>VC!CS28</f>
        <v>T188A</v>
      </c>
      <c r="CY60" s="7">
        <f>VC!CT28</f>
        <v>0</v>
      </c>
      <c r="CZ60" s="7" t="str">
        <f>VC!CU28</f>
        <v>nt263∆17</v>
      </c>
      <c r="DA60" s="7">
        <f>VC!CV28</f>
        <v>0</v>
      </c>
      <c r="DB60" s="7">
        <f>VC!CW28</f>
        <v>0</v>
      </c>
      <c r="DC60" s="7">
        <f>VC!CX28</f>
        <v>0</v>
      </c>
      <c r="DD60" s="7">
        <f>VC!CY28</f>
        <v>0</v>
      </c>
      <c r="DE60" s="7">
        <f>VC!CZ28</f>
        <v>0</v>
      </c>
      <c r="DF60" s="7">
        <f>VC!DA28</f>
        <v>0</v>
      </c>
      <c r="DG60" s="7">
        <f>VC!DB28</f>
        <v>0</v>
      </c>
      <c r="DH60" s="7">
        <f>VC!DC28</f>
        <v>0</v>
      </c>
      <c r="DI60" s="7">
        <f>VC!DD28</f>
        <v>0</v>
      </c>
      <c r="DJ60" s="7">
        <f>VC!DE28</f>
        <v>0</v>
      </c>
      <c r="DK60" s="7" t="str">
        <f>VC!DF28</f>
        <v>nt396∆2</v>
      </c>
      <c r="DL60" s="7">
        <f>VC!DG28</f>
        <v>0</v>
      </c>
      <c r="DM60" s="7">
        <f>VC!DH28</f>
        <v>0</v>
      </c>
      <c r="DN60" s="7">
        <f>VC!DI28</f>
        <v>0</v>
      </c>
      <c r="DO60" s="7">
        <f>VC!DJ28</f>
        <v>0</v>
      </c>
      <c r="DP60" s="7" t="str">
        <f>VC!DK28</f>
        <v>C149Y</v>
      </c>
      <c r="DQ60" s="7">
        <f>VC!DL28</f>
        <v>0</v>
      </c>
      <c r="DR60" s="7">
        <f>VC!DM28</f>
        <v>0</v>
      </c>
      <c r="DS60" s="7">
        <f>VC!DN28</f>
        <v>0</v>
      </c>
      <c r="DT60" s="7">
        <f>VC!DO28</f>
        <v>0</v>
      </c>
      <c r="DU60" s="7">
        <f>VC!DP28</f>
        <v>0</v>
      </c>
      <c r="DV60" s="7">
        <f>VC!DQ28</f>
        <v>0</v>
      </c>
      <c r="DW60" s="7">
        <f>VC!DR28</f>
        <v>0</v>
      </c>
      <c r="DX60" s="7">
        <f>VC!DS28</f>
        <v>0</v>
      </c>
      <c r="DY60" s="7">
        <f>VC!DT28</f>
        <v>0</v>
      </c>
      <c r="DZ60" s="7">
        <f>VC!DU28</f>
        <v>0</v>
      </c>
      <c r="EA60" s="7">
        <f>VC!DV28</f>
        <v>0</v>
      </c>
      <c r="EB60" s="7">
        <f>VC!DW28</f>
        <v>0</v>
      </c>
      <c r="EC60" s="7">
        <f>VC!DX28</f>
        <v>0</v>
      </c>
      <c r="ED60" s="7">
        <f>VC!DY28</f>
        <v>0</v>
      </c>
      <c r="EE60" s="7">
        <f>VC!DZ28</f>
        <v>0</v>
      </c>
      <c r="EF60" s="7">
        <f>VC!EA28</f>
        <v>0</v>
      </c>
      <c r="EG60" s="7">
        <f>VC!EB28</f>
        <v>0</v>
      </c>
      <c r="EH60" s="7" t="str">
        <f>VC!EC28</f>
        <v>G78R; nt232∆19</v>
      </c>
      <c r="EI60" s="7">
        <f>VC!ED28</f>
        <v>0</v>
      </c>
      <c r="EJ60" s="7">
        <f>VC!EE28</f>
        <v>0</v>
      </c>
      <c r="EK60" s="7">
        <f>VC!EF28</f>
        <v>0</v>
      </c>
      <c r="EL60" s="7">
        <f>VC!EG28</f>
        <v>0</v>
      </c>
      <c r="EM60" s="7">
        <f>VC!EH28</f>
        <v>0</v>
      </c>
      <c r="EN60" s="7">
        <f>VC!EI28</f>
        <v>0</v>
      </c>
      <c r="EO60" s="7">
        <f>VC!EJ28</f>
        <v>0</v>
      </c>
      <c r="EP60" s="7">
        <f>VC!EK28</f>
        <v>0</v>
      </c>
      <c r="EQ60" s="7" t="str">
        <f>VC!EL28</f>
        <v>nt232∆19</v>
      </c>
      <c r="ER60" s="7">
        <f>VC!EM28</f>
        <v>0</v>
      </c>
      <c r="ES60" s="7">
        <f>VC!EN28</f>
        <v>0</v>
      </c>
      <c r="ET60" s="7">
        <f>VC!EO28</f>
        <v>0</v>
      </c>
      <c r="EU60" s="7" t="str">
        <f>VC!EP28</f>
        <v>nt232∆19</v>
      </c>
      <c r="EV60" s="7">
        <f>VC!EQ28</f>
        <v>0</v>
      </c>
      <c r="EW60" s="7" t="str">
        <f>VC!ER28</f>
        <v>E21D</v>
      </c>
      <c r="EX60" s="7">
        <f>VC!ES28</f>
        <v>0</v>
      </c>
      <c r="EY60" s="7">
        <f>VC!ET28</f>
        <v>0</v>
      </c>
      <c r="EZ60" s="7">
        <f>VC!EU28</f>
        <v>0</v>
      </c>
      <c r="FA60" s="7" t="str">
        <f>VC!EV28</f>
        <v>nt295∆17</v>
      </c>
      <c r="FB60" s="7">
        <f>VC!EW28</f>
        <v>0</v>
      </c>
      <c r="FC60" s="7" t="str">
        <f>VC!EX28</f>
        <v>T188A</v>
      </c>
      <c r="FD60" s="7">
        <f>VC!EY28</f>
        <v>0</v>
      </c>
      <c r="FE60" s="7">
        <f>VC!EZ28</f>
        <v>0</v>
      </c>
      <c r="FF60" s="7">
        <f>VC!FA28</f>
        <v>0</v>
      </c>
      <c r="FG60" s="7">
        <f>VC!FB28</f>
        <v>0</v>
      </c>
      <c r="FH60" s="7">
        <f>VC!FC28</f>
        <v>0</v>
      </c>
      <c r="FI60" s="7" t="str">
        <f>VC!FD28</f>
        <v>∆605</v>
      </c>
      <c r="FJ60" s="7">
        <f>VC!FE28</f>
        <v>0</v>
      </c>
      <c r="FK60" s="7">
        <f>VC!FF28</f>
        <v>0</v>
      </c>
      <c r="FL60" s="7">
        <f>VC!FG28</f>
        <v>0</v>
      </c>
      <c r="FM60" s="7">
        <f>VC!FH28</f>
        <v>0</v>
      </c>
      <c r="FN60" s="7">
        <f>VC!FI28</f>
        <v>0</v>
      </c>
      <c r="FO60" s="7">
        <f>VC!FJ28</f>
        <v>0</v>
      </c>
      <c r="FP60" s="7">
        <f>VC!FK28</f>
        <v>0</v>
      </c>
      <c r="FQ60" s="7">
        <f>VC!FL28</f>
        <v>0</v>
      </c>
      <c r="FR60" s="7">
        <f>VC!FM28</f>
        <v>0</v>
      </c>
      <c r="FS60" s="7">
        <f>VC!FN28</f>
        <v>0</v>
      </c>
      <c r="FT60" s="7">
        <f>VC!FO28</f>
        <v>0</v>
      </c>
      <c r="FU60" s="7">
        <f>VC!FP28</f>
        <v>0</v>
      </c>
      <c r="FV60" s="7">
        <f>VC!FQ28</f>
        <v>0</v>
      </c>
      <c r="FW60" s="7">
        <f>VC!FR28</f>
        <v>0</v>
      </c>
      <c r="FX60" s="7">
        <f>VC!FS28</f>
        <v>0</v>
      </c>
      <c r="FY60" s="7">
        <f>VC!FT28</f>
        <v>0</v>
      </c>
      <c r="FZ60" s="7">
        <f>VC!FU28</f>
        <v>0</v>
      </c>
      <c r="GA60" s="7">
        <f>VC!FV28</f>
        <v>0</v>
      </c>
      <c r="GB60" s="7" t="str">
        <f>VC!FW28</f>
        <v>nt475∆16</v>
      </c>
      <c r="GC60" s="7">
        <f>VC!FX28</f>
        <v>0</v>
      </c>
      <c r="GD60" s="7">
        <f>VC!FY28</f>
        <v>0</v>
      </c>
      <c r="GE60" s="7">
        <f>VC!FZ28</f>
        <v>0</v>
      </c>
      <c r="GF60" s="7" t="str">
        <f>VC!GA28</f>
        <v>T188A</v>
      </c>
      <c r="GG60" s="7">
        <f>VC!GB28</f>
        <v>0</v>
      </c>
      <c r="GH60" s="7">
        <f>VC!GC28</f>
        <v>0</v>
      </c>
      <c r="GI60" s="7" t="str">
        <f>VC!GD28</f>
        <v>T188A</v>
      </c>
      <c r="GJ60" s="7">
        <f>VC!GE28</f>
        <v>0</v>
      </c>
      <c r="GK60" s="7">
        <f>VC!GF28</f>
        <v>0</v>
      </c>
      <c r="GL60" s="7">
        <f>VC!GG28</f>
        <v>0</v>
      </c>
      <c r="GM60" s="7">
        <f>VC!GH28</f>
        <v>0</v>
      </c>
      <c r="GN60" s="7">
        <f>VC!GI28</f>
        <v>0</v>
      </c>
      <c r="GO60" s="7" t="str">
        <f>VC!GJ28</f>
        <v>T188A</v>
      </c>
      <c r="GP60" s="7">
        <f>VC!GK28</f>
        <v>0</v>
      </c>
      <c r="GQ60" s="7">
        <f>VC!GL28</f>
        <v>0</v>
      </c>
      <c r="GR60" s="7">
        <f>VC!GM28</f>
        <v>0</v>
      </c>
      <c r="GS60" s="7">
        <f>VC!GN28</f>
        <v>0</v>
      </c>
      <c r="GT60" s="7">
        <f>VC!GO28</f>
        <v>0</v>
      </c>
      <c r="GU60" s="7">
        <f>VC!GP28</f>
        <v>0</v>
      </c>
      <c r="GV60" s="7" t="str">
        <f>VC!GQ28</f>
        <v>G172D</v>
      </c>
      <c r="GW60" s="7">
        <f>VC!GR28</f>
        <v>0</v>
      </c>
      <c r="GX60" s="7">
        <f>VC!GS28</f>
        <v>0</v>
      </c>
      <c r="GY60" s="7">
        <f>VC!GT28</f>
        <v>0</v>
      </c>
      <c r="GZ60" s="7">
        <f>VC!GU28</f>
        <v>0</v>
      </c>
      <c r="HA60" s="7">
        <f>VC!GV28</f>
        <v>0</v>
      </c>
      <c r="HB60" s="7">
        <f>VC!GW28</f>
        <v>0</v>
      </c>
      <c r="HC60" s="7">
        <f>VC!GX28</f>
        <v>0</v>
      </c>
    </row>
    <row r="61" spans="1:211" s="7" customFormat="1" ht="15.75" thickBot="1" x14ac:dyDescent="0.3">
      <c r="A61" s="40" t="s">
        <v>20</v>
      </c>
      <c r="B61" s="41" t="s">
        <v>21</v>
      </c>
      <c r="C61" s="42" t="s">
        <v>3</v>
      </c>
      <c r="D61" s="41" t="s">
        <v>76</v>
      </c>
      <c r="E61" s="41" t="s">
        <v>139</v>
      </c>
      <c r="F61" s="41" t="s">
        <v>74</v>
      </c>
      <c r="G61" s="43" t="s">
        <v>136</v>
      </c>
      <c r="H61" s="7">
        <f>VC!C28</f>
        <v>0</v>
      </c>
      <c r="I61" s="7">
        <f>VC!D28</f>
        <v>0</v>
      </c>
      <c r="J61" s="7">
        <f>VC!E28</f>
        <v>0</v>
      </c>
      <c r="K61" s="7">
        <f>VC!F28</f>
        <v>0</v>
      </c>
      <c r="L61" s="7">
        <f>VC!G28</f>
        <v>0</v>
      </c>
      <c r="M61" s="7">
        <f>VC!H28</f>
        <v>0</v>
      </c>
      <c r="N61" s="7">
        <f>VC!I28</f>
        <v>0</v>
      </c>
      <c r="O61" s="7">
        <f>VC!J28</f>
        <v>0</v>
      </c>
      <c r="P61" s="7">
        <f>VC!K28</f>
        <v>0</v>
      </c>
      <c r="Q61" s="7">
        <f>VC!L28</f>
        <v>0</v>
      </c>
      <c r="R61" s="7">
        <f>VC!M28</f>
        <v>0</v>
      </c>
      <c r="S61" s="7">
        <f>VC!N28</f>
        <v>0</v>
      </c>
      <c r="T61" s="7">
        <f>VC!O28</f>
        <v>0</v>
      </c>
      <c r="U61" s="7">
        <f>VC!P28</f>
        <v>0</v>
      </c>
      <c r="V61" s="7" t="str">
        <f>VC!Q28</f>
        <v>Q97X</v>
      </c>
      <c r="W61" s="7">
        <f>VC!R28</f>
        <v>0</v>
      </c>
      <c r="X61" s="7">
        <f>VC!S28</f>
        <v>0</v>
      </c>
      <c r="Y61" s="7">
        <f>VC!T28</f>
        <v>0</v>
      </c>
      <c r="Z61" s="7">
        <f>VC!U28</f>
        <v>0</v>
      </c>
      <c r="AA61" s="7">
        <f>VC!V28</f>
        <v>0</v>
      </c>
      <c r="AB61" s="7">
        <f>VC!W28</f>
        <v>0</v>
      </c>
      <c r="AC61" s="7">
        <f>VC!X28</f>
        <v>0</v>
      </c>
      <c r="AD61" s="7">
        <f>VC!Y28</f>
        <v>0</v>
      </c>
      <c r="AE61" s="7">
        <f>VC!Z28</f>
        <v>0</v>
      </c>
      <c r="AF61" s="7">
        <f>VC!AA28</f>
        <v>0</v>
      </c>
      <c r="AG61" s="7">
        <f>VC!AB28</f>
        <v>0</v>
      </c>
      <c r="AH61" s="7">
        <f>VC!AC28</f>
        <v>0</v>
      </c>
      <c r="AI61" s="7">
        <f>VC!AD28</f>
        <v>0</v>
      </c>
      <c r="AJ61" s="7">
        <f>VC!AE28</f>
        <v>0</v>
      </c>
      <c r="AK61" s="7">
        <f>VC!AF28</f>
        <v>0</v>
      </c>
      <c r="AL61" s="7">
        <f>VC!AG28</f>
        <v>0</v>
      </c>
      <c r="AM61" s="7">
        <f>VC!AH28</f>
        <v>0</v>
      </c>
      <c r="AN61" s="7">
        <f>VC!AI28</f>
        <v>0</v>
      </c>
      <c r="AO61" s="7">
        <f>VC!AJ28</f>
        <v>0</v>
      </c>
      <c r="AP61" s="7">
        <f>VC!AK28</f>
        <v>0</v>
      </c>
      <c r="AQ61" s="7">
        <f>VC!AL28</f>
        <v>0</v>
      </c>
      <c r="AR61" s="7">
        <f>VC!AM28</f>
        <v>0</v>
      </c>
      <c r="AS61" s="7">
        <f>VC!AN28</f>
        <v>0</v>
      </c>
      <c r="AT61" s="7">
        <f>VC!AO28</f>
        <v>0</v>
      </c>
      <c r="AU61" s="7">
        <f>VC!AP28</f>
        <v>0</v>
      </c>
      <c r="AV61" s="7">
        <f>VC!AQ28</f>
        <v>0</v>
      </c>
      <c r="AW61" s="7">
        <f>VC!AR28</f>
        <v>0</v>
      </c>
      <c r="AX61" s="7">
        <f>VC!AS28</f>
        <v>0</v>
      </c>
      <c r="AY61" s="7">
        <f>VC!AT28</f>
        <v>0</v>
      </c>
      <c r="AZ61" s="7">
        <f>VC!AU28</f>
        <v>0</v>
      </c>
      <c r="BA61" s="7">
        <f>VC!AV28</f>
        <v>0</v>
      </c>
      <c r="BB61" s="7">
        <f>VC!AW28</f>
        <v>0</v>
      </c>
      <c r="BC61" s="7">
        <f>VC!AX28</f>
        <v>0</v>
      </c>
      <c r="BD61" s="7">
        <f>VC!AY28</f>
        <v>0</v>
      </c>
      <c r="BE61" s="7">
        <f>VC!AZ28</f>
        <v>0</v>
      </c>
      <c r="BF61" s="7">
        <f>VC!BA28</f>
        <v>0</v>
      </c>
      <c r="BG61" s="7">
        <f>VC!BB28</f>
        <v>0</v>
      </c>
      <c r="BH61" s="7">
        <f>VC!BC28</f>
        <v>0</v>
      </c>
      <c r="BI61" s="7">
        <f>VC!BD28</f>
        <v>0</v>
      </c>
      <c r="BJ61" s="7" t="str">
        <f>VC!BE28</f>
        <v>aa25∆1</v>
      </c>
      <c r="BK61" s="7">
        <f>VC!BF28</f>
        <v>0</v>
      </c>
      <c r="BL61" s="7">
        <f>VC!BG28</f>
        <v>0</v>
      </c>
      <c r="BM61" s="7">
        <f>VC!BH28</f>
        <v>0</v>
      </c>
      <c r="BN61" s="7">
        <f>VC!BI28</f>
        <v>0</v>
      </c>
      <c r="BO61" s="7">
        <f>VC!BJ28</f>
        <v>0</v>
      </c>
      <c r="BP61" s="7">
        <f>VC!BK28</f>
        <v>0</v>
      </c>
      <c r="BQ61" s="7">
        <f>VC!BL28</f>
        <v>0</v>
      </c>
      <c r="BR61" s="7">
        <f>VC!BM28</f>
        <v>0</v>
      </c>
      <c r="BS61" s="7">
        <f>VC!BN28</f>
        <v>0</v>
      </c>
      <c r="BT61" s="7" t="str">
        <f>VC!BO28</f>
        <v>T11N</v>
      </c>
      <c r="BU61" s="7">
        <f>VC!BP28</f>
        <v>0</v>
      </c>
      <c r="BV61" s="7">
        <f>VC!BQ28</f>
        <v>0</v>
      </c>
      <c r="BW61" s="7" t="str">
        <f>VC!BR28</f>
        <v>∆204</v>
      </c>
      <c r="BX61" s="7">
        <f>VC!BS28</f>
        <v>0</v>
      </c>
      <c r="BY61" s="7">
        <f>VC!BT28</f>
        <v>0</v>
      </c>
      <c r="BZ61" s="7">
        <f>VC!BU28</f>
        <v>0</v>
      </c>
      <c r="CA61" s="7">
        <f>VC!BV28</f>
        <v>0</v>
      </c>
      <c r="CB61" s="7">
        <f>VC!BW28</f>
        <v>0</v>
      </c>
      <c r="CC61" s="7">
        <f>VC!BX28</f>
        <v>0</v>
      </c>
      <c r="CD61" s="7">
        <f>VC!BY28</f>
        <v>0</v>
      </c>
      <c r="CE61" s="7">
        <f>VC!BZ28</f>
        <v>0</v>
      </c>
      <c r="CF61" s="7">
        <f>VC!CA28</f>
        <v>0</v>
      </c>
      <c r="CG61" s="7">
        <f>VC!CB28</f>
        <v>0</v>
      </c>
      <c r="CH61" s="7">
        <f>VC!CC28</f>
        <v>0</v>
      </c>
      <c r="CI61" s="7">
        <f>VC!CD28</f>
        <v>0</v>
      </c>
      <c r="CJ61" s="7">
        <f>VC!CE28</f>
        <v>0</v>
      </c>
      <c r="CK61" s="7">
        <f>VC!CF28</f>
        <v>0</v>
      </c>
      <c r="CL61" s="7">
        <f>VC!CG28</f>
        <v>0</v>
      </c>
      <c r="CM61" s="7">
        <f>VC!CH28</f>
        <v>0</v>
      </c>
      <c r="CN61" s="7">
        <f>VC!CI28</f>
        <v>0</v>
      </c>
      <c r="CO61" s="7">
        <f>VC!CJ28</f>
        <v>0</v>
      </c>
      <c r="CP61" s="7">
        <f>VC!CK28</f>
        <v>0</v>
      </c>
      <c r="CQ61" s="7">
        <f>VC!CL28</f>
        <v>0</v>
      </c>
      <c r="CR61" s="7">
        <f>VC!CM28</f>
        <v>0</v>
      </c>
      <c r="CS61" s="7">
        <f>VC!CN28</f>
        <v>0</v>
      </c>
      <c r="CT61" s="7">
        <f>VC!CO28</f>
        <v>0</v>
      </c>
      <c r="CU61" s="7">
        <f>VC!CP28</f>
        <v>0</v>
      </c>
      <c r="CV61" s="7">
        <f>VC!CQ28</f>
        <v>0</v>
      </c>
      <c r="CW61" s="7">
        <f>VC!CR28</f>
        <v>0</v>
      </c>
      <c r="CX61" s="7" t="str">
        <f>VC!CS28</f>
        <v>T188A</v>
      </c>
      <c r="CY61" s="7">
        <f>VC!CT28</f>
        <v>0</v>
      </c>
      <c r="CZ61" s="7" t="str">
        <f>VC!CU28</f>
        <v>nt263∆17</v>
      </c>
      <c r="DA61" s="7">
        <f>VC!CV28</f>
        <v>0</v>
      </c>
      <c r="DB61" s="7">
        <f>VC!CW28</f>
        <v>0</v>
      </c>
      <c r="DC61" s="7">
        <f>VC!CX28</f>
        <v>0</v>
      </c>
      <c r="DD61" s="7">
        <f>VC!CY28</f>
        <v>0</v>
      </c>
      <c r="DE61" s="7">
        <f>VC!CZ28</f>
        <v>0</v>
      </c>
      <c r="DF61" s="7">
        <f>VC!DA28</f>
        <v>0</v>
      </c>
      <c r="DG61" s="7">
        <f>VC!DB28</f>
        <v>0</v>
      </c>
      <c r="DH61" s="7">
        <f>VC!DC28</f>
        <v>0</v>
      </c>
      <c r="DI61" s="7">
        <f>VC!DD28</f>
        <v>0</v>
      </c>
      <c r="DJ61" s="7">
        <f>VC!DE28</f>
        <v>0</v>
      </c>
      <c r="DK61" s="7" t="str">
        <f>VC!DF28</f>
        <v>nt396∆2</v>
      </c>
      <c r="DL61" s="7">
        <f>VC!DG28</f>
        <v>0</v>
      </c>
      <c r="DM61" s="7">
        <f>VC!DH28</f>
        <v>0</v>
      </c>
      <c r="DN61" s="7">
        <f>VC!DI28</f>
        <v>0</v>
      </c>
      <c r="DO61" s="7">
        <f>VC!DJ28</f>
        <v>0</v>
      </c>
      <c r="DP61" s="7" t="str">
        <f>VC!DK28</f>
        <v>C149Y</v>
      </c>
      <c r="DQ61" s="7">
        <f>VC!DL28</f>
        <v>0</v>
      </c>
      <c r="DR61" s="7">
        <f>VC!DM28</f>
        <v>0</v>
      </c>
      <c r="DS61" s="7">
        <f>VC!DN28</f>
        <v>0</v>
      </c>
      <c r="DT61" s="7">
        <f>VC!DO28</f>
        <v>0</v>
      </c>
      <c r="DU61" s="7">
        <f>VC!DP28</f>
        <v>0</v>
      </c>
      <c r="DV61" s="7">
        <f>VC!DQ28</f>
        <v>0</v>
      </c>
      <c r="DW61" s="7">
        <f>VC!DR28</f>
        <v>0</v>
      </c>
      <c r="DX61" s="7">
        <f>VC!DS28</f>
        <v>0</v>
      </c>
      <c r="DY61" s="7">
        <f>VC!DT28</f>
        <v>0</v>
      </c>
      <c r="DZ61" s="7">
        <f>VC!DU28</f>
        <v>0</v>
      </c>
      <c r="EA61" s="7">
        <f>VC!DV28</f>
        <v>0</v>
      </c>
      <c r="EB61" s="7">
        <f>VC!DW28</f>
        <v>0</v>
      </c>
      <c r="EC61" s="7">
        <f>VC!DX28</f>
        <v>0</v>
      </c>
      <c r="ED61" s="7">
        <f>VC!DY28</f>
        <v>0</v>
      </c>
      <c r="EE61" s="7">
        <f>VC!DZ28</f>
        <v>0</v>
      </c>
      <c r="EF61" s="7">
        <f>VC!EA28</f>
        <v>0</v>
      </c>
      <c r="EG61" s="7">
        <f>VC!EB28</f>
        <v>0</v>
      </c>
      <c r="EH61" s="7" t="str">
        <f>VC!EC28</f>
        <v>G78R; nt232∆19</v>
      </c>
      <c r="EI61" s="7">
        <f>VC!ED28</f>
        <v>0</v>
      </c>
      <c r="EJ61" s="7">
        <f>VC!EE28</f>
        <v>0</v>
      </c>
      <c r="EK61" s="7">
        <f>VC!EF28</f>
        <v>0</v>
      </c>
      <c r="EL61" s="7">
        <f>VC!EG28</f>
        <v>0</v>
      </c>
      <c r="EM61" s="7">
        <f>VC!EH28</f>
        <v>0</v>
      </c>
      <c r="EN61" s="7">
        <f>VC!EI28</f>
        <v>0</v>
      </c>
      <c r="EO61" s="7">
        <f>VC!EJ28</f>
        <v>0</v>
      </c>
      <c r="EP61" s="7">
        <f>VC!EK28</f>
        <v>0</v>
      </c>
      <c r="EQ61" s="7" t="str">
        <f>VC!EL28</f>
        <v>nt232∆19</v>
      </c>
      <c r="ER61" s="7">
        <f>VC!EM28</f>
        <v>0</v>
      </c>
      <c r="ES61" s="7">
        <f>VC!EN28</f>
        <v>0</v>
      </c>
      <c r="ET61" s="7">
        <f>VC!EO28</f>
        <v>0</v>
      </c>
      <c r="EU61" s="7" t="str">
        <f>VC!EP28</f>
        <v>nt232∆19</v>
      </c>
      <c r="EV61" s="7">
        <f>VC!EQ28</f>
        <v>0</v>
      </c>
      <c r="EW61" s="7" t="str">
        <f>VC!ER28</f>
        <v>E21D</v>
      </c>
      <c r="EX61" s="7">
        <f>VC!ES28</f>
        <v>0</v>
      </c>
      <c r="EY61" s="7">
        <f>VC!ET28</f>
        <v>0</v>
      </c>
      <c r="EZ61" s="7">
        <f>VC!EU28</f>
        <v>0</v>
      </c>
      <c r="FA61" s="7" t="str">
        <f>VC!EV28</f>
        <v>nt295∆17</v>
      </c>
      <c r="FB61" s="7">
        <f>VC!EW28</f>
        <v>0</v>
      </c>
      <c r="FC61" s="7" t="str">
        <f>VC!EX28</f>
        <v>T188A</v>
      </c>
      <c r="FD61" s="7">
        <f>VC!EY28</f>
        <v>0</v>
      </c>
      <c r="FE61" s="7">
        <f>VC!EZ28</f>
        <v>0</v>
      </c>
      <c r="FF61" s="7">
        <f>VC!FA28</f>
        <v>0</v>
      </c>
      <c r="FG61" s="7">
        <f>VC!FB28</f>
        <v>0</v>
      </c>
      <c r="FH61" s="7">
        <f>VC!FC28</f>
        <v>0</v>
      </c>
      <c r="FI61" s="7" t="str">
        <f>VC!FD28</f>
        <v>∆605</v>
      </c>
      <c r="FJ61" s="7">
        <f>VC!FE28</f>
        <v>0</v>
      </c>
      <c r="FK61" s="7">
        <f>VC!FF28</f>
        <v>0</v>
      </c>
      <c r="FL61" s="7">
        <f>VC!FG28</f>
        <v>0</v>
      </c>
      <c r="FM61" s="7">
        <f>VC!FH28</f>
        <v>0</v>
      </c>
      <c r="FN61" s="7">
        <f>VC!FI28</f>
        <v>0</v>
      </c>
      <c r="FO61" s="7">
        <f>VC!FJ28</f>
        <v>0</v>
      </c>
      <c r="FP61" s="7">
        <f>VC!FK28</f>
        <v>0</v>
      </c>
      <c r="FQ61" s="7">
        <f>VC!FL28</f>
        <v>0</v>
      </c>
      <c r="FR61" s="7">
        <f>VC!FM28</f>
        <v>0</v>
      </c>
      <c r="FS61" s="7">
        <f>VC!FN28</f>
        <v>0</v>
      </c>
      <c r="FT61" s="7">
        <f>VC!FO28</f>
        <v>0</v>
      </c>
      <c r="FU61" s="7">
        <f>VC!FP28</f>
        <v>0</v>
      </c>
      <c r="FV61" s="7">
        <f>VC!FQ28</f>
        <v>0</v>
      </c>
      <c r="FW61" s="7">
        <f>VC!FR28</f>
        <v>0</v>
      </c>
      <c r="FX61" s="7">
        <f>VC!FS28</f>
        <v>0</v>
      </c>
      <c r="FY61" s="7">
        <f>VC!FT28</f>
        <v>0</v>
      </c>
      <c r="FZ61" s="7">
        <f>VC!FU28</f>
        <v>0</v>
      </c>
      <c r="GA61" s="7">
        <f>VC!FV28</f>
        <v>0</v>
      </c>
      <c r="GB61" s="7" t="str">
        <f>VC!FW28</f>
        <v>nt475∆16</v>
      </c>
      <c r="GC61" s="7">
        <f>VC!FX28</f>
        <v>0</v>
      </c>
      <c r="GD61" s="7">
        <f>VC!FY28</f>
        <v>0</v>
      </c>
      <c r="GE61" s="7">
        <f>VC!FZ28</f>
        <v>0</v>
      </c>
      <c r="GF61" s="7" t="str">
        <f>VC!GA28</f>
        <v>T188A</v>
      </c>
      <c r="GG61" s="7">
        <f>VC!GB28</f>
        <v>0</v>
      </c>
      <c r="GH61" s="7">
        <f>VC!GC28</f>
        <v>0</v>
      </c>
      <c r="GI61" s="7" t="str">
        <f>VC!GD28</f>
        <v>T188A</v>
      </c>
      <c r="GJ61" s="7">
        <f>VC!GE28</f>
        <v>0</v>
      </c>
      <c r="GK61" s="7">
        <f>VC!GF28</f>
        <v>0</v>
      </c>
      <c r="GL61" s="7">
        <f>VC!GG28</f>
        <v>0</v>
      </c>
      <c r="GM61" s="7">
        <f>VC!GH28</f>
        <v>0</v>
      </c>
      <c r="GN61" s="7">
        <f>VC!GI28</f>
        <v>0</v>
      </c>
      <c r="GO61" s="7" t="str">
        <f>VC!GJ28</f>
        <v>T188A</v>
      </c>
      <c r="GP61" s="7">
        <f>VC!GK28</f>
        <v>0</v>
      </c>
      <c r="GQ61" s="7">
        <f>VC!GL28</f>
        <v>0</v>
      </c>
      <c r="GR61" s="7">
        <f>VC!GM28</f>
        <v>0</v>
      </c>
      <c r="GS61" s="7">
        <f>VC!GN28</f>
        <v>0</v>
      </c>
      <c r="GT61" s="7">
        <f>VC!GO28</f>
        <v>0</v>
      </c>
      <c r="GU61" s="7">
        <f>VC!GP28</f>
        <v>0</v>
      </c>
      <c r="GV61" s="7" t="str">
        <f>VC!GQ28</f>
        <v>G172D</v>
      </c>
      <c r="GW61" s="7">
        <f>VC!GR28</f>
        <v>0</v>
      </c>
      <c r="GX61" s="7">
        <f>VC!GS28</f>
        <v>0</v>
      </c>
      <c r="GY61" s="7">
        <f>VC!GT28</f>
        <v>0</v>
      </c>
      <c r="GZ61" s="7">
        <f>VC!GU28</f>
        <v>0</v>
      </c>
      <c r="HA61" s="7">
        <f>VC!GV28</f>
        <v>0</v>
      </c>
      <c r="HB61" s="7">
        <f>VC!GW28</f>
        <v>0</v>
      </c>
      <c r="HC61" s="7">
        <f>VC!GX28</f>
        <v>0</v>
      </c>
    </row>
    <row r="62" spans="1:211" s="1" customFormat="1" x14ac:dyDescent="0.25">
      <c r="A62" s="32" t="s">
        <v>22</v>
      </c>
      <c r="B62" s="33" t="s">
        <v>23</v>
      </c>
      <c r="C62" s="34" t="s">
        <v>1</v>
      </c>
      <c r="D62" s="33" t="s">
        <v>76</v>
      </c>
      <c r="E62" s="33" t="s">
        <v>138</v>
      </c>
      <c r="F62" s="33" t="s">
        <v>74</v>
      </c>
      <c r="G62" s="35" t="s">
        <v>136</v>
      </c>
      <c r="H62" s="1">
        <f>VC!C29</f>
        <v>0</v>
      </c>
      <c r="I62" s="1" t="str">
        <f>VC!D29</f>
        <v>T50P</v>
      </c>
      <c r="J62" s="1">
        <f>VC!E29</f>
        <v>0</v>
      </c>
      <c r="K62" s="1">
        <f>VC!F29</f>
        <v>0</v>
      </c>
      <c r="L62" s="1">
        <f>VC!G29</f>
        <v>0</v>
      </c>
      <c r="M62" s="1" t="str">
        <f>VC!H29</f>
        <v>E153Q</v>
      </c>
      <c r="N62" s="1">
        <f>VC!I29</f>
        <v>0</v>
      </c>
      <c r="O62" s="1">
        <f>VC!J29</f>
        <v>0</v>
      </c>
      <c r="P62" s="1">
        <f>VC!K29</f>
        <v>0</v>
      </c>
      <c r="Q62" s="1">
        <f>VC!L29</f>
        <v>0</v>
      </c>
      <c r="R62" s="1" t="str">
        <f>VC!M29</f>
        <v>G213D</v>
      </c>
      <c r="S62" s="1">
        <f>VC!N29</f>
        <v>0</v>
      </c>
      <c r="T62" s="1">
        <f>VC!O29</f>
        <v>0</v>
      </c>
      <c r="U62" s="1">
        <f>VC!P29</f>
        <v>0</v>
      </c>
      <c r="V62" s="1">
        <f>VC!Q29</f>
        <v>0</v>
      </c>
      <c r="W62" s="1">
        <f>VC!R29</f>
        <v>0</v>
      </c>
      <c r="X62" s="1">
        <f>VC!S29</f>
        <v>0</v>
      </c>
      <c r="Y62" s="1">
        <f>VC!T29</f>
        <v>0</v>
      </c>
      <c r="Z62" s="1">
        <f>VC!U29</f>
        <v>0</v>
      </c>
      <c r="AA62" s="1">
        <f>VC!V29</f>
        <v>0</v>
      </c>
      <c r="AB62" s="1">
        <f>VC!W29</f>
        <v>0</v>
      </c>
      <c r="AC62" s="1">
        <f>VC!X29</f>
        <v>0</v>
      </c>
      <c r="AD62" s="1" t="str">
        <f>VC!Y29</f>
        <v>E153Q</v>
      </c>
      <c r="AE62" s="1">
        <f>VC!Z29</f>
        <v>0</v>
      </c>
      <c r="AF62" s="1">
        <f>VC!AA29</f>
        <v>0</v>
      </c>
      <c r="AG62" s="1">
        <f>VC!AB29</f>
        <v>0</v>
      </c>
      <c r="AH62" s="1">
        <f>VC!AC29</f>
        <v>0</v>
      </c>
      <c r="AI62" s="1">
        <f>VC!AD29</f>
        <v>0</v>
      </c>
      <c r="AJ62" s="1">
        <f>VC!AE29</f>
        <v>0</v>
      </c>
      <c r="AK62" s="1">
        <f>VC!AF29</f>
        <v>0</v>
      </c>
      <c r="AL62" s="1">
        <f>VC!AG29</f>
        <v>0</v>
      </c>
      <c r="AM62" s="1">
        <f>VC!AH29</f>
        <v>0</v>
      </c>
      <c r="AN62" s="1">
        <f>VC!AI29</f>
        <v>0</v>
      </c>
      <c r="AO62" s="1">
        <f>VC!AJ29</f>
        <v>0</v>
      </c>
      <c r="AP62" s="1">
        <f>VC!AK29</f>
        <v>0</v>
      </c>
      <c r="AQ62" s="1">
        <f>VC!AL29</f>
        <v>0</v>
      </c>
      <c r="AR62" s="1">
        <f>VC!AM29</f>
        <v>0</v>
      </c>
      <c r="AS62" s="1">
        <f>VC!AN29</f>
        <v>0</v>
      </c>
      <c r="AT62" s="1">
        <f>VC!AO29</f>
        <v>0</v>
      </c>
      <c r="AU62" s="1">
        <f>VC!AP29</f>
        <v>0</v>
      </c>
      <c r="AV62" s="1">
        <f>VC!AQ29</f>
        <v>0</v>
      </c>
      <c r="AW62" s="1">
        <f>VC!AR29</f>
        <v>0</v>
      </c>
      <c r="AX62" s="1">
        <f>VC!AS29</f>
        <v>0</v>
      </c>
      <c r="AY62" s="1">
        <f>VC!AT29</f>
        <v>0</v>
      </c>
      <c r="AZ62" s="1">
        <f>VC!AU29</f>
        <v>0</v>
      </c>
      <c r="BA62" s="1">
        <f>VC!AV29</f>
        <v>0</v>
      </c>
      <c r="BB62" s="1">
        <f>VC!AW29</f>
        <v>0</v>
      </c>
      <c r="BC62" s="1">
        <f>VC!AX29</f>
        <v>0</v>
      </c>
      <c r="BD62" s="1">
        <f>VC!AY29</f>
        <v>0</v>
      </c>
      <c r="BE62" s="1">
        <f>VC!AZ29</f>
        <v>0</v>
      </c>
      <c r="BF62" s="1">
        <f>VC!BA29</f>
        <v>0</v>
      </c>
      <c r="BG62" s="1">
        <f>VC!BB29</f>
        <v>0</v>
      </c>
      <c r="BH62" s="1">
        <f>VC!BC29</f>
        <v>0</v>
      </c>
      <c r="BI62" s="1">
        <f>VC!BD29</f>
        <v>0</v>
      </c>
      <c r="BJ62" s="1">
        <f>VC!BE29</f>
        <v>0</v>
      </c>
      <c r="BK62" s="1">
        <f>VC!BF29</f>
        <v>0</v>
      </c>
      <c r="BL62" s="1">
        <f>VC!BG29</f>
        <v>0</v>
      </c>
      <c r="BM62" s="1">
        <f>VC!BH29</f>
        <v>0</v>
      </c>
      <c r="BN62" s="1">
        <f>VC!BI29</f>
        <v>0</v>
      </c>
      <c r="BO62" s="1">
        <f>VC!BJ29</f>
        <v>0</v>
      </c>
      <c r="BP62" s="1">
        <f>VC!BK29</f>
        <v>0</v>
      </c>
      <c r="BQ62" s="1">
        <f>VC!BL29</f>
        <v>0</v>
      </c>
      <c r="BR62" s="1">
        <f>VC!BM29</f>
        <v>0</v>
      </c>
      <c r="BS62" s="1">
        <f>VC!BN29</f>
        <v>0</v>
      </c>
      <c r="BT62" s="1">
        <f>VC!BO29</f>
        <v>0</v>
      </c>
      <c r="BU62" s="1">
        <f>VC!BP29</f>
        <v>0</v>
      </c>
      <c r="BV62" s="1">
        <f>VC!BQ29</f>
        <v>0</v>
      </c>
      <c r="BW62" s="1">
        <f>VC!BR29</f>
        <v>0</v>
      </c>
      <c r="BX62" s="1">
        <f>VC!BS29</f>
        <v>0</v>
      </c>
      <c r="BY62" s="1">
        <f>VC!BT29</f>
        <v>0</v>
      </c>
      <c r="BZ62" s="1">
        <f>VC!BU29</f>
        <v>0</v>
      </c>
      <c r="CA62" s="1">
        <f>VC!BV29</f>
        <v>0</v>
      </c>
      <c r="CB62" s="1">
        <f>VC!BW29</f>
        <v>0</v>
      </c>
      <c r="CC62" s="1">
        <f>VC!BX29</f>
        <v>0</v>
      </c>
      <c r="CD62" s="1">
        <f>VC!BY29</f>
        <v>0</v>
      </c>
      <c r="CE62" s="1">
        <f>VC!BZ29</f>
        <v>0</v>
      </c>
      <c r="CF62" s="1">
        <f>VC!CA29</f>
        <v>0</v>
      </c>
      <c r="CG62" s="1">
        <f>VC!CB29</f>
        <v>0</v>
      </c>
      <c r="CH62" s="1">
        <f>VC!CC29</f>
        <v>0</v>
      </c>
      <c r="CI62" s="1">
        <f>VC!CD29</f>
        <v>0</v>
      </c>
      <c r="CJ62" s="1">
        <f>VC!CE29</f>
        <v>0</v>
      </c>
      <c r="CK62" s="1">
        <f>VC!CF29</f>
        <v>0</v>
      </c>
      <c r="CL62" s="1">
        <f>VC!CG29</f>
        <v>0</v>
      </c>
      <c r="CM62" s="1">
        <f>VC!CH29</f>
        <v>0</v>
      </c>
      <c r="CN62" s="1">
        <f>VC!CI29</f>
        <v>0</v>
      </c>
      <c r="CO62" s="1">
        <f>VC!CJ29</f>
        <v>0</v>
      </c>
      <c r="CP62" s="1">
        <f>VC!CK29</f>
        <v>0</v>
      </c>
      <c r="CQ62" s="1">
        <f>VC!CL29</f>
        <v>0</v>
      </c>
      <c r="CR62" s="1">
        <f>VC!CM29</f>
        <v>0</v>
      </c>
      <c r="CS62" s="1">
        <f>VC!CN29</f>
        <v>0</v>
      </c>
      <c r="CT62" s="1">
        <f>VC!CO29</f>
        <v>0</v>
      </c>
      <c r="CU62" s="1">
        <f>VC!CP29</f>
        <v>0</v>
      </c>
      <c r="CV62" s="1">
        <f>VC!CQ29</f>
        <v>0</v>
      </c>
      <c r="CW62" s="1">
        <f>VC!CR29</f>
        <v>0</v>
      </c>
      <c r="CX62" s="1">
        <f>VC!CS29</f>
        <v>0</v>
      </c>
      <c r="CY62" s="1">
        <f>VC!CT29</f>
        <v>0</v>
      </c>
      <c r="CZ62" s="1" t="str">
        <f>VC!CU29</f>
        <v>E153Q</v>
      </c>
      <c r="DA62" s="1">
        <f>VC!CV29</f>
        <v>0</v>
      </c>
      <c r="DB62" s="1">
        <f>VC!CW29</f>
        <v>0</v>
      </c>
      <c r="DC62" s="1">
        <f>VC!CX29</f>
        <v>0</v>
      </c>
      <c r="DD62" s="1">
        <f>VC!CY29</f>
        <v>0</v>
      </c>
      <c r="DE62" s="1">
        <f>VC!CZ29</f>
        <v>0</v>
      </c>
      <c r="DF62" s="1">
        <f>VC!DA29</f>
        <v>0</v>
      </c>
      <c r="DG62" s="1">
        <f>VC!DB29</f>
        <v>0</v>
      </c>
      <c r="DH62" s="1">
        <f>VC!DC29</f>
        <v>0</v>
      </c>
      <c r="DI62" s="1" t="str">
        <f>VC!DD29</f>
        <v>R191L</v>
      </c>
      <c r="DJ62" s="1" t="str">
        <f>VC!DE29</f>
        <v>E153Q; nt12InsG</v>
      </c>
      <c r="DK62" s="1">
        <f>VC!DF29</f>
        <v>0</v>
      </c>
      <c r="DL62" s="1">
        <f>VC!DG29</f>
        <v>0</v>
      </c>
      <c r="DM62" s="1">
        <f>VC!DH29</f>
        <v>0</v>
      </c>
      <c r="DN62" s="1">
        <f>VC!DI29</f>
        <v>0</v>
      </c>
      <c r="DO62" s="1" t="str">
        <f>VC!DJ29</f>
        <v>E153Q</v>
      </c>
      <c r="DP62" s="1">
        <f>VC!DK29</f>
        <v>0</v>
      </c>
      <c r="DQ62" s="1">
        <f>VC!DL29</f>
        <v>0</v>
      </c>
      <c r="DR62" s="1">
        <f>VC!DM29</f>
        <v>0</v>
      </c>
      <c r="DS62" s="1">
        <f>VC!DN29</f>
        <v>0</v>
      </c>
      <c r="DT62" s="1">
        <f>VC!DO29</f>
        <v>0</v>
      </c>
      <c r="DU62" s="1">
        <f>VC!DP29</f>
        <v>0</v>
      </c>
      <c r="DV62" s="1">
        <f>VC!DQ29</f>
        <v>0</v>
      </c>
      <c r="DW62" s="1">
        <f>VC!DR29</f>
        <v>0</v>
      </c>
      <c r="DX62" s="1">
        <f>VC!DS29</f>
        <v>0</v>
      </c>
      <c r="DY62" s="1">
        <f>VC!DT29</f>
        <v>0</v>
      </c>
      <c r="DZ62" s="1">
        <f>VC!DU29</f>
        <v>0</v>
      </c>
      <c r="EA62" s="1">
        <f>VC!DV29</f>
        <v>0</v>
      </c>
      <c r="EB62" s="1" t="str">
        <f>VC!DW29</f>
        <v>nt15∆1</v>
      </c>
      <c r="EC62" s="1">
        <f>VC!DX29</f>
        <v>0</v>
      </c>
      <c r="ED62" s="1">
        <f>VC!DY29</f>
        <v>0</v>
      </c>
      <c r="EE62" s="1">
        <f>VC!DZ29</f>
        <v>0</v>
      </c>
      <c r="EF62" s="1">
        <f>VC!EA29</f>
        <v>0</v>
      </c>
      <c r="EG62" s="1">
        <f>VC!EB29</f>
        <v>0</v>
      </c>
      <c r="EH62" s="1">
        <f>VC!EC29</f>
        <v>0</v>
      </c>
      <c r="EI62" s="1">
        <f>VC!ED29</f>
        <v>0</v>
      </c>
      <c r="EJ62" s="1">
        <f>VC!EE29</f>
        <v>0</v>
      </c>
      <c r="EK62" s="1">
        <f>VC!EF29</f>
        <v>0</v>
      </c>
      <c r="EL62" s="1">
        <f>VC!EG29</f>
        <v>0</v>
      </c>
      <c r="EM62" s="1">
        <f>VC!EH29</f>
        <v>0</v>
      </c>
      <c r="EN62" s="1">
        <f>VC!EI29</f>
        <v>0</v>
      </c>
      <c r="EO62" s="1">
        <f>VC!EJ29</f>
        <v>0</v>
      </c>
      <c r="EP62" s="1">
        <f>VC!EK29</f>
        <v>0</v>
      </c>
      <c r="EQ62" s="1">
        <f>VC!EL29</f>
        <v>0</v>
      </c>
      <c r="ER62" s="1">
        <f>VC!EM29</f>
        <v>0</v>
      </c>
      <c r="ES62" s="1">
        <f>VC!EN29</f>
        <v>0</v>
      </c>
      <c r="ET62" s="1">
        <f>VC!EO29</f>
        <v>0</v>
      </c>
      <c r="EU62" s="1">
        <f>VC!EP29</f>
        <v>0</v>
      </c>
      <c r="EV62" s="1">
        <f>VC!EQ29</f>
        <v>0</v>
      </c>
      <c r="EW62" s="1" t="str">
        <f>VC!ER29</f>
        <v>A4V</v>
      </c>
      <c r="EX62" s="1">
        <f>VC!ES29</f>
        <v>0</v>
      </c>
      <c r="EY62" s="1">
        <f>VC!ET29</f>
        <v>0</v>
      </c>
      <c r="EZ62" s="1">
        <f>VC!EU29</f>
        <v>0</v>
      </c>
      <c r="FA62" s="1" t="str">
        <f>VC!EV29</f>
        <v>E153Q</v>
      </c>
      <c r="FB62" s="1">
        <f>VC!EW29</f>
        <v>0</v>
      </c>
      <c r="FC62" s="1" t="str">
        <f>VC!EX29</f>
        <v>nt15∆1</v>
      </c>
      <c r="FD62" s="1" t="str">
        <f>VC!EY29</f>
        <v>E153Q</v>
      </c>
      <c r="FE62" s="1">
        <f>VC!EZ29</f>
        <v>0</v>
      </c>
      <c r="FF62" s="1">
        <f>VC!FA29</f>
        <v>0</v>
      </c>
      <c r="FG62" s="1">
        <f>VC!FB29</f>
        <v>0</v>
      </c>
      <c r="FH62" s="1">
        <f>VC!FC29</f>
        <v>0</v>
      </c>
      <c r="FI62" s="1">
        <f>VC!FD29</f>
        <v>0</v>
      </c>
      <c r="FJ62" s="1">
        <f>VC!FE29</f>
        <v>0</v>
      </c>
      <c r="FK62" s="1">
        <f>VC!FF29</f>
        <v>0</v>
      </c>
      <c r="FL62" s="1">
        <f>VC!FG29</f>
        <v>0</v>
      </c>
      <c r="FM62" s="1">
        <f>VC!FH29</f>
        <v>0</v>
      </c>
      <c r="FN62" s="1">
        <f>VC!FI29</f>
        <v>0</v>
      </c>
      <c r="FO62" s="1">
        <f>VC!FJ29</f>
        <v>0</v>
      </c>
      <c r="FP62" s="1">
        <f>VC!FK29</f>
        <v>0</v>
      </c>
      <c r="FQ62" s="1">
        <f>VC!FL29</f>
        <v>0</v>
      </c>
      <c r="FR62" s="1">
        <f>VC!FM29</f>
        <v>0</v>
      </c>
      <c r="FS62" s="1">
        <f>VC!FN29</f>
        <v>0</v>
      </c>
      <c r="FT62" s="1">
        <f>VC!FO29</f>
        <v>0</v>
      </c>
      <c r="FU62" s="1">
        <f>VC!FP29</f>
        <v>0</v>
      </c>
      <c r="FV62" s="1">
        <f>VC!FQ29</f>
        <v>0</v>
      </c>
      <c r="FW62" s="1">
        <f>VC!FR29</f>
        <v>0</v>
      </c>
      <c r="FX62" s="1">
        <f>VC!FS29</f>
        <v>0</v>
      </c>
      <c r="FY62" s="1">
        <f>VC!FT29</f>
        <v>0</v>
      </c>
      <c r="FZ62" s="1">
        <f>VC!FU29</f>
        <v>0</v>
      </c>
      <c r="GA62" s="1">
        <f>VC!FV29</f>
        <v>0</v>
      </c>
      <c r="GB62" s="1">
        <f>VC!FW29</f>
        <v>0</v>
      </c>
      <c r="GC62" s="1">
        <f>VC!FX29</f>
        <v>0</v>
      </c>
      <c r="GD62" s="1">
        <f>VC!FY29</f>
        <v>0</v>
      </c>
      <c r="GE62" s="1">
        <f>VC!FZ29</f>
        <v>0</v>
      </c>
      <c r="GF62" s="1">
        <f>VC!GA29</f>
        <v>0</v>
      </c>
      <c r="GG62" s="1">
        <f>VC!GB29</f>
        <v>0</v>
      </c>
      <c r="GH62" s="1">
        <f>VC!GC29</f>
        <v>0</v>
      </c>
      <c r="GI62" s="1">
        <f>VC!GD29</f>
        <v>0</v>
      </c>
      <c r="GJ62" s="1">
        <f>VC!GE29</f>
        <v>0</v>
      </c>
      <c r="GK62" s="1">
        <f>VC!GF29</f>
        <v>0</v>
      </c>
      <c r="GL62" s="1">
        <f>VC!GG29</f>
        <v>0</v>
      </c>
      <c r="GM62" s="1">
        <f>VC!GH29</f>
        <v>0</v>
      </c>
      <c r="GN62" s="1">
        <f>VC!GI29</f>
        <v>0</v>
      </c>
      <c r="GO62" s="1">
        <f>VC!GJ29</f>
        <v>0</v>
      </c>
      <c r="GP62" s="1">
        <f>VC!GK29</f>
        <v>0</v>
      </c>
      <c r="GQ62" s="1">
        <f>VC!GL29</f>
        <v>0</v>
      </c>
      <c r="GR62" s="1">
        <f>VC!GM29</f>
        <v>0</v>
      </c>
      <c r="GS62" s="1">
        <f>VC!GN29</f>
        <v>0</v>
      </c>
      <c r="GT62" s="1" t="str">
        <f>VC!GO29</f>
        <v>T100S</v>
      </c>
      <c r="GU62" s="1">
        <f>VC!GP29</f>
        <v>0</v>
      </c>
      <c r="GV62" s="1">
        <f>VC!GQ29</f>
        <v>0</v>
      </c>
      <c r="GW62" s="1">
        <f>VC!GR29</f>
        <v>0</v>
      </c>
      <c r="GX62" s="1" t="str">
        <f>VC!GS29</f>
        <v>E153Q</v>
      </c>
      <c r="GY62" s="1">
        <f>VC!GT29</f>
        <v>0</v>
      </c>
      <c r="GZ62" s="1">
        <f>VC!GU29</f>
        <v>0</v>
      </c>
      <c r="HA62" s="1">
        <f>VC!GV29</f>
        <v>0</v>
      </c>
      <c r="HB62" s="1">
        <f>VC!GW29</f>
        <v>0</v>
      </c>
      <c r="HC62" s="1">
        <f>VC!GX29</f>
        <v>0</v>
      </c>
    </row>
    <row r="63" spans="1:211" s="1" customFormat="1" x14ac:dyDescent="0.25">
      <c r="A63" s="36" t="s">
        <v>22</v>
      </c>
      <c r="B63" s="37" t="s">
        <v>23</v>
      </c>
      <c r="C63" s="38" t="s">
        <v>2</v>
      </c>
      <c r="D63" s="37" t="s">
        <v>76</v>
      </c>
      <c r="E63" s="37" t="s">
        <v>138</v>
      </c>
      <c r="F63" s="37" t="s">
        <v>74</v>
      </c>
      <c r="G63" s="39" t="s">
        <v>136</v>
      </c>
      <c r="H63" s="1">
        <f>VC!C29</f>
        <v>0</v>
      </c>
      <c r="I63" s="1" t="str">
        <f>VC!D29</f>
        <v>T50P</v>
      </c>
      <c r="J63" s="1">
        <f>VC!E29</f>
        <v>0</v>
      </c>
      <c r="K63" s="1">
        <f>VC!F29</f>
        <v>0</v>
      </c>
      <c r="L63" s="1">
        <f>VC!G29</f>
        <v>0</v>
      </c>
      <c r="M63" s="1" t="str">
        <f>VC!H29</f>
        <v>E153Q</v>
      </c>
      <c r="N63" s="1">
        <f>VC!I29</f>
        <v>0</v>
      </c>
      <c r="O63" s="1">
        <f>VC!J29</f>
        <v>0</v>
      </c>
      <c r="P63" s="1">
        <f>VC!K29</f>
        <v>0</v>
      </c>
      <c r="Q63" s="1">
        <f>VC!L29</f>
        <v>0</v>
      </c>
      <c r="R63" s="1" t="str">
        <f>VC!M29</f>
        <v>G213D</v>
      </c>
      <c r="S63" s="1">
        <f>VC!N29</f>
        <v>0</v>
      </c>
      <c r="T63" s="1">
        <f>VC!O29</f>
        <v>0</v>
      </c>
      <c r="U63" s="1">
        <f>VC!P29</f>
        <v>0</v>
      </c>
      <c r="V63" s="1">
        <f>VC!Q29</f>
        <v>0</v>
      </c>
      <c r="W63" s="1">
        <f>VC!R29</f>
        <v>0</v>
      </c>
      <c r="X63" s="1">
        <f>VC!S29</f>
        <v>0</v>
      </c>
      <c r="Y63" s="1">
        <f>VC!T29</f>
        <v>0</v>
      </c>
      <c r="Z63" s="1">
        <f>VC!U29</f>
        <v>0</v>
      </c>
      <c r="AA63" s="1">
        <f>VC!V29</f>
        <v>0</v>
      </c>
      <c r="AB63" s="1">
        <f>VC!W29</f>
        <v>0</v>
      </c>
      <c r="AC63" s="1">
        <f>VC!X29</f>
        <v>0</v>
      </c>
      <c r="AD63" s="1" t="str">
        <f>VC!Y29</f>
        <v>E153Q</v>
      </c>
      <c r="AE63" s="1">
        <f>VC!Z29</f>
        <v>0</v>
      </c>
      <c r="AF63" s="1">
        <f>VC!AA29</f>
        <v>0</v>
      </c>
      <c r="AG63" s="1">
        <f>VC!AB29</f>
        <v>0</v>
      </c>
      <c r="AH63" s="1">
        <f>VC!AC29</f>
        <v>0</v>
      </c>
      <c r="AI63" s="1">
        <f>VC!AD29</f>
        <v>0</v>
      </c>
      <c r="AJ63" s="1">
        <f>VC!AE29</f>
        <v>0</v>
      </c>
      <c r="AK63" s="1">
        <f>VC!AF29</f>
        <v>0</v>
      </c>
      <c r="AL63" s="1">
        <f>VC!AG29</f>
        <v>0</v>
      </c>
      <c r="AM63" s="1">
        <f>VC!AH29</f>
        <v>0</v>
      </c>
      <c r="AN63" s="1">
        <f>VC!AI29</f>
        <v>0</v>
      </c>
      <c r="AO63" s="1">
        <f>VC!AJ29</f>
        <v>0</v>
      </c>
      <c r="AP63" s="1">
        <f>VC!AK29</f>
        <v>0</v>
      </c>
      <c r="AQ63" s="1">
        <f>VC!AL29</f>
        <v>0</v>
      </c>
      <c r="AR63" s="1">
        <f>VC!AM29</f>
        <v>0</v>
      </c>
      <c r="AS63" s="1">
        <f>VC!AN29</f>
        <v>0</v>
      </c>
      <c r="AT63" s="1">
        <f>VC!AO29</f>
        <v>0</v>
      </c>
      <c r="AU63" s="1">
        <f>VC!AP29</f>
        <v>0</v>
      </c>
      <c r="AV63" s="1">
        <f>VC!AQ29</f>
        <v>0</v>
      </c>
      <c r="AW63" s="1">
        <f>VC!AR29</f>
        <v>0</v>
      </c>
      <c r="AX63" s="1">
        <f>VC!AS29</f>
        <v>0</v>
      </c>
      <c r="AY63" s="1">
        <f>VC!AT29</f>
        <v>0</v>
      </c>
      <c r="AZ63" s="1">
        <f>VC!AU29</f>
        <v>0</v>
      </c>
      <c r="BA63" s="1">
        <f>VC!AV29</f>
        <v>0</v>
      </c>
      <c r="BB63" s="1">
        <f>VC!AW29</f>
        <v>0</v>
      </c>
      <c r="BC63" s="1">
        <f>VC!AX29</f>
        <v>0</v>
      </c>
      <c r="BD63" s="1">
        <f>VC!AY29</f>
        <v>0</v>
      </c>
      <c r="BE63" s="1">
        <f>VC!AZ29</f>
        <v>0</v>
      </c>
      <c r="BF63" s="1">
        <f>VC!BA29</f>
        <v>0</v>
      </c>
      <c r="BG63" s="1">
        <f>VC!BB29</f>
        <v>0</v>
      </c>
      <c r="BH63" s="1">
        <f>VC!BC29</f>
        <v>0</v>
      </c>
      <c r="BI63" s="1">
        <f>VC!BD29</f>
        <v>0</v>
      </c>
      <c r="BJ63" s="1">
        <f>VC!BE29</f>
        <v>0</v>
      </c>
      <c r="BK63" s="1">
        <f>VC!BF29</f>
        <v>0</v>
      </c>
      <c r="BL63" s="1">
        <f>VC!BG29</f>
        <v>0</v>
      </c>
      <c r="BM63" s="1">
        <f>VC!BH29</f>
        <v>0</v>
      </c>
      <c r="BN63" s="1">
        <f>VC!BI29</f>
        <v>0</v>
      </c>
      <c r="BO63" s="1">
        <f>VC!BJ29</f>
        <v>0</v>
      </c>
      <c r="BP63" s="1">
        <f>VC!BK29</f>
        <v>0</v>
      </c>
      <c r="BQ63" s="1">
        <f>VC!BL29</f>
        <v>0</v>
      </c>
      <c r="BR63" s="1">
        <f>VC!BM29</f>
        <v>0</v>
      </c>
      <c r="BS63" s="1">
        <f>VC!BN29</f>
        <v>0</v>
      </c>
      <c r="BT63" s="1">
        <f>VC!BO29</f>
        <v>0</v>
      </c>
      <c r="BU63" s="1">
        <f>VC!BP29</f>
        <v>0</v>
      </c>
      <c r="BV63" s="1">
        <f>VC!BQ29</f>
        <v>0</v>
      </c>
      <c r="BW63" s="1">
        <f>VC!BR29</f>
        <v>0</v>
      </c>
      <c r="BX63" s="1">
        <f>VC!BS29</f>
        <v>0</v>
      </c>
      <c r="BY63" s="1">
        <f>VC!BT29</f>
        <v>0</v>
      </c>
      <c r="BZ63" s="1">
        <f>VC!BU29</f>
        <v>0</v>
      </c>
      <c r="CA63" s="1">
        <f>VC!BV29</f>
        <v>0</v>
      </c>
      <c r="CB63" s="1">
        <f>VC!BW29</f>
        <v>0</v>
      </c>
      <c r="CC63" s="1">
        <f>VC!BX29</f>
        <v>0</v>
      </c>
      <c r="CD63" s="1">
        <f>VC!BY29</f>
        <v>0</v>
      </c>
      <c r="CE63" s="1">
        <f>VC!BZ29</f>
        <v>0</v>
      </c>
      <c r="CF63" s="1">
        <f>VC!CA29</f>
        <v>0</v>
      </c>
      <c r="CG63" s="1">
        <f>VC!CB29</f>
        <v>0</v>
      </c>
      <c r="CH63" s="1">
        <f>VC!CC29</f>
        <v>0</v>
      </c>
      <c r="CI63" s="1">
        <f>VC!CD29</f>
        <v>0</v>
      </c>
      <c r="CJ63" s="1">
        <f>VC!CE29</f>
        <v>0</v>
      </c>
      <c r="CK63" s="1">
        <f>VC!CF29</f>
        <v>0</v>
      </c>
      <c r="CL63" s="1">
        <f>VC!CG29</f>
        <v>0</v>
      </c>
      <c r="CM63" s="1">
        <f>VC!CH29</f>
        <v>0</v>
      </c>
      <c r="CN63" s="1">
        <f>VC!CI29</f>
        <v>0</v>
      </c>
      <c r="CO63" s="1">
        <f>VC!CJ29</f>
        <v>0</v>
      </c>
      <c r="CP63" s="1">
        <f>VC!CK29</f>
        <v>0</v>
      </c>
      <c r="CQ63" s="1">
        <f>VC!CL29</f>
        <v>0</v>
      </c>
      <c r="CR63" s="1">
        <f>VC!CM29</f>
        <v>0</v>
      </c>
      <c r="CS63" s="1">
        <f>VC!CN29</f>
        <v>0</v>
      </c>
      <c r="CT63" s="1">
        <f>VC!CO29</f>
        <v>0</v>
      </c>
      <c r="CU63" s="1">
        <f>VC!CP29</f>
        <v>0</v>
      </c>
      <c r="CV63" s="1">
        <f>VC!CQ29</f>
        <v>0</v>
      </c>
      <c r="CW63" s="1">
        <f>VC!CR29</f>
        <v>0</v>
      </c>
      <c r="CX63" s="1">
        <f>VC!CS29</f>
        <v>0</v>
      </c>
      <c r="CY63" s="1">
        <f>VC!CT29</f>
        <v>0</v>
      </c>
      <c r="CZ63" s="1" t="str">
        <f>VC!CU29</f>
        <v>E153Q</v>
      </c>
      <c r="DA63" s="1">
        <f>VC!CV29</f>
        <v>0</v>
      </c>
      <c r="DB63" s="1">
        <f>VC!CW29</f>
        <v>0</v>
      </c>
      <c r="DC63" s="1">
        <f>VC!CX29</f>
        <v>0</v>
      </c>
      <c r="DD63" s="1">
        <f>VC!CY29</f>
        <v>0</v>
      </c>
      <c r="DE63" s="1">
        <f>VC!CZ29</f>
        <v>0</v>
      </c>
      <c r="DF63" s="1">
        <f>VC!DA29</f>
        <v>0</v>
      </c>
      <c r="DG63" s="1">
        <f>VC!DB29</f>
        <v>0</v>
      </c>
      <c r="DH63" s="1">
        <f>VC!DC29</f>
        <v>0</v>
      </c>
      <c r="DI63" s="1" t="str">
        <f>VC!DD29</f>
        <v>R191L</v>
      </c>
      <c r="DJ63" s="1" t="str">
        <f>VC!DE29</f>
        <v>E153Q; nt12InsG</v>
      </c>
      <c r="DK63" s="1">
        <f>VC!DF29</f>
        <v>0</v>
      </c>
      <c r="DL63" s="1">
        <f>VC!DG29</f>
        <v>0</v>
      </c>
      <c r="DM63" s="1">
        <f>VC!DH29</f>
        <v>0</v>
      </c>
      <c r="DN63" s="1">
        <f>VC!DI29</f>
        <v>0</v>
      </c>
      <c r="DO63" s="1" t="str">
        <f>VC!DJ29</f>
        <v>E153Q</v>
      </c>
      <c r="DP63" s="1">
        <f>VC!DK29</f>
        <v>0</v>
      </c>
      <c r="DQ63" s="1">
        <f>VC!DL29</f>
        <v>0</v>
      </c>
      <c r="DR63" s="1">
        <f>VC!DM29</f>
        <v>0</v>
      </c>
      <c r="DS63" s="1">
        <f>VC!DN29</f>
        <v>0</v>
      </c>
      <c r="DT63" s="1">
        <f>VC!DO29</f>
        <v>0</v>
      </c>
      <c r="DU63" s="1">
        <f>VC!DP29</f>
        <v>0</v>
      </c>
      <c r="DV63" s="1">
        <f>VC!DQ29</f>
        <v>0</v>
      </c>
      <c r="DW63" s="1">
        <f>VC!DR29</f>
        <v>0</v>
      </c>
      <c r="DX63" s="1">
        <f>VC!DS29</f>
        <v>0</v>
      </c>
      <c r="DY63" s="1">
        <f>VC!DT29</f>
        <v>0</v>
      </c>
      <c r="DZ63" s="1">
        <f>VC!DU29</f>
        <v>0</v>
      </c>
      <c r="EA63" s="1">
        <f>VC!DV29</f>
        <v>0</v>
      </c>
      <c r="EB63" s="1" t="str">
        <f>VC!DW29</f>
        <v>nt15∆1</v>
      </c>
      <c r="EC63" s="1">
        <f>VC!DX29</f>
        <v>0</v>
      </c>
      <c r="ED63" s="1">
        <f>VC!DY29</f>
        <v>0</v>
      </c>
      <c r="EE63" s="1">
        <f>VC!DZ29</f>
        <v>0</v>
      </c>
      <c r="EF63" s="1">
        <f>VC!EA29</f>
        <v>0</v>
      </c>
      <c r="EG63" s="1">
        <f>VC!EB29</f>
        <v>0</v>
      </c>
      <c r="EH63" s="1">
        <f>VC!EC29</f>
        <v>0</v>
      </c>
      <c r="EI63" s="1">
        <f>VC!ED29</f>
        <v>0</v>
      </c>
      <c r="EJ63" s="1">
        <f>VC!EE29</f>
        <v>0</v>
      </c>
      <c r="EK63" s="1">
        <f>VC!EF29</f>
        <v>0</v>
      </c>
      <c r="EL63" s="1">
        <f>VC!EG29</f>
        <v>0</v>
      </c>
      <c r="EM63" s="1">
        <f>VC!EH29</f>
        <v>0</v>
      </c>
      <c r="EN63" s="1">
        <f>VC!EI29</f>
        <v>0</v>
      </c>
      <c r="EO63" s="1">
        <f>VC!EJ29</f>
        <v>0</v>
      </c>
      <c r="EP63" s="1">
        <f>VC!EK29</f>
        <v>0</v>
      </c>
      <c r="EQ63" s="1">
        <f>VC!EL29</f>
        <v>0</v>
      </c>
      <c r="ER63" s="1">
        <f>VC!EM29</f>
        <v>0</v>
      </c>
      <c r="ES63" s="1">
        <f>VC!EN29</f>
        <v>0</v>
      </c>
      <c r="ET63" s="1">
        <f>VC!EO29</f>
        <v>0</v>
      </c>
      <c r="EU63" s="1">
        <f>VC!EP29</f>
        <v>0</v>
      </c>
      <c r="EV63" s="1">
        <f>VC!EQ29</f>
        <v>0</v>
      </c>
      <c r="EW63" s="1" t="str">
        <f>VC!ER29</f>
        <v>A4V</v>
      </c>
      <c r="EX63" s="1">
        <f>VC!ES29</f>
        <v>0</v>
      </c>
      <c r="EY63" s="1">
        <f>VC!ET29</f>
        <v>0</v>
      </c>
      <c r="EZ63" s="1">
        <f>VC!EU29</f>
        <v>0</v>
      </c>
      <c r="FA63" s="1" t="str">
        <f>VC!EV29</f>
        <v>E153Q</v>
      </c>
      <c r="FB63" s="1">
        <f>VC!EW29</f>
        <v>0</v>
      </c>
      <c r="FC63" s="1" t="str">
        <f>VC!EX29</f>
        <v>nt15∆1</v>
      </c>
      <c r="FD63" s="1" t="str">
        <f>VC!EY29</f>
        <v>E153Q</v>
      </c>
      <c r="FE63" s="1">
        <f>VC!EZ29</f>
        <v>0</v>
      </c>
      <c r="FF63" s="1">
        <f>VC!FA29</f>
        <v>0</v>
      </c>
      <c r="FG63" s="1">
        <f>VC!FB29</f>
        <v>0</v>
      </c>
      <c r="FH63" s="1">
        <f>VC!FC29</f>
        <v>0</v>
      </c>
      <c r="FI63" s="1">
        <f>VC!FD29</f>
        <v>0</v>
      </c>
      <c r="FJ63" s="1">
        <f>VC!FE29</f>
        <v>0</v>
      </c>
      <c r="FK63" s="1">
        <f>VC!FF29</f>
        <v>0</v>
      </c>
      <c r="FL63" s="1">
        <f>VC!FG29</f>
        <v>0</v>
      </c>
      <c r="FM63" s="1">
        <f>VC!FH29</f>
        <v>0</v>
      </c>
      <c r="FN63" s="1">
        <f>VC!FI29</f>
        <v>0</v>
      </c>
      <c r="FO63" s="1">
        <f>VC!FJ29</f>
        <v>0</v>
      </c>
      <c r="FP63" s="1">
        <f>VC!FK29</f>
        <v>0</v>
      </c>
      <c r="FQ63" s="1">
        <f>VC!FL29</f>
        <v>0</v>
      </c>
      <c r="FR63" s="1">
        <f>VC!FM29</f>
        <v>0</v>
      </c>
      <c r="FS63" s="1">
        <f>VC!FN29</f>
        <v>0</v>
      </c>
      <c r="FT63" s="1">
        <f>VC!FO29</f>
        <v>0</v>
      </c>
      <c r="FU63" s="1">
        <f>VC!FP29</f>
        <v>0</v>
      </c>
      <c r="FV63" s="1">
        <f>VC!FQ29</f>
        <v>0</v>
      </c>
      <c r="FW63" s="1">
        <f>VC!FR29</f>
        <v>0</v>
      </c>
      <c r="FX63" s="1">
        <f>VC!FS29</f>
        <v>0</v>
      </c>
      <c r="FY63" s="1">
        <f>VC!FT29</f>
        <v>0</v>
      </c>
      <c r="FZ63" s="1">
        <f>VC!FU29</f>
        <v>0</v>
      </c>
      <c r="GA63" s="1">
        <f>VC!FV29</f>
        <v>0</v>
      </c>
      <c r="GB63" s="1">
        <f>VC!FW29</f>
        <v>0</v>
      </c>
      <c r="GC63" s="1">
        <f>VC!FX29</f>
        <v>0</v>
      </c>
      <c r="GD63" s="1">
        <f>VC!FY29</f>
        <v>0</v>
      </c>
      <c r="GE63" s="1">
        <f>VC!FZ29</f>
        <v>0</v>
      </c>
      <c r="GF63" s="1">
        <f>VC!GA29</f>
        <v>0</v>
      </c>
      <c r="GG63" s="1">
        <f>VC!GB29</f>
        <v>0</v>
      </c>
      <c r="GH63" s="1">
        <f>VC!GC29</f>
        <v>0</v>
      </c>
      <c r="GI63" s="1">
        <f>VC!GD29</f>
        <v>0</v>
      </c>
      <c r="GJ63" s="1">
        <f>VC!GE29</f>
        <v>0</v>
      </c>
      <c r="GK63" s="1">
        <f>VC!GF29</f>
        <v>0</v>
      </c>
      <c r="GL63" s="1">
        <f>VC!GG29</f>
        <v>0</v>
      </c>
      <c r="GM63" s="1">
        <f>VC!GH29</f>
        <v>0</v>
      </c>
      <c r="GN63" s="1">
        <f>VC!GI29</f>
        <v>0</v>
      </c>
      <c r="GO63" s="1">
        <f>VC!GJ29</f>
        <v>0</v>
      </c>
      <c r="GP63" s="1">
        <f>VC!GK29</f>
        <v>0</v>
      </c>
      <c r="GQ63" s="1">
        <f>VC!GL29</f>
        <v>0</v>
      </c>
      <c r="GR63" s="1">
        <f>VC!GM29</f>
        <v>0</v>
      </c>
      <c r="GS63" s="1">
        <f>VC!GN29</f>
        <v>0</v>
      </c>
      <c r="GT63" s="1" t="str">
        <f>VC!GO29</f>
        <v>T100S</v>
      </c>
      <c r="GU63" s="1">
        <f>VC!GP29</f>
        <v>0</v>
      </c>
      <c r="GV63" s="1">
        <f>VC!GQ29</f>
        <v>0</v>
      </c>
      <c r="GW63" s="1">
        <f>VC!GR29</f>
        <v>0</v>
      </c>
      <c r="GX63" s="1" t="str">
        <f>VC!GS29</f>
        <v>E153Q</v>
      </c>
      <c r="GY63" s="1">
        <f>VC!GT29</f>
        <v>0</v>
      </c>
      <c r="GZ63" s="1">
        <f>VC!GU29</f>
        <v>0</v>
      </c>
      <c r="HA63" s="1">
        <f>VC!GV29</f>
        <v>0</v>
      </c>
      <c r="HB63" s="1">
        <f>VC!GW29</f>
        <v>0</v>
      </c>
      <c r="HC63" s="1">
        <f>VC!GX29</f>
        <v>0</v>
      </c>
    </row>
    <row r="64" spans="1:211" s="1" customFormat="1" x14ac:dyDescent="0.25">
      <c r="A64" s="36" t="s">
        <v>22</v>
      </c>
      <c r="B64" s="37" t="s">
        <v>23</v>
      </c>
      <c r="C64" s="38" t="s">
        <v>4</v>
      </c>
      <c r="D64" s="37" t="s">
        <v>76</v>
      </c>
      <c r="E64" s="37" t="s">
        <v>138</v>
      </c>
      <c r="F64" s="37" t="s">
        <v>74</v>
      </c>
      <c r="G64" s="39" t="s">
        <v>136</v>
      </c>
      <c r="H64" s="1">
        <f>VC!C29</f>
        <v>0</v>
      </c>
      <c r="I64" s="1" t="str">
        <f>VC!D29</f>
        <v>T50P</v>
      </c>
      <c r="J64" s="1">
        <f>VC!E29</f>
        <v>0</v>
      </c>
      <c r="K64" s="1">
        <f>VC!F29</f>
        <v>0</v>
      </c>
      <c r="L64" s="1">
        <f>VC!G29</f>
        <v>0</v>
      </c>
      <c r="M64" s="1" t="str">
        <f>VC!H29</f>
        <v>E153Q</v>
      </c>
      <c r="N64" s="1">
        <f>VC!I29</f>
        <v>0</v>
      </c>
      <c r="O64" s="1">
        <f>VC!J29</f>
        <v>0</v>
      </c>
      <c r="P64" s="1">
        <f>VC!K29</f>
        <v>0</v>
      </c>
      <c r="Q64" s="1">
        <f>VC!L29</f>
        <v>0</v>
      </c>
      <c r="R64" s="1" t="str">
        <f>VC!M29</f>
        <v>G213D</v>
      </c>
      <c r="S64" s="1">
        <f>VC!N29</f>
        <v>0</v>
      </c>
      <c r="T64" s="1">
        <f>VC!O29</f>
        <v>0</v>
      </c>
      <c r="U64" s="1">
        <f>VC!P29</f>
        <v>0</v>
      </c>
      <c r="V64" s="1">
        <f>VC!Q29</f>
        <v>0</v>
      </c>
      <c r="W64" s="1">
        <f>VC!R29</f>
        <v>0</v>
      </c>
      <c r="X64" s="1">
        <f>VC!S29</f>
        <v>0</v>
      </c>
      <c r="Y64" s="1">
        <f>VC!T29</f>
        <v>0</v>
      </c>
      <c r="Z64" s="1">
        <f>VC!U29</f>
        <v>0</v>
      </c>
      <c r="AA64" s="1">
        <f>VC!V29</f>
        <v>0</v>
      </c>
      <c r="AB64" s="1">
        <f>VC!W29</f>
        <v>0</v>
      </c>
      <c r="AC64" s="1">
        <f>VC!X29</f>
        <v>0</v>
      </c>
      <c r="AD64" s="1" t="str">
        <f>VC!Y29</f>
        <v>E153Q</v>
      </c>
      <c r="AE64" s="1">
        <f>VC!Z29</f>
        <v>0</v>
      </c>
      <c r="AF64" s="1">
        <f>VC!AA29</f>
        <v>0</v>
      </c>
      <c r="AG64" s="1">
        <f>VC!AB29</f>
        <v>0</v>
      </c>
      <c r="AH64" s="1">
        <f>VC!AC29</f>
        <v>0</v>
      </c>
      <c r="AI64" s="1">
        <f>VC!AD29</f>
        <v>0</v>
      </c>
      <c r="AJ64" s="1">
        <f>VC!AE29</f>
        <v>0</v>
      </c>
      <c r="AK64" s="1">
        <f>VC!AF29</f>
        <v>0</v>
      </c>
      <c r="AL64" s="1">
        <f>VC!AG29</f>
        <v>0</v>
      </c>
      <c r="AM64" s="1">
        <f>VC!AH29</f>
        <v>0</v>
      </c>
      <c r="AN64" s="1">
        <f>VC!AI29</f>
        <v>0</v>
      </c>
      <c r="AO64" s="1">
        <f>VC!AJ29</f>
        <v>0</v>
      </c>
      <c r="AP64" s="1">
        <f>VC!AK29</f>
        <v>0</v>
      </c>
      <c r="AQ64" s="1">
        <f>VC!AL29</f>
        <v>0</v>
      </c>
      <c r="AR64" s="1">
        <f>VC!AM29</f>
        <v>0</v>
      </c>
      <c r="AS64" s="1">
        <f>VC!AN29</f>
        <v>0</v>
      </c>
      <c r="AT64" s="1">
        <f>VC!AO29</f>
        <v>0</v>
      </c>
      <c r="AU64" s="1">
        <f>VC!AP29</f>
        <v>0</v>
      </c>
      <c r="AV64" s="1">
        <f>VC!AQ29</f>
        <v>0</v>
      </c>
      <c r="AW64" s="1">
        <f>VC!AR29</f>
        <v>0</v>
      </c>
      <c r="AX64" s="1">
        <f>VC!AS29</f>
        <v>0</v>
      </c>
      <c r="AY64" s="1">
        <f>VC!AT29</f>
        <v>0</v>
      </c>
      <c r="AZ64" s="1">
        <f>VC!AU29</f>
        <v>0</v>
      </c>
      <c r="BA64" s="1">
        <f>VC!AV29</f>
        <v>0</v>
      </c>
      <c r="BB64" s="1">
        <f>VC!AW29</f>
        <v>0</v>
      </c>
      <c r="BC64" s="1">
        <f>VC!AX29</f>
        <v>0</v>
      </c>
      <c r="BD64" s="1">
        <f>VC!AY29</f>
        <v>0</v>
      </c>
      <c r="BE64" s="1">
        <f>VC!AZ29</f>
        <v>0</v>
      </c>
      <c r="BF64" s="1">
        <f>VC!BA29</f>
        <v>0</v>
      </c>
      <c r="BG64" s="1">
        <f>VC!BB29</f>
        <v>0</v>
      </c>
      <c r="BH64" s="1">
        <f>VC!BC29</f>
        <v>0</v>
      </c>
      <c r="BI64" s="1">
        <f>VC!BD29</f>
        <v>0</v>
      </c>
      <c r="BJ64" s="1">
        <f>VC!BE29</f>
        <v>0</v>
      </c>
      <c r="BK64" s="1">
        <f>VC!BF29</f>
        <v>0</v>
      </c>
      <c r="BL64" s="1">
        <f>VC!BG29</f>
        <v>0</v>
      </c>
      <c r="BM64" s="1">
        <f>VC!BH29</f>
        <v>0</v>
      </c>
      <c r="BN64" s="1">
        <f>VC!BI29</f>
        <v>0</v>
      </c>
      <c r="BO64" s="1">
        <f>VC!BJ29</f>
        <v>0</v>
      </c>
      <c r="BP64" s="1">
        <f>VC!BK29</f>
        <v>0</v>
      </c>
      <c r="BQ64" s="1">
        <f>VC!BL29</f>
        <v>0</v>
      </c>
      <c r="BR64" s="1">
        <f>VC!BM29</f>
        <v>0</v>
      </c>
      <c r="BS64" s="1">
        <f>VC!BN29</f>
        <v>0</v>
      </c>
      <c r="BT64" s="1">
        <f>VC!BO29</f>
        <v>0</v>
      </c>
      <c r="BU64" s="1">
        <f>VC!BP29</f>
        <v>0</v>
      </c>
      <c r="BV64" s="1">
        <f>VC!BQ29</f>
        <v>0</v>
      </c>
      <c r="BW64" s="1">
        <f>VC!BR29</f>
        <v>0</v>
      </c>
      <c r="BX64" s="1">
        <f>VC!BS29</f>
        <v>0</v>
      </c>
      <c r="BY64" s="1">
        <f>VC!BT29</f>
        <v>0</v>
      </c>
      <c r="BZ64" s="1">
        <f>VC!BU29</f>
        <v>0</v>
      </c>
      <c r="CA64" s="1">
        <f>VC!BV29</f>
        <v>0</v>
      </c>
      <c r="CB64" s="1">
        <f>VC!BW29</f>
        <v>0</v>
      </c>
      <c r="CC64" s="1">
        <f>VC!BX29</f>
        <v>0</v>
      </c>
      <c r="CD64" s="1">
        <f>VC!BY29</f>
        <v>0</v>
      </c>
      <c r="CE64" s="1">
        <f>VC!BZ29</f>
        <v>0</v>
      </c>
      <c r="CF64" s="1">
        <f>VC!CA29</f>
        <v>0</v>
      </c>
      <c r="CG64" s="1">
        <f>VC!CB29</f>
        <v>0</v>
      </c>
      <c r="CH64" s="1">
        <f>VC!CC29</f>
        <v>0</v>
      </c>
      <c r="CI64" s="1">
        <f>VC!CD29</f>
        <v>0</v>
      </c>
      <c r="CJ64" s="1">
        <f>VC!CE29</f>
        <v>0</v>
      </c>
      <c r="CK64" s="1">
        <f>VC!CF29</f>
        <v>0</v>
      </c>
      <c r="CL64" s="1">
        <f>VC!CG29</f>
        <v>0</v>
      </c>
      <c r="CM64" s="1">
        <f>VC!CH29</f>
        <v>0</v>
      </c>
      <c r="CN64" s="1">
        <f>VC!CI29</f>
        <v>0</v>
      </c>
      <c r="CO64" s="1">
        <f>VC!CJ29</f>
        <v>0</v>
      </c>
      <c r="CP64" s="1">
        <f>VC!CK29</f>
        <v>0</v>
      </c>
      <c r="CQ64" s="1">
        <f>VC!CL29</f>
        <v>0</v>
      </c>
      <c r="CR64" s="1">
        <f>VC!CM29</f>
        <v>0</v>
      </c>
      <c r="CS64" s="1">
        <f>VC!CN29</f>
        <v>0</v>
      </c>
      <c r="CT64" s="1">
        <f>VC!CO29</f>
        <v>0</v>
      </c>
      <c r="CU64" s="1">
        <f>VC!CP29</f>
        <v>0</v>
      </c>
      <c r="CV64" s="1">
        <f>VC!CQ29</f>
        <v>0</v>
      </c>
      <c r="CW64" s="1">
        <f>VC!CR29</f>
        <v>0</v>
      </c>
      <c r="CX64" s="1">
        <f>VC!CS29</f>
        <v>0</v>
      </c>
      <c r="CY64" s="1">
        <f>VC!CT29</f>
        <v>0</v>
      </c>
      <c r="CZ64" s="1" t="str">
        <f>VC!CU29</f>
        <v>E153Q</v>
      </c>
      <c r="DA64" s="1">
        <f>VC!CV29</f>
        <v>0</v>
      </c>
      <c r="DB64" s="1">
        <f>VC!CW29</f>
        <v>0</v>
      </c>
      <c r="DC64" s="1">
        <f>VC!CX29</f>
        <v>0</v>
      </c>
      <c r="DD64" s="1">
        <f>VC!CY29</f>
        <v>0</v>
      </c>
      <c r="DE64" s="1">
        <f>VC!CZ29</f>
        <v>0</v>
      </c>
      <c r="DF64" s="1">
        <f>VC!DA29</f>
        <v>0</v>
      </c>
      <c r="DG64" s="1">
        <f>VC!DB29</f>
        <v>0</v>
      </c>
      <c r="DH64" s="1">
        <f>VC!DC29</f>
        <v>0</v>
      </c>
      <c r="DI64" s="1" t="str">
        <f>VC!DD29</f>
        <v>R191L</v>
      </c>
      <c r="DJ64" s="1" t="str">
        <f>VC!DE29</f>
        <v>E153Q; nt12InsG</v>
      </c>
      <c r="DK64" s="1">
        <f>VC!DF29</f>
        <v>0</v>
      </c>
      <c r="DL64" s="1">
        <f>VC!DG29</f>
        <v>0</v>
      </c>
      <c r="DM64" s="1">
        <f>VC!DH29</f>
        <v>0</v>
      </c>
      <c r="DN64" s="1">
        <f>VC!DI29</f>
        <v>0</v>
      </c>
      <c r="DO64" s="1" t="str">
        <f>VC!DJ29</f>
        <v>E153Q</v>
      </c>
      <c r="DP64" s="1">
        <f>VC!DK29</f>
        <v>0</v>
      </c>
      <c r="DQ64" s="1">
        <f>VC!DL29</f>
        <v>0</v>
      </c>
      <c r="DR64" s="1">
        <f>VC!DM29</f>
        <v>0</v>
      </c>
      <c r="DS64" s="1">
        <f>VC!DN29</f>
        <v>0</v>
      </c>
      <c r="DT64" s="1">
        <f>VC!DO29</f>
        <v>0</v>
      </c>
      <c r="DU64" s="1">
        <f>VC!DP29</f>
        <v>0</v>
      </c>
      <c r="DV64" s="1">
        <f>VC!DQ29</f>
        <v>0</v>
      </c>
      <c r="DW64" s="1">
        <f>VC!DR29</f>
        <v>0</v>
      </c>
      <c r="DX64" s="1">
        <f>VC!DS29</f>
        <v>0</v>
      </c>
      <c r="DY64" s="1">
        <f>VC!DT29</f>
        <v>0</v>
      </c>
      <c r="DZ64" s="1">
        <f>VC!DU29</f>
        <v>0</v>
      </c>
      <c r="EA64" s="1">
        <f>VC!DV29</f>
        <v>0</v>
      </c>
      <c r="EB64" s="1" t="str">
        <f>VC!DW29</f>
        <v>nt15∆1</v>
      </c>
      <c r="EC64" s="1">
        <f>VC!DX29</f>
        <v>0</v>
      </c>
      <c r="ED64" s="1">
        <f>VC!DY29</f>
        <v>0</v>
      </c>
      <c r="EE64" s="1">
        <f>VC!DZ29</f>
        <v>0</v>
      </c>
      <c r="EF64" s="1">
        <f>VC!EA29</f>
        <v>0</v>
      </c>
      <c r="EG64" s="1">
        <f>VC!EB29</f>
        <v>0</v>
      </c>
      <c r="EH64" s="1">
        <f>VC!EC29</f>
        <v>0</v>
      </c>
      <c r="EI64" s="1">
        <f>VC!ED29</f>
        <v>0</v>
      </c>
      <c r="EJ64" s="1">
        <f>VC!EE29</f>
        <v>0</v>
      </c>
      <c r="EK64" s="1">
        <f>VC!EF29</f>
        <v>0</v>
      </c>
      <c r="EL64" s="1">
        <f>VC!EG29</f>
        <v>0</v>
      </c>
      <c r="EM64" s="1">
        <f>VC!EH29</f>
        <v>0</v>
      </c>
      <c r="EN64" s="1">
        <f>VC!EI29</f>
        <v>0</v>
      </c>
      <c r="EO64" s="1">
        <f>VC!EJ29</f>
        <v>0</v>
      </c>
      <c r="EP64" s="1">
        <f>VC!EK29</f>
        <v>0</v>
      </c>
      <c r="EQ64" s="1">
        <f>VC!EL29</f>
        <v>0</v>
      </c>
      <c r="ER64" s="1">
        <f>VC!EM29</f>
        <v>0</v>
      </c>
      <c r="ES64" s="1">
        <f>VC!EN29</f>
        <v>0</v>
      </c>
      <c r="ET64" s="1">
        <f>VC!EO29</f>
        <v>0</v>
      </c>
      <c r="EU64" s="1">
        <f>VC!EP29</f>
        <v>0</v>
      </c>
      <c r="EV64" s="1">
        <f>VC!EQ29</f>
        <v>0</v>
      </c>
      <c r="EW64" s="1" t="str">
        <f>VC!ER29</f>
        <v>A4V</v>
      </c>
      <c r="EX64" s="1">
        <f>VC!ES29</f>
        <v>0</v>
      </c>
      <c r="EY64" s="1">
        <f>VC!ET29</f>
        <v>0</v>
      </c>
      <c r="EZ64" s="1">
        <f>VC!EU29</f>
        <v>0</v>
      </c>
      <c r="FA64" s="1" t="str">
        <f>VC!EV29</f>
        <v>E153Q</v>
      </c>
      <c r="FB64" s="1">
        <f>VC!EW29</f>
        <v>0</v>
      </c>
      <c r="FC64" s="1" t="str">
        <f>VC!EX29</f>
        <v>nt15∆1</v>
      </c>
      <c r="FD64" s="1" t="str">
        <f>VC!EY29</f>
        <v>E153Q</v>
      </c>
      <c r="FE64" s="1">
        <f>VC!EZ29</f>
        <v>0</v>
      </c>
      <c r="FF64" s="1">
        <f>VC!FA29</f>
        <v>0</v>
      </c>
      <c r="FG64" s="1">
        <f>VC!FB29</f>
        <v>0</v>
      </c>
      <c r="FH64" s="1">
        <f>VC!FC29</f>
        <v>0</v>
      </c>
      <c r="FI64" s="1">
        <f>VC!FD29</f>
        <v>0</v>
      </c>
      <c r="FJ64" s="1">
        <f>VC!FE29</f>
        <v>0</v>
      </c>
      <c r="FK64" s="1">
        <f>VC!FF29</f>
        <v>0</v>
      </c>
      <c r="FL64" s="1">
        <f>VC!FG29</f>
        <v>0</v>
      </c>
      <c r="FM64" s="1">
        <f>VC!FH29</f>
        <v>0</v>
      </c>
      <c r="FN64" s="1">
        <f>VC!FI29</f>
        <v>0</v>
      </c>
      <c r="FO64" s="1">
        <f>VC!FJ29</f>
        <v>0</v>
      </c>
      <c r="FP64" s="1">
        <f>VC!FK29</f>
        <v>0</v>
      </c>
      <c r="FQ64" s="1">
        <f>VC!FL29</f>
        <v>0</v>
      </c>
      <c r="FR64" s="1">
        <f>VC!FM29</f>
        <v>0</v>
      </c>
      <c r="FS64" s="1">
        <f>VC!FN29</f>
        <v>0</v>
      </c>
      <c r="FT64" s="1">
        <f>VC!FO29</f>
        <v>0</v>
      </c>
      <c r="FU64" s="1">
        <f>VC!FP29</f>
        <v>0</v>
      </c>
      <c r="FV64" s="1">
        <f>VC!FQ29</f>
        <v>0</v>
      </c>
      <c r="FW64" s="1">
        <f>VC!FR29</f>
        <v>0</v>
      </c>
      <c r="FX64" s="1">
        <f>VC!FS29</f>
        <v>0</v>
      </c>
      <c r="FY64" s="1">
        <f>VC!FT29</f>
        <v>0</v>
      </c>
      <c r="FZ64" s="1">
        <f>VC!FU29</f>
        <v>0</v>
      </c>
      <c r="GA64" s="1">
        <f>VC!FV29</f>
        <v>0</v>
      </c>
      <c r="GB64" s="1">
        <f>VC!FW29</f>
        <v>0</v>
      </c>
      <c r="GC64" s="1">
        <f>VC!FX29</f>
        <v>0</v>
      </c>
      <c r="GD64" s="1">
        <f>VC!FY29</f>
        <v>0</v>
      </c>
      <c r="GE64" s="1">
        <f>VC!FZ29</f>
        <v>0</v>
      </c>
      <c r="GF64" s="1">
        <f>VC!GA29</f>
        <v>0</v>
      </c>
      <c r="GG64" s="1">
        <f>VC!GB29</f>
        <v>0</v>
      </c>
      <c r="GH64" s="1">
        <f>VC!GC29</f>
        <v>0</v>
      </c>
      <c r="GI64" s="1">
        <f>VC!GD29</f>
        <v>0</v>
      </c>
      <c r="GJ64" s="1">
        <f>VC!GE29</f>
        <v>0</v>
      </c>
      <c r="GK64" s="1">
        <f>VC!GF29</f>
        <v>0</v>
      </c>
      <c r="GL64" s="1">
        <f>VC!GG29</f>
        <v>0</v>
      </c>
      <c r="GM64" s="1">
        <f>VC!GH29</f>
        <v>0</v>
      </c>
      <c r="GN64" s="1">
        <f>VC!GI29</f>
        <v>0</v>
      </c>
      <c r="GO64" s="1">
        <f>VC!GJ29</f>
        <v>0</v>
      </c>
      <c r="GP64" s="1">
        <f>VC!GK29</f>
        <v>0</v>
      </c>
      <c r="GQ64" s="1">
        <f>VC!GL29</f>
        <v>0</v>
      </c>
      <c r="GR64" s="1">
        <f>VC!GM29</f>
        <v>0</v>
      </c>
      <c r="GS64" s="1">
        <f>VC!GN29</f>
        <v>0</v>
      </c>
      <c r="GT64" s="1" t="str">
        <f>VC!GO29</f>
        <v>T100S</v>
      </c>
      <c r="GU64" s="1">
        <f>VC!GP29</f>
        <v>0</v>
      </c>
      <c r="GV64" s="1">
        <f>VC!GQ29</f>
        <v>0</v>
      </c>
      <c r="GW64" s="1">
        <f>VC!GR29</f>
        <v>0</v>
      </c>
      <c r="GX64" s="1" t="str">
        <f>VC!GS29</f>
        <v>E153Q</v>
      </c>
      <c r="GY64" s="1">
        <f>VC!GT29</f>
        <v>0</v>
      </c>
      <c r="GZ64" s="1">
        <f>VC!GU29</f>
        <v>0</v>
      </c>
      <c r="HA64" s="1">
        <f>VC!GV29</f>
        <v>0</v>
      </c>
      <c r="HB64" s="1">
        <f>VC!GW29</f>
        <v>0</v>
      </c>
      <c r="HC64" s="1">
        <f>VC!GX29</f>
        <v>0</v>
      </c>
    </row>
    <row r="65" spans="1:211" s="1" customFormat="1" ht="15.75" thickBot="1" x14ac:dyDescent="0.3">
      <c r="A65" s="40" t="s">
        <v>22</v>
      </c>
      <c r="B65" s="41" t="s">
        <v>23</v>
      </c>
      <c r="C65" s="42" t="s">
        <v>3</v>
      </c>
      <c r="D65" s="41" t="s">
        <v>76</v>
      </c>
      <c r="E65" s="41" t="s">
        <v>139</v>
      </c>
      <c r="F65" s="41" t="s">
        <v>74</v>
      </c>
      <c r="G65" s="43" t="s">
        <v>136</v>
      </c>
      <c r="H65" s="1">
        <f>VC!C29</f>
        <v>0</v>
      </c>
      <c r="I65" s="1" t="str">
        <f>VC!D29</f>
        <v>T50P</v>
      </c>
      <c r="J65" s="1">
        <f>VC!E29</f>
        <v>0</v>
      </c>
      <c r="K65" s="1">
        <f>VC!F29</f>
        <v>0</v>
      </c>
      <c r="L65" s="1">
        <f>VC!G29</f>
        <v>0</v>
      </c>
      <c r="M65" s="1" t="str">
        <f>VC!H29</f>
        <v>E153Q</v>
      </c>
      <c r="N65" s="1">
        <f>VC!I29</f>
        <v>0</v>
      </c>
      <c r="O65" s="1">
        <f>VC!J29</f>
        <v>0</v>
      </c>
      <c r="P65" s="1">
        <f>VC!K29</f>
        <v>0</v>
      </c>
      <c r="Q65" s="1">
        <f>VC!L29</f>
        <v>0</v>
      </c>
      <c r="R65" s="1" t="str">
        <f>VC!M29</f>
        <v>G213D</v>
      </c>
      <c r="S65" s="1">
        <f>VC!N29</f>
        <v>0</v>
      </c>
      <c r="T65" s="1">
        <f>VC!O29</f>
        <v>0</v>
      </c>
      <c r="U65" s="1">
        <f>VC!P29</f>
        <v>0</v>
      </c>
      <c r="V65" s="1">
        <f>VC!Q29</f>
        <v>0</v>
      </c>
      <c r="W65" s="1">
        <f>VC!R29</f>
        <v>0</v>
      </c>
      <c r="X65" s="1">
        <f>VC!S29</f>
        <v>0</v>
      </c>
      <c r="Y65" s="1">
        <f>VC!T29</f>
        <v>0</v>
      </c>
      <c r="Z65" s="1">
        <f>VC!U29</f>
        <v>0</v>
      </c>
      <c r="AA65" s="1">
        <f>VC!V29</f>
        <v>0</v>
      </c>
      <c r="AB65" s="1">
        <f>VC!W29</f>
        <v>0</v>
      </c>
      <c r="AC65" s="1">
        <f>VC!X29</f>
        <v>0</v>
      </c>
      <c r="AD65" s="1" t="str">
        <f>VC!Y29</f>
        <v>E153Q</v>
      </c>
      <c r="AE65" s="1">
        <f>VC!Z29</f>
        <v>0</v>
      </c>
      <c r="AF65" s="1">
        <f>VC!AA29</f>
        <v>0</v>
      </c>
      <c r="AG65" s="1">
        <f>VC!AB29</f>
        <v>0</v>
      </c>
      <c r="AH65" s="1">
        <f>VC!AC29</f>
        <v>0</v>
      </c>
      <c r="AI65" s="1">
        <f>VC!AD29</f>
        <v>0</v>
      </c>
      <c r="AJ65" s="1">
        <f>VC!AE29</f>
        <v>0</v>
      </c>
      <c r="AK65" s="1">
        <f>VC!AF29</f>
        <v>0</v>
      </c>
      <c r="AL65" s="1">
        <f>VC!AG29</f>
        <v>0</v>
      </c>
      <c r="AM65" s="1">
        <f>VC!AH29</f>
        <v>0</v>
      </c>
      <c r="AN65" s="1">
        <f>VC!AI29</f>
        <v>0</v>
      </c>
      <c r="AO65" s="1">
        <f>VC!AJ29</f>
        <v>0</v>
      </c>
      <c r="AP65" s="1">
        <f>VC!AK29</f>
        <v>0</v>
      </c>
      <c r="AQ65" s="1">
        <f>VC!AL29</f>
        <v>0</v>
      </c>
      <c r="AR65" s="1">
        <f>VC!AM29</f>
        <v>0</v>
      </c>
      <c r="AS65" s="1">
        <f>VC!AN29</f>
        <v>0</v>
      </c>
      <c r="AT65" s="1">
        <f>VC!AO29</f>
        <v>0</v>
      </c>
      <c r="AU65" s="1">
        <f>VC!AP29</f>
        <v>0</v>
      </c>
      <c r="AV65" s="1">
        <f>VC!AQ29</f>
        <v>0</v>
      </c>
      <c r="AW65" s="1">
        <f>VC!AR29</f>
        <v>0</v>
      </c>
      <c r="AX65" s="1">
        <f>VC!AS29</f>
        <v>0</v>
      </c>
      <c r="AY65" s="1">
        <f>VC!AT29</f>
        <v>0</v>
      </c>
      <c r="AZ65" s="1">
        <f>VC!AU29</f>
        <v>0</v>
      </c>
      <c r="BA65" s="1">
        <f>VC!AV29</f>
        <v>0</v>
      </c>
      <c r="BB65" s="1">
        <f>VC!AW29</f>
        <v>0</v>
      </c>
      <c r="BC65" s="1">
        <f>VC!AX29</f>
        <v>0</v>
      </c>
      <c r="BD65" s="1">
        <f>VC!AY29</f>
        <v>0</v>
      </c>
      <c r="BE65" s="1">
        <f>VC!AZ29</f>
        <v>0</v>
      </c>
      <c r="BF65" s="1">
        <f>VC!BA29</f>
        <v>0</v>
      </c>
      <c r="BG65" s="1">
        <f>VC!BB29</f>
        <v>0</v>
      </c>
      <c r="BH65" s="1">
        <f>VC!BC29</f>
        <v>0</v>
      </c>
      <c r="BI65" s="1">
        <f>VC!BD29</f>
        <v>0</v>
      </c>
      <c r="BJ65" s="1">
        <f>VC!BE29</f>
        <v>0</v>
      </c>
      <c r="BK65" s="1">
        <f>VC!BF29</f>
        <v>0</v>
      </c>
      <c r="BL65" s="1">
        <f>VC!BG29</f>
        <v>0</v>
      </c>
      <c r="BM65" s="1">
        <f>VC!BH29</f>
        <v>0</v>
      </c>
      <c r="BN65" s="1">
        <f>VC!BI29</f>
        <v>0</v>
      </c>
      <c r="BO65" s="1">
        <f>VC!BJ29</f>
        <v>0</v>
      </c>
      <c r="BP65" s="1">
        <f>VC!BK29</f>
        <v>0</v>
      </c>
      <c r="BQ65" s="1">
        <f>VC!BL29</f>
        <v>0</v>
      </c>
      <c r="BR65" s="1">
        <f>VC!BM29</f>
        <v>0</v>
      </c>
      <c r="BS65" s="1">
        <f>VC!BN29</f>
        <v>0</v>
      </c>
      <c r="BT65" s="1">
        <f>VC!BO29</f>
        <v>0</v>
      </c>
      <c r="BU65" s="1">
        <f>VC!BP29</f>
        <v>0</v>
      </c>
      <c r="BV65" s="1">
        <f>VC!BQ29</f>
        <v>0</v>
      </c>
      <c r="BW65" s="1">
        <f>VC!BR29</f>
        <v>0</v>
      </c>
      <c r="BX65" s="1">
        <f>VC!BS29</f>
        <v>0</v>
      </c>
      <c r="BY65" s="1">
        <f>VC!BT29</f>
        <v>0</v>
      </c>
      <c r="BZ65" s="1">
        <f>VC!BU29</f>
        <v>0</v>
      </c>
      <c r="CA65" s="1">
        <f>VC!BV29</f>
        <v>0</v>
      </c>
      <c r="CB65" s="1">
        <f>VC!BW29</f>
        <v>0</v>
      </c>
      <c r="CC65" s="1">
        <f>VC!BX29</f>
        <v>0</v>
      </c>
      <c r="CD65" s="1">
        <f>VC!BY29</f>
        <v>0</v>
      </c>
      <c r="CE65" s="1">
        <f>VC!BZ29</f>
        <v>0</v>
      </c>
      <c r="CF65" s="1">
        <f>VC!CA29</f>
        <v>0</v>
      </c>
      <c r="CG65" s="1">
        <f>VC!CB29</f>
        <v>0</v>
      </c>
      <c r="CH65" s="1">
        <f>VC!CC29</f>
        <v>0</v>
      </c>
      <c r="CI65" s="1">
        <f>VC!CD29</f>
        <v>0</v>
      </c>
      <c r="CJ65" s="1">
        <f>VC!CE29</f>
        <v>0</v>
      </c>
      <c r="CK65" s="1">
        <f>VC!CF29</f>
        <v>0</v>
      </c>
      <c r="CL65" s="1">
        <f>VC!CG29</f>
        <v>0</v>
      </c>
      <c r="CM65" s="1">
        <f>VC!CH29</f>
        <v>0</v>
      </c>
      <c r="CN65" s="1">
        <f>VC!CI29</f>
        <v>0</v>
      </c>
      <c r="CO65" s="1">
        <f>VC!CJ29</f>
        <v>0</v>
      </c>
      <c r="CP65" s="1">
        <f>VC!CK29</f>
        <v>0</v>
      </c>
      <c r="CQ65" s="1">
        <f>VC!CL29</f>
        <v>0</v>
      </c>
      <c r="CR65" s="1">
        <f>VC!CM29</f>
        <v>0</v>
      </c>
      <c r="CS65" s="1">
        <f>VC!CN29</f>
        <v>0</v>
      </c>
      <c r="CT65" s="1">
        <f>VC!CO29</f>
        <v>0</v>
      </c>
      <c r="CU65" s="1">
        <f>VC!CP29</f>
        <v>0</v>
      </c>
      <c r="CV65" s="1">
        <f>VC!CQ29</f>
        <v>0</v>
      </c>
      <c r="CW65" s="1">
        <f>VC!CR29</f>
        <v>0</v>
      </c>
      <c r="CX65" s="1">
        <f>VC!CS29</f>
        <v>0</v>
      </c>
      <c r="CY65" s="1">
        <f>VC!CT29</f>
        <v>0</v>
      </c>
      <c r="CZ65" s="1" t="str">
        <f>VC!CU29</f>
        <v>E153Q</v>
      </c>
      <c r="DA65" s="1">
        <f>VC!CV29</f>
        <v>0</v>
      </c>
      <c r="DB65" s="1">
        <f>VC!CW29</f>
        <v>0</v>
      </c>
      <c r="DC65" s="1">
        <f>VC!CX29</f>
        <v>0</v>
      </c>
      <c r="DD65" s="1">
        <f>VC!CY29</f>
        <v>0</v>
      </c>
      <c r="DE65" s="1">
        <f>VC!CZ29</f>
        <v>0</v>
      </c>
      <c r="DF65" s="1">
        <f>VC!DA29</f>
        <v>0</v>
      </c>
      <c r="DG65" s="1">
        <f>VC!DB29</f>
        <v>0</v>
      </c>
      <c r="DH65" s="1">
        <f>VC!DC29</f>
        <v>0</v>
      </c>
      <c r="DI65" s="1" t="str">
        <f>VC!DD29</f>
        <v>R191L</v>
      </c>
      <c r="DJ65" s="1" t="str">
        <f>VC!DE29</f>
        <v>E153Q; nt12InsG</v>
      </c>
      <c r="DK65" s="1">
        <f>VC!DF29</f>
        <v>0</v>
      </c>
      <c r="DL65" s="1">
        <f>VC!DG29</f>
        <v>0</v>
      </c>
      <c r="DM65" s="1">
        <f>VC!DH29</f>
        <v>0</v>
      </c>
      <c r="DN65" s="1">
        <f>VC!DI29</f>
        <v>0</v>
      </c>
      <c r="DO65" s="1" t="str">
        <f>VC!DJ29</f>
        <v>E153Q</v>
      </c>
      <c r="DP65" s="1">
        <f>VC!DK29</f>
        <v>0</v>
      </c>
      <c r="DQ65" s="1">
        <f>VC!DL29</f>
        <v>0</v>
      </c>
      <c r="DR65" s="1">
        <f>VC!DM29</f>
        <v>0</v>
      </c>
      <c r="DS65" s="1">
        <f>VC!DN29</f>
        <v>0</v>
      </c>
      <c r="DT65" s="1">
        <f>VC!DO29</f>
        <v>0</v>
      </c>
      <c r="DU65" s="1">
        <f>VC!DP29</f>
        <v>0</v>
      </c>
      <c r="DV65" s="1">
        <f>VC!DQ29</f>
        <v>0</v>
      </c>
      <c r="DW65" s="1">
        <f>VC!DR29</f>
        <v>0</v>
      </c>
      <c r="DX65" s="1">
        <f>VC!DS29</f>
        <v>0</v>
      </c>
      <c r="DY65" s="1">
        <f>VC!DT29</f>
        <v>0</v>
      </c>
      <c r="DZ65" s="1">
        <f>VC!DU29</f>
        <v>0</v>
      </c>
      <c r="EA65" s="1">
        <f>VC!DV29</f>
        <v>0</v>
      </c>
      <c r="EB65" s="1" t="str">
        <f>VC!DW29</f>
        <v>nt15∆1</v>
      </c>
      <c r="EC65" s="1">
        <f>VC!DX29</f>
        <v>0</v>
      </c>
      <c r="ED65" s="1">
        <f>VC!DY29</f>
        <v>0</v>
      </c>
      <c r="EE65" s="1">
        <f>VC!DZ29</f>
        <v>0</v>
      </c>
      <c r="EF65" s="1">
        <f>VC!EA29</f>
        <v>0</v>
      </c>
      <c r="EG65" s="1">
        <f>VC!EB29</f>
        <v>0</v>
      </c>
      <c r="EH65" s="1">
        <f>VC!EC29</f>
        <v>0</v>
      </c>
      <c r="EI65" s="1">
        <f>VC!ED29</f>
        <v>0</v>
      </c>
      <c r="EJ65" s="1">
        <f>VC!EE29</f>
        <v>0</v>
      </c>
      <c r="EK65" s="1">
        <f>VC!EF29</f>
        <v>0</v>
      </c>
      <c r="EL65" s="1">
        <f>VC!EG29</f>
        <v>0</v>
      </c>
      <c r="EM65" s="1">
        <f>VC!EH29</f>
        <v>0</v>
      </c>
      <c r="EN65" s="1">
        <f>VC!EI29</f>
        <v>0</v>
      </c>
      <c r="EO65" s="1">
        <f>VC!EJ29</f>
        <v>0</v>
      </c>
      <c r="EP65" s="1">
        <f>VC!EK29</f>
        <v>0</v>
      </c>
      <c r="EQ65" s="1">
        <f>VC!EL29</f>
        <v>0</v>
      </c>
      <c r="ER65" s="1">
        <f>VC!EM29</f>
        <v>0</v>
      </c>
      <c r="ES65" s="1">
        <f>VC!EN29</f>
        <v>0</v>
      </c>
      <c r="ET65" s="1">
        <f>VC!EO29</f>
        <v>0</v>
      </c>
      <c r="EU65" s="1">
        <f>VC!EP29</f>
        <v>0</v>
      </c>
      <c r="EV65" s="1">
        <f>VC!EQ29</f>
        <v>0</v>
      </c>
      <c r="EW65" s="1" t="str">
        <f>VC!ER29</f>
        <v>A4V</v>
      </c>
      <c r="EX65" s="1">
        <f>VC!ES29</f>
        <v>0</v>
      </c>
      <c r="EY65" s="1">
        <f>VC!ET29</f>
        <v>0</v>
      </c>
      <c r="EZ65" s="1">
        <f>VC!EU29</f>
        <v>0</v>
      </c>
      <c r="FA65" s="1" t="str">
        <f>VC!EV29</f>
        <v>E153Q</v>
      </c>
      <c r="FB65" s="1">
        <f>VC!EW29</f>
        <v>0</v>
      </c>
      <c r="FC65" s="1" t="str">
        <f>VC!EX29</f>
        <v>nt15∆1</v>
      </c>
      <c r="FD65" s="1" t="str">
        <f>VC!EY29</f>
        <v>E153Q</v>
      </c>
      <c r="FE65" s="1">
        <f>VC!EZ29</f>
        <v>0</v>
      </c>
      <c r="FF65" s="1">
        <f>VC!FA29</f>
        <v>0</v>
      </c>
      <c r="FG65" s="1">
        <f>VC!FB29</f>
        <v>0</v>
      </c>
      <c r="FH65" s="1">
        <f>VC!FC29</f>
        <v>0</v>
      </c>
      <c r="FI65" s="1">
        <f>VC!FD29</f>
        <v>0</v>
      </c>
      <c r="FJ65" s="1">
        <f>VC!FE29</f>
        <v>0</v>
      </c>
      <c r="FK65" s="1">
        <f>VC!FF29</f>
        <v>0</v>
      </c>
      <c r="FL65" s="1">
        <f>VC!FG29</f>
        <v>0</v>
      </c>
      <c r="FM65" s="1">
        <f>VC!FH29</f>
        <v>0</v>
      </c>
      <c r="FN65" s="1">
        <f>VC!FI29</f>
        <v>0</v>
      </c>
      <c r="FO65" s="1">
        <f>VC!FJ29</f>
        <v>0</v>
      </c>
      <c r="FP65" s="1">
        <f>VC!FK29</f>
        <v>0</v>
      </c>
      <c r="FQ65" s="1">
        <f>VC!FL29</f>
        <v>0</v>
      </c>
      <c r="FR65" s="1">
        <f>VC!FM29</f>
        <v>0</v>
      </c>
      <c r="FS65" s="1">
        <f>VC!FN29</f>
        <v>0</v>
      </c>
      <c r="FT65" s="1">
        <f>VC!FO29</f>
        <v>0</v>
      </c>
      <c r="FU65" s="1">
        <f>VC!FP29</f>
        <v>0</v>
      </c>
      <c r="FV65" s="1">
        <f>VC!FQ29</f>
        <v>0</v>
      </c>
      <c r="FW65" s="1">
        <f>VC!FR29</f>
        <v>0</v>
      </c>
      <c r="FX65" s="1">
        <f>VC!FS29</f>
        <v>0</v>
      </c>
      <c r="FY65" s="1">
        <f>VC!FT29</f>
        <v>0</v>
      </c>
      <c r="FZ65" s="1">
        <f>VC!FU29</f>
        <v>0</v>
      </c>
      <c r="GA65" s="1">
        <f>VC!FV29</f>
        <v>0</v>
      </c>
      <c r="GB65" s="1">
        <f>VC!FW29</f>
        <v>0</v>
      </c>
      <c r="GC65" s="1">
        <f>VC!FX29</f>
        <v>0</v>
      </c>
      <c r="GD65" s="1">
        <f>VC!FY29</f>
        <v>0</v>
      </c>
      <c r="GE65" s="1">
        <f>VC!FZ29</f>
        <v>0</v>
      </c>
      <c r="GF65" s="1">
        <f>VC!GA29</f>
        <v>0</v>
      </c>
      <c r="GG65" s="1">
        <f>VC!GB29</f>
        <v>0</v>
      </c>
      <c r="GH65" s="1">
        <f>VC!GC29</f>
        <v>0</v>
      </c>
      <c r="GI65" s="1">
        <f>VC!GD29</f>
        <v>0</v>
      </c>
      <c r="GJ65" s="1">
        <f>VC!GE29</f>
        <v>0</v>
      </c>
      <c r="GK65" s="1">
        <f>VC!GF29</f>
        <v>0</v>
      </c>
      <c r="GL65" s="1">
        <f>VC!GG29</f>
        <v>0</v>
      </c>
      <c r="GM65" s="1">
        <f>VC!GH29</f>
        <v>0</v>
      </c>
      <c r="GN65" s="1">
        <f>VC!GI29</f>
        <v>0</v>
      </c>
      <c r="GO65" s="1">
        <f>VC!GJ29</f>
        <v>0</v>
      </c>
      <c r="GP65" s="1">
        <f>VC!GK29</f>
        <v>0</v>
      </c>
      <c r="GQ65" s="1">
        <f>VC!GL29</f>
        <v>0</v>
      </c>
      <c r="GR65" s="1">
        <f>VC!GM29</f>
        <v>0</v>
      </c>
      <c r="GS65" s="1">
        <f>VC!GN29</f>
        <v>0</v>
      </c>
      <c r="GT65" s="1" t="str">
        <f>VC!GO29</f>
        <v>T100S</v>
      </c>
      <c r="GU65" s="1">
        <f>VC!GP29</f>
        <v>0</v>
      </c>
      <c r="GV65" s="1">
        <f>VC!GQ29</f>
        <v>0</v>
      </c>
      <c r="GW65" s="1">
        <f>VC!GR29</f>
        <v>0</v>
      </c>
      <c r="GX65" s="1" t="str">
        <f>VC!GS29</f>
        <v>E153Q</v>
      </c>
      <c r="GY65" s="1">
        <f>VC!GT29</f>
        <v>0</v>
      </c>
      <c r="GZ65" s="1">
        <f>VC!GU29</f>
        <v>0</v>
      </c>
      <c r="HA65" s="1">
        <f>VC!GV29</f>
        <v>0</v>
      </c>
      <c r="HB65" s="1">
        <f>VC!GW29</f>
        <v>0</v>
      </c>
      <c r="HC65" s="1">
        <f>VC!GX29</f>
        <v>0</v>
      </c>
    </row>
    <row r="66" spans="1:211" s="7" customFormat="1" x14ac:dyDescent="0.25">
      <c r="A66" s="7" t="s">
        <v>24</v>
      </c>
      <c r="B66" s="7" t="s">
        <v>98</v>
      </c>
      <c r="C66" s="8" t="s">
        <v>1</v>
      </c>
      <c r="D66" s="7" t="s">
        <v>76</v>
      </c>
      <c r="E66" s="7">
        <v>0.25</v>
      </c>
      <c r="F66" s="7" t="s">
        <v>73</v>
      </c>
      <c r="G66" s="7" t="s">
        <v>160</v>
      </c>
      <c r="H66" s="7">
        <f>VC!C30</f>
        <v>0</v>
      </c>
      <c r="I66" s="7">
        <f>VC!D30</f>
        <v>0</v>
      </c>
      <c r="J66" s="7">
        <f>VC!E30</f>
        <v>0</v>
      </c>
      <c r="K66" s="7">
        <f>VC!F30</f>
        <v>0</v>
      </c>
      <c r="L66" s="7">
        <f>VC!G30</f>
        <v>0</v>
      </c>
      <c r="M66" s="7">
        <f>VC!H30</f>
        <v>0</v>
      </c>
      <c r="N66" s="7">
        <f>VC!I30</f>
        <v>0</v>
      </c>
      <c r="O66" s="7">
        <f>VC!J30</f>
        <v>0</v>
      </c>
      <c r="P66" s="7">
        <f>VC!K30</f>
        <v>0</v>
      </c>
      <c r="Q66" s="7">
        <f>VC!L30</f>
        <v>0</v>
      </c>
      <c r="R66" s="7">
        <f>VC!M30</f>
        <v>0</v>
      </c>
      <c r="S66" s="7">
        <f>VC!N30</f>
        <v>0</v>
      </c>
      <c r="T66" s="7">
        <f>VC!O30</f>
        <v>0</v>
      </c>
      <c r="U66" s="7">
        <f>VC!P30</f>
        <v>0</v>
      </c>
      <c r="V66" s="7">
        <f>VC!Q30</f>
        <v>0</v>
      </c>
      <c r="W66" s="7">
        <f>VC!R30</f>
        <v>0</v>
      </c>
      <c r="X66" s="7">
        <f>VC!S30</f>
        <v>0</v>
      </c>
      <c r="Y66" s="7">
        <f>VC!T30</f>
        <v>0</v>
      </c>
      <c r="Z66" s="7">
        <f>VC!U30</f>
        <v>0</v>
      </c>
      <c r="AA66" s="7">
        <f>VC!V30</f>
        <v>0</v>
      </c>
      <c r="AB66" s="7">
        <f>VC!W30</f>
        <v>0</v>
      </c>
      <c r="AC66" s="7">
        <f>VC!X30</f>
        <v>0</v>
      </c>
      <c r="AD66" s="7">
        <f>VC!Y30</f>
        <v>0</v>
      </c>
      <c r="AE66" s="7">
        <f>VC!Z30</f>
        <v>0</v>
      </c>
      <c r="AF66" s="7">
        <f>VC!AA30</f>
        <v>0</v>
      </c>
      <c r="AG66" s="7">
        <f>VC!AB30</f>
        <v>0</v>
      </c>
      <c r="AH66" s="7">
        <f>VC!AC30</f>
        <v>0</v>
      </c>
      <c r="AI66" s="7">
        <f>VC!AD30</f>
        <v>0</v>
      </c>
      <c r="AJ66" s="7">
        <f>VC!AE30</f>
        <v>0</v>
      </c>
      <c r="AK66" s="7">
        <f>VC!AF30</f>
        <v>0</v>
      </c>
      <c r="AL66" s="7">
        <f>VC!AG30</f>
        <v>0</v>
      </c>
      <c r="AM66" s="7">
        <f>VC!AH30</f>
        <v>0</v>
      </c>
      <c r="AN66" s="7">
        <f>VC!AI30</f>
        <v>0</v>
      </c>
      <c r="AO66" s="7">
        <f>VC!AJ30</f>
        <v>0</v>
      </c>
      <c r="AP66" s="7">
        <f>VC!AK30</f>
        <v>0</v>
      </c>
      <c r="AQ66" s="7">
        <f>VC!AL30</f>
        <v>0</v>
      </c>
      <c r="AR66" s="7">
        <f>VC!AM30</f>
        <v>0</v>
      </c>
      <c r="AS66" s="7">
        <f>VC!AN30</f>
        <v>0</v>
      </c>
      <c r="AT66" s="7">
        <f>VC!AO30</f>
        <v>0</v>
      </c>
      <c r="AU66" s="7" t="str">
        <f>VC!AP30</f>
        <v>V29I</v>
      </c>
      <c r="AV66" s="7">
        <f>VC!AQ30</f>
        <v>0</v>
      </c>
      <c r="AW66" s="7">
        <f>VC!AR30</f>
        <v>0</v>
      </c>
      <c r="AX66" s="7">
        <f>VC!AS30</f>
        <v>0</v>
      </c>
      <c r="AY66" s="7">
        <f>VC!AT30</f>
        <v>0</v>
      </c>
      <c r="AZ66" s="7" t="str">
        <f>VC!AU30</f>
        <v>V29I</v>
      </c>
      <c r="BA66" s="7">
        <f>VC!AV30</f>
        <v>0</v>
      </c>
      <c r="BB66" s="7">
        <f>VC!AW30</f>
        <v>0</v>
      </c>
      <c r="BC66" s="7">
        <f>VC!AX30</f>
        <v>0</v>
      </c>
      <c r="BD66" s="7">
        <f>VC!AY30</f>
        <v>0</v>
      </c>
      <c r="BE66" s="7">
        <f>VC!AZ30</f>
        <v>0</v>
      </c>
      <c r="BF66" s="7">
        <f>VC!BA30</f>
        <v>0</v>
      </c>
      <c r="BG66" s="7">
        <f>VC!BB30</f>
        <v>0</v>
      </c>
      <c r="BH66" s="7">
        <f>VC!BC30</f>
        <v>0</v>
      </c>
      <c r="BI66" s="7">
        <f>VC!BD30</f>
        <v>0</v>
      </c>
      <c r="BJ66" s="7">
        <f>VC!BE30</f>
        <v>0</v>
      </c>
      <c r="BK66" s="7">
        <f>VC!BF30</f>
        <v>0</v>
      </c>
      <c r="BL66" s="7">
        <f>VC!BG30</f>
        <v>0</v>
      </c>
      <c r="BM66" s="7">
        <f>VC!BH30</f>
        <v>0</v>
      </c>
      <c r="BN66" s="7">
        <f>VC!BI30</f>
        <v>0</v>
      </c>
      <c r="BO66" s="7">
        <f>VC!BJ30</f>
        <v>0</v>
      </c>
      <c r="BP66" s="7">
        <f>VC!BK30</f>
        <v>0</v>
      </c>
      <c r="BQ66" s="7">
        <f>VC!BL30</f>
        <v>0</v>
      </c>
      <c r="BR66" s="7">
        <f>VC!BM30</f>
        <v>0</v>
      </c>
      <c r="BS66" s="7">
        <f>VC!BN30</f>
        <v>0</v>
      </c>
      <c r="BT66" s="7">
        <f>VC!BO30</f>
        <v>0</v>
      </c>
      <c r="BU66" s="7">
        <f>VC!BP30</f>
        <v>0</v>
      </c>
      <c r="BV66" s="7">
        <f>VC!BQ30</f>
        <v>0</v>
      </c>
      <c r="BW66" s="7">
        <f>VC!BR30</f>
        <v>0</v>
      </c>
      <c r="BX66" s="7">
        <f>VC!BS30</f>
        <v>0</v>
      </c>
      <c r="BY66" s="7">
        <f>VC!BT30</f>
        <v>0</v>
      </c>
      <c r="BZ66" s="7">
        <f>VC!BU30</f>
        <v>0</v>
      </c>
      <c r="CA66" s="7">
        <f>VC!BV30</f>
        <v>0</v>
      </c>
      <c r="CB66" s="7">
        <f>VC!BW30</f>
        <v>0</v>
      </c>
      <c r="CC66" s="7">
        <f>VC!BX30</f>
        <v>0</v>
      </c>
      <c r="CD66" s="7">
        <f>VC!BY30</f>
        <v>0</v>
      </c>
      <c r="CE66" s="7">
        <f>VC!BZ30</f>
        <v>0</v>
      </c>
      <c r="CF66" s="7">
        <f>VC!CA30</f>
        <v>0</v>
      </c>
      <c r="CG66" s="7">
        <f>VC!CB30</f>
        <v>0</v>
      </c>
      <c r="CH66" s="7">
        <f>VC!CC30</f>
        <v>0</v>
      </c>
      <c r="CI66" s="7">
        <f>VC!CD30</f>
        <v>0</v>
      </c>
      <c r="CJ66" s="7">
        <f>VC!CE30</f>
        <v>0</v>
      </c>
      <c r="CK66" s="7">
        <f>VC!CF30</f>
        <v>0</v>
      </c>
      <c r="CL66" s="7">
        <f>VC!CG30</f>
        <v>0</v>
      </c>
      <c r="CM66" s="7">
        <f>VC!CH30</f>
        <v>0</v>
      </c>
      <c r="CN66" s="7">
        <f>VC!CI30</f>
        <v>0</v>
      </c>
      <c r="CO66" s="7">
        <f>VC!CJ30</f>
        <v>0</v>
      </c>
      <c r="CP66" s="7">
        <f>VC!CK30</f>
        <v>0</v>
      </c>
      <c r="CQ66" s="7">
        <f>VC!CL30</f>
        <v>0</v>
      </c>
      <c r="CR66" s="7">
        <f>VC!CM30</f>
        <v>0</v>
      </c>
      <c r="CS66" s="7" t="str">
        <f>VC!CN30</f>
        <v>V29I</v>
      </c>
      <c r="CT66" s="7">
        <f>VC!CO30</f>
        <v>0</v>
      </c>
      <c r="CU66" s="7">
        <f>VC!CP30</f>
        <v>0</v>
      </c>
      <c r="CV66" s="7">
        <f>VC!CQ30</f>
        <v>0</v>
      </c>
      <c r="CW66" s="7">
        <f>VC!CR30</f>
        <v>0</v>
      </c>
      <c r="CX66" s="7">
        <f>VC!CS30</f>
        <v>0</v>
      </c>
      <c r="CY66" s="7">
        <f>VC!CT30</f>
        <v>0</v>
      </c>
      <c r="CZ66" s="7">
        <f>VC!CU30</f>
        <v>0</v>
      </c>
      <c r="DA66" s="7">
        <f>VC!CV30</f>
        <v>0</v>
      </c>
      <c r="DB66" s="7">
        <f>VC!CW30</f>
        <v>0</v>
      </c>
      <c r="DC66" s="7">
        <f>VC!CX30</f>
        <v>0</v>
      </c>
      <c r="DD66" s="7">
        <f>VC!CY30</f>
        <v>0</v>
      </c>
      <c r="DE66" s="7">
        <f>VC!CZ30</f>
        <v>0</v>
      </c>
      <c r="DF66" s="7">
        <f>VC!DA30</f>
        <v>0</v>
      </c>
      <c r="DG66" s="7">
        <f>VC!DB30</f>
        <v>0</v>
      </c>
      <c r="DH66" s="7">
        <f>VC!DC30</f>
        <v>0</v>
      </c>
      <c r="DI66" s="7">
        <f>VC!DD30</f>
        <v>0</v>
      </c>
      <c r="DJ66" s="7">
        <f>VC!DE30</f>
        <v>0</v>
      </c>
      <c r="DK66" s="7">
        <f>VC!DF30</f>
        <v>0</v>
      </c>
      <c r="DL66" s="7" t="str">
        <f>VC!DG30</f>
        <v>V29I</v>
      </c>
      <c r="DM66" s="7">
        <f>VC!DH30</f>
        <v>0</v>
      </c>
      <c r="DN66" s="7">
        <f>VC!DI30</f>
        <v>0</v>
      </c>
      <c r="DO66" s="7">
        <f>VC!DJ30</f>
        <v>0</v>
      </c>
      <c r="DP66" s="7">
        <f>VC!DK30</f>
        <v>0</v>
      </c>
      <c r="DQ66" s="7">
        <f>VC!DL30</f>
        <v>0</v>
      </c>
      <c r="DR66" s="7">
        <f>VC!DM30</f>
        <v>0</v>
      </c>
      <c r="DS66" s="7">
        <f>VC!DN30</f>
        <v>0</v>
      </c>
      <c r="DT66" s="7">
        <f>VC!DO30</f>
        <v>0</v>
      </c>
      <c r="DU66" s="7">
        <f>VC!DP30</f>
        <v>0</v>
      </c>
      <c r="DV66" s="7">
        <f>VC!DQ30</f>
        <v>0</v>
      </c>
      <c r="DW66" s="7">
        <f>VC!DR30</f>
        <v>0</v>
      </c>
      <c r="DX66" s="7">
        <f>VC!DS30</f>
        <v>0</v>
      </c>
      <c r="DY66" s="7">
        <f>VC!DT30</f>
        <v>0</v>
      </c>
      <c r="DZ66" s="7">
        <f>VC!DU30</f>
        <v>0</v>
      </c>
      <c r="EA66" s="7">
        <f>VC!DV30</f>
        <v>0</v>
      </c>
      <c r="EB66" s="7">
        <f>VC!DW30</f>
        <v>0</v>
      </c>
      <c r="EC66" s="7">
        <f>VC!DX30</f>
        <v>0</v>
      </c>
      <c r="ED66" s="7">
        <f>VC!DY30</f>
        <v>0</v>
      </c>
      <c r="EE66" s="7">
        <f>VC!DZ30</f>
        <v>0</v>
      </c>
      <c r="EF66" s="7">
        <f>VC!EA30</f>
        <v>0</v>
      </c>
      <c r="EG66" s="7" t="str">
        <f>VC!EB30</f>
        <v>nt390InsGT</v>
      </c>
      <c r="EH66" s="7">
        <f>VC!EC30</f>
        <v>0</v>
      </c>
      <c r="EI66" s="7">
        <f>VC!ED30</f>
        <v>0</v>
      </c>
      <c r="EJ66" s="7">
        <f>VC!EE30</f>
        <v>0</v>
      </c>
      <c r="EK66" s="7">
        <f>VC!EF30</f>
        <v>0</v>
      </c>
      <c r="EL66" s="7">
        <f>VC!EG30</f>
        <v>0</v>
      </c>
      <c r="EM66" s="7">
        <f>VC!EH30</f>
        <v>0</v>
      </c>
      <c r="EN66" s="7">
        <f>VC!EI30</f>
        <v>0</v>
      </c>
      <c r="EO66" s="7">
        <f>VC!EJ30</f>
        <v>0</v>
      </c>
      <c r="EP66" s="7">
        <f>VC!EK30</f>
        <v>0</v>
      </c>
      <c r="EQ66" s="7">
        <f>VC!EL30</f>
        <v>0</v>
      </c>
      <c r="ER66" s="7">
        <f>VC!EM30</f>
        <v>0</v>
      </c>
      <c r="ES66" s="7">
        <f>VC!EN30</f>
        <v>0</v>
      </c>
      <c r="ET66" s="7">
        <f>VC!EO30</f>
        <v>0</v>
      </c>
      <c r="EU66" s="7">
        <f>VC!EP30</f>
        <v>0</v>
      </c>
      <c r="EV66" s="7">
        <f>VC!EQ30</f>
        <v>0</v>
      </c>
      <c r="EW66" s="7" t="str">
        <f>VC!ER30</f>
        <v>N86S; S355T</v>
      </c>
      <c r="EX66" s="7">
        <f>VC!ES30</f>
        <v>0</v>
      </c>
      <c r="EY66" s="7">
        <f>VC!ET30</f>
        <v>0</v>
      </c>
      <c r="EZ66" s="7">
        <f>VC!EU30</f>
        <v>0</v>
      </c>
      <c r="FA66" s="7">
        <f>VC!EV30</f>
        <v>0</v>
      </c>
      <c r="FB66" s="7">
        <f>VC!EW30</f>
        <v>0</v>
      </c>
      <c r="FC66" s="7">
        <f>VC!EX30</f>
        <v>0</v>
      </c>
      <c r="FD66" s="7">
        <f>VC!EY30</f>
        <v>0</v>
      </c>
      <c r="FE66" s="7">
        <f>VC!EZ30</f>
        <v>0</v>
      </c>
      <c r="FF66" s="7" t="str">
        <f>VC!FA30</f>
        <v>V29I</v>
      </c>
      <c r="FG66" s="7">
        <f>VC!FB30</f>
        <v>0</v>
      </c>
      <c r="FH66" s="7">
        <f>VC!FC30</f>
        <v>0</v>
      </c>
      <c r="FI66" s="7">
        <f>VC!FD30</f>
        <v>0</v>
      </c>
      <c r="FJ66" s="7">
        <f>VC!FE30</f>
        <v>0</v>
      </c>
      <c r="FK66" s="7">
        <f>VC!FF30</f>
        <v>0</v>
      </c>
      <c r="FL66" s="7">
        <f>VC!FG30</f>
        <v>0</v>
      </c>
      <c r="FM66" s="7">
        <f>VC!FH30</f>
        <v>0</v>
      </c>
      <c r="FN66" s="7">
        <f>VC!FI30</f>
        <v>0</v>
      </c>
      <c r="FO66" s="7">
        <f>VC!FJ30</f>
        <v>0</v>
      </c>
      <c r="FP66" s="7">
        <f>VC!FK30</f>
        <v>0</v>
      </c>
      <c r="FQ66" s="7">
        <f>VC!FL30</f>
        <v>0</v>
      </c>
      <c r="FR66" s="7">
        <f>VC!FM30</f>
        <v>0</v>
      </c>
      <c r="FS66" s="7">
        <f>VC!FN30</f>
        <v>0</v>
      </c>
      <c r="FT66" s="7">
        <f>VC!FO30</f>
        <v>0</v>
      </c>
      <c r="FU66" s="7">
        <f>VC!FP30</f>
        <v>0</v>
      </c>
      <c r="FV66" s="7">
        <f>VC!FQ30</f>
        <v>0</v>
      </c>
      <c r="FW66" s="7">
        <f>VC!FR30</f>
        <v>0</v>
      </c>
      <c r="FX66" s="7" t="str">
        <f>VC!FS30</f>
        <v>V29I</v>
      </c>
      <c r="FY66" s="7" t="str">
        <f>VC!FT30</f>
        <v>N54S</v>
      </c>
      <c r="FZ66" s="7">
        <f>VC!FU30</f>
        <v>0</v>
      </c>
      <c r="GA66" s="7">
        <f>VC!FV30</f>
        <v>0</v>
      </c>
      <c r="GB66" s="7">
        <f>VC!FW30</f>
        <v>0</v>
      </c>
      <c r="GC66" s="7">
        <f>VC!FX30</f>
        <v>0</v>
      </c>
      <c r="GD66" s="7">
        <f>VC!FY30</f>
        <v>0</v>
      </c>
      <c r="GE66" s="7">
        <f>VC!FZ30</f>
        <v>0</v>
      </c>
      <c r="GF66" s="7">
        <f>VC!GA30</f>
        <v>0</v>
      </c>
      <c r="GG66" s="7">
        <f>VC!GB30</f>
        <v>0</v>
      </c>
      <c r="GH66" s="7">
        <f>VC!GC30</f>
        <v>0</v>
      </c>
      <c r="GI66" s="7">
        <f>VC!GD30</f>
        <v>0</v>
      </c>
      <c r="GJ66" s="7">
        <f>VC!GE30</f>
        <v>0</v>
      </c>
      <c r="GK66" s="7">
        <f>VC!GF30</f>
        <v>0</v>
      </c>
      <c r="GL66" s="7">
        <f>VC!GG30</f>
        <v>0</v>
      </c>
      <c r="GM66" s="7">
        <f>VC!GH30</f>
        <v>0</v>
      </c>
      <c r="GN66" s="7">
        <f>VC!GI30</f>
        <v>0</v>
      </c>
      <c r="GO66" s="7">
        <f>VC!GJ30</f>
        <v>0</v>
      </c>
      <c r="GP66" s="7">
        <f>VC!GK30</f>
        <v>0</v>
      </c>
      <c r="GQ66" s="7">
        <f>VC!GL30</f>
        <v>0</v>
      </c>
      <c r="GR66" s="7">
        <f>VC!GM30</f>
        <v>0</v>
      </c>
      <c r="GS66" s="7">
        <f>VC!GN30</f>
        <v>0</v>
      </c>
      <c r="GT66" s="7">
        <f>VC!GO30</f>
        <v>0</v>
      </c>
      <c r="GU66" s="7">
        <f>VC!GP30</f>
        <v>0</v>
      </c>
      <c r="GV66" s="7">
        <f>VC!GQ30</f>
        <v>0</v>
      </c>
      <c r="GW66" s="7">
        <f>VC!GR30</f>
        <v>0</v>
      </c>
      <c r="GX66" s="7">
        <f>VC!GS30</f>
        <v>0</v>
      </c>
      <c r="GY66" s="7">
        <f>VC!GT30</f>
        <v>0</v>
      </c>
      <c r="GZ66" s="7">
        <f>VC!GU30</f>
        <v>0</v>
      </c>
      <c r="HA66" s="7">
        <f>VC!GV30</f>
        <v>0</v>
      </c>
      <c r="HB66" s="7">
        <f>VC!GW30</f>
        <v>0</v>
      </c>
      <c r="HC66" s="7">
        <f>VC!GX30</f>
        <v>0</v>
      </c>
    </row>
    <row r="67" spans="1:211" s="1" customFormat="1" x14ac:dyDescent="0.25">
      <c r="A67" s="2" t="s">
        <v>25</v>
      </c>
      <c r="B67" s="2" t="s">
        <v>81</v>
      </c>
      <c r="C67" s="4" t="s">
        <v>2</v>
      </c>
      <c r="D67" s="2" t="s">
        <v>76</v>
      </c>
      <c r="E67" s="2">
        <v>0.25</v>
      </c>
      <c r="F67" s="2" t="s">
        <v>73</v>
      </c>
      <c r="G67" s="2" t="s">
        <v>160</v>
      </c>
      <c r="H67" s="1">
        <f>VC!C31</f>
        <v>0</v>
      </c>
      <c r="I67" s="1">
        <f>VC!D31</f>
        <v>0</v>
      </c>
      <c r="J67" s="1">
        <f>VC!E31</f>
        <v>0</v>
      </c>
      <c r="K67" s="1">
        <f>VC!F31</f>
        <v>0</v>
      </c>
      <c r="L67" s="1">
        <f>VC!G31</f>
        <v>0</v>
      </c>
      <c r="M67" s="1">
        <f>VC!H31</f>
        <v>0</v>
      </c>
      <c r="N67" s="1">
        <f>VC!I31</f>
        <v>0</v>
      </c>
      <c r="O67" s="1">
        <f>VC!J31</f>
        <v>0</v>
      </c>
      <c r="P67" s="1">
        <f>VC!K31</f>
        <v>0</v>
      </c>
      <c r="Q67" s="1">
        <f>VC!L31</f>
        <v>0</v>
      </c>
      <c r="R67" s="1">
        <f>VC!M31</f>
        <v>0</v>
      </c>
      <c r="S67" s="1">
        <f>VC!N31</f>
        <v>0</v>
      </c>
      <c r="T67" s="1">
        <f>VC!O31</f>
        <v>0</v>
      </c>
      <c r="U67" s="1">
        <f>VC!P31</f>
        <v>0</v>
      </c>
      <c r="V67" s="1">
        <f>VC!Q31</f>
        <v>0</v>
      </c>
      <c r="W67" s="1">
        <f>VC!R31</f>
        <v>0</v>
      </c>
      <c r="X67" s="1">
        <f>VC!S31</f>
        <v>0</v>
      </c>
      <c r="Y67" s="1">
        <f>VC!T31</f>
        <v>0</v>
      </c>
      <c r="Z67" s="1">
        <f>VC!U31</f>
        <v>0</v>
      </c>
      <c r="AA67" s="1">
        <f>VC!V31</f>
        <v>0</v>
      </c>
      <c r="AB67" s="1">
        <f>VC!W31</f>
        <v>0</v>
      </c>
      <c r="AC67" s="1">
        <f>VC!X31</f>
        <v>0</v>
      </c>
      <c r="AD67" s="1">
        <f>VC!Y31</f>
        <v>0</v>
      </c>
      <c r="AE67" s="1">
        <f>VC!Z31</f>
        <v>0</v>
      </c>
      <c r="AF67" s="1">
        <f>VC!AA31</f>
        <v>0</v>
      </c>
      <c r="AG67" s="1">
        <f>VC!AB31</f>
        <v>0</v>
      </c>
      <c r="AH67" s="1">
        <f>VC!AC31</f>
        <v>0</v>
      </c>
      <c r="AI67" s="1">
        <f>VC!AD31</f>
        <v>0</v>
      </c>
      <c r="AJ67" s="1">
        <f>VC!AE31</f>
        <v>0</v>
      </c>
      <c r="AK67" s="1" t="str">
        <f>VC!AF31</f>
        <v>A481T</v>
      </c>
      <c r="AL67" s="1">
        <f>VC!AG31</f>
        <v>0</v>
      </c>
      <c r="AM67" s="1">
        <f>VC!AH31</f>
        <v>0</v>
      </c>
      <c r="AN67" s="1">
        <f>VC!AI31</f>
        <v>0</v>
      </c>
      <c r="AO67" s="1">
        <f>VC!AJ31</f>
        <v>0</v>
      </c>
      <c r="AP67" s="1">
        <f>VC!AK31</f>
        <v>0</v>
      </c>
      <c r="AQ67" s="1">
        <f>VC!AL31</f>
        <v>0</v>
      </c>
      <c r="AR67" s="1">
        <f>VC!AM31</f>
        <v>0</v>
      </c>
      <c r="AS67" s="1">
        <f>VC!AN31</f>
        <v>0</v>
      </c>
      <c r="AT67" s="1">
        <f>VC!AO31</f>
        <v>0</v>
      </c>
      <c r="AU67" s="1">
        <f>VC!AP31</f>
        <v>0</v>
      </c>
      <c r="AV67" s="1">
        <f>VC!AQ31</f>
        <v>0</v>
      </c>
      <c r="AW67" s="1">
        <f>VC!AR31</f>
        <v>0</v>
      </c>
      <c r="AX67" s="1">
        <f>VC!AS31</f>
        <v>0</v>
      </c>
      <c r="AY67" s="1">
        <f>VC!AT31</f>
        <v>0</v>
      </c>
      <c r="AZ67" s="1">
        <f>VC!AU31</f>
        <v>0</v>
      </c>
      <c r="BA67" s="1">
        <f>VC!AV31</f>
        <v>0</v>
      </c>
      <c r="BB67" s="1">
        <f>VC!AW31</f>
        <v>0</v>
      </c>
      <c r="BC67" s="1">
        <f>VC!AX31</f>
        <v>0</v>
      </c>
      <c r="BD67" s="1">
        <f>VC!AY31</f>
        <v>0</v>
      </c>
      <c r="BE67" s="1">
        <f>VC!AZ31</f>
        <v>0</v>
      </c>
      <c r="BF67" s="1">
        <f>VC!BA31</f>
        <v>0</v>
      </c>
      <c r="BG67" s="1">
        <f>VC!BB31</f>
        <v>0</v>
      </c>
      <c r="BH67" s="1">
        <f>VC!BC31</f>
        <v>0</v>
      </c>
      <c r="BI67" s="1">
        <f>VC!BD31</f>
        <v>0</v>
      </c>
      <c r="BJ67" s="1">
        <f>VC!BE31</f>
        <v>0</v>
      </c>
      <c r="BK67" s="1">
        <f>VC!BF31</f>
        <v>0</v>
      </c>
      <c r="BL67" s="1">
        <f>VC!BG31</f>
        <v>0</v>
      </c>
      <c r="BM67" s="1">
        <f>VC!BH31</f>
        <v>0</v>
      </c>
      <c r="BN67" s="1">
        <f>VC!BI31</f>
        <v>0</v>
      </c>
      <c r="BO67" s="1">
        <f>VC!BJ31</f>
        <v>0</v>
      </c>
      <c r="BP67" s="1">
        <f>VC!BK31</f>
        <v>0</v>
      </c>
      <c r="BQ67" s="1">
        <f>VC!BL31</f>
        <v>0</v>
      </c>
      <c r="BR67" s="1">
        <f>VC!BM31</f>
        <v>0</v>
      </c>
      <c r="BS67" s="1">
        <f>VC!BN31</f>
        <v>0</v>
      </c>
      <c r="BT67" s="1" t="str">
        <f>VC!BO31</f>
        <v>A619E</v>
      </c>
      <c r="BU67" s="1">
        <f>VC!BP31</f>
        <v>0</v>
      </c>
      <c r="BV67" s="1">
        <f>VC!BQ31</f>
        <v>0</v>
      </c>
      <c r="BW67" s="1" t="str">
        <f>VC!BR31</f>
        <v>A481T</v>
      </c>
      <c r="BX67" s="1">
        <f>VC!BS31</f>
        <v>0</v>
      </c>
      <c r="BY67" s="1">
        <f>VC!BT31</f>
        <v>0</v>
      </c>
      <c r="BZ67" s="1">
        <f>VC!BU31</f>
        <v>0</v>
      </c>
      <c r="CA67" s="1">
        <f>VC!BV31</f>
        <v>0</v>
      </c>
      <c r="CB67" s="1">
        <f>VC!BW31</f>
        <v>0</v>
      </c>
      <c r="CC67" s="1">
        <f>VC!BX31</f>
        <v>0</v>
      </c>
      <c r="CD67" s="1">
        <f>VC!BY31</f>
        <v>0</v>
      </c>
      <c r="CE67" s="1">
        <f>VC!BZ31</f>
        <v>0</v>
      </c>
      <c r="CF67" s="1" t="str">
        <f>VC!CA31</f>
        <v>A481T</v>
      </c>
      <c r="CG67" s="1">
        <f>VC!CB31</f>
        <v>0</v>
      </c>
      <c r="CH67" s="1">
        <f>VC!CC31</f>
        <v>0</v>
      </c>
      <c r="CI67" s="1">
        <f>VC!CD31</f>
        <v>0</v>
      </c>
      <c r="CJ67" s="1">
        <f>VC!CE31</f>
        <v>0</v>
      </c>
      <c r="CK67" s="1">
        <f>VC!CF31</f>
        <v>0</v>
      </c>
      <c r="CL67" s="1" t="str">
        <f>VC!CG31</f>
        <v>D485N</v>
      </c>
      <c r="CM67" s="1" t="str">
        <f>VC!CH31</f>
        <v>A481T</v>
      </c>
      <c r="CN67" s="1">
        <f>VC!CI31</f>
        <v>0</v>
      </c>
      <c r="CO67" s="1">
        <f>VC!CJ31</f>
        <v>0</v>
      </c>
      <c r="CP67" s="1">
        <f>VC!CK31</f>
        <v>0</v>
      </c>
      <c r="CQ67" s="1">
        <f>VC!CL31</f>
        <v>0</v>
      </c>
      <c r="CR67" s="1">
        <f>VC!CM31</f>
        <v>0</v>
      </c>
      <c r="CS67" s="1">
        <f>VC!CN31</f>
        <v>0</v>
      </c>
      <c r="CT67" s="1">
        <f>VC!CO31</f>
        <v>0</v>
      </c>
      <c r="CU67" s="1">
        <f>VC!CP31</f>
        <v>0</v>
      </c>
      <c r="CV67" s="1">
        <f>VC!CQ31</f>
        <v>0</v>
      </c>
      <c r="CW67" s="1">
        <f>VC!CR31</f>
        <v>0</v>
      </c>
      <c r="CX67" s="1">
        <f>VC!CS31</f>
        <v>0</v>
      </c>
      <c r="CY67" s="1">
        <f>VC!CT31</f>
        <v>0</v>
      </c>
      <c r="CZ67" s="1">
        <f>VC!CU31</f>
        <v>0</v>
      </c>
      <c r="DA67" s="1">
        <f>VC!CV31</f>
        <v>0</v>
      </c>
      <c r="DB67" s="1">
        <f>VC!CW31</f>
        <v>0</v>
      </c>
      <c r="DC67" s="1">
        <f>VC!CX31</f>
        <v>0</v>
      </c>
      <c r="DD67" s="1">
        <f>VC!CY31</f>
        <v>0</v>
      </c>
      <c r="DE67" s="1">
        <f>VC!CZ31</f>
        <v>0</v>
      </c>
      <c r="DF67" s="1">
        <f>VC!DA31</f>
        <v>0</v>
      </c>
      <c r="DG67" s="1">
        <f>VC!DB31</f>
        <v>0</v>
      </c>
      <c r="DH67" s="1">
        <f>VC!DC31</f>
        <v>0</v>
      </c>
      <c r="DI67" s="1">
        <f>VC!DD31</f>
        <v>0</v>
      </c>
      <c r="DJ67" s="1">
        <f>VC!DE31</f>
        <v>0</v>
      </c>
      <c r="DK67" s="1">
        <f>VC!DF31</f>
        <v>0</v>
      </c>
      <c r="DL67" s="1">
        <f>VC!DG31</f>
        <v>0</v>
      </c>
      <c r="DM67" s="1">
        <f>VC!DH31</f>
        <v>0</v>
      </c>
      <c r="DN67" s="1">
        <f>VC!DI31</f>
        <v>0</v>
      </c>
      <c r="DO67" s="1">
        <f>VC!DJ31</f>
        <v>0</v>
      </c>
      <c r="DP67" s="1">
        <f>VC!DK31</f>
        <v>0</v>
      </c>
      <c r="DQ67" s="1">
        <f>VC!DL31</f>
        <v>0</v>
      </c>
      <c r="DR67" s="1">
        <f>VC!DM31</f>
        <v>0</v>
      </c>
      <c r="DS67" s="1">
        <f>VC!DN31</f>
        <v>0</v>
      </c>
      <c r="DT67" s="1">
        <f>VC!DO31</f>
        <v>0</v>
      </c>
      <c r="DU67" s="1">
        <f>VC!DP31</f>
        <v>0</v>
      </c>
      <c r="DV67" s="1">
        <f>VC!DQ31</f>
        <v>0</v>
      </c>
      <c r="DW67" s="1">
        <f>VC!DR31</f>
        <v>0</v>
      </c>
      <c r="DX67" s="1">
        <f>VC!DS31</f>
        <v>0</v>
      </c>
      <c r="DY67" s="1">
        <f>VC!DT31</f>
        <v>0</v>
      </c>
      <c r="DZ67" s="1">
        <f>VC!DU31</f>
        <v>0</v>
      </c>
      <c r="EA67" s="1">
        <f>VC!DV31</f>
        <v>0</v>
      </c>
      <c r="EB67" s="1">
        <f>VC!DW31</f>
        <v>0</v>
      </c>
      <c r="EC67" s="1">
        <f>VC!DX31</f>
        <v>0</v>
      </c>
      <c r="ED67" s="1">
        <f>VC!DY31</f>
        <v>0</v>
      </c>
      <c r="EE67" s="1">
        <f>VC!DZ31</f>
        <v>0</v>
      </c>
      <c r="EF67" s="1">
        <f>VC!EA31</f>
        <v>0</v>
      </c>
      <c r="EG67" s="1" t="str">
        <f>VC!EB31</f>
        <v>D507G</v>
      </c>
      <c r="EH67" s="1">
        <f>VC!EC31</f>
        <v>0</v>
      </c>
      <c r="EI67" s="1">
        <f>VC!ED31</f>
        <v>0</v>
      </c>
      <c r="EJ67" s="1">
        <f>VC!EE31</f>
        <v>0</v>
      </c>
      <c r="EK67" s="1">
        <f>VC!EF31</f>
        <v>0</v>
      </c>
      <c r="EL67" s="1">
        <f>VC!EG31</f>
        <v>0</v>
      </c>
      <c r="EM67" s="1">
        <f>VC!EH31</f>
        <v>0</v>
      </c>
      <c r="EN67" s="1">
        <f>VC!EI31</f>
        <v>0</v>
      </c>
      <c r="EO67" s="1">
        <f>VC!EJ31</f>
        <v>0</v>
      </c>
      <c r="EP67" s="1">
        <f>VC!EK31</f>
        <v>0</v>
      </c>
      <c r="EQ67" s="1">
        <f>VC!EL31</f>
        <v>0</v>
      </c>
      <c r="ER67" s="1">
        <f>VC!EM31</f>
        <v>0</v>
      </c>
      <c r="ES67" s="1">
        <f>VC!EN31</f>
        <v>0</v>
      </c>
      <c r="ET67" s="1">
        <f>VC!EO31</f>
        <v>0</v>
      </c>
      <c r="EU67" s="1">
        <f>VC!EP31</f>
        <v>0</v>
      </c>
      <c r="EV67" s="1">
        <f>VC!EQ31</f>
        <v>0</v>
      </c>
      <c r="EW67" s="1" t="str">
        <f>VC!ER31</f>
        <v>A532V</v>
      </c>
      <c r="EX67" s="1">
        <f>VC!ES31</f>
        <v>0</v>
      </c>
      <c r="EY67" s="1" t="str">
        <f>VC!ET31</f>
        <v>L33P</v>
      </c>
      <c r="EZ67" s="1">
        <f>VC!EU31</f>
        <v>0</v>
      </c>
      <c r="FA67" s="1">
        <f>VC!EV31</f>
        <v>0</v>
      </c>
      <c r="FB67" s="1">
        <f>VC!EW31</f>
        <v>0</v>
      </c>
      <c r="FC67" s="1">
        <f>VC!EX31</f>
        <v>0</v>
      </c>
      <c r="FD67" s="1">
        <f>VC!EY31</f>
        <v>0</v>
      </c>
      <c r="FE67" s="1">
        <f>VC!EZ31</f>
        <v>0</v>
      </c>
      <c r="FF67" s="1">
        <f>VC!FA31</f>
        <v>0</v>
      </c>
      <c r="FG67" s="1">
        <f>VC!FB31</f>
        <v>0</v>
      </c>
      <c r="FH67" s="1">
        <f>VC!FC31</f>
        <v>0</v>
      </c>
      <c r="FI67" s="1">
        <f>VC!FD31</f>
        <v>0</v>
      </c>
      <c r="FJ67" s="1">
        <f>VC!FE31</f>
        <v>0</v>
      </c>
      <c r="FK67" s="1">
        <f>VC!FF31</f>
        <v>0</v>
      </c>
      <c r="FL67" s="1">
        <f>VC!FG31</f>
        <v>0</v>
      </c>
      <c r="FM67" s="1">
        <f>VC!FH31</f>
        <v>0</v>
      </c>
      <c r="FN67" s="1">
        <f>VC!FI31</f>
        <v>0</v>
      </c>
      <c r="FO67" s="1">
        <f>VC!FJ31</f>
        <v>0</v>
      </c>
      <c r="FP67" s="1">
        <f>VC!FK31</f>
        <v>0</v>
      </c>
      <c r="FQ67" s="1">
        <f>VC!FL31</f>
        <v>0</v>
      </c>
      <c r="FR67" s="1">
        <f>VC!FM31</f>
        <v>0</v>
      </c>
      <c r="FS67" s="1">
        <f>VC!FN31</f>
        <v>0</v>
      </c>
      <c r="FT67" s="1">
        <f>VC!FO31</f>
        <v>0</v>
      </c>
      <c r="FU67" s="1">
        <f>VC!FP31</f>
        <v>0</v>
      </c>
      <c r="FV67" s="1">
        <f>VC!FQ31</f>
        <v>0</v>
      </c>
      <c r="FW67" s="1">
        <f>VC!FR31</f>
        <v>0</v>
      </c>
      <c r="FX67" s="1">
        <f>VC!FS31</f>
        <v>0</v>
      </c>
      <c r="FY67" s="1">
        <f>VC!FT31</f>
        <v>0</v>
      </c>
      <c r="FZ67" s="1">
        <f>VC!FU31</f>
        <v>0</v>
      </c>
      <c r="GA67" s="1">
        <f>VC!FV31</f>
        <v>0</v>
      </c>
      <c r="GB67" s="1">
        <f>VC!FW31</f>
        <v>0</v>
      </c>
      <c r="GC67" s="1">
        <f>VC!FX31</f>
        <v>0</v>
      </c>
      <c r="GD67" s="1">
        <f>VC!FY31</f>
        <v>0</v>
      </c>
      <c r="GE67" s="1">
        <f>VC!FZ31</f>
        <v>0</v>
      </c>
      <c r="GF67" s="1">
        <f>VC!GA31</f>
        <v>0</v>
      </c>
      <c r="GG67" s="1">
        <f>VC!GB31</f>
        <v>0</v>
      </c>
      <c r="GH67" s="1">
        <f>VC!GC31</f>
        <v>0</v>
      </c>
      <c r="GI67" s="1">
        <f>VC!GD31</f>
        <v>0</v>
      </c>
      <c r="GJ67" s="1">
        <f>VC!GE31</f>
        <v>0</v>
      </c>
      <c r="GK67" s="1">
        <f>VC!GF31</f>
        <v>0</v>
      </c>
      <c r="GL67" s="1">
        <f>VC!GG31</f>
        <v>0</v>
      </c>
      <c r="GM67" s="1">
        <f>VC!GH31</f>
        <v>0</v>
      </c>
      <c r="GN67" s="1">
        <f>VC!GI31</f>
        <v>0</v>
      </c>
      <c r="GO67" s="1">
        <f>VC!GJ31</f>
        <v>0</v>
      </c>
      <c r="GP67" s="1">
        <f>VC!GK31</f>
        <v>0</v>
      </c>
      <c r="GQ67" s="1">
        <f>VC!GL31</f>
        <v>0</v>
      </c>
      <c r="GR67" s="1">
        <f>VC!GM31</f>
        <v>0</v>
      </c>
      <c r="GS67" s="1" t="str">
        <f>VC!GN31</f>
        <v>S376N</v>
      </c>
      <c r="GT67" s="1">
        <f>VC!GO31</f>
        <v>0</v>
      </c>
      <c r="GU67" s="1">
        <f>VC!GP31</f>
        <v>0</v>
      </c>
      <c r="GV67" s="1">
        <f>VC!GQ31</f>
        <v>0</v>
      </c>
      <c r="GW67" s="1">
        <f>VC!GR31</f>
        <v>0</v>
      </c>
      <c r="GX67" s="1">
        <f>VC!GS31</f>
        <v>0</v>
      </c>
      <c r="GY67" s="1">
        <f>VC!GT31</f>
        <v>0</v>
      </c>
      <c r="GZ67" s="1">
        <f>VC!GU31</f>
        <v>0</v>
      </c>
      <c r="HA67" s="1">
        <f>VC!GV31</f>
        <v>0</v>
      </c>
      <c r="HB67" s="1">
        <f>VC!GW31</f>
        <v>0</v>
      </c>
      <c r="HC67" s="1">
        <f>VC!GX31</f>
        <v>0</v>
      </c>
    </row>
    <row r="68" spans="1:211" s="7" customFormat="1" x14ac:dyDescent="0.25">
      <c r="A68" s="30" t="s">
        <v>26</v>
      </c>
      <c r="B68" s="30" t="s">
        <v>27</v>
      </c>
      <c r="C68" s="31" t="s">
        <v>1</v>
      </c>
      <c r="D68" s="30" t="s">
        <v>76</v>
      </c>
      <c r="E68" s="30" t="s">
        <v>138</v>
      </c>
      <c r="F68" s="30" t="s">
        <v>74</v>
      </c>
      <c r="G68" s="30" t="s">
        <v>136</v>
      </c>
      <c r="H68" s="7">
        <f>VC!C32</f>
        <v>0</v>
      </c>
      <c r="I68" s="7">
        <f>VC!D32</f>
        <v>0</v>
      </c>
      <c r="J68" s="7" t="str">
        <f>VC!E32</f>
        <v>A356V</v>
      </c>
      <c r="K68" s="7">
        <f>VC!F32</f>
        <v>0</v>
      </c>
      <c r="L68" s="7">
        <f>VC!G32</f>
        <v>0</v>
      </c>
      <c r="M68" s="7">
        <f>VC!H32</f>
        <v>0</v>
      </c>
      <c r="N68" s="7">
        <f>VC!I32</f>
        <v>0</v>
      </c>
      <c r="O68" s="7" t="str">
        <f>VC!J32</f>
        <v>D411A</v>
      </c>
      <c r="P68" s="7">
        <f>VC!K32</f>
        <v>0</v>
      </c>
      <c r="Q68" s="7">
        <f>VC!L32</f>
        <v>0</v>
      </c>
      <c r="R68" s="7">
        <f>VC!M32</f>
        <v>0</v>
      </c>
      <c r="S68" s="7">
        <f>VC!N32</f>
        <v>0</v>
      </c>
      <c r="T68" s="7">
        <f>VC!O32</f>
        <v>0</v>
      </c>
      <c r="U68" s="7" t="str">
        <f>VC!P32</f>
        <v>V358I</v>
      </c>
      <c r="V68" s="7">
        <f>VC!Q32</f>
        <v>0</v>
      </c>
      <c r="W68" s="7">
        <f>VC!R32</f>
        <v>0</v>
      </c>
      <c r="X68" s="7">
        <f>VC!S32</f>
        <v>0</v>
      </c>
      <c r="Y68" s="7">
        <f>VC!T32</f>
        <v>0</v>
      </c>
      <c r="Z68" s="7">
        <f>VC!U32</f>
        <v>0</v>
      </c>
      <c r="AA68" s="7">
        <f>VC!V32</f>
        <v>0</v>
      </c>
      <c r="AB68" s="7">
        <f>VC!W32</f>
        <v>0</v>
      </c>
      <c r="AC68" s="7">
        <f>VC!X32</f>
        <v>0</v>
      </c>
      <c r="AD68" s="7">
        <f>VC!Y32</f>
        <v>0</v>
      </c>
      <c r="AE68" s="7">
        <f>VC!Z32</f>
        <v>0</v>
      </c>
      <c r="AF68" s="7">
        <f>VC!AA32</f>
        <v>0</v>
      </c>
      <c r="AG68" s="7">
        <f>VC!AB32</f>
        <v>0</v>
      </c>
      <c r="AH68" s="7" t="str">
        <f>VC!AC32</f>
        <v>S306N</v>
      </c>
      <c r="AI68" s="7">
        <f>VC!AD32</f>
        <v>0</v>
      </c>
      <c r="AJ68" s="7">
        <f>VC!AE32</f>
        <v>0</v>
      </c>
      <c r="AK68" s="7">
        <f>VC!AF32</f>
        <v>0</v>
      </c>
      <c r="AL68" s="7">
        <f>VC!AG32</f>
        <v>0</v>
      </c>
      <c r="AM68" s="7">
        <f>VC!AH32</f>
        <v>0</v>
      </c>
      <c r="AN68" s="7">
        <f>VC!AI32</f>
        <v>0</v>
      </c>
      <c r="AO68" s="93" t="str">
        <f>VC!AJ32</f>
        <v>A222G</v>
      </c>
      <c r="AP68" s="7">
        <f>VC!AK32</f>
        <v>0</v>
      </c>
      <c r="AQ68" s="7">
        <f>VC!AL32</f>
        <v>0</v>
      </c>
      <c r="AR68" s="7">
        <f>VC!AM32</f>
        <v>0</v>
      </c>
      <c r="AS68" s="7">
        <f>VC!AN32</f>
        <v>0</v>
      </c>
      <c r="AT68" s="7" t="str">
        <f>VC!AO32</f>
        <v>Y35S</v>
      </c>
      <c r="AU68" s="7" t="str">
        <f>VC!AP32</f>
        <v>X452ext</v>
      </c>
      <c r="AV68" s="7">
        <f>VC!AQ32</f>
        <v>0</v>
      </c>
      <c r="AW68" s="7" t="str">
        <f>VC!AR32</f>
        <v>D411A</v>
      </c>
      <c r="AX68" s="7">
        <f>VC!AS32</f>
        <v>0</v>
      </c>
      <c r="AY68" s="7">
        <f>VC!AT32</f>
        <v>0</v>
      </c>
      <c r="AZ68" s="7" t="str">
        <f>VC!AU32</f>
        <v>X452ext</v>
      </c>
      <c r="BA68" s="7">
        <f>VC!AV32</f>
        <v>0</v>
      </c>
      <c r="BB68" s="7">
        <f>VC!AW32</f>
        <v>0</v>
      </c>
      <c r="BC68" s="7">
        <f>VC!AX32</f>
        <v>0</v>
      </c>
      <c r="BD68" s="7">
        <f>VC!AY32</f>
        <v>0</v>
      </c>
      <c r="BE68" s="7">
        <f>VC!AZ32</f>
        <v>0</v>
      </c>
      <c r="BF68" s="7">
        <f>VC!BA32</f>
        <v>0</v>
      </c>
      <c r="BG68" s="7">
        <f>VC!BB32</f>
        <v>0</v>
      </c>
      <c r="BH68" s="7">
        <f>VC!BC32</f>
        <v>0</v>
      </c>
      <c r="BI68" s="7">
        <f>VC!BD32</f>
        <v>0</v>
      </c>
      <c r="BJ68" s="7" t="str">
        <f>VC!BE32</f>
        <v>V358I</v>
      </c>
      <c r="BK68" s="7">
        <f>VC!BF32</f>
        <v>0</v>
      </c>
      <c r="BL68" s="7">
        <f>VC!BG32</f>
        <v>0</v>
      </c>
      <c r="BM68" s="7" t="str">
        <f>VC!BH32</f>
        <v>V358I</v>
      </c>
      <c r="BN68" s="7">
        <f>VC!BI32</f>
        <v>0</v>
      </c>
      <c r="BO68" s="7">
        <f>VC!BJ32</f>
        <v>0</v>
      </c>
      <c r="BP68" s="7">
        <f>VC!BK32</f>
        <v>0</v>
      </c>
      <c r="BQ68" s="7">
        <f>VC!BL32</f>
        <v>0</v>
      </c>
      <c r="BR68" s="7" t="str">
        <f>VC!BM32</f>
        <v>D411A; aa436InsGGF</v>
      </c>
      <c r="BS68" s="7">
        <f>VC!BN32</f>
        <v>0</v>
      </c>
      <c r="BT68" s="7">
        <f>VC!BO32</f>
        <v>0</v>
      </c>
      <c r="BU68" s="7">
        <f>VC!BP32</f>
        <v>0</v>
      </c>
      <c r="BV68" s="7">
        <f>VC!BQ32</f>
        <v>0</v>
      </c>
      <c r="BW68" s="7">
        <f>VC!BR32</f>
        <v>0</v>
      </c>
      <c r="BX68" s="7">
        <f>VC!BS32</f>
        <v>0</v>
      </c>
      <c r="BY68" s="7">
        <f>VC!BT32</f>
        <v>0</v>
      </c>
      <c r="BZ68" s="7">
        <f>VC!BU32</f>
        <v>0</v>
      </c>
      <c r="CA68" s="7">
        <f>VC!BV32</f>
        <v>0</v>
      </c>
      <c r="CB68" s="7">
        <f>VC!BW32</f>
        <v>0</v>
      </c>
      <c r="CC68" s="7">
        <f>VC!BX32</f>
        <v>0</v>
      </c>
      <c r="CD68" s="7">
        <f>VC!BY32</f>
        <v>0</v>
      </c>
      <c r="CE68" s="7">
        <f>VC!BZ32</f>
        <v>0</v>
      </c>
      <c r="CF68" s="7" t="str">
        <f>VC!CA32</f>
        <v>V420M</v>
      </c>
      <c r="CG68" s="7">
        <f>VC!CB32</f>
        <v>0</v>
      </c>
      <c r="CH68" s="7">
        <f>VC!CC32</f>
        <v>0</v>
      </c>
      <c r="CI68" s="7">
        <f>VC!CD32</f>
        <v>0</v>
      </c>
      <c r="CJ68" s="7">
        <f>VC!CE32</f>
        <v>0</v>
      </c>
      <c r="CK68" s="7">
        <f>VC!CF32</f>
        <v>0</v>
      </c>
      <c r="CL68" s="7">
        <f>VC!CG32</f>
        <v>0</v>
      </c>
      <c r="CM68" s="7">
        <f>VC!CH32</f>
        <v>0</v>
      </c>
      <c r="CN68" s="7">
        <f>VC!CI32</f>
        <v>0</v>
      </c>
      <c r="CO68" s="7">
        <f>VC!CJ32</f>
        <v>0</v>
      </c>
      <c r="CP68" s="7">
        <f>VC!CK32</f>
        <v>0</v>
      </c>
      <c r="CQ68" s="7">
        <f>VC!CL32</f>
        <v>0</v>
      </c>
      <c r="CR68" s="7">
        <f>VC!CM32</f>
        <v>0</v>
      </c>
      <c r="CS68" s="7" t="str">
        <f>VC!CN32</f>
        <v>A331T; X452ext</v>
      </c>
      <c r="CT68" s="7">
        <f>VC!CO32</f>
        <v>0</v>
      </c>
      <c r="CU68" s="7" t="str">
        <f>VC!CP32</f>
        <v>C410T</v>
      </c>
      <c r="CV68" s="7">
        <f>VC!CQ32</f>
        <v>0</v>
      </c>
      <c r="CW68" s="7">
        <f>VC!CR32</f>
        <v>0</v>
      </c>
      <c r="CX68" s="7">
        <f>VC!CS32</f>
        <v>0</v>
      </c>
      <c r="CY68" s="7">
        <f>VC!CT32</f>
        <v>0</v>
      </c>
      <c r="CZ68" s="7">
        <f>VC!CU32</f>
        <v>0</v>
      </c>
      <c r="DA68" s="7">
        <f>VC!CV32</f>
        <v>0</v>
      </c>
      <c r="DB68" s="7">
        <f>VC!CW32</f>
        <v>0</v>
      </c>
      <c r="DC68" s="7">
        <f>VC!CX32</f>
        <v>0</v>
      </c>
      <c r="DD68" s="7">
        <f>VC!CY32</f>
        <v>0</v>
      </c>
      <c r="DE68" s="7">
        <f>VC!CZ32</f>
        <v>0</v>
      </c>
      <c r="DF68" s="7">
        <f>VC!DA32</f>
        <v>0</v>
      </c>
      <c r="DG68" s="7">
        <f>VC!DB32</f>
        <v>0</v>
      </c>
      <c r="DH68" s="7" t="str">
        <f>VC!DC32</f>
        <v>G231E</v>
      </c>
      <c r="DI68" s="7">
        <f>VC!DD32</f>
        <v>0</v>
      </c>
      <c r="DJ68" s="7">
        <f>VC!DE32</f>
        <v>0</v>
      </c>
      <c r="DK68" s="7">
        <f>VC!DF32</f>
        <v>0</v>
      </c>
      <c r="DL68" s="7" t="str">
        <f>VC!DG32</f>
        <v>P178L; X452ext</v>
      </c>
      <c r="DM68" s="7">
        <f>VC!DH32</f>
        <v>0</v>
      </c>
      <c r="DN68" s="7">
        <f>VC!DI32</f>
        <v>0</v>
      </c>
      <c r="DO68" s="7">
        <f>VC!DJ32</f>
        <v>0</v>
      </c>
      <c r="DP68" s="7">
        <f>VC!DK32</f>
        <v>0</v>
      </c>
      <c r="DQ68" s="7">
        <f>VC!DL32</f>
        <v>0</v>
      </c>
      <c r="DR68" s="7" t="str">
        <f>VC!DM32</f>
        <v>D411A</v>
      </c>
      <c r="DS68" s="7" t="str">
        <f>VC!DN32</f>
        <v>C410T</v>
      </c>
      <c r="DT68" s="7">
        <f>VC!DO32</f>
        <v>0</v>
      </c>
      <c r="DU68" s="7">
        <f>VC!DP32</f>
        <v>0</v>
      </c>
      <c r="DV68" s="7">
        <f>VC!DQ32</f>
        <v>0</v>
      </c>
      <c r="DW68" s="7">
        <f>VC!DR32</f>
        <v>0</v>
      </c>
      <c r="DX68" s="7">
        <f>VC!DS32</f>
        <v>0</v>
      </c>
      <c r="DY68" s="7">
        <f>VC!DT32</f>
        <v>0</v>
      </c>
      <c r="DZ68" s="7">
        <f>VC!DU32</f>
        <v>0</v>
      </c>
      <c r="EA68" s="7">
        <f>VC!DV32</f>
        <v>0</v>
      </c>
      <c r="EB68" s="7">
        <f>VC!DW32</f>
        <v>0</v>
      </c>
      <c r="EC68" s="7" t="str">
        <f>VC!DX32</f>
        <v>T115A; nt111InsC</v>
      </c>
      <c r="ED68" s="7">
        <f>VC!DY32</f>
        <v>0</v>
      </c>
      <c r="EE68" s="7">
        <f>VC!DZ32</f>
        <v>0</v>
      </c>
      <c r="EF68" s="7">
        <f>VC!EA32</f>
        <v>0</v>
      </c>
      <c r="EG68" s="7">
        <f>VC!EB32</f>
        <v>0</v>
      </c>
      <c r="EH68" s="7">
        <f>VC!EC32</f>
        <v>0</v>
      </c>
      <c r="EI68" s="7">
        <f>VC!ED32</f>
        <v>0</v>
      </c>
      <c r="EJ68" s="7" t="str">
        <f>VC!EE32</f>
        <v>aa35∆4</v>
      </c>
      <c r="EK68" s="7" t="str">
        <f>VC!EF32</f>
        <v>G231E</v>
      </c>
      <c r="EL68" s="7" t="str">
        <f>VC!EG32</f>
        <v>V124I; P274L</v>
      </c>
      <c r="EM68" s="7">
        <f>VC!EH32</f>
        <v>0</v>
      </c>
      <c r="EN68" s="7" t="str">
        <f>VC!EI32</f>
        <v>nt111InsC</v>
      </c>
      <c r="EO68" s="7">
        <f>VC!EJ32</f>
        <v>0</v>
      </c>
      <c r="EP68" s="7">
        <f>VC!EK32</f>
        <v>0</v>
      </c>
      <c r="EQ68" s="7">
        <f>VC!EL32</f>
        <v>0</v>
      </c>
      <c r="ER68" s="7">
        <f>VC!EM32</f>
        <v>0</v>
      </c>
      <c r="ES68" s="7">
        <f>VC!EN32</f>
        <v>0</v>
      </c>
      <c r="ET68" s="7" t="str">
        <f>VC!EO32</f>
        <v>H190Y</v>
      </c>
      <c r="EU68" s="7" t="str">
        <f>VC!EP32</f>
        <v>nt111InsC</v>
      </c>
      <c r="EV68" s="7">
        <f>VC!EQ32</f>
        <v>0</v>
      </c>
      <c r="EW68" s="7" t="str">
        <f>VC!ER32</f>
        <v>I266S; Q347R</v>
      </c>
      <c r="EX68" s="7">
        <f>VC!ES32</f>
        <v>0</v>
      </c>
      <c r="EY68" s="7">
        <f>VC!ET32</f>
        <v>0</v>
      </c>
      <c r="EZ68" s="7">
        <f>VC!EU32</f>
        <v>0</v>
      </c>
      <c r="FA68" s="7">
        <f>VC!EV32</f>
        <v>0</v>
      </c>
      <c r="FB68" s="7">
        <f>VC!EW32</f>
        <v>0</v>
      </c>
      <c r="FC68" s="7">
        <f>VC!EX32</f>
        <v>0</v>
      </c>
      <c r="FD68" s="7">
        <f>VC!EY32</f>
        <v>0</v>
      </c>
      <c r="FE68" s="7">
        <f>VC!EZ32</f>
        <v>0</v>
      </c>
      <c r="FF68" s="7" t="str">
        <f>VC!FA32</f>
        <v>X452ext</v>
      </c>
      <c r="FG68" s="7" t="str">
        <f>VC!FB32</f>
        <v>D411A</v>
      </c>
      <c r="FH68" s="7">
        <f>VC!FC32</f>
        <v>0</v>
      </c>
      <c r="FI68" s="7" t="str">
        <f>VC!FD32</f>
        <v>S131N; A428T</v>
      </c>
      <c r="FJ68" s="7">
        <f>VC!FE32</f>
        <v>0</v>
      </c>
      <c r="FK68" s="7">
        <f>VC!FF32</f>
        <v>0</v>
      </c>
      <c r="FL68" s="7" t="str">
        <f>VC!FG32</f>
        <v>R103P</v>
      </c>
      <c r="FM68" s="7">
        <f>VC!FH32</f>
        <v>0</v>
      </c>
      <c r="FN68" s="7">
        <f>VC!FI32</f>
        <v>0</v>
      </c>
      <c r="FO68" s="7">
        <f>VC!FJ32</f>
        <v>0</v>
      </c>
      <c r="FP68" s="7">
        <f>VC!FK32</f>
        <v>0</v>
      </c>
      <c r="FQ68" s="7" t="str">
        <f>VC!FL32</f>
        <v>V281F</v>
      </c>
      <c r="FR68" s="7">
        <f>VC!FM32</f>
        <v>0</v>
      </c>
      <c r="FS68" s="7">
        <f>VC!FN32</f>
        <v>0</v>
      </c>
      <c r="FT68" s="7">
        <f>VC!FO32</f>
        <v>0</v>
      </c>
      <c r="FU68" s="7">
        <f>VC!FP32</f>
        <v>0</v>
      </c>
      <c r="FV68" s="7">
        <f>VC!FQ32</f>
        <v>0</v>
      </c>
      <c r="FW68" s="7" t="str">
        <f>VC!FR32</f>
        <v>D411A</v>
      </c>
      <c r="FX68" s="7">
        <f>VC!FS32</f>
        <v>0</v>
      </c>
      <c r="FY68" s="7">
        <f>VC!FT32</f>
        <v>0</v>
      </c>
      <c r="FZ68" s="7">
        <f>VC!FU32</f>
        <v>0</v>
      </c>
      <c r="GA68" s="7">
        <f>VC!FV32</f>
        <v>0</v>
      </c>
      <c r="GB68" s="7" t="str">
        <f>VC!FW32</f>
        <v>nt111∆1</v>
      </c>
      <c r="GC68" s="7">
        <f>VC!FX32</f>
        <v>0</v>
      </c>
      <c r="GD68" s="7">
        <f>VC!FY32</f>
        <v>0</v>
      </c>
      <c r="GE68" s="7">
        <f>VC!FZ32</f>
        <v>0</v>
      </c>
      <c r="GF68" s="7">
        <f>VC!GA32</f>
        <v>0</v>
      </c>
      <c r="GG68" s="7">
        <f>VC!GB32</f>
        <v>0</v>
      </c>
      <c r="GH68" s="7" t="str">
        <f>VC!GC32</f>
        <v>D411A</v>
      </c>
      <c r="GI68" s="7">
        <f>VC!GD32</f>
        <v>0</v>
      </c>
      <c r="GJ68" s="7">
        <f>VC!GE32</f>
        <v>0</v>
      </c>
      <c r="GK68" s="7">
        <f>VC!GF32</f>
        <v>0</v>
      </c>
      <c r="GL68" s="7">
        <f>VC!GG32</f>
        <v>0</v>
      </c>
      <c r="GM68" s="7">
        <f>VC!GH32</f>
        <v>0</v>
      </c>
      <c r="GN68" s="7">
        <f>VC!GI32</f>
        <v>0</v>
      </c>
      <c r="GO68" s="7">
        <f>VC!GJ32</f>
        <v>0</v>
      </c>
      <c r="GP68" s="7">
        <f>VC!GK32</f>
        <v>0</v>
      </c>
      <c r="GQ68" s="7">
        <f>VC!GL32</f>
        <v>0</v>
      </c>
      <c r="GR68" s="7">
        <f>VC!GM32</f>
        <v>0</v>
      </c>
      <c r="GS68" s="7">
        <f>VC!GN32</f>
        <v>0</v>
      </c>
      <c r="GT68" s="7">
        <f>VC!GO32</f>
        <v>0</v>
      </c>
      <c r="GU68" s="7">
        <f>VC!GP32</f>
        <v>0</v>
      </c>
      <c r="GV68" s="7">
        <f>VC!GQ32</f>
        <v>0</v>
      </c>
      <c r="GW68" s="7">
        <f>VC!GR32</f>
        <v>0</v>
      </c>
      <c r="GX68" s="7">
        <f>VC!GS32</f>
        <v>0</v>
      </c>
      <c r="GY68" s="7" t="str">
        <f>VC!GT32</f>
        <v>D411A</v>
      </c>
      <c r="GZ68" s="7">
        <f>VC!GU32</f>
        <v>0</v>
      </c>
      <c r="HA68" s="7">
        <f>VC!GV32</f>
        <v>0</v>
      </c>
      <c r="HB68" s="7">
        <f>VC!GW32</f>
        <v>0</v>
      </c>
      <c r="HC68" s="7">
        <f>VC!GX32</f>
        <v>0</v>
      </c>
    </row>
    <row r="69" spans="1:211" s="7" customFormat="1" x14ac:dyDescent="0.25">
      <c r="A69" s="30" t="s">
        <v>26</v>
      </c>
      <c r="B69" s="30" t="s">
        <v>27</v>
      </c>
      <c r="C69" s="31" t="s">
        <v>2</v>
      </c>
      <c r="D69" s="30" t="s">
        <v>76</v>
      </c>
      <c r="E69" s="30" t="s">
        <v>139</v>
      </c>
      <c r="F69" s="30" t="s">
        <v>74</v>
      </c>
      <c r="G69" s="30" t="s">
        <v>136</v>
      </c>
      <c r="H69" s="7">
        <f>VC!C32</f>
        <v>0</v>
      </c>
      <c r="I69" s="7">
        <f>VC!D32</f>
        <v>0</v>
      </c>
      <c r="J69" s="7" t="str">
        <f>VC!E32</f>
        <v>A356V</v>
      </c>
      <c r="K69" s="7">
        <f>VC!F32</f>
        <v>0</v>
      </c>
      <c r="L69" s="7">
        <f>VC!G32</f>
        <v>0</v>
      </c>
      <c r="M69" s="7">
        <f>VC!H32</f>
        <v>0</v>
      </c>
      <c r="N69" s="7">
        <f>VC!I32</f>
        <v>0</v>
      </c>
      <c r="O69" s="7" t="str">
        <f>VC!J32</f>
        <v>D411A</v>
      </c>
      <c r="P69" s="7">
        <f>VC!K32</f>
        <v>0</v>
      </c>
      <c r="Q69" s="7">
        <f>VC!L32</f>
        <v>0</v>
      </c>
      <c r="R69" s="7">
        <f>VC!M32</f>
        <v>0</v>
      </c>
      <c r="S69" s="7">
        <f>VC!N32</f>
        <v>0</v>
      </c>
      <c r="T69" s="7">
        <f>VC!O32</f>
        <v>0</v>
      </c>
      <c r="U69" s="7" t="str">
        <f>VC!P32</f>
        <v>V358I</v>
      </c>
      <c r="V69" s="7">
        <f>VC!Q32</f>
        <v>0</v>
      </c>
      <c r="W69" s="7">
        <f>VC!R32</f>
        <v>0</v>
      </c>
      <c r="X69" s="7">
        <f>VC!S32</f>
        <v>0</v>
      </c>
      <c r="Y69" s="7">
        <f>VC!T32</f>
        <v>0</v>
      </c>
      <c r="Z69" s="7">
        <f>VC!U32</f>
        <v>0</v>
      </c>
      <c r="AA69" s="7">
        <f>VC!V32</f>
        <v>0</v>
      </c>
      <c r="AB69" s="7">
        <f>VC!W32</f>
        <v>0</v>
      </c>
      <c r="AC69" s="7">
        <f>VC!X32</f>
        <v>0</v>
      </c>
      <c r="AD69" s="7">
        <f>VC!Y32</f>
        <v>0</v>
      </c>
      <c r="AE69" s="7">
        <f>VC!Z32</f>
        <v>0</v>
      </c>
      <c r="AF69" s="7">
        <f>VC!AA32</f>
        <v>0</v>
      </c>
      <c r="AG69" s="7">
        <f>VC!AB32</f>
        <v>0</v>
      </c>
      <c r="AH69" s="7" t="str">
        <f>VC!AC32</f>
        <v>S306N</v>
      </c>
      <c r="AI69" s="7">
        <f>VC!AD32</f>
        <v>0</v>
      </c>
      <c r="AJ69" s="7">
        <f>VC!AE32</f>
        <v>0</v>
      </c>
      <c r="AK69" s="7">
        <f>VC!AF32</f>
        <v>0</v>
      </c>
      <c r="AL69" s="7">
        <f>VC!AG32</f>
        <v>0</v>
      </c>
      <c r="AM69" s="7">
        <f>VC!AH32</f>
        <v>0</v>
      </c>
      <c r="AN69" s="7">
        <f>VC!AI32</f>
        <v>0</v>
      </c>
      <c r="AO69" s="7" t="str">
        <f>VC!AJ32</f>
        <v>A222G</v>
      </c>
      <c r="AP69" s="7">
        <f>VC!AK32</f>
        <v>0</v>
      </c>
      <c r="AQ69" s="7">
        <f>VC!AL32</f>
        <v>0</v>
      </c>
      <c r="AR69" s="7">
        <f>VC!AM32</f>
        <v>0</v>
      </c>
      <c r="AS69" s="7">
        <f>VC!AN32</f>
        <v>0</v>
      </c>
      <c r="AT69" s="7" t="str">
        <f>VC!AO32</f>
        <v>Y35S</v>
      </c>
      <c r="AU69" s="7" t="str">
        <f>VC!AP32</f>
        <v>X452ext</v>
      </c>
      <c r="AV69" s="7">
        <f>VC!AQ32</f>
        <v>0</v>
      </c>
      <c r="AW69" s="7" t="str">
        <f>VC!AR32</f>
        <v>D411A</v>
      </c>
      <c r="AX69" s="7">
        <f>VC!AS32</f>
        <v>0</v>
      </c>
      <c r="AY69" s="7">
        <f>VC!AT32</f>
        <v>0</v>
      </c>
      <c r="AZ69" s="7" t="str">
        <f>VC!AU32</f>
        <v>X452ext</v>
      </c>
      <c r="BA69" s="7">
        <f>VC!AV32</f>
        <v>0</v>
      </c>
      <c r="BB69" s="7">
        <f>VC!AW32</f>
        <v>0</v>
      </c>
      <c r="BC69" s="7">
        <f>VC!AX32</f>
        <v>0</v>
      </c>
      <c r="BD69" s="7">
        <f>VC!AY32</f>
        <v>0</v>
      </c>
      <c r="BE69" s="7">
        <f>VC!AZ32</f>
        <v>0</v>
      </c>
      <c r="BF69" s="7">
        <f>VC!BA32</f>
        <v>0</v>
      </c>
      <c r="BG69" s="7">
        <f>VC!BB32</f>
        <v>0</v>
      </c>
      <c r="BH69" s="7">
        <f>VC!BC32</f>
        <v>0</v>
      </c>
      <c r="BI69" s="7">
        <f>VC!BD32</f>
        <v>0</v>
      </c>
      <c r="BJ69" s="7" t="str">
        <f>VC!BE32</f>
        <v>V358I</v>
      </c>
      <c r="BK69" s="7">
        <f>VC!BF32</f>
        <v>0</v>
      </c>
      <c r="BL69" s="7">
        <f>VC!BG32</f>
        <v>0</v>
      </c>
      <c r="BM69" s="7" t="str">
        <f>VC!BH32</f>
        <v>V358I</v>
      </c>
      <c r="BN69" s="7">
        <f>VC!BI32</f>
        <v>0</v>
      </c>
      <c r="BO69" s="7">
        <f>VC!BJ32</f>
        <v>0</v>
      </c>
      <c r="BP69" s="7">
        <f>VC!BK32</f>
        <v>0</v>
      </c>
      <c r="BQ69" s="7">
        <f>VC!BL32</f>
        <v>0</v>
      </c>
      <c r="BR69" s="7" t="str">
        <f>VC!BM32</f>
        <v>D411A; aa436InsGGF</v>
      </c>
      <c r="BS69" s="7">
        <f>VC!BN32</f>
        <v>0</v>
      </c>
      <c r="BT69" s="7">
        <f>VC!BO32</f>
        <v>0</v>
      </c>
      <c r="BU69" s="7">
        <f>VC!BP32</f>
        <v>0</v>
      </c>
      <c r="BV69" s="7">
        <f>VC!BQ32</f>
        <v>0</v>
      </c>
      <c r="BW69" s="7">
        <f>VC!BR32</f>
        <v>0</v>
      </c>
      <c r="BX69" s="7">
        <f>VC!BS32</f>
        <v>0</v>
      </c>
      <c r="BY69" s="7">
        <f>VC!BT32</f>
        <v>0</v>
      </c>
      <c r="BZ69" s="7">
        <f>VC!BU32</f>
        <v>0</v>
      </c>
      <c r="CA69" s="7">
        <f>VC!BV32</f>
        <v>0</v>
      </c>
      <c r="CB69" s="7">
        <f>VC!BW32</f>
        <v>0</v>
      </c>
      <c r="CC69" s="7">
        <f>VC!BX32</f>
        <v>0</v>
      </c>
      <c r="CD69" s="7">
        <f>VC!BY32</f>
        <v>0</v>
      </c>
      <c r="CE69" s="7">
        <f>VC!BZ32</f>
        <v>0</v>
      </c>
      <c r="CF69" s="7" t="str">
        <f>VC!CA32</f>
        <v>V420M</v>
      </c>
      <c r="CG69" s="7">
        <f>VC!CB32</f>
        <v>0</v>
      </c>
      <c r="CH69" s="7">
        <f>VC!CC32</f>
        <v>0</v>
      </c>
      <c r="CI69" s="7">
        <f>VC!CD32</f>
        <v>0</v>
      </c>
      <c r="CJ69" s="7">
        <f>VC!CE32</f>
        <v>0</v>
      </c>
      <c r="CK69" s="7">
        <f>VC!CF32</f>
        <v>0</v>
      </c>
      <c r="CL69" s="7">
        <f>VC!CG32</f>
        <v>0</v>
      </c>
      <c r="CM69" s="7">
        <f>VC!CH32</f>
        <v>0</v>
      </c>
      <c r="CN69" s="7">
        <f>VC!CI32</f>
        <v>0</v>
      </c>
      <c r="CO69" s="7">
        <f>VC!CJ32</f>
        <v>0</v>
      </c>
      <c r="CP69" s="7">
        <f>VC!CK32</f>
        <v>0</v>
      </c>
      <c r="CQ69" s="7">
        <f>VC!CL32</f>
        <v>0</v>
      </c>
      <c r="CR69" s="7">
        <f>VC!CM32</f>
        <v>0</v>
      </c>
      <c r="CS69" s="7" t="str">
        <f>VC!CN32</f>
        <v>A331T; X452ext</v>
      </c>
      <c r="CT69" s="7">
        <f>VC!CO32</f>
        <v>0</v>
      </c>
      <c r="CU69" s="7" t="str">
        <f>VC!CP32</f>
        <v>C410T</v>
      </c>
      <c r="CV69" s="7">
        <f>VC!CQ32</f>
        <v>0</v>
      </c>
      <c r="CW69" s="7">
        <f>VC!CR32</f>
        <v>0</v>
      </c>
      <c r="CX69" s="7">
        <f>VC!CS32</f>
        <v>0</v>
      </c>
      <c r="CY69" s="7">
        <f>VC!CT32</f>
        <v>0</v>
      </c>
      <c r="CZ69" s="7">
        <f>VC!CU32</f>
        <v>0</v>
      </c>
      <c r="DA69" s="7">
        <f>VC!CV32</f>
        <v>0</v>
      </c>
      <c r="DB69" s="7">
        <f>VC!CW32</f>
        <v>0</v>
      </c>
      <c r="DC69" s="7">
        <f>VC!CX32</f>
        <v>0</v>
      </c>
      <c r="DD69" s="7">
        <f>VC!CY32</f>
        <v>0</v>
      </c>
      <c r="DE69" s="7">
        <f>VC!CZ32</f>
        <v>0</v>
      </c>
      <c r="DF69" s="7">
        <f>VC!DA32</f>
        <v>0</v>
      </c>
      <c r="DG69" s="7">
        <f>VC!DB32</f>
        <v>0</v>
      </c>
      <c r="DH69" s="7" t="str">
        <f>VC!DC32</f>
        <v>G231E</v>
      </c>
      <c r="DI69" s="7">
        <f>VC!DD32</f>
        <v>0</v>
      </c>
      <c r="DJ69" s="7">
        <f>VC!DE32</f>
        <v>0</v>
      </c>
      <c r="DK69" s="7">
        <f>VC!DF32</f>
        <v>0</v>
      </c>
      <c r="DL69" s="7" t="str">
        <f>VC!DG32</f>
        <v>P178L; X452ext</v>
      </c>
      <c r="DM69" s="7">
        <f>VC!DH32</f>
        <v>0</v>
      </c>
      <c r="DN69" s="7">
        <f>VC!DI32</f>
        <v>0</v>
      </c>
      <c r="DO69" s="7">
        <f>VC!DJ32</f>
        <v>0</v>
      </c>
      <c r="DP69" s="7">
        <f>VC!DK32</f>
        <v>0</v>
      </c>
      <c r="DQ69" s="7">
        <f>VC!DL32</f>
        <v>0</v>
      </c>
      <c r="DR69" s="7" t="str">
        <f>VC!DM32</f>
        <v>D411A</v>
      </c>
      <c r="DS69" s="7" t="str">
        <f>VC!DN32</f>
        <v>C410T</v>
      </c>
      <c r="DT69" s="7">
        <f>VC!DO32</f>
        <v>0</v>
      </c>
      <c r="DU69" s="7">
        <f>VC!DP32</f>
        <v>0</v>
      </c>
      <c r="DV69" s="7">
        <f>VC!DQ32</f>
        <v>0</v>
      </c>
      <c r="DW69" s="7">
        <f>VC!DR32</f>
        <v>0</v>
      </c>
      <c r="DX69" s="7">
        <f>VC!DS32</f>
        <v>0</v>
      </c>
      <c r="DY69" s="7">
        <f>VC!DT32</f>
        <v>0</v>
      </c>
      <c r="DZ69" s="7">
        <f>VC!DU32</f>
        <v>0</v>
      </c>
      <c r="EA69" s="7">
        <f>VC!DV32</f>
        <v>0</v>
      </c>
      <c r="EB69" s="7">
        <f>VC!DW32</f>
        <v>0</v>
      </c>
      <c r="EC69" s="7" t="str">
        <f>VC!DX32</f>
        <v>T115A; nt111InsC</v>
      </c>
      <c r="ED69" s="7">
        <f>VC!DY32</f>
        <v>0</v>
      </c>
      <c r="EE69" s="7">
        <f>VC!DZ32</f>
        <v>0</v>
      </c>
      <c r="EF69" s="7">
        <f>VC!EA32</f>
        <v>0</v>
      </c>
      <c r="EG69" s="7">
        <f>VC!EB32</f>
        <v>0</v>
      </c>
      <c r="EH69" s="7">
        <f>VC!EC32</f>
        <v>0</v>
      </c>
      <c r="EI69" s="7">
        <f>VC!ED32</f>
        <v>0</v>
      </c>
      <c r="EJ69" s="7" t="str">
        <f>VC!EE32</f>
        <v>aa35∆4</v>
      </c>
      <c r="EK69" s="7" t="str">
        <f>VC!EF32</f>
        <v>G231E</v>
      </c>
      <c r="EL69" s="7" t="str">
        <f>VC!EG32</f>
        <v>V124I; P274L</v>
      </c>
      <c r="EM69" s="7">
        <f>VC!EH32</f>
        <v>0</v>
      </c>
      <c r="EN69" s="7" t="str">
        <f>VC!EI32</f>
        <v>nt111InsC</v>
      </c>
      <c r="EO69" s="7">
        <f>VC!EJ32</f>
        <v>0</v>
      </c>
      <c r="EP69" s="7">
        <f>VC!EK32</f>
        <v>0</v>
      </c>
      <c r="EQ69" s="7">
        <f>VC!EL32</f>
        <v>0</v>
      </c>
      <c r="ER69" s="7">
        <f>VC!EM32</f>
        <v>0</v>
      </c>
      <c r="ES69" s="7">
        <f>VC!EN32</f>
        <v>0</v>
      </c>
      <c r="ET69" s="7" t="str">
        <f>VC!EO32</f>
        <v>H190Y</v>
      </c>
      <c r="EU69" s="7" t="str">
        <f>VC!EP32</f>
        <v>nt111InsC</v>
      </c>
      <c r="EV69" s="7">
        <f>VC!EQ32</f>
        <v>0</v>
      </c>
      <c r="EW69" s="7" t="str">
        <f>VC!ER32</f>
        <v>I266S; Q347R</v>
      </c>
      <c r="EX69" s="7">
        <f>VC!ES32</f>
        <v>0</v>
      </c>
      <c r="EY69" s="7">
        <f>VC!ET32</f>
        <v>0</v>
      </c>
      <c r="EZ69" s="7">
        <f>VC!EU32</f>
        <v>0</v>
      </c>
      <c r="FA69" s="7">
        <f>VC!EV32</f>
        <v>0</v>
      </c>
      <c r="FB69" s="7">
        <f>VC!EW32</f>
        <v>0</v>
      </c>
      <c r="FC69" s="7">
        <f>VC!EX32</f>
        <v>0</v>
      </c>
      <c r="FD69" s="7">
        <f>VC!EY32</f>
        <v>0</v>
      </c>
      <c r="FE69" s="7">
        <f>VC!EZ32</f>
        <v>0</v>
      </c>
      <c r="FF69" s="7" t="str">
        <f>VC!FA32</f>
        <v>X452ext</v>
      </c>
      <c r="FG69" s="7" t="str">
        <f>VC!FB32</f>
        <v>D411A</v>
      </c>
      <c r="FH69" s="7">
        <f>VC!FC32</f>
        <v>0</v>
      </c>
      <c r="FI69" s="7" t="str">
        <f>VC!FD32</f>
        <v>S131N; A428T</v>
      </c>
      <c r="FJ69" s="7">
        <f>VC!FE32</f>
        <v>0</v>
      </c>
      <c r="FK69" s="7">
        <f>VC!FF32</f>
        <v>0</v>
      </c>
      <c r="FL69" s="7" t="str">
        <f>VC!FG32</f>
        <v>R103P</v>
      </c>
      <c r="FM69" s="7">
        <f>VC!FH32</f>
        <v>0</v>
      </c>
      <c r="FN69" s="7">
        <f>VC!FI32</f>
        <v>0</v>
      </c>
      <c r="FO69" s="7">
        <f>VC!FJ32</f>
        <v>0</v>
      </c>
      <c r="FP69" s="7">
        <f>VC!FK32</f>
        <v>0</v>
      </c>
      <c r="FQ69" s="7" t="str">
        <f>VC!FL32</f>
        <v>V281F</v>
      </c>
      <c r="FR69" s="7">
        <f>VC!FM32</f>
        <v>0</v>
      </c>
      <c r="FS69" s="7">
        <f>VC!FN32</f>
        <v>0</v>
      </c>
      <c r="FT69" s="7">
        <f>VC!FO32</f>
        <v>0</v>
      </c>
      <c r="FU69" s="7">
        <f>VC!FP32</f>
        <v>0</v>
      </c>
      <c r="FV69" s="7">
        <f>VC!FQ32</f>
        <v>0</v>
      </c>
      <c r="FW69" s="7" t="str">
        <f>VC!FR32</f>
        <v>D411A</v>
      </c>
      <c r="FX69" s="7">
        <f>VC!FS32</f>
        <v>0</v>
      </c>
      <c r="FY69" s="7">
        <f>VC!FT32</f>
        <v>0</v>
      </c>
      <c r="FZ69" s="7">
        <f>VC!FU32</f>
        <v>0</v>
      </c>
      <c r="GA69" s="7">
        <f>VC!FV32</f>
        <v>0</v>
      </c>
      <c r="GB69" s="7" t="str">
        <f>VC!FW32</f>
        <v>nt111∆1</v>
      </c>
      <c r="GC69" s="7">
        <f>VC!FX32</f>
        <v>0</v>
      </c>
      <c r="GD69" s="7">
        <f>VC!FY32</f>
        <v>0</v>
      </c>
      <c r="GE69" s="7">
        <f>VC!FZ32</f>
        <v>0</v>
      </c>
      <c r="GF69" s="7">
        <f>VC!GA32</f>
        <v>0</v>
      </c>
      <c r="GG69" s="7">
        <f>VC!GB32</f>
        <v>0</v>
      </c>
      <c r="GH69" s="7" t="str">
        <f>VC!GC32</f>
        <v>D411A</v>
      </c>
      <c r="GI69" s="7">
        <f>VC!GD32</f>
        <v>0</v>
      </c>
      <c r="GJ69" s="7">
        <f>VC!GE32</f>
        <v>0</v>
      </c>
      <c r="GK69" s="7">
        <f>VC!GF32</f>
        <v>0</v>
      </c>
      <c r="GL69" s="7">
        <f>VC!GG32</f>
        <v>0</v>
      </c>
      <c r="GM69" s="7">
        <f>VC!GH32</f>
        <v>0</v>
      </c>
      <c r="GN69" s="7">
        <f>VC!GI32</f>
        <v>0</v>
      </c>
      <c r="GO69" s="7">
        <f>VC!GJ32</f>
        <v>0</v>
      </c>
      <c r="GP69" s="7">
        <f>VC!GK32</f>
        <v>0</v>
      </c>
      <c r="GQ69" s="7">
        <f>VC!GL32</f>
        <v>0</v>
      </c>
      <c r="GR69" s="7">
        <f>VC!GM32</f>
        <v>0</v>
      </c>
      <c r="GS69" s="7">
        <f>VC!GN32</f>
        <v>0</v>
      </c>
      <c r="GT69" s="7">
        <f>VC!GO32</f>
        <v>0</v>
      </c>
      <c r="GU69" s="7">
        <f>VC!GP32</f>
        <v>0</v>
      </c>
      <c r="GV69" s="7">
        <f>VC!GQ32</f>
        <v>0</v>
      </c>
      <c r="GW69" s="7">
        <f>VC!GR32</f>
        <v>0</v>
      </c>
      <c r="GX69" s="7">
        <f>VC!GS32</f>
        <v>0</v>
      </c>
      <c r="GY69" s="7" t="str">
        <f>VC!GT32</f>
        <v>D411A</v>
      </c>
      <c r="GZ69" s="7">
        <f>VC!GU32</f>
        <v>0</v>
      </c>
      <c r="HA69" s="7">
        <f>VC!GV32</f>
        <v>0</v>
      </c>
      <c r="HB69" s="7">
        <f>VC!GW32</f>
        <v>0</v>
      </c>
      <c r="HC69" s="7">
        <f>VC!GX32</f>
        <v>0</v>
      </c>
    </row>
    <row r="70" spans="1:211" s="7" customFormat="1" x14ac:dyDescent="0.25">
      <c r="A70" s="30" t="s">
        <v>26</v>
      </c>
      <c r="B70" s="30" t="s">
        <v>27</v>
      </c>
      <c r="C70" s="31" t="s">
        <v>3</v>
      </c>
      <c r="D70" s="30" t="s">
        <v>76</v>
      </c>
      <c r="E70" s="30" t="s">
        <v>139</v>
      </c>
      <c r="F70" s="30" t="s">
        <v>74</v>
      </c>
      <c r="G70" s="30" t="s">
        <v>136</v>
      </c>
      <c r="H70" s="7">
        <f>VC!C32</f>
        <v>0</v>
      </c>
      <c r="I70" s="7">
        <f>VC!D32</f>
        <v>0</v>
      </c>
      <c r="J70" s="7" t="str">
        <f>VC!E32</f>
        <v>A356V</v>
      </c>
      <c r="K70" s="7">
        <f>VC!F32</f>
        <v>0</v>
      </c>
      <c r="L70" s="7">
        <f>VC!G32</f>
        <v>0</v>
      </c>
      <c r="M70" s="7">
        <f>VC!H32</f>
        <v>0</v>
      </c>
      <c r="N70" s="7">
        <f>VC!I32</f>
        <v>0</v>
      </c>
      <c r="O70" s="7" t="str">
        <f>VC!J32</f>
        <v>D411A</v>
      </c>
      <c r="P70" s="7">
        <f>VC!K32</f>
        <v>0</v>
      </c>
      <c r="Q70" s="7">
        <f>VC!L32</f>
        <v>0</v>
      </c>
      <c r="R70" s="7">
        <f>VC!M32</f>
        <v>0</v>
      </c>
      <c r="S70" s="7">
        <f>VC!N32</f>
        <v>0</v>
      </c>
      <c r="T70" s="7">
        <f>VC!O32</f>
        <v>0</v>
      </c>
      <c r="U70" s="7" t="str">
        <f>VC!P32</f>
        <v>V358I</v>
      </c>
      <c r="V70" s="7">
        <f>VC!Q32</f>
        <v>0</v>
      </c>
      <c r="W70" s="7">
        <f>VC!R32</f>
        <v>0</v>
      </c>
      <c r="X70" s="7">
        <f>VC!S32</f>
        <v>0</v>
      </c>
      <c r="Y70" s="7">
        <f>VC!T32</f>
        <v>0</v>
      </c>
      <c r="Z70" s="7">
        <f>VC!U32</f>
        <v>0</v>
      </c>
      <c r="AA70" s="7">
        <f>VC!V32</f>
        <v>0</v>
      </c>
      <c r="AB70" s="7">
        <f>VC!W32</f>
        <v>0</v>
      </c>
      <c r="AC70" s="7">
        <f>VC!X32</f>
        <v>0</v>
      </c>
      <c r="AD70" s="7">
        <f>VC!Y32</f>
        <v>0</v>
      </c>
      <c r="AE70" s="7">
        <f>VC!Z32</f>
        <v>0</v>
      </c>
      <c r="AF70" s="7">
        <f>VC!AA32</f>
        <v>0</v>
      </c>
      <c r="AG70" s="7">
        <f>VC!AB32</f>
        <v>0</v>
      </c>
      <c r="AH70" s="7" t="str">
        <f>VC!AC32</f>
        <v>S306N</v>
      </c>
      <c r="AI70" s="7">
        <f>VC!AD32</f>
        <v>0</v>
      </c>
      <c r="AJ70" s="7">
        <f>VC!AE32</f>
        <v>0</v>
      </c>
      <c r="AK70" s="7">
        <f>VC!AF32</f>
        <v>0</v>
      </c>
      <c r="AL70" s="7">
        <f>VC!AG32</f>
        <v>0</v>
      </c>
      <c r="AM70" s="7">
        <f>VC!AH32</f>
        <v>0</v>
      </c>
      <c r="AN70" s="7">
        <f>VC!AI32</f>
        <v>0</v>
      </c>
      <c r="AO70" s="7" t="str">
        <f>VC!AJ32</f>
        <v>A222G</v>
      </c>
      <c r="AP70" s="7">
        <f>VC!AK32</f>
        <v>0</v>
      </c>
      <c r="AQ70" s="7">
        <f>VC!AL32</f>
        <v>0</v>
      </c>
      <c r="AR70" s="7">
        <f>VC!AM32</f>
        <v>0</v>
      </c>
      <c r="AS70" s="7">
        <f>VC!AN32</f>
        <v>0</v>
      </c>
      <c r="AT70" s="7" t="str">
        <f>VC!AO32</f>
        <v>Y35S</v>
      </c>
      <c r="AU70" s="7" t="str">
        <f>VC!AP32</f>
        <v>X452ext</v>
      </c>
      <c r="AV70" s="7">
        <f>VC!AQ32</f>
        <v>0</v>
      </c>
      <c r="AW70" s="7" t="str">
        <f>VC!AR32</f>
        <v>D411A</v>
      </c>
      <c r="AX70" s="7">
        <f>VC!AS32</f>
        <v>0</v>
      </c>
      <c r="AY70" s="7">
        <f>VC!AT32</f>
        <v>0</v>
      </c>
      <c r="AZ70" s="7" t="str">
        <f>VC!AU32</f>
        <v>X452ext</v>
      </c>
      <c r="BA70" s="7">
        <f>VC!AV32</f>
        <v>0</v>
      </c>
      <c r="BB70" s="7">
        <f>VC!AW32</f>
        <v>0</v>
      </c>
      <c r="BC70" s="7">
        <f>VC!AX32</f>
        <v>0</v>
      </c>
      <c r="BD70" s="7">
        <f>VC!AY32</f>
        <v>0</v>
      </c>
      <c r="BE70" s="7">
        <f>VC!AZ32</f>
        <v>0</v>
      </c>
      <c r="BF70" s="7">
        <f>VC!BA32</f>
        <v>0</v>
      </c>
      <c r="BG70" s="7">
        <f>VC!BB32</f>
        <v>0</v>
      </c>
      <c r="BH70" s="7">
        <f>VC!BC32</f>
        <v>0</v>
      </c>
      <c r="BI70" s="7">
        <f>VC!BD32</f>
        <v>0</v>
      </c>
      <c r="BJ70" s="7" t="str">
        <f>VC!BE32</f>
        <v>V358I</v>
      </c>
      <c r="BK70" s="7">
        <f>VC!BF32</f>
        <v>0</v>
      </c>
      <c r="BL70" s="7">
        <f>VC!BG32</f>
        <v>0</v>
      </c>
      <c r="BM70" s="7" t="str">
        <f>VC!BH32</f>
        <v>V358I</v>
      </c>
      <c r="BN70" s="7">
        <f>VC!BI32</f>
        <v>0</v>
      </c>
      <c r="BO70" s="7">
        <f>VC!BJ32</f>
        <v>0</v>
      </c>
      <c r="BP70" s="7">
        <f>VC!BK32</f>
        <v>0</v>
      </c>
      <c r="BQ70" s="7">
        <f>VC!BL32</f>
        <v>0</v>
      </c>
      <c r="BR70" s="7" t="str">
        <f>VC!BM32</f>
        <v>D411A; aa436InsGGF</v>
      </c>
      <c r="BS70" s="7">
        <f>VC!BN32</f>
        <v>0</v>
      </c>
      <c r="BT70" s="7">
        <f>VC!BO32</f>
        <v>0</v>
      </c>
      <c r="BU70" s="7">
        <f>VC!BP32</f>
        <v>0</v>
      </c>
      <c r="BV70" s="7">
        <f>VC!BQ32</f>
        <v>0</v>
      </c>
      <c r="BW70" s="7">
        <f>VC!BR32</f>
        <v>0</v>
      </c>
      <c r="BX70" s="7">
        <f>VC!BS32</f>
        <v>0</v>
      </c>
      <c r="BY70" s="7">
        <f>VC!BT32</f>
        <v>0</v>
      </c>
      <c r="BZ70" s="7">
        <f>VC!BU32</f>
        <v>0</v>
      </c>
      <c r="CA70" s="7">
        <f>VC!BV32</f>
        <v>0</v>
      </c>
      <c r="CB70" s="7">
        <f>VC!BW32</f>
        <v>0</v>
      </c>
      <c r="CC70" s="7">
        <f>VC!BX32</f>
        <v>0</v>
      </c>
      <c r="CD70" s="7">
        <f>VC!BY32</f>
        <v>0</v>
      </c>
      <c r="CE70" s="7">
        <f>VC!BZ32</f>
        <v>0</v>
      </c>
      <c r="CF70" s="7" t="str">
        <f>VC!CA32</f>
        <v>V420M</v>
      </c>
      <c r="CG70" s="7">
        <f>VC!CB32</f>
        <v>0</v>
      </c>
      <c r="CH70" s="7">
        <f>VC!CC32</f>
        <v>0</v>
      </c>
      <c r="CI70" s="7">
        <f>VC!CD32</f>
        <v>0</v>
      </c>
      <c r="CJ70" s="7">
        <f>VC!CE32</f>
        <v>0</v>
      </c>
      <c r="CK70" s="7">
        <f>VC!CF32</f>
        <v>0</v>
      </c>
      <c r="CL70" s="7">
        <f>VC!CG32</f>
        <v>0</v>
      </c>
      <c r="CM70" s="7">
        <f>VC!CH32</f>
        <v>0</v>
      </c>
      <c r="CN70" s="7">
        <f>VC!CI32</f>
        <v>0</v>
      </c>
      <c r="CO70" s="7">
        <f>VC!CJ32</f>
        <v>0</v>
      </c>
      <c r="CP70" s="7">
        <f>VC!CK32</f>
        <v>0</v>
      </c>
      <c r="CQ70" s="7">
        <f>VC!CL32</f>
        <v>0</v>
      </c>
      <c r="CR70" s="7">
        <f>VC!CM32</f>
        <v>0</v>
      </c>
      <c r="CS70" s="7" t="str">
        <f>VC!CN32</f>
        <v>A331T; X452ext</v>
      </c>
      <c r="CT70" s="7">
        <f>VC!CO32</f>
        <v>0</v>
      </c>
      <c r="CU70" s="7" t="str">
        <f>VC!CP32</f>
        <v>C410T</v>
      </c>
      <c r="CV70" s="7">
        <f>VC!CQ32</f>
        <v>0</v>
      </c>
      <c r="CW70" s="7">
        <f>VC!CR32</f>
        <v>0</v>
      </c>
      <c r="CX70" s="7">
        <f>VC!CS32</f>
        <v>0</v>
      </c>
      <c r="CY70" s="7">
        <f>VC!CT32</f>
        <v>0</v>
      </c>
      <c r="CZ70" s="7">
        <f>VC!CU32</f>
        <v>0</v>
      </c>
      <c r="DA70" s="7">
        <f>VC!CV32</f>
        <v>0</v>
      </c>
      <c r="DB70" s="7">
        <f>VC!CW32</f>
        <v>0</v>
      </c>
      <c r="DC70" s="7">
        <f>VC!CX32</f>
        <v>0</v>
      </c>
      <c r="DD70" s="7">
        <f>VC!CY32</f>
        <v>0</v>
      </c>
      <c r="DE70" s="7">
        <f>VC!CZ32</f>
        <v>0</v>
      </c>
      <c r="DF70" s="7">
        <f>VC!DA32</f>
        <v>0</v>
      </c>
      <c r="DG70" s="7">
        <f>VC!DB32</f>
        <v>0</v>
      </c>
      <c r="DH70" s="7" t="str">
        <f>VC!DC32</f>
        <v>G231E</v>
      </c>
      <c r="DI70" s="7">
        <f>VC!DD32</f>
        <v>0</v>
      </c>
      <c r="DJ70" s="7">
        <f>VC!DE32</f>
        <v>0</v>
      </c>
      <c r="DK70" s="7">
        <f>VC!DF32</f>
        <v>0</v>
      </c>
      <c r="DL70" s="7" t="str">
        <f>VC!DG32</f>
        <v>P178L; X452ext</v>
      </c>
      <c r="DM70" s="7">
        <f>VC!DH32</f>
        <v>0</v>
      </c>
      <c r="DN70" s="7">
        <f>VC!DI32</f>
        <v>0</v>
      </c>
      <c r="DO70" s="7">
        <f>VC!DJ32</f>
        <v>0</v>
      </c>
      <c r="DP70" s="7">
        <f>VC!DK32</f>
        <v>0</v>
      </c>
      <c r="DQ70" s="7">
        <f>VC!DL32</f>
        <v>0</v>
      </c>
      <c r="DR70" s="7" t="str">
        <f>VC!DM32</f>
        <v>D411A</v>
      </c>
      <c r="DS70" s="7" t="str">
        <f>VC!DN32</f>
        <v>C410T</v>
      </c>
      <c r="DT70" s="7">
        <f>VC!DO32</f>
        <v>0</v>
      </c>
      <c r="DU70" s="7">
        <f>VC!DP32</f>
        <v>0</v>
      </c>
      <c r="DV70" s="7">
        <f>VC!DQ32</f>
        <v>0</v>
      </c>
      <c r="DW70" s="7">
        <f>VC!DR32</f>
        <v>0</v>
      </c>
      <c r="DX70" s="7">
        <f>VC!DS32</f>
        <v>0</v>
      </c>
      <c r="DY70" s="7">
        <f>VC!DT32</f>
        <v>0</v>
      </c>
      <c r="DZ70" s="7">
        <f>VC!DU32</f>
        <v>0</v>
      </c>
      <c r="EA70" s="7">
        <f>VC!DV32</f>
        <v>0</v>
      </c>
      <c r="EB70" s="7">
        <f>VC!DW32</f>
        <v>0</v>
      </c>
      <c r="EC70" s="7" t="str">
        <f>VC!DX32</f>
        <v>T115A; nt111InsC</v>
      </c>
      <c r="ED70" s="7">
        <f>VC!DY32</f>
        <v>0</v>
      </c>
      <c r="EE70" s="7">
        <f>VC!DZ32</f>
        <v>0</v>
      </c>
      <c r="EF70" s="7">
        <f>VC!EA32</f>
        <v>0</v>
      </c>
      <c r="EG70" s="7">
        <f>VC!EB32</f>
        <v>0</v>
      </c>
      <c r="EH70" s="7">
        <f>VC!EC32</f>
        <v>0</v>
      </c>
      <c r="EI70" s="7">
        <f>VC!ED32</f>
        <v>0</v>
      </c>
      <c r="EJ70" s="7" t="str">
        <f>VC!EE32</f>
        <v>aa35∆4</v>
      </c>
      <c r="EK70" s="7" t="str">
        <f>VC!EF32</f>
        <v>G231E</v>
      </c>
      <c r="EL70" s="7" t="str">
        <f>VC!EG32</f>
        <v>V124I; P274L</v>
      </c>
      <c r="EM70" s="7">
        <f>VC!EH32</f>
        <v>0</v>
      </c>
      <c r="EN70" s="7" t="str">
        <f>VC!EI32</f>
        <v>nt111InsC</v>
      </c>
      <c r="EO70" s="7">
        <f>VC!EJ32</f>
        <v>0</v>
      </c>
      <c r="EP70" s="7">
        <f>VC!EK32</f>
        <v>0</v>
      </c>
      <c r="EQ70" s="7">
        <f>VC!EL32</f>
        <v>0</v>
      </c>
      <c r="ER70" s="7">
        <f>VC!EM32</f>
        <v>0</v>
      </c>
      <c r="ES70" s="7">
        <f>VC!EN32</f>
        <v>0</v>
      </c>
      <c r="ET70" s="7" t="str">
        <f>VC!EO32</f>
        <v>H190Y</v>
      </c>
      <c r="EU70" s="7" t="str">
        <f>VC!EP32</f>
        <v>nt111InsC</v>
      </c>
      <c r="EV70" s="7">
        <f>VC!EQ32</f>
        <v>0</v>
      </c>
      <c r="EW70" s="7" t="str">
        <f>VC!ER32</f>
        <v>I266S; Q347R</v>
      </c>
      <c r="EX70" s="7">
        <f>VC!ES32</f>
        <v>0</v>
      </c>
      <c r="EY70" s="7">
        <f>VC!ET32</f>
        <v>0</v>
      </c>
      <c r="EZ70" s="7">
        <f>VC!EU32</f>
        <v>0</v>
      </c>
      <c r="FA70" s="7">
        <f>VC!EV32</f>
        <v>0</v>
      </c>
      <c r="FB70" s="7">
        <f>VC!EW32</f>
        <v>0</v>
      </c>
      <c r="FC70" s="7">
        <f>VC!EX32</f>
        <v>0</v>
      </c>
      <c r="FD70" s="7">
        <f>VC!EY32</f>
        <v>0</v>
      </c>
      <c r="FE70" s="7">
        <f>VC!EZ32</f>
        <v>0</v>
      </c>
      <c r="FF70" s="7" t="str">
        <f>VC!FA32</f>
        <v>X452ext</v>
      </c>
      <c r="FG70" s="7" t="str">
        <f>VC!FB32</f>
        <v>D411A</v>
      </c>
      <c r="FH70" s="7">
        <f>VC!FC32</f>
        <v>0</v>
      </c>
      <c r="FI70" s="7" t="str">
        <f>VC!FD32</f>
        <v>S131N; A428T</v>
      </c>
      <c r="FJ70" s="7">
        <f>VC!FE32</f>
        <v>0</v>
      </c>
      <c r="FK70" s="7">
        <f>VC!FF32</f>
        <v>0</v>
      </c>
      <c r="FL70" s="7" t="str">
        <f>VC!FG32</f>
        <v>R103P</v>
      </c>
      <c r="FM70" s="7">
        <f>VC!FH32</f>
        <v>0</v>
      </c>
      <c r="FN70" s="7">
        <f>VC!FI32</f>
        <v>0</v>
      </c>
      <c r="FO70" s="7">
        <f>VC!FJ32</f>
        <v>0</v>
      </c>
      <c r="FP70" s="7">
        <f>VC!FK32</f>
        <v>0</v>
      </c>
      <c r="FQ70" s="7" t="str">
        <f>VC!FL32</f>
        <v>V281F</v>
      </c>
      <c r="FR70" s="7">
        <f>VC!FM32</f>
        <v>0</v>
      </c>
      <c r="FS70" s="7">
        <f>VC!FN32</f>
        <v>0</v>
      </c>
      <c r="FT70" s="7">
        <f>VC!FO32</f>
        <v>0</v>
      </c>
      <c r="FU70" s="7">
        <f>VC!FP32</f>
        <v>0</v>
      </c>
      <c r="FV70" s="7">
        <f>VC!FQ32</f>
        <v>0</v>
      </c>
      <c r="FW70" s="7" t="str">
        <f>VC!FR32</f>
        <v>D411A</v>
      </c>
      <c r="FX70" s="7">
        <f>VC!FS32</f>
        <v>0</v>
      </c>
      <c r="FY70" s="7">
        <f>VC!FT32</f>
        <v>0</v>
      </c>
      <c r="FZ70" s="7">
        <f>VC!FU32</f>
        <v>0</v>
      </c>
      <c r="GA70" s="7">
        <f>VC!FV32</f>
        <v>0</v>
      </c>
      <c r="GB70" s="7" t="str">
        <f>VC!FW32</f>
        <v>nt111∆1</v>
      </c>
      <c r="GC70" s="7">
        <f>VC!FX32</f>
        <v>0</v>
      </c>
      <c r="GD70" s="7">
        <f>VC!FY32</f>
        <v>0</v>
      </c>
      <c r="GE70" s="7">
        <f>VC!FZ32</f>
        <v>0</v>
      </c>
      <c r="GF70" s="7">
        <f>VC!GA32</f>
        <v>0</v>
      </c>
      <c r="GG70" s="7">
        <f>VC!GB32</f>
        <v>0</v>
      </c>
      <c r="GH70" s="7" t="str">
        <f>VC!GC32</f>
        <v>D411A</v>
      </c>
      <c r="GI70" s="7">
        <f>VC!GD32</f>
        <v>0</v>
      </c>
      <c r="GJ70" s="7">
        <f>VC!GE32</f>
        <v>0</v>
      </c>
      <c r="GK70" s="7">
        <f>VC!GF32</f>
        <v>0</v>
      </c>
      <c r="GL70" s="7">
        <f>VC!GG32</f>
        <v>0</v>
      </c>
      <c r="GM70" s="7">
        <f>VC!GH32</f>
        <v>0</v>
      </c>
      <c r="GN70" s="7">
        <f>VC!GI32</f>
        <v>0</v>
      </c>
      <c r="GO70" s="7">
        <f>VC!GJ32</f>
        <v>0</v>
      </c>
      <c r="GP70" s="7">
        <f>VC!GK32</f>
        <v>0</v>
      </c>
      <c r="GQ70" s="7">
        <f>VC!GL32</f>
        <v>0</v>
      </c>
      <c r="GR70" s="7">
        <f>VC!GM32</f>
        <v>0</v>
      </c>
      <c r="GS70" s="7">
        <f>VC!GN32</f>
        <v>0</v>
      </c>
      <c r="GT70" s="7">
        <f>VC!GO32</f>
        <v>0</v>
      </c>
      <c r="GU70" s="7">
        <f>VC!GP32</f>
        <v>0</v>
      </c>
      <c r="GV70" s="7">
        <f>VC!GQ32</f>
        <v>0</v>
      </c>
      <c r="GW70" s="7">
        <f>VC!GR32</f>
        <v>0</v>
      </c>
      <c r="GX70" s="7">
        <f>VC!GS32</f>
        <v>0</v>
      </c>
      <c r="GY70" s="7" t="str">
        <f>VC!GT32</f>
        <v>D411A</v>
      </c>
      <c r="GZ70" s="7">
        <f>VC!GU32</f>
        <v>0</v>
      </c>
      <c r="HA70" s="7">
        <f>VC!GV32</f>
        <v>0</v>
      </c>
      <c r="HB70" s="7">
        <f>VC!GW32</f>
        <v>0</v>
      </c>
      <c r="HC70" s="7">
        <f>VC!GX32</f>
        <v>0</v>
      </c>
    </row>
    <row r="71" spans="1:211" s="1" customFormat="1" x14ac:dyDescent="0.25">
      <c r="A71" s="30" t="s">
        <v>28</v>
      </c>
      <c r="B71" s="30" t="s">
        <v>29</v>
      </c>
      <c r="C71" s="31" t="s">
        <v>1</v>
      </c>
      <c r="D71" s="30" t="s">
        <v>76</v>
      </c>
      <c r="E71" s="30">
        <v>1</v>
      </c>
      <c r="F71" s="30" t="s">
        <v>73</v>
      </c>
      <c r="G71" s="30" t="s">
        <v>148</v>
      </c>
      <c r="H71" s="1">
        <f>VC!C33</f>
        <v>0</v>
      </c>
      <c r="I71" s="1">
        <f>VC!D33</f>
        <v>0</v>
      </c>
      <c r="J71" s="1">
        <f>VC!E33</f>
        <v>0</v>
      </c>
      <c r="K71" s="1">
        <f>VC!F33</f>
        <v>0</v>
      </c>
      <c r="L71" s="1">
        <f>VC!G33</f>
        <v>0</v>
      </c>
      <c r="M71" s="1">
        <f>VC!H33</f>
        <v>0</v>
      </c>
      <c r="N71" s="1">
        <f>VC!I33</f>
        <v>0</v>
      </c>
      <c r="O71" s="1">
        <f>VC!J33</f>
        <v>0</v>
      </c>
      <c r="P71" s="1">
        <f>VC!K33</f>
        <v>0</v>
      </c>
      <c r="Q71" s="1">
        <f>VC!L33</f>
        <v>0</v>
      </c>
      <c r="R71" s="1">
        <f>VC!M33</f>
        <v>0</v>
      </c>
      <c r="S71" s="1">
        <f>VC!N33</f>
        <v>0</v>
      </c>
      <c r="T71" s="1">
        <f>VC!O33</f>
        <v>0</v>
      </c>
      <c r="U71" s="1">
        <f>VC!P33</f>
        <v>0</v>
      </c>
      <c r="V71" s="1">
        <f>VC!Q33</f>
        <v>0</v>
      </c>
      <c r="W71" s="1">
        <f>VC!R33</f>
        <v>0</v>
      </c>
      <c r="X71" s="1">
        <f>VC!S33</f>
        <v>0</v>
      </c>
      <c r="Y71" s="1">
        <f>VC!T33</f>
        <v>0</v>
      </c>
      <c r="Z71" s="1">
        <f>VC!U33</f>
        <v>0</v>
      </c>
      <c r="AA71" s="1">
        <f>VC!V33</f>
        <v>0</v>
      </c>
      <c r="AB71" s="1">
        <f>VC!W33</f>
        <v>0</v>
      </c>
      <c r="AC71" s="1">
        <f>VC!X33</f>
        <v>0</v>
      </c>
      <c r="AD71" s="1">
        <f>VC!Y33</f>
        <v>0</v>
      </c>
      <c r="AE71" s="1">
        <f>VC!Z33</f>
        <v>0</v>
      </c>
      <c r="AF71" s="1">
        <f>VC!AA33</f>
        <v>0</v>
      </c>
      <c r="AG71" s="1">
        <f>VC!AB33</f>
        <v>0</v>
      </c>
      <c r="AH71" s="1">
        <f>VC!AC33</f>
        <v>0</v>
      </c>
      <c r="AI71" s="1">
        <f>VC!AD33</f>
        <v>0</v>
      </c>
      <c r="AJ71" s="1">
        <f>VC!AE33</f>
        <v>0</v>
      </c>
      <c r="AK71" s="1">
        <f>VC!AF33</f>
        <v>0</v>
      </c>
      <c r="AL71" s="1">
        <f>VC!AG33</f>
        <v>0</v>
      </c>
      <c r="AM71" s="1" t="str">
        <f>VC!AH33</f>
        <v>A175V</v>
      </c>
      <c r="AN71" s="1">
        <f>VC!AI33</f>
        <v>0</v>
      </c>
      <c r="AO71" s="1">
        <f>VC!AJ33</f>
        <v>0</v>
      </c>
      <c r="AP71" s="1">
        <f>VC!AK33</f>
        <v>0</v>
      </c>
      <c r="AQ71" s="1">
        <f>VC!AL33</f>
        <v>0</v>
      </c>
      <c r="AR71" s="1">
        <f>VC!AM33</f>
        <v>0</v>
      </c>
      <c r="AS71" s="1">
        <f>VC!AN33</f>
        <v>0</v>
      </c>
      <c r="AT71" s="1">
        <f>VC!AO33</f>
        <v>0</v>
      </c>
      <c r="AU71" s="1">
        <f>VC!AP33</f>
        <v>0</v>
      </c>
      <c r="AV71" s="1">
        <f>VC!AQ33</f>
        <v>0</v>
      </c>
      <c r="AW71" s="1">
        <f>VC!AR33</f>
        <v>0</v>
      </c>
      <c r="AX71" s="1">
        <f>VC!AS33</f>
        <v>0</v>
      </c>
      <c r="AY71" s="1">
        <f>VC!AT33</f>
        <v>0</v>
      </c>
      <c r="AZ71" s="1">
        <f>VC!AU33</f>
        <v>0</v>
      </c>
      <c r="BA71" s="1" t="str">
        <f>VC!AV33</f>
        <v>G154R</v>
      </c>
      <c r="BB71" s="1">
        <f>VC!AW33</f>
        <v>0</v>
      </c>
      <c r="BC71" s="1" t="str">
        <f>VC!AX33</f>
        <v>G154R</v>
      </c>
      <c r="BD71" s="1">
        <f>VC!AY33</f>
        <v>0</v>
      </c>
      <c r="BE71" s="1">
        <f>VC!AZ33</f>
        <v>0</v>
      </c>
      <c r="BF71" s="1">
        <f>VC!BA33</f>
        <v>0</v>
      </c>
      <c r="BG71" s="1" t="str">
        <f>VC!BB33</f>
        <v>A16V</v>
      </c>
      <c r="BH71" s="1">
        <f>VC!BC33</f>
        <v>0</v>
      </c>
      <c r="BI71" s="1" t="str">
        <f>VC!BD33</f>
        <v>G154R</v>
      </c>
      <c r="BJ71" s="1">
        <f>VC!BE33</f>
        <v>0</v>
      </c>
      <c r="BL71" s="1">
        <f>VC!BG33</f>
        <v>0</v>
      </c>
      <c r="BM71" s="1" t="str">
        <f>VC!BH33</f>
        <v>G295R</v>
      </c>
      <c r="BN71" s="1" t="str">
        <f>VC!BI33</f>
        <v>D135G</v>
      </c>
      <c r="BO71" s="1">
        <f>VC!BJ33</f>
        <v>0</v>
      </c>
      <c r="BP71" s="1">
        <f>VC!BK33</f>
        <v>0</v>
      </c>
      <c r="BQ71" s="1">
        <f>VC!BL33</f>
        <v>0</v>
      </c>
      <c r="BR71" s="1">
        <f>VC!BM33</f>
        <v>0</v>
      </c>
      <c r="BS71" s="1">
        <f>VC!BN33</f>
        <v>0</v>
      </c>
      <c r="BT71" s="1">
        <f>VC!BO33</f>
        <v>0</v>
      </c>
      <c r="BU71" s="1">
        <f>VC!BP33</f>
        <v>0</v>
      </c>
      <c r="BV71" s="1">
        <f>VC!BQ33</f>
        <v>0</v>
      </c>
      <c r="BW71" s="1">
        <f>VC!BR33</f>
        <v>0</v>
      </c>
      <c r="BX71" s="1" t="str">
        <f>VC!BS33</f>
        <v>S179N</v>
      </c>
      <c r="BY71" s="1">
        <f>VC!BT33</f>
        <v>0</v>
      </c>
      <c r="BZ71" s="1">
        <f>VC!BU33</f>
        <v>0</v>
      </c>
      <c r="CA71" s="1">
        <f>VC!BV33</f>
        <v>0</v>
      </c>
      <c r="CB71" s="1">
        <f>VC!BW33</f>
        <v>0</v>
      </c>
      <c r="CC71" s="1">
        <f>VC!BX33</f>
        <v>0</v>
      </c>
      <c r="CD71" s="1" t="str">
        <f>VC!BY33</f>
        <v>G154R</v>
      </c>
      <c r="CE71" s="1">
        <f>VC!BZ33</f>
        <v>0</v>
      </c>
      <c r="CF71" s="1">
        <f>VC!CA33</f>
        <v>0</v>
      </c>
      <c r="CG71" s="1">
        <f>VC!CB33</f>
        <v>0</v>
      </c>
      <c r="CH71" s="1">
        <f>VC!CC33</f>
        <v>0</v>
      </c>
      <c r="CI71" s="1">
        <f>VC!CD33</f>
        <v>0</v>
      </c>
      <c r="CJ71" s="1" t="str">
        <f>VC!CE33</f>
        <v>G154R</v>
      </c>
      <c r="CK71" s="1" t="str">
        <f>VC!CF33</f>
        <v>G154R</v>
      </c>
      <c r="CL71" s="1">
        <f>VC!CG33</f>
        <v>0</v>
      </c>
      <c r="CM71" s="1">
        <f>VC!CH33</f>
        <v>0</v>
      </c>
      <c r="CN71" s="1">
        <f>VC!CI33</f>
        <v>0</v>
      </c>
      <c r="CO71" s="1" t="str">
        <f>VC!CJ33</f>
        <v>L177V</v>
      </c>
      <c r="CP71" s="1" t="str">
        <f>VC!CK33</f>
        <v>G154R</v>
      </c>
      <c r="CQ71" s="1" t="str">
        <f>VC!CL33</f>
        <v>G154R</v>
      </c>
      <c r="CR71" s="1">
        <f>VC!CM33</f>
        <v>0</v>
      </c>
      <c r="CS71" s="1">
        <f>VC!CN33</f>
        <v>0</v>
      </c>
      <c r="CT71" s="1">
        <f>VC!CO33</f>
        <v>0</v>
      </c>
      <c r="CU71" s="1">
        <f>VC!CP33</f>
        <v>0</v>
      </c>
      <c r="CV71" s="1">
        <f>VC!CQ33</f>
        <v>0</v>
      </c>
      <c r="CW71" s="1">
        <f>VC!CR33</f>
        <v>0</v>
      </c>
      <c r="CX71" s="1">
        <f>VC!CS33</f>
        <v>0</v>
      </c>
      <c r="CY71" s="1">
        <f>VC!CT33</f>
        <v>0</v>
      </c>
      <c r="CZ71" s="1">
        <f>VC!CU33</f>
        <v>0</v>
      </c>
      <c r="DA71" s="1">
        <f>VC!CV33</f>
        <v>0</v>
      </c>
      <c r="DB71" s="1">
        <f>VC!CW33</f>
        <v>0</v>
      </c>
      <c r="DC71" s="1">
        <f>VC!CX33</f>
        <v>0</v>
      </c>
      <c r="DD71" s="1">
        <f>VC!CY33</f>
        <v>0</v>
      </c>
      <c r="DE71" s="1">
        <f>VC!CZ33</f>
        <v>0</v>
      </c>
      <c r="DF71" s="1">
        <f>VC!DA33</f>
        <v>0</v>
      </c>
      <c r="DG71" s="1">
        <f>VC!DB33</f>
        <v>0</v>
      </c>
      <c r="DH71" s="1">
        <f>VC!DC33</f>
        <v>0</v>
      </c>
      <c r="DI71" s="1">
        <f>VC!DD33</f>
        <v>0</v>
      </c>
      <c r="DJ71" s="1" t="str">
        <f>VC!DE33</f>
        <v>D135N</v>
      </c>
      <c r="DK71" s="1">
        <f>VC!DF33</f>
        <v>0</v>
      </c>
      <c r="DL71" s="1">
        <f>VC!DG33</f>
        <v>0</v>
      </c>
      <c r="DM71" s="1">
        <f>VC!DH33</f>
        <v>0</v>
      </c>
      <c r="DN71" s="1">
        <f>VC!DI33</f>
        <v>0</v>
      </c>
      <c r="DO71" s="1">
        <f>VC!DJ33</f>
        <v>0</v>
      </c>
      <c r="DP71" s="1">
        <f>VC!DK33</f>
        <v>0</v>
      </c>
      <c r="DQ71" s="1">
        <f>VC!DL33</f>
        <v>0</v>
      </c>
      <c r="DR71" s="1" t="str">
        <f>VC!DM33</f>
        <v>D135N</v>
      </c>
      <c r="DS71" s="1">
        <f>VC!DN33</f>
        <v>0</v>
      </c>
      <c r="DT71" s="1">
        <f>VC!DO33</f>
        <v>0</v>
      </c>
      <c r="DU71" s="1">
        <f>VC!DP33</f>
        <v>0</v>
      </c>
      <c r="DV71" s="1">
        <f>VC!DQ33</f>
        <v>0</v>
      </c>
      <c r="DW71" s="1">
        <f>VC!DR33</f>
        <v>0</v>
      </c>
      <c r="DX71" s="1">
        <f>VC!DS33</f>
        <v>0</v>
      </c>
      <c r="DZ71" s="1">
        <f>VC!DU33</f>
        <v>0</v>
      </c>
      <c r="EA71" s="1">
        <f>VC!DV33</f>
        <v>0</v>
      </c>
      <c r="EB71" s="1" t="str">
        <f>VC!DW33</f>
        <v>A175V</v>
      </c>
      <c r="EC71" s="1" t="str">
        <f>VC!DX33</f>
        <v>G295R</v>
      </c>
      <c r="ED71" s="1">
        <f>VC!DY33</f>
        <v>0</v>
      </c>
      <c r="EE71" s="1">
        <f>VC!DZ33</f>
        <v>0</v>
      </c>
      <c r="EF71" s="1">
        <f>VC!EA33</f>
        <v>0</v>
      </c>
      <c r="EG71" s="1">
        <f>VC!EB33</f>
        <v>0</v>
      </c>
      <c r="EH71" s="1">
        <f>VC!EC33</f>
        <v>0</v>
      </c>
      <c r="EI71" s="1" t="str">
        <f>VC!ED33</f>
        <v>G231S</v>
      </c>
      <c r="EJ71" s="1">
        <f>VC!EE33</f>
        <v>0</v>
      </c>
      <c r="EK71" s="1">
        <f>VC!EF33</f>
        <v>0</v>
      </c>
      <c r="EL71" s="1">
        <f>VC!EG33</f>
        <v>0</v>
      </c>
      <c r="EM71" s="1">
        <f>VC!EH33</f>
        <v>0</v>
      </c>
      <c r="EN71" s="1">
        <f>VC!EI33</f>
        <v>0</v>
      </c>
      <c r="EO71" s="1">
        <f>VC!EJ33</f>
        <v>0</v>
      </c>
      <c r="EP71" s="1">
        <f>VC!EK33</f>
        <v>0</v>
      </c>
      <c r="EQ71" s="1">
        <f>VC!EL33</f>
        <v>0</v>
      </c>
      <c r="ER71" s="1">
        <f>VC!EM33</f>
        <v>0</v>
      </c>
      <c r="ES71" s="1">
        <f>VC!EN33</f>
        <v>0</v>
      </c>
      <c r="ET71" s="1">
        <f>VC!EO33</f>
        <v>0</v>
      </c>
      <c r="EU71" s="1">
        <f>VC!EP33</f>
        <v>0</v>
      </c>
      <c r="EV71" s="1">
        <f>VC!EQ33</f>
        <v>0</v>
      </c>
      <c r="EW71" s="1">
        <f>VC!ER33</f>
        <v>0</v>
      </c>
      <c r="EX71" s="1">
        <f>VC!ES33</f>
        <v>0</v>
      </c>
      <c r="EY71" s="1">
        <f>VC!ET33</f>
        <v>0</v>
      </c>
      <c r="EZ71" s="1">
        <f>VC!EU33</f>
        <v>0</v>
      </c>
      <c r="FA71" s="1">
        <f>VC!EV33</f>
        <v>0</v>
      </c>
      <c r="FB71" s="1">
        <f>VC!EW33</f>
        <v>0</v>
      </c>
      <c r="FC71" s="1">
        <f>VC!EX33</f>
        <v>0</v>
      </c>
      <c r="FD71" s="1">
        <f>VC!EY33</f>
        <v>0</v>
      </c>
      <c r="FE71" s="1">
        <f>VC!EZ33</f>
        <v>0</v>
      </c>
      <c r="FF71" s="1">
        <f>VC!FA33</f>
        <v>0</v>
      </c>
      <c r="FG71" s="1">
        <f>VC!FB33</f>
        <v>0</v>
      </c>
      <c r="FH71" s="1">
        <f>VC!FC33</f>
        <v>0</v>
      </c>
      <c r="FI71" s="1">
        <f>VC!FD33</f>
        <v>0</v>
      </c>
      <c r="FJ71" s="1">
        <f>VC!FE33</f>
        <v>0</v>
      </c>
      <c r="FK71" s="1">
        <f>VC!FF33</f>
        <v>0</v>
      </c>
      <c r="FL71" s="1">
        <f>VC!FG33</f>
        <v>0</v>
      </c>
      <c r="FM71" s="1">
        <f>VC!FH33</f>
        <v>0</v>
      </c>
      <c r="FN71" s="1" t="str">
        <f>VC!FI33</f>
        <v>A175V</v>
      </c>
      <c r="FO71" s="1" t="str">
        <f>VC!FJ33</f>
        <v>E162Q</v>
      </c>
      <c r="FP71" s="1">
        <f>VC!FK33</f>
        <v>0</v>
      </c>
      <c r="FQ71" s="1">
        <f>VC!FL33</f>
        <v>0</v>
      </c>
      <c r="FR71" s="1">
        <f>VC!FM33</f>
        <v>0</v>
      </c>
      <c r="FS71" s="1">
        <f>VC!FN33</f>
        <v>0</v>
      </c>
      <c r="FT71" s="1">
        <f>VC!FO33</f>
        <v>0</v>
      </c>
      <c r="FU71" s="1">
        <f>VC!FP33</f>
        <v>0</v>
      </c>
      <c r="FV71" s="1">
        <f>VC!FQ33</f>
        <v>0</v>
      </c>
      <c r="FW71" s="1">
        <f>VC!FR33</f>
        <v>0</v>
      </c>
      <c r="FX71" s="1">
        <f>VC!FS33</f>
        <v>0</v>
      </c>
      <c r="FY71" s="1">
        <f>VC!FT33</f>
        <v>0</v>
      </c>
      <c r="FZ71" s="1">
        <f>VC!FU33</f>
        <v>0</v>
      </c>
      <c r="GA71" s="1">
        <f>VC!FV33</f>
        <v>0</v>
      </c>
      <c r="GB71" s="1">
        <f>VC!FW33</f>
        <v>0</v>
      </c>
      <c r="GC71" s="1">
        <f>VC!FX33</f>
        <v>0</v>
      </c>
      <c r="GD71" s="1">
        <f>VC!FY33</f>
        <v>0</v>
      </c>
      <c r="GE71" s="1">
        <f>VC!FZ33</f>
        <v>0</v>
      </c>
      <c r="GF71" s="1">
        <f>VC!GA33</f>
        <v>0</v>
      </c>
      <c r="GG71" s="1">
        <f>VC!GB33</f>
        <v>0</v>
      </c>
      <c r="GH71" s="1">
        <f>VC!GC33</f>
        <v>0</v>
      </c>
      <c r="GI71" s="1">
        <f>VC!GD33</f>
        <v>0</v>
      </c>
      <c r="GJ71" s="1">
        <f>VC!GE33</f>
        <v>0</v>
      </c>
      <c r="GK71" s="1">
        <f>VC!GF33</f>
        <v>0</v>
      </c>
      <c r="GL71" s="1">
        <f>VC!GG33</f>
        <v>0</v>
      </c>
      <c r="GM71" s="1">
        <f>VC!GH33</f>
        <v>0</v>
      </c>
      <c r="GN71" s="1">
        <f>VC!GI33</f>
        <v>0</v>
      </c>
      <c r="GO71" s="1">
        <f>VC!GJ33</f>
        <v>0</v>
      </c>
      <c r="GP71" s="1">
        <f>VC!GK33</f>
        <v>0</v>
      </c>
      <c r="GQ71" s="1">
        <f>VC!GL33</f>
        <v>0</v>
      </c>
      <c r="GR71" s="1">
        <f>VC!GM33</f>
        <v>0</v>
      </c>
      <c r="GS71" s="1">
        <f>VC!GN33</f>
        <v>0</v>
      </c>
      <c r="GT71" s="1">
        <f>VC!GO33</f>
        <v>0</v>
      </c>
      <c r="GU71" s="1">
        <f>VC!GP33</f>
        <v>0</v>
      </c>
      <c r="GV71" s="1" t="str">
        <f>VC!GQ33</f>
        <v>G273E</v>
      </c>
      <c r="GW71" s="1">
        <f>VC!GR33</f>
        <v>0</v>
      </c>
      <c r="GX71" s="1">
        <f>VC!GS33</f>
        <v>0</v>
      </c>
      <c r="GY71" s="1">
        <f>VC!GT33</f>
        <v>0</v>
      </c>
      <c r="GZ71" s="1">
        <f>VC!GU33</f>
        <v>0</v>
      </c>
      <c r="HA71" s="1">
        <f>VC!GV33</f>
        <v>0</v>
      </c>
      <c r="HB71" s="1" t="str">
        <f>VC!GW33</f>
        <v>G154R</v>
      </c>
      <c r="HC71" s="1">
        <f>VC!GX33</f>
        <v>0</v>
      </c>
    </row>
    <row r="72" spans="1:211" s="1" customFormat="1" x14ac:dyDescent="0.25">
      <c r="A72" s="30" t="s">
        <v>28</v>
      </c>
      <c r="B72" s="30" t="s">
        <v>29</v>
      </c>
      <c r="C72" s="31" t="s">
        <v>2</v>
      </c>
      <c r="D72" s="30" t="s">
        <v>76</v>
      </c>
      <c r="E72" s="30">
        <v>0.25</v>
      </c>
      <c r="F72" s="30" t="s">
        <v>73</v>
      </c>
      <c r="G72" s="30" t="s">
        <v>148</v>
      </c>
      <c r="H72" s="1">
        <f>VC!C33</f>
        <v>0</v>
      </c>
      <c r="I72" s="1">
        <f>VC!D33</f>
        <v>0</v>
      </c>
      <c r="J72" s="1">
        <f>VC!E33</f>
        <v>0</v>
      </c>
      <c r="K72" s="1">
        <f>VC!F33</f>
        <v>0</v>
      </c>
      <c r="L72" s="1">
        <f>VC!G33</f>
        <v>0</v>
      </c>
      <c r="M72" s="1">
        <f>VC!H33</f>
        <v>0</v>
      </c>
      <c r="N72" s="1">
        <f>VC!I33</f>
        <v>0</v>
      </c>
      <c r="O72" s="1">
        <f>VC!J33</f>
        <v>0</v>
      </c>
      <c r="P72" s="1">
        <f>VC!K33</f>
        <v>0</v>
      </c>
      <c r="Q72" s="1">
        <f>VC!L33</f>
        <v>0</v>
      </c>
      <c r="R72" s="1">
        <f>VC!M33</f>
        <v>0</v>
      </c>
      <c r="S72" s="1">
        <f>VC!N33</f>
        <v>0</v>
      </c>
      <c r="T72" s="1">
        <f>VC!O33</f>
        <v>0</v>
      </c>
      <c r="U72" s="1">
        <f>VC!P33</f>
        <v>0</v>
      </c>
      <c r="V72" s="1">
        <f>VC!Q33</f>
        <v>0</v>
      </c>
      <c r="W72" s="1">
        <f>VC!R33</f>
        <v>0</v>
      </c>
      <c r="X72" s="1">
        <f>VC!S33</f>
        <v>0</v>
      </c>
      <c r="Y72" s="1">
        <f>VC!T33</f>
        <v>0</v>
      </c>
      <c r="Z72" s="1">
        <f>VC!U33</f>
        <v>0</v>
      </c>
      <c r="AA72" s="1">
        <f>VC!V33</f>
        <v>0</v>
      </c>
      <c r="AB72" s="1">
        <f>VC!W33</f>
        <v>0</v>
      </c>
      <c r="AC72" s="1">
        <f>VC!X33</f>
        <v>0</v>
      </c>
      <c r="AD72" s="1">
        <f>VC!Y33</f>
        <v>0</v>
      </c>
      <c r="AE72" s="1">
        <f>VC!Z33</f>
        <v>0</v>
      </c>
      <c r="AF72" s="1">
        <f>VC!AA33</f>
        <v>0</v>
      </c>
      <c r="AG72" s="1">
        <f>VC!AB33</f>
        <v>0</v>
      </c>
      <c r="AH72" s="1">
        <f>VC!AC33</f>
        <v>0</v>
      </c>
      <c r="AI72" s="1">
        <f>VC!AD33</f>
        <v>0</v>
      </c>
      <c r="AJ72" s="1">
        <f>VC!AE33</f>
        <v>0</v>
      </c>
      <c r="AK72" s="1">
        <f>VC!AF33</f>
        <v>0</v>
      </c>
      <c r="AL72" s="1">
        <f>VC!AG33</f>
        <v>0</v>
      </c>
      <c r="AM72" s="1" t="str">
        <f>VC!AH33</f>
        <v>A175V</v>
      </c>
      <c r="AN72" s="1">
        <f>VC!AI33</f>
        <v>0</v>
      </c>
      <c r="AO72" s="1">
        <f>VC!AJ33</f>
        <v>0</v>
      </c>
      <c r="AP72" s="1">
        <f>VC!AK33</f>
        <v>0</v>
      </c>
      <c r="AQ72" s="1">
        <f>VC!AL33</f>
        <v>0</v>
      </c>
      <c r="AR72" s="1">
        <f>VC!AM33</f>
        <v>0</v>
      </c>
      <c r="AS72" s="1">
        <f>VC!AN33</f>
        <v>0</v>
      </c>
      <c r="AT72" s="1">
        <f>VC!AO33</f>
        <v>0</v>
      </c>
      <c r="AU72" s="1">
        <f>VC!AP33</f>
        <v>0</v>
      </c>
      <c r="AV72" s="1">
        <f>VC!AQ33</f>
        <v>0</v>
      </c>
      <c r="AW72" s="1">
        <f>VC!AR33</f>
        <v>0</v>
      </c>
      <c r="AX72" s="1">
        <f>VC!AS33</f>
        <v>0</v>
      </c>
      <c r="AY72" s="1">
        <f>VC!AT33</f>
        <v>0</v>
      </c>
      <c r="AZ72" s="1">
        <f>VC!AU33</f>
        <v>0</v>
      </c>
      <c r="BA72" s="1" t="str">
        <f>VC!AV33</f>
        <v>G154R</v>
      </c>
      <c r="BB72" s="1">
        <f>VC!AW33</f>
        <v>0</v>
      </c>
      <c r="BC72" s="1" t="str">
        <f>VC!AX33</f>
        <v>G154R</v>
      </c>
      <c r="BD72" s="1">
        <f>VC!AY33</f>
        <v>0</v>
      </c>
      <c r="BE72" s="1">
        <f>VC!AZ33</f>
        <v>0</v>
      </c>
      <c r="BF72" s="1">
        <f>VC!BA33</f>
        <v>0</v>
      </c>
      <c r="BG72" s="1" t="str">
        <f>VC!BB33</f>
        <v>A16V</v>
      </c>
      <c r="BH72" s="1">
        <f>VC!BC33</f>
        <v>0</v>
      </c>
      <c r="BI72" s="1" t="str">
        <f>VC!BD33</f>
        <v>G154R</v>
      </c>
      <c r="BJ72" s="1">
        <f>VC!BE33</f>
        <v>0</v>
      </c>
      <c r="BL72" s="1">
        <f>VC!BG33</f>
        <v>0</v>
      </c>
      <c r="BM72" s="1" t="str">
        <f>VC!BH33</f>
        <v>G295R</v>
      </c>
      <c r="BN72" s="1" t="str">
        <f>VC!BI33</f>
        <v>D135G</v>
      </c>
      <c r="BO72" s="1">
        <f>VC!BJ33</f>
        <v>0</v>
      </c>
      <c r="BP72" s="1">
        <f>VC!BK33</f>
        <v>0</v>
      </c>
      <c r="BQ72" s="1">
        <f>VC!BL33</f>
        <v>0</v>
      </c>
      <c r="BR72" s="1">
        <f>VC!BM33</f>
        <v>0</v>
      </c>
      <c r="BS72" s="1">
        <f>VC!BN33</f>
        <v>0</v>
      </c>
      <c r="BT72" s="1">
        <f>VC!BO33</f>
        <v>0</v>
      </c>
      <c r="BU72" s="1">
        <f>VC!BP33</f>
        <v>0</v>
      </c>
      <c r="BV72" s="1">
        <f>VC!BQ33</f>
        <v>0</v>
      </c>
      <c r="BW72" s="1">
        <f>VC!BR33</f>
        <v>0</v>
      </c>
      <c r="BX72" s="1" t="str">
        <f>VC!BS33</f>
        <v>S179N</v>
      </c>
      <c r="BY72" s="1">
        <f>VC!BT33</f>
        <v>0</v>
      </c>
      <c r="BZ72" s="1">
        <f>VC!BU33</f>
        <v>0</v>
      </c>
      <c r="CA72" s="1">
        <f>VC!BV33</f>
        <v>0</v>
      </c>
      <c r="CB72" s="1">
        <f>VC!BW33</f>
        <v>0</v>
      </c>
      <c r="CC72" s="1">
        <f>VC!BX33</f>
        <v>0</v>
      </c>
      <c r="CD72" s="1" t="str">
        <f>VC!BY33</f>
        <v>G154R</v>
      </c>
      <c r="CE72" s="1">
        <f>VC!BZ33</f>
        <v>0</v>
      </c>
      <c r="CF72" s="1">
        <f>VC!CA33</f>
        <v>0</v>
      </c>
      <c r="CG72" s="1">
        <f>VC!CB33</f>
        <v>0</v>
      </c>
      <c r="CH72" s="1">
        <f>VC!CC33</f>
        <v>0</v>
      </c>
      <c r="CI72" s="1">
        <f>VC!CD33</f>
        <v>0</v>
      </c>
      <c r="CJ72" s="1" t="str">
        <f>VC!CE33</f>
        <v>G154R</v>
      </c>
      <c r="CK72" s="1" t="str">
        <f>VC!CF33</f>
        <v>G154R</v>
      </c>
      <c r="CL72" s="1">
        <f>VC!CG33</f>
        <v>0</v>
      </c>
      <c r="CM72" s="1">
        <f>VC!CH33</f>
        <v>0</v>
      </c>
      <c r="CN72" s="1">
        <f>VC!CI33</f>
        <v>0</v>
      </c>
      <c r="CO72" s="1" t="str">
        <f>VC!CJ33</f>
        <v>L177V</v>
      </c>
      <c r="CP72" s="1" t="str">
        <f>VC!CK33</f>
        <v>G154R</v>
      </c>
      <c r="CQ72" s="1" t="str">
        <f>VC!CL33</f>
        <v>G154R</v>
      </c>
      <c r="CR72" s="1">
        <f>VC!CM33</f>
        <v>0</v>
      </c>
      <c r="CS72" s="1">
        <f>VC!CN33</f>
        <v>0</v>
      </c>
      <c r="CT72" s="1">
        <f>VC!CO33</f>
        <v>0</v>
      </c>
      <c r="CU72" s="1">
        <f>VC!CP33</f>
        <v>0</v>
      </c>
      <c r="CV72" s="1">
        <f>VC!CQ33</f>
        <v>0</v>
      </c>
      <c r="CW72" s="1">
        <f>VC!CR33</f>
        <v>0</v>
      </c>
      <c r="CX72" s="1">
        <f>VC!CS33</f>
        <v>0</v>
      </c>
      <c r="CY72" s="1">
        <f>VC!CT33</f>
        <v>0</v>
      </c>
      <c r="CZ72" s="1">
        <f>VC!CU33</f>
        <v>0</v>
      </c>
      <c r="DA72" s="1">
        <f>VC!CV33</f>
        <v>0</v>
      </c>
      <c r="DB72" s="1">
        <f>VC!CW33</f>
        <v>0</v>
      </c>
      <c r="DC72" s="1">
        <f>VC!CX33</f>
        <v>0</v>
      </c>
      <c r="DD72" s="1">
        <f>VC!CY33</f>
        <v>0</v>
      </c>
      <c r="DE72" s="1">
        <f>VC!CZ33</f>
        <v>0</v>
      </c>
      <c r="DF72" s="1">
        <f>VC!DA33</f>
        <v>0</v>
      </c>
      <c r="DG72" s="1">
        <f>VC!DB33</f>
        <v>0</v>
      </c>
      <c r="DH72" s="1">
        <f>VC!DC33</f>
        <v>0</v>
      </c>
      <c r="DI72" s="1">
        <f>VC!DD33</f>
        <v>0</v>
      </c>
      <c r="DJ72" s="1" t="str">
        <f>VC!DE33</f>
        <v>D135N</v>
      </c>
      <c r="DK72" s="1">
        <f>VC!DF33</f>
        <v>0</v>
      </c>
      <c r="DL72" s="1">
        <f>VC!DG33</f>
        <v>0</v>
      </c>
      <c r="DM72" s="1">
        <f>VC!DH33</f>
        <v>0</v>
      </c>
      <c r="DN72" s="1">
        <f>VC!DI33</f>
        <v>0</v>
      </c>
      <c r="DO72" s="1">
        <f>VC!DJ33</f>
        <v>0</v>
      </c>
      <c r="DP72" s="1">
        <f>VC!DK33</f>
        <v>0</v>
      </c>
      <c r="DQ72" s="1">
        <f>VC!DL33</f>
        <v>0</v>
      </c>
      <c r="DR72" s="1" t="str">
        <f>VC!DM33</f>
        <v>D135N</v>
      </c>
      <c r="DS72" s="1">
        <f>VC!DN33</f>
        <v>0</v>
      </c>
      <c r="DT72" s="1">
        <f>VC!DO33</f>
        <v>0</v>
      </c>
      <c r="DU72" s="1">
        <f>VC!DP33</f>
        <v>0</v>
      </c>
      <c r="DV72" s="1">
        <f>VC!DQ33</f>
        <v>0</v>
      </c>
      <c r="DW72" s="1">
        <f>VC!DR33</f>
        <v>0</v>
      </c>
      <c r="DX72" s="1">
        <f>VC!DS33</f>
        <v>0</v>
      </c>
      <c r="DZ72" s="1">
        <f>VC!DU33</f>
        <v>0</v>
      </c>
      <c r="EA72" s="1">
        <f>VC!DV33</f>
        <v>0</v>
      </c>
      <c r="EB72" s="1" t="str">
        <f>VC!DW33</f>
        <v>A175V</v>
      </c>
      <c r="EC72" s="1" t="str">
        <f>VC!DX33</f>
        <v>G295R</v>
      </c>
      <c r="ED72" s="1">
        <f>VC!DY33</f>
        <v>0</v>
      </c>
      <c r="EE72" s="1">
        <f>VC!DZ33</f>
        <v>0</v>
      </c>
      <c r="EF72" s="1">
        <f>VC!EA33</f>
        <v>0</v>
      </c>
      <c r="EG72" s="1">
        <f>VC!EB33</f>
        <v>0</v>
      </c>
      <c r="EH72" s="1">
        <f>VC!EC33</f>
        <v>0</v>
      </c>
      <c r="EI72" s="1" t="str">
        <f>VC!ED33</f>
        <v>G231S</v>
      </c>
      <c r="EJ72" s="1">
        <f>VC!EE33</f>
        <v>0</v>
      </c>
      <c r="EK72" s="1">
        <f>VC!EF33</f>
        <v>0</v>
      </c>
      <c r="EL72" s="1">
        <f>VC!EG33</f>
        <v>0</v>
      </c>
      <c r="EM72" s="1">
        <f>VC!EH33</f>
        <v>0</v>
      </c>
      <c r="EN72" s="1">
        <f>VC!EI33</f>
        <v>0</v>
      </c>
      <c r="EO72" s="1">
        <f>VC!EJ33</f>
        <v>0</v>
      </c>
      <c r="EP72" s="1">
        <f>VC!EK33</f>
        <v>0</v>
      </c>
      <c r="EQ72" s="1">
        <f>VC!EL33</f>
        <v>0</v>
      </c>
      <c r="ER72" s="1">
        <f>VC!EM33</f>
        <v>0</v>
      </c>
      <c r="ES72" s="1">
        <f>VC!EN33</f>
        <v>0</v>
      </c>
      <c r="ET72" s="1">
        <f>VC!EO33</f>
        <v>0</v>
      </c>
      <c r="EU72" s="1">
        <f>VC!EP33</f>
        <v>0</v>
      </c>
      <c r="EV72" s="1">
        <f>VC!EQ33</f>
        <v>0</v>
      </c>
      <c r="EW72" s="1">
        <f>VC!ER33</f>
        <v>0</v>
      </c>
      <c r="EX72" s="1">
        <f>VC!ES33</f>
        <v>0</v>
      </c>
      <c r="EY72" s="1">
        <f>VC!ET33</f>
        <v>0</v>
      </c>
      <c r="EZ72" s="1">
        <f>VC!EU33</f>
        <v>0</v>
      </c>
      <c r="FA72" s="1">
        <f>VC!EV33</f>
        <v>0</v>
      </c>
      <c r="FB72" s="1">
        <f>VC!EW33</f>
        <v>0</v>
      </c>
      <c r="FC72" s="1">
        <f>VC!EX33</f>
        <v>0</v>
      </c>
      <c r="FD72" s="1">
        <f>VC!EY33</f>
        <v>0</v>
      </c>
      <c r="FE72" s="1">
        <f>VC!EZ33</f>
        <v>0</v>
      </c>
      <c r="FF72" s="1">
        <f>VC!FA33</f>
        <v>0</v>
      </c>
      <c r="FG72" s="1">
        <f>VC!FB33</f>
        <v>0</v>
      </c>
      <c r="FH72" s="1">
        <f>VC!FC33</f>
        <v>0</v>
      </c>
      <c r="FI72" s="1">
        <f>VC!FD33</f>
        <v>0</v>
      </c>
      <c r="FJ72" s="1">
        <f>VC!FE33</f>
        <v>0</v>
      </c>
      <c r="FK72" s="1">
        <f>VC!FF33</f>
        <v>0</v>
      </c>
      <c r="FL72" s="1">
        <f>VC!FG33</f>
        <v>0</v>
      </c>
      <c r="FM72" s="1">
        <f>VC!FH33</f>
        <v>0</v>
      </c>
      <c r="FN72" s="1" t="str">
        <f>VC!FI33</f>
        <v>A175V</v>
      </c>
      <c r="FO72" s="1" t="str">
        <f>VC!FJ33</f>
        <v>E162Q</v>
      </c>
      <c r="FP72" s="1">
        <f>VC!FK33</f>
        <v>0</v>
      </c>
      <c r="FQ72" s="1">
        <f>VC!FL33</f>
        <v>0</v>
      </c>
      <c r="FR72" s="1">
        <f>VC!FM33</f>
        <v>0</v>
      </c>
      <c r="FS72" s="1">
        <f>VC!FN33</f>
        <v>0</v>
      </c>
      <c r="FT72" s="1">
        <f>VC!FO33</f>
        <v>0</v>
      </c>
      <c r="FU72" s="1">
        <f>VC!FP33</f>
        <v>0</v>
      </c>
      <c r="FV72" s="1">
        <f>VC!FQ33</f>
        <v>0</v>
      </c>
      <c r="FW72" s="1">
        <f>VC!FR33</f>
        <v>0</v>
      </c>
      <c r="FX72" s="1">
        <f>VC!FS33</f>
        <v>0</v>
      </c>
      <c r="FY72" s="1">
        <f>VC!FT33</f>
        <v>0</v>
      </c>
      <c r="FZ72" s="1">
        <f>VC!FU33</f>
        <v>0</v>
      </c>
      <c r="GA72" s="1">
        <f>VC!FV33</f>
        <v>0</v>
      </c>
      <c r="GB72" s="1">
        <f>VC!FW33</f>
        <v>0</v>
      </c>
      <c r="GC72" s="1">
        <f>VC!FX33</f>
        <v>0</v>
      </c>
      <c r="GD72" s="1">
        <f>VC!FY33</f>
        <v>0</v>
      </c>
      <c r="GE72" s="1">
        <f>VC!FZ33</f>
        <v>0</v>
      </c>
      <c r="GF72" s="1">
        <f>VC!GA33</f>
        <v>0</v>
      </c>
      <c r="GG72" s="1">
        <f>VC!GB33</f>
        <v>0</v>
      </c>
      <c r="GH72" s="1">
        <f>VC!GC33</f>
        <v>0</v>
      </c>
      <c r="GI72" s="1">
        <f>VC!GD33</f>
        <v>0</v>
      </c>
      <c r="GJ72" s="1">
        <f>VC!GE33</f>
        <v>0</v>
      </c>
      <c r="GK72" s="1">
        <f>VC!GF33</f>
        <v>0</v>
      </c>
      <c r="GL72" s="1">
        <f>VC!GG33</f>
        <v>0</v>
      </c>
      <c r="GM72" s="1">
        <f>VC!GH33</f>
        <v>0</v>
      </c>
      <c r="GN72" s="1">
        <f>VC!GI33</f>
        <v>0</v>
      </c>
      <c r="GO72" s="1">
        <f>VC!GJ33</f>
        <v>0</v>
      </c>
      <c r="GP72" s="1">
        <f>VC!GK33</f>
        <v>0</v>
      </c>
      <c r="GQ72" s="1">
        <f>VC!GL33</f>
        <v>0</v>
      </c>
      <c r="GR72" s="1">
        <f>VC!GM33</f>
        <v>0</v>
      </c>
      <c r="GS72" s="1">
        <f>VC!GN33</f>
        <v>0</v>
      </c>
      <c r="GT72" s="1">
        <f>VC!GO33</f>
        <v>0</v>
      </c>
      <c r="GU72" s="1">
        <f>VC!GP33</f>
        <v>0</v>
      </c>
      <c r="GV72" s="1" t="str">
        <f>VC!GQ33</f>
        <v>G273E</v>
      </c>
      <c r="GW72" s="1">
        <f>VC!GR33</f>
        <v>0</v>
      </c>
      <c r="GX72" s="1">
        <f>VC!GS33</f>
        <v>0</v>
      </c>
      <c r="GY72" s="1">
        <f>VC!GT33</f>
        <v>0</v>
      </c>
      <c r="GZ72" s="1">
        <f>VC!GU33</f>
        <v>0</v>
      </c>
      <c r="HA72" s="1">
        <f>VC!GV33</f>
        <v>0</v>
      </c>
      <c r="HB72" s="1" t="str">
        <f>VC!GW33</f>
        <v>G154R</v>
      </c>
      <c r="HC72" s="1">
        <f>VC!GX33</f>
        <v>0</v>
      </c>
    </row>
    <row r="73" spans="1:211" s="1" customFormat="1" ht="15.75" thickBot="1" x14ac:dyDescent="0.3">
      <c r="A73" s="30" t="s">
        <v>28</v>
      </c>
      <c r="B73" s="30" t="s">
        <v>29</v>
      </c>
      <c r="C73" s="31" t="s">
        <v>3</v>
      </c>
      <c r="D73" s="30" t="s">
        <v>76</v>
      </c>
      <c r="E73" s="30">
        <v>0.25</v>
      </c>
      <c r="F73" s="30" t="s">
        <v>73</v>
      </c>
      <c r="G73" s="30" t="s">
        <v>148</v>
      </c>
      <c r="H73" s="1">
        <f>VC!C33</f>
        <v>0</v>
      </c>
      <c r="I73" s="1">
        <f>VC!D33</f>
        <v>0</v>
      </c>
      <c r="J73" s="1">
        <f>VC!E33</f>
        <v>0</v>
      </c>
      <c r="K73" s="1">
        <f>VC!F33</f>
        <v>0</v>
      </c>
      <c r="L73" s="1">
        <f>VC!G33</f>
        <v>0</v>
      </c>
      <c r="M73" s="1">
        <f>VC!H33</f>
        <v>0</v>
      </c>
      <c r="N73" s="1">
        <f>VC!I33</f>
        <v>0</v>
      </c>
      <c r="O73" s="1">
        <f>VC!J33</f>
        <v>0</v>
      </c>
      <c r="P73" s="1">
        <f>VC!K33</f>
        <v>0</v>
      </c>
      <c r="Q73" s="1">
        <f>VC!L33</f>
        <v>0</v>
      </c>
      <c r="R73" s="1">
        <f>VC!M33</f>
        <v>0</v>
      </c>
      <c r="S73" s="1">
        <f>VC!N33</f>
        <v>0</v>
      </c>
      <c r="T73" s="1">
        <f>VC!O33</f>
        <v>0</v>
      </c>
      <c r="U73" s="1">
        <f>VC!P33</f>
        <v>0</v>
      </c>
      <c r="V73" s="1">
        <f>VC!Q33</f>
        <v>0</v>
      </c>
      <c r="W73" s="1">
        <f>VC!R33</f>
        <v>0</v>
      </c>
      <c r="X73" s="1">
        <f>VC!S33</f>
        <v>0</v>
      </c>
      <c r="Y73" s="1">
        <f>VC!T33</f>
        <v>0</v>
      </c>
      <c r="Z73" s="1">
        <f>VC!U33</f>
        <v>0</v>
      </c>
      <c r="AA73" s="1">
        <f>VC!V33</f>
        <v>0</v>
      </c>
      <c r="AB73" s="1">
        <f>VC!W33</f>
        <v>0</v>
      </c>
      <c r="AC73" s="1">
        <f>VC!X33</f>
        <v>0</v>
      </c>
      <c r="AD73" s="1">
        <f>VC!Y33</f>
        <v>0</v>
      </c>
      <c r="AE73" s="1">
        <f>VC!Z33</f>
        <v>0</v>
      </c>
      <c r="AF73" s="1">
        <f>VC!AA33</f>
        <v>0</v>
      </c>
      <c r="AG73" s="1">
        <f>VC!AB33</f>
        <v>0</v>
      </c>
      <c r="AH73" s="1">
        <f>VC!AC33</f>
        <v>0</v>
      </c>
      <c r="AI73" s="1">
        <f>VC!AD33</f>
        <v>0</v>
      </c>
      <c r="AJ73" s="1">
        <f>VC!AE33</f>
        <v>0</v>
      </c>
      <c r="AK73" s="1">
        <f>VC!AF33</f>
        <v>0</v>
      </c>
      <c r="AL73" s="1">
        <f>VC!AG33</f>
        <v>0</v>
      </c>
      <c r="AM73" s="1" t="str">
        <f>VC!AH33</f>
        <v>A175V</v>
      </c>
      <c r="AN73" s="1">
        <f>VC!AI33</f>
        <v>0</v>
      </c>
      <c r="AO73" s="1">
        <f>VC!AJ33</f>
        <v>0</v>
      </c>
      <c r="AP73" s="1">
        <f>VC!AK33</f>
        <v>0</v>
      </c>
      <c r="AQ73" s="1">
        <f>VC!AL33</f>
        <v>0</v>
      </c>
      <c r="AR73" s="1">
        <f>VC!AM33</f>
        <v>0</v>
      </c>
      <c r="AS73" s="1">
        <f>VC!AN33</f>
        <v>0</v>
      </c>
      <c r="AT73" s="1">
        <f>VC!AO33</f>
        <v>0</v>
      </c>
      <c r="AU73" s="1">
        <f>VC!AP33</f>
        <v>0</v>
      </c>
      <c r="AV73" s="1">
        <f>VC!AQ33</f>
        <v>0</v>
      </c>
      <c r="AW73" s="1">
        <f>VC!AR33</f>
        <v>0</v>
      </c>
      <c r="AX73" s="1">
        <f>VC!AS33</f>
        <v>0</v>
      </c>
      <c r="AY73" s="1">
        <f>VC!AT33</f>
        <v>0</v>
      </c>
      <c r="AZ73" s="1">
        <f>VC!AU33</f>
        <v>0</v>
      </c>
      <c r="BA73" s="1" t="str">
        <f>VC!AV33</f>
        <v>G154R</v>
      </c>
      <c r="BB73" s="1">
        <f>VC!AW33</f>
        <v>0</v>
      </c>
      <c r="BC73" s="1" t="str">
        <f>VC!AX33</f>
        <v>G154R</v>
      </c>
      <c r="BD73" s="1">
        <f>VC!AY33</f>
        <v>0</v>
      </c>
      <c r="BE73" s="1">
        <f>VC!AZ33</f>
        <v>0</v>
      </c>
      <c r="BF73" s="1">
        <f>VC!BA33</f>
        <v>0</v>
      </c>
      <c r="BG73" s="1" t="str">
        <f>VC!BB33</f>
        <v>A16V</v>
      </c>
      <c r="BH73" s="1">
        <f>VC!BC33</f>
        <v>0</v>
      </c>
      <c r="BI73" s="1" t="str">
        <f>VC!BD33</f>
        <v>G154R</v>
      </c>
      <c r="BJ73" s="1">
        <f>VC!BE33</f>
        <v>0</v>
      </c>
      <c r="BL73" s="1">
        <f>VC!BG33</f>
        <v>0</v>
      </c>
      <c r="BM73" s="1" t="str">
        <f>VC!BH33</f>
        <v>G295R</v>
      </c>
      <c r="BN73" s="1" t="str">
        <f>VC!BI33</f>
        <v>D135G</v>
      </c>
      <c r="BO73" s="1">
        <f>VC!BJ33</f>
        <v>0</v>
      </c>
      <c r="BP73" s="1">
        <f>VC!BK33</f>
        <v>0</v>
      </c>
      <c r="BQ73" s="1">
        <f>VC!BL33</f>
        <v>0</v>
      </c>
      <c r="BR73" s="1">
        <f>VC!BM33</f>
        <v>0</v>
      </c>
      <c r="BS73" s="1">
        <f>VC!BN33</f>
        <v>0</v>
      </c>
      <c r="BT73" s="1">
        <f>VC!BO33</f>
        <v>0</v>
      </c>
      <c r="BU73" s="1">
        <f>VC!BP33</f>
        <v>0</v>
      </c>
      <c r="BV73" s="1">
        <f>VC!BQ33</f>
        <v>0</v>
      </c>
      <c r="BW73" s="1">
        <f>VC!BR33</f>
        <v>0</v>
      </c>
      <c r="BX73" s="1" t="str">
        <f>VC!BS33</f>
        <v>S179N</v>
      </c>
      <c r="BY73" s="1">
        <f>VC!BT33</f>
        <v>0</v>
      </c>
      <c r="BZ73" s="1">
        <f>VC!BU33</f>
        <v>0</v>
      </c>
      <c r="CA73" s="1">
        <f>VC!BV33</f>
        <v>0</v>
      </c>
      <c r="CB73" s="1">
        <f>VC!BW33</f>
        <v>0</v>
      </c>
      <c r="CC73" s="1">
        <f>VC!BX33</f>
        <v>0</v>
      </c>
      <c r="CD73" s="1" t="str">
        <f>VC!BY33</f>
        <v>G154R</v>
      </c>
      <c r="CE73" s="1">
        <f>VC!BZ33</f>
        <v>0</v>
      </c>
      <c r="CF73" s="1">
        <f>VC!CA33</f>
        <v>0</v>
      </c>
      <c r="CG73" s="1">
        <f>VC!CB33</f>
        <v>0</v>
      </c>
      <c r="CH73" s="1">
        <f>VC!CC33</f>
        <v>0</v>
      </c>
      <c r="CI73" s="1">
        <f>VC!CD33</f>
        <v>0</v>
      </c>
      <c r="CJ73" s="1" t="str">
        <f>VC!CE33</f>
        <v>G154R</v>
      </c>
      <c r="CK73" s="1" t="str">
        <f>VC!CF33</f>
        <v>G154R</v>
      </c>
      <c r="CL73" s="1">
        <f>VC!CG33</f>
        <v>0</v>
      </c>
      <c r="CM73" s="1">
        <f>VC!CH33</f>
        <v>0</v>
      </c>
      <c r="CN73" s="1">
        <f>VC!CI33</f>
        <v>0</v>
      </c>
      <c r="CO73" s="1" t="str">
        <f>VC!CJ33</f>
        <v>L177V</v>
      </c>
      <c r="CP73" s="1" t="str">
        <f>VC!CK33</f>
        <v>G154R</v>
      </c>
      <c r="CQ73" s="1" t="str">
        <f>VC!CL33</f>
        <v>G154R</v>
      </c>
      <c r="CR73" s="1">
        <f>VC!CM33</f>
        <v>0</v>
      </c>
      <c r="CS73" s="1">
        <f>VC!CN33</f>
        <v>0</v>
      </c>
      <c r="CT73" s="1">
        <f>VC!CO33</f>
        <v>0</v>
      </c>
      <c r="CU73" s="1">
        <f>VC!CP33</f>
        <v>0</v>
      </c>
      <c r="CV73" s="1">
        <f>VC!CQ33</f>
        <v>0</v>
      </c>
      <c r="CW73" s="1">
        <f>VC!CR33</f>
        <v>0</v>
      </c>
      <c r="CX73" s="1">
        <f>VC!CS33</f>
        <v>0</v>
      </c>
      <c r="CY73" s="1">
        <f>VC!CT33</f>
        <v>0</v>
      </c>
      <c r="CZ73" s="1">
        <f>VC!CU33</f>
        <v>0</v>
      </c>
      <c r="DA73" s="1">
        <f>VC!CV33</f>
        <v>0</v>
      </c>
      <c r="DB73" s="1">
        <f>VC!CW33</f>
        <v>0</v>
      </c>
      <c r="DC73" s="1">
        <f>VC!CX33</f>
        <v>0</v>
      </c>
      <c r="DD73" s="1">
        <f>VC!CY33</f>
        <v>0</v>
      </c>
      <c r="DE73" s="1">
        <f>VC!CZ33</f>
        <v>0</v>
      </c>
      <c r="DF73" s="1">
        <f>VC!DA33</f>
        <v>0</v>
      </c>
      <c r="DG73" s="1">
        <f>VC!DB33</f>
        <v>0</v>
      </c>
      <c r="DH73" s="1">
        <f>VC!DC33</f>
        <v>0</v>
      </c>
      <c r="DI73" s="1">
        <f>VC!DD33</f>
        <v>0</v>
      </c>
      <c r="DJ73" s="1" t="str">
        <f>VC!DE33</f>
        <v>D135N</v>
      </c>
      <c r="DK73" s="1">
        <f>VC!DF33</f>
        <v>0</v>
      </c>
      <c r="DL73" s="1">
        <f>VC!DG33</f>
        <v>0</v>
      </c>
      <c r="DM73" s="1">
        <f>VC!DH33</f>
        <v>0</v>
      </c>
      <c r="DN73" s="1">
        <f>VC!DI33</f>
        <v>0</v>
      </c>
      <c r="DO73" s="1">
        <f>VC!DJ33</f>
        <v>0</v>
      </c>
      <c r="DP73" s="1">
        <f>VC!DK33</f>
        <v>0</v>
      </c>
      <c r="DQ73" s="1">
        <f>VC!DL33</f>
        <v>0</v>
      </c>
      <c r="DR73" s="1" t="str">
        <f>VC!DM33</f>
        <v>D135N</v>
      </c>
      <c r="DS73" s="1">
        <f>VC!DN33</f>
        <v>0</v>
      </c>
      <c r="DT73" s="1">
        <f>VC!DO33</f>
        <v>0</v>
      </c>
      <c r="DU73" s="1">
        <f>VC!DP33</f>
        <v>0</v>
      </c>
      <c r="DV73" s="1">
        <f>VC!DQ33</f>
        <v>0</v>
      </c>
      <c r="DW73" s="1">
        <f>VC!DR33</f>
        <v>0</v>
      </c>
      <c r="DX73" s="1">
        <f>VC!DS33</f>
        <v>0</v>
      </c>
      <c r="DZ73" s="1">
        <f>VC!DU33</f>
        <v>0</v>
      </c>
      <c r="EA73" s="1">
        <f>VC!DV33</f>
        <v>0</v>
      </c>
      <c r="EB73" s="1" t="str">
        <f>VC!DW33</f>
        <v>A175V</v>
      </c>
      <c r="EC73" s="1" t="str">
        <f>VC!DX33</f>
        <v>G295R</v>
      </c>
      <c r="ED73" s="1">
        <f>VC!DY33</f>
        <v>0</v>
      </c>
      <c r="EE73" s="1">
        <f>VC!DZ33</f>
        <v>0</v>
      </c>
      <c r="EF73" s="1">
        <f>VC!EA33</f>
        <v>0</v>
      </c>
      <c r="EG73" s="1">
        <f>VC!EB33</f>
        <v>0</v>
      </c>
      <c r="EH73" s="1">
        <f>VC!EC33</f>
        <v>0</v>
      </c>
      <c r="EI73" s="1" t="str">
        <f>VC!ED33</f>
        <v>G231S</v>
      </c>
      <c r="EJ73" s="1">
        <f>VC!EE33</f>
        <v>0</v>
      </c>
      <c r="EK73" s="1">
        <f>VC!EF33</f>
        <v>0</v>
      </c>
      <c r="EL73" s="1">
        <f>VC!EG33</f>
        <v>0</v>
      </c>
      <c r="EM73" s="1">
        <f>VC!EH33</f>
        <v>0</v>
      </c>
      <c r="EN73" s="1">
        <f>VC!EI33</f>
        <v>0</v>
      </c>
      <c r="EO73" s="1">
        <f>VC!EJ33</f>
        <v>0</v>
      </c>
      <c r="EP73" s="1">
        <f>VC!EK33</f>
        <v>0</v>
      </c>
      <c r="EQ73" s="1">
        <f>VC!EL33</f>
        <v>0</v>
      </c>
      <c r="ER73" s="1">
        <f>VC!EM33</f>
        <v>0</v>
      </c>
      <c r="ES73" s="1">
        <f>VC!EN33</f>
        <v>0</v>
      </c>
      <c r="ET73" s="1">
        <f>VC!EO33</f>
        <v>0</v>
      </c>
      <c r="EU73" s="1">
        <f>VC!EP33</f>
        <v>0</v>
      </c>
      <c r="EV73" s="1">
        <f>VC!EQ33</f>
        <v>0</v>
      </c>
      <c r="EW73" s="1">
        <f>VC!ER33</f>
        <v>0</v>
      </c>
      <c r="EX73" s="1">
        <f>VC!ES33</f>
        <v>0</v>
      </c>
      <c r="EY73" s="1">
        <f>VC!ET33</f>
        <v>0</v>
      </c>
      <c r="EZ73" s="1">
        <f>VC!EU33</f>
        <v>0</v>
      </c>
      <c r="FA73" s="1">
        <f>VC!EV33</f>
        <v>0</v>
      </c>
      <c r="FB73" s="1">
        <f>VC!EW33</f>
        <v>0</v>
      </c>
      <c r="FC73" s="1">
        <f>VC!EX33</f>
        <v>0</v>
      </c>
      <c r="FD73" s="1">
        <f>VC!EY33</f>
        <v>0</v>
      </c>
      <c r="FE73" s="1">
        <f>VC!EZ33</f>
        <v>0</v>
      </c>
      <c r="FF73" s="1">
        <f>VC!FA33</f>
        <v>0</v>
      </c>
      <c r="FG73" s="1">
        <f>VC!FB33</f>
        <v>0</v>
      </c>
      <c r="FH73" s="1">
        <f>VC!FC33</f>
        <v>0</v>
      </c>
      <c r="FI73" s="1">
        <f>VC!FD33</f>
        <v>0</v>
      </c>
      <c r="FJ73" s="1">
        <f>VC!FE33</f>
        <v>0</v>
      </c>
      <c r="FK73" s="1">
        <f>VC!FF33</f>
        <v>0</v>
      </c>
      <c r="FL73" s="1">
        <f>VC!FG33</f>
        <v>0</v>
      </c>
      <c r="FM73" s="1">
        <f>VC!FH33</f>
        <v>0</v>
      </c>
      <c r="FN73" s="1" t="str">
        <f>VC!FI33</f>
        <v>A175V</v>
      </c>
      <c r="FO73" s="1" t="str">
        <f>VC!FJ33</f>
        <v>E162Q</v>
      </c>
      <c r="FP73" s="1">
        <f>VC!FK33</f>
        <v>0</v>
      </c>
      <c r="FQ73" s="1">
        <f>VC!FL33</f>
        <v>0</v>
      </c>
      <c r="FR73" s="1">
        <f>VC!FM33</f>
        <v>0</v>
      </c>
      <c r="FS73" s="1">
        <f>VC!FN33</f>
        <v>0</v>
      </c>
      <c r="FT73" s="1">
        <f>VC!FO33</f>
        <v>0</v>
      </c>
      <c r="FU73" s="1">
        <f>VC!FP33</f>
        <v>0</v>
      </c>
      <c r="FV73" s="1">
        <f>VC!FQ33</f>
        <v>0</v>
      </c>
      <c r="FW73" s="1">
        <f>VC!FR33</f>
        <v>0</v>
      </c>
      <c r="FX73" s="1">
        <f>VC!FS33</f>
        <v>0</v>
      </c>
      <c r="FY73" s="1">
        <f>VC!FT33</f>
        <v>0</v>
      </c>
      <c r="FZ73" s="1">
        <f>VC!FU33</f>
        <v>0</v>
      </c>
      <c r="GA73" s="1">
        <f>VC!FV33</f>
        <v>0</v>
      </c>
      <c r="GB73" s="1">
        <f>VC!FW33</f>
        <v>0</v>
      </c>
      <c r="GC73" s="1">
        <f>VC!FX33</f>
        <v>0</v>
      </c>
      <c r="GD73" s="1">
        <f>VC!FY33</f>
        <v>0</v>
      </c>
      <c r="GE73" s="1">
        <f>VC!FZ33</f>
        <v>0</v>
      </c>
      <c r="GF73" s="1">
        <f>VC!GA33</f>
        <v>0</v>
      </c>
      <c r="GG73" s="1">
        <f>VC!GB33</f>
        <v>0</v>
      </c>
      <c r="GH73" s="1">
        <f>VC!GC33</f>
        <v>0</v>
      </c>
      <c r="GI73" s="1">
        <f>VC!GD33</f>
        <v>0</v>
      </c>
      <c r="GJ73" s="1">
        <f>VC!GE33</f>
        <v>0</v>
      </c>
      <c r="GK73" s="1">
        <f>VC!GF33</f>
        <v>0</v>
      </c>
      <c r="GL73" s="1">
        <f>VC!GG33</f>
        <v>0</v>
      </c>
      <c r="GM73" s="1">
        <f>VC!GH33</f>
        <v>0</v>
      </c>
      <c r="GN73" s="1">
        <f>VC!GI33</f>
        <v>0</v>
      </c>
      <c r="GO73" s="1">
        <f>VC!GJ33</f>
        <v>0</v>
      </c>
      <c r="GP73" s="1">
        <f>VC!GK33</f>
        <v>0</v>
      </c>
      <c r="GQ73" s="1">
        <f>VC!GL33</f>
        <v>0</v>
      </c>
      <c r="GR73" s="1">
        <f>VC!GM33</f>
        <v>0</v>
      </c>
      <c r="GS73" s="1">
        <f>VC!GN33</f>
        <v>0</v>
      </c>
      <c r="GT73" s="1">
        <f>VC!GO33</f>
        <v>0</v>
      </c>
      <c r="GU73" s="1">
        <f>VC!GP33</f>
        <v>0</v>
      </c>
      <c r="GV73" s="1" t="str">
        <f>VC!GQ33</f>
        <v>G273E</v>
      </c>
      <c r="GW73" s="1">
        <f>VC!GR33</f>
        <v>0</v>
      </c>
      <c r="GX73" s="1">
        <f>VC!GS33</f>
        <v>0</v>
      </c>
      <c r="GY73" s="1">
        <f>VC!GT33</f>
        <v>0</v>
      </c>
      <c r="GZ73" s="1">
        <f>VC!GU33</f>
        <v>0</v>
      </c>
      <c r="HA73" s="1">
        <f>VC!GV33</f>
        <v>0</v>
      </c>
      <c r="HB73" s="1" t="str">
        <f>VC!GW33</f>
        <v>G154R</v>
      </c>
      <c r="HC73" s="1">
        <f>VC!GX33</f>
        <v>0</v>
      </c>
    </row>
    <row r="74" spans="1:211" s="7" customFormat="1" x14ac:dyDescent="0.25">
      <c r="A74" s="22" t="s">
        <v>30</v>
      </c>
      <c r="B74" s="23" t="s">
        <v>161</v>
      </c>
      <c r="C74" s="24" t="s">
        <v>1</v>
      </c>
      <c r="D74" s="23" t="s">
        <v>76</v>
      </c>
      <c r="E74" s="23">
        <v>0.5</v>
      </c>
      <c r="F74" s="23" t="s">
        <v>73</v>
      </c>
      <c r="G74" s="25" t="s">
        <v>149</v>
      </c>
      <c r="H74" s="7">
        <f>VC!C34</f>
        <v>0</v>
      </c>
      <c r="I74" s="7">
        <f>VC!D34</f>
        <v>0</v>
      </c>
      <c r="J74" s="7">
        <f>VC!E34</f>
        <v>0</v>
      </c>
      <c r="K74" s="7">
        <f>VC!F34</f>
        <v>0</v>
      </c>
      <c r="L74" s="7">
        <f>VC!G34</f>
        <v>0</v>
      </c>
      <c r="M74" s="7">
        <f>VC!H34</f>
        <v>0</v>
      </c>
      <c r="N74" s="7">
        <f>VC!I34</f>
        <v>0</v>
      </c>
      <c r="O74" s="7">
        <f>VC!J34</f>
        <v>0</v>
      </c>
      <c r="P74" s="7">
        <f>VC!K34</f>
        <v>0</v>
      </c>
      <c r="Q74" s="7">
        <f>VC!L34</f>
        <v>0</v>
      </c>
      <c r="R74" s="7">
        <f>VC!M34</f>
        <v>0</v>
      </c>
      <c r="S74" s="7">
        <f>VC!N34</f>
        <v>0</v>
      </c>
      <c r="T74" s="7">
        <f>VC!O34</f>
        <v>0</v>
      </c>
      <c r="U74" s="7">
        <f>VC!P34</f>
        <v>0</v>
      </c>
      <c r="V74" s="7">
        <f>VC!Q34</f>
        <v>0</v>
      </c>
      <c r="W74" s="7">
        <f>VC!R34</f>
        <v>0</v>
      </c>
      <c r="X74" s="7">
        <f>VC!S34</f>
        <v>0</v>
      </c>
      <c r="Y74" s="7">
        <f>VC!T34</f>
        <v>0</v>
      </c>
      <c r="Z74" s="7">
        <f>VC!U34</f>
        <v>0</v>
      </c>
      <c r="AA74" s="7">
        <f>VC!V34</f>
        <v>0</v>
      </c>
      <c r="AB74" s="7">
        <f>VC!W34</f>
        <v>0</v>
      </c>
      <c r="AC74" s="7">
        <f>VC!X34</f>
        <v>0</v>
      </c>
      <c r="AD74" s="7">
        <f>VC!Y34</f>
        <v>0</v>
      </c>
      <c r="AE74" s="7">
        <f>VC!Z34</f>
        <v>0</v>
      </c>
      <c r="AF74" s="7">
        <f>VC!AA34</f>
        <v>0</v>
      </c>
      <c r="AG74" s="7">
        <f>VC!AB34</f>
        <v>0</v>
      </c>
      <c r="AH74" s="7">
        <f>VC!AC34</f>
        <v>0</v>
      </c>
      <c r="AI74" s="7">
        <f>VC!AD34</f>
        <v>0</v>
      </c>
      <c r="AJ74" s="7">
        <f>VC!AE34</f>
        <v>0</v>
      </c>
      <c r="AK74" s="7">
        <f>VC!AF34</f>
        <v>0</v>
      </c>
      <c r="AL74" s="7">
        <f>VC!AG34</f>
        <v>0</v>
      </c>
      <c r="AM74" s="7">
        <f>VC!AH34</f>
        <v>0</v>
      </c>
      <c r="AN74" s="7">
        <f>VC!AI34</f>
        <v>0</v>
      </c>
      <c r="AO74" s="7">
        <f>VC!AJ34</f>
        <v>0</v>
      </c>
      <c r="AP74" s="7">
        <f>VC!AK34</f>
        <v>0</v>
      </c>
      <c r="AQ74" s="7">
        <f>VC!AL34</f>
        <v>0</v>
      </c>
      <c r="AR74" s="7">
        <f>VC!AM34</f>
        <v>0</v>
      </c>
      <c r="AS74" s="7">
        <f>VC!AN34</f>
        <v>0</v>
      </c>
      <c r="AT74" s="7">
        <f>VC!AO34</f>
        <v>0</v>
      </c>
      <c r="AU74" s="7">
        <f>VC!AP34</f>
        <v>0</v>
      </c>
      <c r="AV74" s="7">
        <f>VC!AQ34</f>
        <v>0</v>
      </c>
      <c r="AW74" s="7">
        <f>VC!AR34</f>
        <v>0</v>
      </c>
      <c r="AX74" s="7">
        <f>VC!AS34</f>
        <v>0</v>
      </c>
      <c r="AY74" s="7" t="str">
        <f>VC!AT34</f>
        <v>G391P</v>
      </c>
      <c r="AZ74" s="7">
        <f>VC!AU34</f>
        <v>0</v>
      </c>
      <c r="BA74" s="7">
        <f>VC!AV34</f>
        <v>0</v>
      </c>
      <c r="BB74" s="7">
        <f>VC!AW34</f>
        <v>0</v>
      </c>
      <c r="BC74" s="7">
        <f>VC!AX34</f>
        <v>0</v>
      </c>
      <c r="BD74" s="7">
        <f>VC!AY34</f>
        <v>0</v>
      </c>
      <c r="BE74" s="7">
        <f>VC!AZ34</f>
        <v>0</v>
      </c>
      <c r="BF74" s="7">
        <f>VC!BA34</f>
        <v>0</v>
      </c>
      <c r="BG74" s="7">
        <f>VC!BB34</f>
        <v>0</v>
      </c>
      <c r="BH74" s="7">
        <f>VC!BC34</f>
        <v>0</v>
      </c>
      <c r="BI74" s="7" t="str">
        <f>VC!BD34</f>
        <v>E247G</v>
      </c>
      <c r="BJ74" s="7">
        <f>VC!BE34</f>
        <v>0</v>
      </c>
      <c r="BK74" s="7">
        <f>VC!BF34</f>
        <v>0</v>
      </c>
      <c r="BL74" s="7">
        <f>VC!BG34</f>
        <v>0</v>
      </c>
      <c r="BM74" s="7">
        <f>VC!BH34</f>
        <v>0</v>
      </c>
      <c r="BN74" s="7" t="str">
        <f>VC!BI34</f>
        <v>R235H</v>
      </c>
      <c r="BO74" s="7">
        <f>VC!BJ34</f>
        <v>0</v>
      </c>
      <c r="BP74" s="7">
        <f>VC!BK34</f>
        <v>0</v>
      </c>
      <c r="BQ74" s="7">
        <f>VC!BL34</f>
        <v>0</v>
      </c>
      <c r="BR74" s="7">
        <f>VC!BM34</f>
        <v>0</v>
      </c>
      <c r="BS74" s="7">
        <f>VC!BN34</f>
        <v>0</v>
      </c>
      <c r="BT74" s="7">
        <f>VC!BO34</f>
        <v>0</v>
      </c>
      <c r="BU74" s="7">
        <f>VC!BP34</f>
        <v>0</v>
      </c>
      <c r="BV74" s="7">
        <f>VC!BQ34</f>
        <v>0</v>
      </c>
      <c r="BW74" s="7">
        <f>VC!BR34</f>
        <v>0</v>
      </c>
      <c r="BX74" s="7">
        <f>VC!BS34</f>
        <v>0</v>
      </c>
      <c r="BY74" s="7" t="str">
        <f>VC!BT34</f>
        <v>G391P</v>
      </c>
      <c r="BZ74" s="7">
        <f>VC!BU34</f>
        <v>0</v>
      </c>
      <c r="CA74" s="7">
        <f>VC!BV34</f>
        <v>0</v>
      </c>
      <c r="CB74" s="7">
        <f>VC!BW34</f>
        <v>0</v>
      </c>
      <c r="CC74" s="7">
        <f>VC!BX34</f>
        <v>0</v>
      </c>
      <c r="CD74" s="7">
        <f>VC!BY34</f>
        <v>0</v>
      </c>
      <c r="CE74" s="7">
        <f>VC!BZ34</f>
        <v>0</v>
      </c>
      <c r="CF74" s="7">
        <f>VC!CA34</f>
        <v>0</v>
      </c>
      <c r="CG74" s="7">
        <f>VC!CB34</f>
        <v>0</v>
      </c>
      <c r="CH74" s="7">
        <f>VC!CC34</f>
        <v>0</v>
      </c>
      <c r="CI74" s="7">
        <f>VC!CD34</f>
        <v>0</v>
      </c>
      <c r="CJ74" s="7">
        <f>VC!CE34</f>
        <v>0</v>
      </c>
      <c r="CK74" s="7">
        <f>VC!CF34</f>
        <v>0</v>
      </c>
      <c r="CL74" s="7">
        <f>VC!CG34</f>
        <v>0</v>
      </c>
      <c r="CM74" s="7">
        <f>VC!CH34</f>
        <v>0</v>
      </c>
      <c r="CN74" s="7">
        <f>VC!CI34</f>
        <v>0</v>
      </c>
      <c r="CO74" s="7">
        <f>VC!CJ34</f>
        <v>0</v>
      </c>
      <c r="CP74" s="7">
        <f>VC!CK34</f>
        <v>0</v>
      </c>
      <c r="CQ74" s="7">
        <f>VC!CL34</f>
        <v>0</v>
      </c>
      <c r="CR74" s="7">
        <f>VC!CM34</f>
        <v>0</v>
      </c>
      <c r="CS74" s="7">
        <f>VC!CN34</f>
        <v>0</v>
      </c>
      <c r="CT74" s="7">
        <f>VC!CO34</f>
        <v>0</v>
      </c>
      <c r="CU74" s="7">
        <f>VC!CP34</f>
        <v>0</v>
      </c>
      <c r="CV74" s="7">
        <f>VC!CQ34</f>
        <v>0</v>
      </c>
      <c r="CW74" s="7">
        <f>VC!CR34</f>
        <v>0</v>
      </c>
      <c r="CX74" s="7">
        <f>VC!CS34</f>
        <v>0</v>
      </c>
      <c r="CY74" s="7">
        <f>VC!CT34</f>
        <v>0</v>
      </c>
      <c r="CZ74" s="7">
        <f>VC!CU34</f>
        <v>0</v>
      </c>
      <c r="DA74" s="7" t="str">
        <f>VC!CV34</f>
        <v>G391P</v>
      </c>
      <c r="DB74" s="7">
        <f>VC!CW34</f>
        <v>0</v>
      </c>
      <c r="DC74" s="7">
        <f>VC!CX34</f>
        <v>0</v>
      </c>
      <c r="DD74" s="7">
        <f>VC!CY34</f>
        <v>0</v>
      </c>
      <c r="DE74" s="7">
        <f>VC!CZ34</f>
        <v>0</v>
      </c>
      <c r="DF74" s="7">
        <f>VC!DA34</f>
        <v>0</v>
      </c>
      <c r="DG74" s="7" t="str">
        <f>VC!DB34</f>
        <v>G391P</v>
      </c>
      <c r="DH74" s="7">
        <f>VC!DC34</f>
        <v>0</v>
      </c>
      <c r="DI74" s="7">
        <f>VC!DD34</f>
        <v>0</v>
      </c>
      <c r="DJ74" s="7">
        <f>VC!DE34</f>
        <v>0</v>
      </c>
      <c r="DK74" s="7">
        <f>VC!DF34</f>
        <v>0</v>
      </c>
      <c r="DL74" s="7">
        <f>VC!DG34</f>
        <v>0</v>
      </c>
      <c r="DM74" s="7">
        <f>VC!DH34</f>
        <v>0</v>
      </c>
      <c r="DN74" s="7">
        <f>VC!DI34</f>
        <v>0</v>
      </c>
      <c r="DO74" s="7">
        <f>VC!DJ34</f>
        <v>0</v>
      </c>
      <c r="DP74" s="7">
        <f>VC!DK34</f>
        <v>0</v>
      </c>
      <c r="DQ74" s="7">
        <f>VC!DL34</f>
        <v>0</v>
      </c>
      <c r="DR74" s="7">
        <f>VC!DM34</f>
        <v>0</v>
      </c>
      <c r="DS74" s="7">
        <f>VC!DN34</f>
        <v>0</v>
      </c>
      <c r="DT74" s="7">
        <f>VC!DO34</f>
        <v>0</v>
      </c>
      <c r="DU74" s="7">
        <f>VC!DP34</f>
        <v>0</v>
      </c>
      <c r="DV74" s="7">
        <f>VC!DQ34</f>
        <v>0</v>
      </c>
      <c r="DW74" s="7">
        <f>VC!DR34</f>
        <v>0</v>
      </c>
      <c r="DX74" s="7">
        <f>VC!DS34</f>
        <v>0</v>
      </c>
      <c r="DY74" s="7">
        <f>VC!DT34</f>
        <v>0</v>
      </c>
      <c r="DZ74" s="7">
        <f>VC!DU34</f>
        <v>0</v>
      </c>
      <c r="EA74" s="7">
        <f>VC!DV34</f>
        <v>0</v>
      </c>
      <c r="EB74" s="7">
        <f>VC!DW34</f>
        <v>0</v>
      </c>
      <c r="EC74" s="7">
        <f>VC!DX34</f>
        <v>0</v>
      </c>
      <c r="ED74" s="7">
        <f>VC!DY34</f>
        <v>0</v>
      </c>
      <c r="EE74" s="7">
        <f>VC!DZ34</f>
        <v>0</v>
      </c>
      <c r="EF74" s="7">
        <f>VC!EA34</f>
        <v>0</v>
      </c>
      <c r="EG74" s="7">
        <f>VC!EB34</f>
        <v>0</v>
      </c>
      <c r="EH74" s="7">
        <f>VC!EC34</f>
        <v>0</v>
      </c>
      <c r="EI74" s="7">
        <f>VC!ED34</f>
        <v>0</v>
      </c>
      <c r="EJ74" s="7">
        <f>VC!EE34</f>
        <v>0</v>
      </c>
      <c r="EK74" s="7">
        <f>VC!EF34</f>
        <v>0</v>
      </c>
      <c r="EL74" s="7" t="str">
        <f>VC!EG34</f>
        <v>Q311L</v>
      </c>
      <c r="EM74" s="7">
        <f>VC!EH34</f>
        <v>0</v>
      </c>
      <c r="EN74" s="7">
        <f>VC!EI34</f>
        <v>0</v>
      </c>
      <c r="EO74" s="7">
        <f>VC!EJ34</f>
        <v>0</v>
      </c>
      <c r="EP74" s="7">
        <f>VC!EK34</f>
        <v>0</v>
      </c>
      <c r="EQ74" s="7" t="str">
        <f>VC!EL34</f>
        <v>G391P</v>
      </c>
      <c r="ER74" s="7">
        <f>VC!EM34</f>
        <v>0</v>
      </c>
      <c r="ES74" s="7">
        <f>VC!EN34</f>
        <v>0</v>
      </c>
      <c r="ET74" s="7">
        <f>VC!EO34</f>
        <v>0</v>
      </c>
      <c r="EU74" s="7">
        <f>VC!EP34</f>
        <v>0</v>
      </c>
      <c r="EV74" s="7">
        <f>VC!EQ34</f>
        <v>0</v>
      </c>
      <c r="EW74" s="7">
        <f>VC!ER34</f>
        <v>0</v>
      </c>
      <c r="EX74" s="7">
        <f>VC!ES34</f>
        <v>0</v>
      </c>
      <c r="EY74" s="7">
        <f>VC!ET34</f>
        <v>0</v>
      </c>
      <c r="EZ74" s="7">
        <f>VC!EU34</f>
        <v>0</v>
      </c>
      <c r="FA74" s="7">
        <f>VC!EV34</f>
        <v>0</v>
      </c>
      <c r="FB74" s="7">
        <f>VC!EW34</f>
        <v>0</v>
      </c>
      <c r="FC74" s="7" t="str">
        <f>VC!EX34</f>
        <v>P82L</v>
      </c>
      <c r="FD74" s="7">
        <f>VC!EY34</f>
        <v>0</v>
      </c>
      <c r="FE74" s="7">
        <f>VC!EZ34</f>
        <v>0</v>
      </c>
      <c r="FF74" s="7">
        <f>VC!FA34</f>
        <v>0</v>
      </c>
      <c r="FG74" s="7">
        <f>VC!FB34</f>
        <v>0</v>
      </c>
      <c r="FH74" s="7">
        <f>VC!FC34</f>
        <v>0</v>
      </c>
      <c r="FI74" s="7">
        <f>VC!FD34</f>
        <v>0</v>
      </c>
      <c r="FJ74" s="7">
        <f>VC!FE34</f>
        <v>0</v>
      </c>
      <c r="FK74" s="7">
        <f>VC!FF34</f>
        <v>0</v>
      </c>
      <c r="FL74" s="7">
        <f>VC!FG34</f>
        <v>0</v>
      </c>
      <c r="FM74" s="7">
        <f>VC!FH34</f>
        <v>0</v>
      </c>
      <c r="FN74" s="7">
        <f>VC!FI34</f>
        <v>0</v>
      </c>
      <c r="FO74" s="7">
        <f>VC!FJ34</f>
        <v>0</v>
      </c>
      <c r="FP74" s="7">
        <f>VC!FK34</f>
        <v>0</v>
      </c>
      <c r="FQ74" s="7">
        <f>VC!FL34</f>
        <v>0</v>
      </c>
      <c r="FR74" s="7">
        <f>VC!FM34</f>
        <v>0</v>
      </c>
      <c r="FS74" s="7">
        <f>VC!FN34</f>
        <v>0</v>
      </c>
      <c r="FT74" s="7">
        <f>VC!FO34</f>
        <v>0</v>
      </c>
      <c r="FU74" s="7">
        <f>VC!FP34</f>
        <v>0</v>
      </c>
      <c r="FV74" s="7">
        <f>VC!FQ34</f>
        <v>0</v>
      </c>
      <c r="FW74" s="7">
        <f>VC!FR34</f>
        <v>0</v>
      </c>
      <c r="FX74" s="7">
        <f>VC!FS34</f>
        <v>0</v>
      </c>
      <c r="FY74" s="7">
        <f>VC!FT34</f>
        <v>0</v>
      </c>
      <c r="FZ74" s="7">
        <f>VC!FU34</f>
        <v>0</v>
      </c>
      <c r="GA74" s="7">
        <f>VC!FV34</f>
        <v>0</v>
      </c>
      <c r="GB74" s="7">
        <f>VC!FW34</f>
        <v>0</v>
      </c>
      <c r="GC74" s="7">
        <f>VC!FX34</f>
        <v>0</v>
      </c>
      <c r="GD74" s="7">
        <f>VC!FY34</f>
        <v>0</v>
      </c>
      <c r="GE74" s="7">
        <f>VC!FZ34</f>
        <v>0</v>
      </c>
      <c r="GF74" s="7">
        <f>VC!GA34</f>
        <v>0</v>
      </c>
      <c r="GG74" s="7">
        <f>VC!GB34</f>
        <v>0</v>
      </c>
      <c r="GH74" s="7">
        <f>VC!GC34</f>
        <v>0</v>
      </c>
      <c r="GI74" s="7">
        <f>VC!GD34</f>
        <v>0</v>
      </c>
      <c r="GJ74" s="7">
        <f>VC!GE34</f>
        <v>0</v>
      </c>
      <c r="GK74" s="7">
        <f>VC!GF34</f>
        <v>0</v>
      </c>
      <c r="GL74" s="7">
        <f>VC!GG34</f>
        <v>0</v>
      </c>
      <c r="GM74" s="7">
        <f>VC!GH34</f>
        <v>0</v>
      </c>
      <c r="GN74" s="7">
        <f>VC!GI34</f>
        <v>0</v>
      </c>
      <c r="GO74" s="7">
        <f>VC!GJ34</f>
        <v>0</v>
      </c>
      <c r="GP74" s="7">
        <f>VC!GK34</f>
        <v>0</v>
      </c>
      <c r="GQ74" s="7">
        <f>VC!GL34</f>
        <v>0</v>
      </c>
      <c r="GR74" s="7">
        <f>VC!GM34</f>
        <v>0</v>
      </c>
      <c r="GS74" s="7">
        <f>VC!GN34</f>
        <v>0</v>
      </c>
      <c r="GT74" s="7">
        <f>VC!GO34</f>
        <v>0</v>
      </c>
      <c r="GU74" s="7">
        <f>VC!GP34</f>
        <v>0</v>
      </c>
      <c r="GV74" s="7">
        <f>VC!GQ34</f>
        <v>0</v>
      </c>
      <c r="GW74" s="7">
        <f>VC!GR34</f>
        <v>0</v>
      </c>
      <c r="GX74" s="7">
        <f>VC!GS34</f>
        <v>0</v>
      </c>
      <c r="GY74" s="7">
        <f>VC!GT34</f>
        <v>0</v>
      </c>
      <c r="GZ74" s="7">
        <f>VC!GU34</f>
        <v>0</v>
      </c>
      <c r="HA74" s="7">
        <f>VC!GV34</f>
        <v>0</v>
      </c>
      <c r="HB74" s="7">
        <f>VC!GW34</f>
        <v>0</v>
      </c>
      <c r="HC74" s="7">
        <f>VC!GX34</f>
        <v>0</v>
      </c>
    </row>
    <row r="75" spans="1:211" s="7" customFormat="1" ht="15.75" thickBot="1" x14ac:dyDescent="0.3">
      <c r="A75" s="26" t="s">
        <v>30</v>
      </c>
      <c r="B75" s="27" t="s">
        <v>161</v>
      </c>
      <c r="C75" s="28" t="s">
        <v>3</v>
      </c>
      <c r="D75" s="27" t="s">
        <v>76</v>
      </c>
      <c r="E75" s="27">
        <v>0.75</v>
      </c>
      <c r="F75" s="27" t="s">
        <v>73</v>
      </c>
      <c r="G75" s="29" t="s">
        <v>149</v>
      </c>
      <c r="H75" s="7">
        <f>VC!C34</f>
        <v>0</v>
      </c>
      <c r="I75" s="7">
        <f>VC!D34</f>
        <v>0</v>
      </c>
      <c r="J75" s="7">
        <f>VC!E34</f>
        <v>0</v>
      </c>
      <c r="K75" s="7">
        <f>VC!F34</f>
        <v>0</v>
      </c>
      <c r="L75" s="7">
        <f>VC!G34</f>
        <v>0</v>
      </c>
      <c r="M75" s="7">
        <f>VC!H34</f>
        <v>0</v>
      </c>
      <c r="N75" s="7">
        <f>VC!I34</f>
        <v>0</v>
      </c>
      <c r="O75" s="7">
        <f>VC!J34</f>
        <v>0</v>
      </c>
      <c r="P75" s="7">
        <f>VC!K34</f>
        <v>0</v>
      </c>
      <c r="Q75" s="7">
        <f>VC!L34</f>
        <v>0</v>
      </c>
      <c r="R75" s="7">
        <f>VC!M34</f>
        <v>0</v>
      </c>
      <c r="S75" s="7">
        <f>VC!N34</f>
        <v>0</v>
      </c>
      <c r="T75" s="7">
        <f>VC!O34</f>
        <v>0</v>
      </c>
      <c r="U75" s="7">
        <f>VC!P34</f>
        <v>0</v>
      </c>
      <c r="V75" s="7">
        <f>VC!Q34</f>
        <v>0</v>
      </c>
      <c r="W75" s="7">
        <f>VC!R34</f>
        <v>0</v>
      </c>
      <c r="X75" s="7">
        <f>VC!S34</f>
        <v>0</v>
      </c>
      <c r="Y75" s="7">
        <f>VC!T34</f>
        <v>0</v>
      </c>
      <c r="Z75" s="7">
        <f>VC!U34</f>
        <v>0</v>
      </c>
      <c r="AA75" s="7">
        <f>VC!V34</f>
        <v>0</v>
      </c>
      <c r="AB75" s="7">
        <f>VC!W34</f>
        <v>0</v>
      </c>
      <c r="AC75" s="7">
        <f>VC!X34</f>
        <v>0</v>
      </c>
      <c r="AD75" s="7">
        <f>VC!Y34</f>
        <v>0</v>
      </c>
      <c r="AE75" s="7">
        <f>VC!Z34</f>
        <v>0</v>
      </c>
      <c r="AF75" s="7">
        <f>VC!AA34</f>
        <v>0</v>
      </c>
      <c r="AG75" s="7">
        <f>VC!AB34</f>
        <v>0</v>
      </c>
      <c r="AH75" s="7">
        <f>VC!AC34</f>
        <v>0</v>
      </c>
      <c r="AI75" s="7">
        <f>VC!AD34</f>
        <v>0</v>
      </c>
      <c r="AJ75" s="7">
        <f>VC!AE34</f>
        <v>0</v>
      </c>
      <c r="AK75" s="7">
        <f>VC!AF34</f>
        <v>0</v>
      </c>
      <c r="AL75" s="7">
        <f>VC!AG34</f>
        <v>0</v>
      </c>
      <c r="AM75" s="7">
        <f>VC!AH34</f>
        <v>0</v>
      </c>
      <c r="AN75" s="7">
        <f>VC!AI34</f>
        <v>0</v>
      </c>
      <c r="AO75" s="7">
        <f>VC!AJ34</f>
        <v>0</v>
      </c>
      <c r="AP75" s="7">
        <f>VC!AK34</f>
        <v>0</v>
      </c>
      <c r="AQ75" s="7">
        <f>VC!AL34</f>
        <v>0</v>
      </c>
      <c r="AR75" s="7">
        <f>VC!AM34</f>
        <v>0</v>
      </c>
      <c r="AS75" s="7">
        <f>VC!AN34</f>
        <v>0</v>
      </c>
      <c r="AT75" s="7">
        <f>VC!AO34</f>
        <v>0</v>
      </c>
      <c r="AU75" s="7">
        <f>VC!AP34</f>
        <v>0</v>
      </c>
      <c r="AV75" s="7">
        <f>VC!AQ34</f>
        <v>0</v>
      </c>
      <c r="AW75" s="7">
        <f>VC!AR34</f>
        <v>0</v>
      </c>
      <c r="AX75" s="7">
        <f>VC!AS34</f>
        <v>0</v>
      </c>
      <c r="AY75" s="7" t="str">
        <f>VC!AT34</f>
        <v>G391P</v>
      </c>
      <c r="AZ75" s="7">
        <f>VC!AU34</f>
        <v>0</v>
      </c>
      <c r="BA75" s="7">
        <f>VC!AV34</f>
        <v>0</v>
      </c>
      <c r="BB75" s="7">
        <f>VC!AW34</f>
        <v>0</v>
      </c>
      <c r="BC75" s="7">
        <f>VC!AX34</f>
        <v>0</v>
      </c>
      <c r="BD75" s="7">
        <f>VC!AY34</f>
        <v>0</v>
      </c>
      <c r="BE75" s="7">
        <f>VC!AZ34</f>
        <v>0</v>
      </c>
      <c r="BF75" s="7">
        <f>VC!BA34</f>
        <v>0</v>
      </c>
      <c r="BG75" s="7">
        <f>VC!BB34</f>
        <v>0</v>
      </c>
      <c r="BH75" s="7">
        <f>VC!BC34</f>
        <v>0</v>
      </c>
      <c r="BI75" s="7" t="str">
        <f>VC!BD34</f>
        <v>E247G</v>
      </c>
      <c r="BJ75" s="7">
        <f>VC!BE34</f>
        <v>0</v>
      </c>
      <c r="BK75" s="7">
        <f>VC!BF34</f>
        <v>0</v>
      </c>
      <c r="BL75" s="7">
        <f>VC!BG34</f>
        <v>0</v>
      </c>
      <c r="BM75" s="7">
        <f>VC!BH34</f>
        <v>0</v>
      </c>
      <c r="BN75" s="7" t="str">
        <f>VC!BI34</f>
        <v>R235H</v>
      </c>
      <c r="BO75" s="7">
        <f>VC!BJ34</f>
        <v>0</v>
      </c>
      <c r="BP75" s="7">
        <f>VC!BK34</f>
        <v>0</v>
      </c>
      <c r="BQ75" s="7">
        <f>VC!BL34</f>
        <v>0</v>
      </c>
      <c r="BR75" s="7">
        <f>VC!BM34</f>
        <v>0</v>
      </c>
      <c r="BS75" s="7">
        <f>VC!BN34</f>
        <v>0</v>
      </c>
      <c r="BT75" s="7">
        <f>VC!BO34</f>
        <v>0</v>
      </c>
      <c r="BU75" s="7">
        <f>VC!BP34</f>
        <v>0</v>
      </c>
      <c r="BV75" s="7">
        <f>VC!BQ34</f>
        <v>0</v>
      </c>
      <c r="BW75" s="7">
        <f>VC!BR34</f>
        <v>0</v>
      </c>
      <c r="BX75" s="7">
        <f>VC!BS34</f>
        <v>0</v>
      </c>
      <c r="BY75" s="7" t="str">
        <f>VC!BT34</f>
        <v>G391P</v>
      </c>
      <c r="BZ75" s="7">
        <f>VC!BU34</f>
        <v>0</v>
      </c>
      <c r="CA75" s="7">
        <f>VC!BV34</f>
        <v>0</v>
      </c>
      <c r="CB75" s="7">
        <f>VC!BW34</f>
        <v>0</v>
      </c>
      <c r="CC75" s="7">
        <f>VC!BX34</f>
        <v>0</v>
      </c>
      <c r="CD75" s="7">
        <f>VC!BY34</f>
        <v>0</v>
      </c>
      <c r="CE75" s="7">
        <f>VC!BZ34</f>
        <v>0</v>
      </c>
      <c r="CF75" s="7">
        <f>VC!CA34</f>
        <v>0</v>
      </c>
      <c r="CG75" s="7">
        <f>VC!CB34</f>
        <v>0</v>
      </c>
      <c r="CH75" s="7">
        <f>VC!CC34</f>
        <v>0</v>
      </c>
      <c r="CI75" s="7">
        <f>VC!CD34</f>
        <v>0</v>
      </c>
      <c r="CJ75" s="7">
        <f>VC!CE34</f>
        <v>0</v>
      </c>
      <c r="CK75" s="7">
        <f>VC!CF34</f>
        <v>0</v>
      </c>
      <c r="CL75" s="7">
        <f>VC!CG34</f>
        <v>0</v>
      </c>
      <c r="CM75" s="7">
        <f>VC!CH34</f>
        <v>0</v>
      </c>
      <c r="CN75" s="7">
        <f>VC!CI34</f>
        <v>0</v>
      </c>
      <c r="CO75" s="7">
        <f>VC!CJ34</f>
        <v>0</v>
      </c>
      <c r="CP75" s="7">
        <f>VC!CK34</f>
        <v>0</v>
      </c>
      <c r="CQ75" s="7">
        <f>VC!CL34</f>
        <v>0</v>
      </c>
      <c r="CR75" s="7">
        <f>VC!CM34</f>
        <v>0</v>
      </c>
      <c r="CS75" s="7">
        <f>VC!CN34</f>
        <v>0</v>
      </c>
      <c r="CT75" s="7">
        <f>VC!CO34</f>
        <v>0</v>
      </c>
      <c r="CU75" s="7">
        <f>VC!CP34</f>
        <v>0</v>
      </c>
      <c r="CV75" s="7">
        <f>VC!CQ34</f>
        <v>0</v>
      </c>
      <c r="CW75" s="7">
        <f>VC!CR34</f>
        <v>0</v>
      </c>
      <c r="CX75" s="7">
        <f>VC!CS34</f>
        <v>0</v>
      </c>
      <c r="CY75" s="7">
        <f>VC!CT34</f>
        <v>0</v>
      </c>
      <c r="CZ75" s="7">
        <f>VC!CU34</f>
        <v>0</v>
      </c>
      <c r="DA75" s="7" t="str">
        <f>VC!CV34</f>
        <v>G391P</v>
      </c>
      <c r="DB75" s="7">
        <f>VC!CW34</f>
        <v>0</v>
      </c>
      <c r="DC75" s="7">
        <f>VC!CX34</f>
        <v>0</v>
      </c>
      <c r="DD75" s="7">
        <f>VC!CY34</f>
        <v>0</v>
      </c>
      <c r="DE75" s="7">
        <f>VC!CZ34</f>
        <v>0</v>
      </c>
      <c r="DF75" s="7">
        <f>VC!DA34</f>
        <v>0</v>
      </c>
      <c r="DG75" s="7" t="str">
        <f>VC!DB34</f>
        <v>G391P</v>
      </c>
      <c r="DH75" s="7">
        <f>VC!DC34</f>
        <v>0</v>
      </c>
      <c r="DI75" s="7">
        <f>VC!DD34</f>
        <v>0</v>
      </c>
      <c r="DJ75" s="7">
        <f>VC!DE34</f>
        <v>0</v>
      </c>
      <c r="DK75" s="7">
        <f>VC!DF34</f>
        <v>0</v>
      </c>
      <c r="DL75" s="7">
        <f>VC!DG34</f>
        <v>0</v>
      </c>
      <c r="DM75" s="7">
        <f>VC!DH34</f>
        <v>0</v>
      </c>
      <c r="DN75" s="7">
        <f>VC!DI34</f>
        <v>0</v>
      </c>
      <c r="DO75" s="7">
        <f>VC!DJ34</f>
        <v>0</v>
      </c>
      <c r="DP75" s="7">
        <f>VC!DK34</f>
        <v>0</v>
      </c>
      <c r="DQ75" s="7">
        <f>VC!DL34</f>
        <v>0</v>
      </c>
      <c r="DR75" s="7">
        <f>VC!DM34</f>
        <v>0</v>
      </c>
      <c r="DS75" s="7">
        <f>VC!DN34</f>
        <v>0</v>
      </c>
      <c r="DT75" s="7">
        <f>VC!DO34</f>
        <v>0</v>
      </c>
      <c r="DU75" s="7">
        <f>VC!DP34</f>
        <v>0</v>
      </c>
      <c r="DV75" s="7">
        <f>VC!DQ34</f>
        <v>0</v>
      </c>
      <c r="DW75" s="7">
        <f>VC!DR34</f>
        <v>0</v>
      </c>
      <c r="DX75" s="7">
        <f>VC!DS34</f>
        <v>0</v>
      </c>
      <c r="DY75" s="7">
        <f>VC!DT34</f>
        <v>0</v>
      </c>
      <c r="DZ75" s="7">
        <f>VC!DU34</f>
        <v>0</v>
      </c>
      <c r="EA75" s="7">
        <f>VC!DV34</f>
        <v>0</v>
      </c>
      <c r="EB75" s="7">
        <f>VC!DW34</f>
        <v>0</v>
      </c>
      <c r="EC75" s="7">
        <f>VC!DX34</f>
        <v>0</v>
      </c>
      <c r="ED75" s="7">
        <f>VC!DY34</f>
        <v>0</v>
      </c>
      <c r="EE75" s="7">
        <f>VC!DZ34</f>
        <v>0</v>
      </c>
      <c r="EF75" s="7">
        <f>VC!EA34</f>
        <v>0</v>
      </c>
      <c r="EG75" s="7">
        <f>VC!EB34</f>
        <v>0</v>
      </c>
      <c r="EH75" s="7">
        <f>VC!EC34</f>
        <v>0</v>
      </c>
      <c r="EI75" s="7">
        <f>VC!ED34</f>
        <v>0</v>
      </c>
      <c r="EJ75" s="7">
        <f>VC!EE34</f>
        <v>0</v>
      </c>
      <c r="EK75" s="7">
        <f>VC!EF34</f>
        <v>0</v>
      </c>
      <c r="EL75" s="7" t="str">
        <f>VC!EG34</f>
        <v>Q311L</v>
      </c>
      <c r="EM75" s="7">
        <f>VC!EH34</f>
        <v>0</v>
      </c>
      <c r="EN75" s="7">
        <f>VC!EI34</f>
        <v>0</v>
      </c>
      <c r="EO75" s="7">
        <f>VC!EJ34</f>
        <v>0</v>
      </c>
      <c r="EP75" s="7">
        <f>VC!EK34</f>
        <v>0</v>
      </c>
      <c r="EQ75" s="7" t="str">
        <f>VC!EL34</f>
        <v>G391P</v>
      </c>
      <c r="ER75" s="7">
        <f>VC!EM34</f>
        <v>0</v>
      </c>
      <c r="ES75" s="7">
        <f>VC!EN34</f>
        <v>0</v>
      </c>
      <c r="ET75" s="7">
        <f>VC!EO34</f>
        <v>0</v>
      </c>
      <c r="EU75" s="7">
        <f>VC!EP34</f>
        <v>0</v>
      </c>
      <c r="EV75" s="7">
        <f>VC!EQ34</f>
        <v>0</v>
      </c>
      <c r="EW75" s="7">
        <f>VC!ER34</f>
        <v>0</v>
      </c>
      <c r="EX75" s="7">
        <f>VC!ES34</f>
        <v>0</v>
      </c>
      <c r="EY75" s="7">
        <f>VC!ET34</f>
        <v>0</v>
      </c>
      <c r="EZ75" s="7">
        <f>VC!EU34</f>
        <v>0</v>
      </c>
      <c r="FA75" s="7">
        <f>VC!EV34</f>
        <v>0</v>
      </c>
      <c r="FB75" s="7">
        <f>VC!EW34</f>
        <v>0</v>
      </c>
      <c r="FC75" s="7" t="str">
        <f>VC!EX34</f>
        <v>P82L</v>
      </c>
      <c r="FD75" s="7">
        <f>VC!EY34</f>
        <v>0</v>
      </c>
      <c r="FE75" s="7">
        <f>VC!EZ34</f>
        <v>0</v>
      </c>
      <c r="FF75" s="7">
        <f>VC!FA34</f>
        <v>0</v>
      </c>
      <c r="FG75" s="7">
        <f>VC!FB34</f>
        <v>0</v>
      </c>
      <c r="FH75" s="7">
        <f>VC!FC34</f>
        <v>0</v>
      </c>
      <c r="FI75" s="7">
        <f>VC!FD34</f>
        <v>0</v>
      </c>
      <c r="FJ75" s="7">
        <f>VC!FE34</f>
        <v>0</v>
      </c>
      <c r="FK75" s="7">
        <f>VC!FF34</f>
        <v>0</v>
      </c>
      <c r="FL75" s="7">
        <f>VC!FG34</f>
        <v>0</v>
      </c>
      <c r="FM75" s="7">
        <f>VC!FH34</f>
        <v>0</v>
      </c>
      <c r="FN75" s="7">
        <f>VC!FI34</f>
        <v>0</v>
      </c>
      <c r="FO75" s="7">
        <f>VC!FJ34</f>
        <v>0</v>
      </c>
      <c r="FP75" s="7">
        <f>VC!FK34</f>
        <v>0</v>
      </c>
      <c r="FQ75" s="7">
        <f>VC!FL34</f>
        <v>0</v>
      </c>
      <c r="FR75" s="7">
        <f>VC!FM34</f>
        <v>0</v>
      </c>
      <c r="FS75" s="7">
        <f>VC!FN34</f>
        <v>0</v>
      </c>
      <c r="FT75" s="7">
        <f>VC!FO34</f>
        <v>0</v>
      </c>
      <c r="FU75" s="7">
        <f>VC!FP34</f>
        <v>0</v>
      </c>
      <c r="FV75" s="7">
        <f>VC!FQ34</f>
        <v>0</v>
      </c>
      <c r="FW75" s="7">
        <f>VC!FR34</f>
        <v>0</v>
      </c>
      <c r="FX75" s="7">
        <f>VC!FS34</f>
        <v>0</v>
      </c>
      <c r="FY75" s="7">
        <f>VC!FT34</f>
        <v>0</v>
      </c>
      <c r="FZ75" s="7">
        <f>VC!FU34</f>
        <v>0</v>
      </c>
      <c r="GA75" s="7">
        <f>VC!FV34</f>
        <v>0</v>
      </c>
      <c r="GB75" s="7">
        <f>VC!FW34</f>
        <v>0</v>
      </c>
      <c r="GC75" s="7">
        <f>VC!FX34</f>
        <v>0</v>
      </c>
      <c r="GD75" s="7">
        <f>VC!FY34</f>
        <v>0</v>
      </c>
      <c r="GE75" s="7">
        <f>VC!FZ34</f>
        <v>0</v>
      </c>
      <c r="GF75" s="7">
        <f>VC!GA34</f>
        <v>0</v>
      </c>
      <c r="GG75" s="7">
        <f>VC!GB34</f>
        <v>0</v>
      </c>
      <c r="GH75" s="7">
        <f>VC!GC34</f>
        <v>0</v>
      </c>
      <c r="GI75" s="7">
        <f>VC!GD34</f>
        <v>0</v>
      </c>
      <c r="GJ75" s="7">
        <f>VC!GE34</f>
        <v>0</v>
      </c>
      <c r="GK75" s="7">
        <f>VC!GF34</f>
        <v>0</v>
      </c>
      <c r="GL75" s="7">
        <f>VC!GG34</f>
        <v>0</v>
      </c>
      <c r="GM75" s="7">
        <f>VC!GH34</f>
        <v>0</v>
      </c>
      <c r="GN75" s="7">
        <f>VC!GI34</f>
        <v>0</v>
      </c>
      <c r="GO75" s="7">
        <f>VC!GJ34</f>
        <v>0</v>
      </c>
      <c r="GP75" s="7">
        <f>VC!GK34</f>
        <v>0</v>
      </c>
      <c r="GQ75" s="7">
        <f>VC!GL34</f>
        <v>0</v>
      </c>
      <c r="GR75" s="7">
        <f>VC!GM34</f>
        <v>0</v>
      </c>
      <c r="GS75" s="7">
        <f>VC!GN34</f>
        <v>0</v>
      </c>
      <c r="GT75" s="7">
        <f>VC!GO34</f>
        <v>0</v>
      </c>
      <c r="GU75" s="7">
        <f>VC!GP34</f>
        <v>0</v>
      </c>
      <c r="GV75" s="7">
        <f>VC!GQ34</f>
        <v>0</v>
      </c>
      <c r="GW75" s="7">
        <f>VC!GR34</f>
        <v>0</v>
      </c>
      <c r="GX75" s="7">
        <f>VC!GS34</f>
        <v>0</v>
      </c>
      <c r="GY75" s="7">
        <f>VC!GT34</f>
        <v>0</v>
      </c>
      <c r="GZ75" s="7">
        <f>VC!GU34</f>
        <v>0</v>
      </c>
      <c r="HA75" s="7">
        <f>VC!GV34</f>
        <v>0</v>
      </c>
      <c r="HB75" s="7">
        <f>VC!GW34</f>
        <v>0</v>
      </c>
      <c r="HC75" s="7">
        <f>VC!GX34</f>
        <v>0</v>
      </c>
    </row>
    <row r="76" spans="1:211" s="1" customFormat="1" x14ac:dyDescent="0.25">
      <c r="A76" s="1" t="s">
        <v>60</v>
      </c>
      <c r="B76" s="1" t="s">
        <v>61</v>
      </c>
      <c r="C76" s="4" t="s">
        <v>0</v>
      </c>
      <c r="D76" s="1" t="s">
        <v>76</v>
      </c>
      <c r="E76" s="1" t="s">
        <v>138</v>
      </c>
      <c r="F76" s="1" t="s">
        <v>73</v>
      </c>
      <c r="G76" s="12" t="s">
        <v>152</v>
      </c>
      <c r="H76" s="1">
        <f>VC!C35</f>
        <v>0</v>
      </c>
      <c r="I76" s="1">
        <f>VC!D35</f>
        <v>0</v>
      </c>
      <c r="J76" s="1">
        <f>VC!E35</f>
        <v>0</v>
      </c>
      <c r="K76" s="1">
        <f>VC!F35</f>
        <v>0</v>
      </c>
      <c r="L76" s="1">
        <f>VC!G35</f>
        <v>0</v>
      </c>
      <c r="M76" s="1">
        <f>VC!H35</f>
        <v>0</v>
      </c>
      <c r="N76" s="1">
        <f>VC!I35</f>
        <v>0</v>
      </c>
      <c r="O76" s="1">
        <f>VC!J35</f>
        <v>0</v>
      </c>
      <c r="P76" s="1">
        <f>VC!K35</f>
        <v>0</v>
      </c>
      <c r="Q76" s="1">
        <f>VC!L35</f>
        <v>0</v>
      </c>
      <c r="R76" s="1">
        <f>VC!M35</f>
        <v>0</v>
      </c>
      <c r="S76" s="1">
        <f>VC!N35</f>
        <v>0</v>
      </c>
      <c r="T76" s="1">
        <f>VC!O35</f>
        <v>0</v>
      </c>
      <c r="U76" s="1">
        <f>VC!P35</f>
        <v>0</v>
      </c>
      <c r="V76" s="1">
        <f>VC!Q35</f>
        <v>0</v>
      </c>
      <c r="W76" s="1">
        <f>VC!R35</f>
        <v>0</v>
      </c>
      <c r="X76" s="1">
        <f>VC!S35</f>
        <v>0</v>
      </c>
      <c r="Y76" s="1">
        <f>VC!T35</f>
        <v>0</v>
      </c>
      <c r="Z76" s="1">
        <f>VC!U35</f>
        <v>0</v>
      </c>
      <c r="AA76" s="1">
        <f>VC!V35</f>
        <v>0</v>
      </c>
      <c r="AB76" s="1">
        <f>VC!W35</f>
        <v>0</v>
      </c>
      <c r="AC76" s="1">
        <f>VC!X35</f>
        <v>0</v>
      </c>
      <c r="AD76" s="1">
        <f>VC!Y35</f>
        <v>0</v>
      </c>
      <c r="AE76" s="1">
        <f>VC!Z35</f>
        <v>0</v>
      </c>
      <c r="AF76" s="1">
        <f>VC!AA35</f>
        <v>0</v>
      </c>
      <c r="AG76" s="1">
        <f>VC!AB35</f>
        <v>0</v>
      </c>
      <c r="AH76" s="1">
        <f>VC!AC35</f>
        <v>0</v>
      </c>
      <c r="AI76" s="1">
        <f>VC!AD35</f>
        <v>0</v>
      </c>
      <c r="AJ76" s="1">
        <f>VC!AE35</f>
        <v>0</v>
      </c>
      <c r="AK76" s="1">
        <f>VC!AF35</f>
        <v>0</v>
      </c>
      <c r="AL76" s="1">
        <f>VC!AG35</f>
        <v>0</v>
      </c>
      <c r="AM76" s="1">
        <f>VC!AH35</f>
        <v>0</v>
      </c>
      <c r="AN76" s="1">
        <f>VC!AI35</f>
        <v>0</v>
      </c>
      <c r="AO76" s="1">
        <f>VC!AJ35</f>
        <v>0</v>
      </c>
      <c r="AP76" s="1">
        <f>VC!AK35</f>
        <v>0</v>
      </c>
      <c r="AQ76" s="1">
        <f>VC!AL35</f>
        <v>0</v>
      </c>
      <c r="AR76" s="1">
        <f>VC!AM35</f>
        <v>0</v>
      </c>
      <c r="AS76" s="1">
        <f>VC!AN35</f>
        <v>0</v>
      </c>
      <c r="AT76" s="1">
        <f>VC!AO35</f>
        <v>0</v>
      </c>
      <c r="AU76" s="1">
        <f>VC!AP35</f>
        <v>0</v>
      </c>
      <c r="AV76" s="1">
        <f>VC!AQ35</f>
        <v>0</v>
      </c>
      <c r="AW76" s="1">
        <f>VC!AR35</f>
        <v>0</v>
      </c>
      <c r="AX76" s="1">
        <f>VC!AS35</f>
        <v>0</v>
      </c>
      <c r="AY76" s="1">
        <f>VC!AT35</f>
        <v>0</v>
      </c>
      <c r="AZ76" s="1">
        <f>VC!AU35</f>
        <v>0</v>
      </c>
      <c r="BA76" s="1">
        <f>VC!AV35</f>
        <v>0</v>
      </c>
      <c r="BB76" s="1">
        <f>VC!AW35</f>
        <v>0</v>
      </c>
      <c r="BC76" s="1">
        <f>VC!AX35</f>
        <v>0</v>
      </c>
      <c r="BD76" s="1">
        <f>VC!AY35</f>
        <v>0</v>
      </c>
      <c r="BE76" s="1">
        <f>VC!AZ35</f>
        <v>0</v>
      </c>
      <c r="BF76" s="1">
        <f>VC!BA35</f>
        <v>0</v>
      </c>
      <c r="BG76" s="1">
        <f>VC!BB35</f>
        <v>0</v>
      </c>
      <c r="BH76" s="1">
        <f>VC!BC35</f>
        <v>0</v>
      </c>
      <c r="BI76" s="1">
        <f>VC!BD35</f>
        <v>0</v>
      </c>
      <c r="BJ76" s="1">
        <f>VC!BE35</f>
        <v>0</v>
      </c>
      <c r="BK76" s="1">
        <f>VC!BF35</f>
        <v>0</v>
      </c>
      <c r="BL76" s="1">
        <f>VC!BG35</f>
        <v>0</v>
      </c>
      <c r="BM76" s="1">
        <f>VC!BH35</f>
        <v>0</v>
      </c>
      <c r="BN76" s="1">
        <f>VC!BI35</f>
        <v>0</v>
      </c>
      <c r="BO76" s="1">
        <f>VC!BJ35</f>
        <v>0</v>
      </c>
      <c r="BP76" s="1">
        <f>VC!BK35</f>
        <v>0</v>
      </c>
      <c r="BQ76" s="1">
        <f>VC!BL35</f>
        <v>0</v>
      </c>
      <c r="BR76" s="1">
        <f>VC!BM35</f>
        <v>0</v>
      </c>
      <c r="BS76" s="1">
        <f>VC!BN35</f>
        <v>0</v>
      </c>
      <c r="BT76" s="1">
        <f>VC!BO35</f>
        <v>0</v>
      </c>
      <c r="BU76" s="1">
        <f>VC!BP35</f>
        <v>0</v>
      </c>
      <c r="BV76" s="1">
        <f>VC!BQ35</f>
        <v>0</v>
      </c>
      <c r="BW76" s="1">
        <f>VC!BR35</f>
        <v>0</v>
      </c>
      <c r="BX76" s="1">
        <f>VC!BS35</f>
        <v>0</v>
      </c>
      <c r="BY76" s="1">
        <f>VC!BT35</f>
        <v>0</v>
      </c>
      <c r="BZ76" s="1">
        <f>VC!BU35</f>
        <v>0</v>
      </c>
      <c r="CA76" s="1">
        <f>VC!BV35</f>
        <v>0</v>
      </c>
      <c r="CB76" s="1">
        <f>VC!BW35</f>
        <v>0</v>
      </c>
      <c r="CC76" s="1">
        <f>VC!BX35</f>
        <v>0</v>
      </c>
      <c r="CD76" s="1">
        <f>VC!BY35</f>
        <v>0</v>
      </c>
      <c r="CE76" s="1">
        <f>VC!BZ35</f>
        <v>0</v>
      </c>
      <c r="CF76" s="1">
        <f>VC!CA35</f>
        <v>0</v>
      </c>
      <c r="CG76" s="1">
        <f>VC!CB35</f>
        <v>0</v>
      </c>
      <c r="CH76" s="1">
        <f>VC!CC35</f>
        <v>0</v>
      </c>
      <c r="CI76" s="1">
        <f>VC!CD35</f>
        <v>0</v>
      </c>
      <c r="CJ76" s="1">
        <f>VC!CE35</f>
        <v>0</v>
      </c>
      <c r="CK76" s="1">
        <f>VC!CF35</f>
        <v>0</v>
      </c>
      <c r="CL76" s="1">
        <f>VC!CG35</f>
        <v>0</v>
      </c>
      <c r="CM76" s="1">
        <f>VC!CH35</f>
        <v>0</v>
      </c>
      <c r="CN76" s="1">
        <f>VC!CI35</f>
        <v>0</v>
      </c>
      <c r="CO76" s="1">
        <f>VC!CJ35</f>
        <v>0</v>
      </c>
      <c r="CP76" s="1">
        <f>VC!CK35</f>
        <v>0</v>
      </c>
      <c r="CQ76" s="1">
        <f>VC!CL35</f>
        <v>0</v>
      </c>
      <c r="CR76" s="1">
        <f>VC!CM35</f>
        <v>0</v>
      </c>
      <c r="CS76" s="1">
        <f>VC!CN35</f>
        <v>0</v>
      </c>
      <c r="CT76" s="1">
        <f>VC!CO35</f>
        <v>0</v>
      </c>
      <c r="CU76" s="1">
        <f>VC!CP35</f>
        <v>0</v>
      </c>
      <c r="CV76" s="1">
        <f>VC!CQ35</f>
        <v>0</v>
      </c>
      <c r="CW76" s="1">
        <f>VC!CR35</f>
        <v>0</v>
      </c>
      <c r="CX76" s="1">
        <f>VC!CS35</f>
        <v>0</v>
      </c>
      <c r="CY76" s="1">
        <f>VC!CT35</f>
        <v>0</v>
      </c>
      <c r="CZ76" s="1">
        <f>VC!CU35</f>
        <v>0</v>
      </c>
      <c r="DA76" s="1">
        <f>VC!CV35</f>
        <v>0</v>
      </c>
      <c r="DB76" s="1">
        <f>VC!CW35</f>
        <v>0</v>
      </c>
      <c r="DC76" s="1">
        <f>VC!CX35</f>
        <v>0</v>
      </c>
      <c r="DD76" s="1">
        <f>VC!CY35</f>
        <v>0</v>
      </c>
      <c r="DE76" s="1">
        <f>VC!CZ35</f>
        <v>0</v>
      </c>
      <c r="DF76" s="1">
        <f>VC!DA35</f>
        <v>0</v>
      </c>
      <c r="DG76" s="1">
        <f>VC!DB35</f>
        <v>0</v>
      </c>
      <c r="DH76" s="1">
        <f>VC!DC35</f>
        <v>0</v>
      </c>
      <c r="DI76" s="1">
        <f>VC!DD35</f>
        <v>0</v>
      </c>
      <c r="DJ76" s="1">
        <f>VC!DE35</f>
        <v>0</v>
      </c>
      <c r="DK76" s="1">
        <f>VC!DF35</f>
        <v>0</v>
      </c>
      <c r="DL76" s="1">
        <f>VC!DG35</f>
        <v>0</v>
      </c>
      <c r="DM76" s="1">
        <f>VC!DH35</f>
        <v>0</v>
      </c>
      <c r="DN76" s="1">
        <f>VC!DI35</f>
        <v>0</v>
      </c>
      <c r="DO76" s="1">
        <f>VC!DJ35</f>
        <v>0</v>
      </c>
      <c r="DP76" s="1">
        <f>VC!DK35</f>
        <v>0</v>
      </c>
      <c r="DQ76" s="1">
        <f>VC!DL35</f>
        <v>0</v>
      </c>
      <c r="DR76" s="1" t="str">
        <f>VC!DM35</f>
        <v>Q678L</v>
      </c>
      <c r="DS76" s="1">
        <f>VC!DN35</f>
        <v>0</v>
      </c>
      <c r="DT76" s="1">
        <f>VC!DO35</f>
        <v>0</v>
      </c>
      <c r="DU76" s="1">
        <f>VC!DP35</f>
        <v>0</v>
      </c>
      <c r="DV76" s="1" t="str">
        <f>VC!DQ35</f>
        <v>Q678R</v>
      </c>
      <c r="DW76" s="1">
        <f>VC!DR35</f>
        <v>0</v>
      </c>
      <c r="DX76" s="1">
        <f>VC!DS35</f>
        <v>0</v>
      </c>
      <c r="DY76" s="1">
        <f>VC!DT35</f>
        <v>0</v>
      </c>
      <c r="DZ76" s="1">
        <f>VC!DU35</f>
        <v>0</v>
      </c>
      <c r="EA76" s="1">
        <f>VC!DV35</f>
        <v>0</v>
      </c>
      <c r="EB76" s="1">
        <f>VC!DW35</f>
        <v>0</v>
      </c>
      <c r="EC76" s="1">
        <f>VC!DX35</f>
        <v>0</v>
      </c>
      <c r="ED76" s="1" t="str">
        <f>VC!DY35</f>
        <v>R680C</v>
      </c>
      <c r="EE76" s="1">
        <f>VC!DZ35</f>
        <v>0</v>
      </c>
      <c r="EF76" s="1">
        <f>VC!EA35</f>
        <v>0</v>
      </c>
      <c r="EG76" s="1">
        <f>VC!EB35</f>
        <v>0</v>
      </c>
      <c r="EH76" s="1">
        <f>VC!EC35</f>
        <v>0</v>
      </c>
      <c r="EI76" s="1" t="str">
        <f>VC!ED35</f>
        <v>S695T</v>
      </c>
      <c r="EJ76" s="1">
        <f>VC!EE35</f>
        <v>0</v>
      </c>
      <c r="EK76" s="1">
        <f>VC!EF35</f>
        <v>0</v>
      </c>
      <c r="EL76" s="1">
        <f>VC!EG35</f>
        <v>0</v>
      </c>
      <c r="EM76" s="1">
        <f>VC!EH35</f>
        <v>0</v>
      </c>
      <c r="EN76" s="1">
        <f>VC!EI35</f>
        <v>0</v>
      </c>
      <c r="EO76" s="1">
        <f>VC!EJ35</f>
        <v>0</v>
      </c>
      <c r="EP76" s="1">
        <f>VC!EK35</f>
        <v>0</v>
      </c>
      <c r="EQ76" s="1">
        <f>VC!EL35</f>
        <v>0</v>
      </c>
      <c r="ER76" s="1">
        <f>VC!EM35</f>
        <v>0</v>
      </c>
      <c r="ES76" s="1">
        <f>VC!EN35</f>
        <v>0</v>
      </c>
      <c r="ET76" s="1" t="str">
        <f>VC!EO35</f>
        <v>T671A</v>
      </c>
      <c r="EU76" s="1">
        <f>VC!EP35</f>
        <v>0</v>
      </c>
      <c r="EV76" s="1">
        <f>VC!EQ35</f>
        <v>0</v>
      </c>
      <c r="EW76" s="1">
        <f>VC!ER35</f>
        <v>0</v>
      </c>
      <c r="EX76" s="1">
        <f>VC!ES35</f>
        <v>0</v>
      </c>
      <c r="EY76" s="1">
        <f>VC!ET35</f>
        <v>0</v>
      </c>
      <c r="EZ76" s="1">
        <f>VC!EU35</f>
        <v>0</v>
      </c>
      <c r="FA76" s="1">
        <f>VC!EV35</f>
        <v>0</v>
      </c>
      <c r="FB76" s="1">
        <f>VC!EW35</f>
        <v>0</v>
      </c>
      <c r="FC76" s="1">
        <f>VC!EX35</f>
        <v>0</v>
      </c>
      <c r="FD76" s="1">
        <f>VC!EY35</f>
        <v>0</v>
      </c>
      <c r="FE76" s="1">
        <f>VC!EZ35</f>
        <v>0</v>
      </c>
      <c r="FF76" s="1">
        <f>VC!FA35</f>
        <v>0</v>
      </c>
      <c r="FG76" s="1">
        <f>VC!FB35</f>
        <v>0</v>
      </c>
      <c r="FH76" s="1">
        <f>VC!FC35</f>
        <v>0</v>
      </c>
      <c r="FI76" s="1">
        <f>VC!FD35</f>
        <v>0</v>
      </c>
      <c r="FJ76" s="1">
        <f>VC!FE35</f>
        <v>0</v>
      </c>
      <c r="FK76" s="1">
        <f>VC!FF35</f>
        <v>0</v>
      </c>
      <c r="FL76" s="1">
        <f>VC!FG35</f>
        <v>0</v>
      </c>
      <c r="FM76" s="1">
        <f>VC!FH35</f>
        <v>0</v>
      </c>
      <c r="FN76" s="1">
        <f>VC!FI35</f>
        <v>0</v>
      </c>
      <c r="FO76" s="1">
        <f>VC!FJ35</f>
        <v>0</v>
      </c>
      <c r="FP76" s="1">
        <f>VC!FK35</f>
        <v>0</v>
      </c>
      <c r="FQ76" s="1">
        <f>VC!FL35</f>
        <v>0</v>
      </c>
      <c r="FR76" s="1">
        <f>VC!FM35</f>
        <v>0</v>
      </c>
      <c r="FS76" s="1">
        <f>VC!FN35</f>
        <v>0</v>
      </c>
      <c r="FT76" s="1">
        <f>VC!FO35</f>
        <v>0</v>
      </c>
      <c r="FU76" s="1">
        <f>VC!FP35</f>
        <v>0</v>
      </c>
      <c r="FV76" s="1">
        <f>VC!FQ35</f>
        <v>0</v>
      </c>
      <c r="FW76" s="1">
        <f>VC!FR35</f>
        <v>0</v>
      </c>
      <c r="FX76" s="1">
        <f>VC!FS35</f>
        <v>0</v>
      </c>
      <c r="FY76" s="1">
        <f>VC!FT35</f>
        <v>0</v>
      </c>
      <c r="FZ76" s="1">
        <f>VC!FU35</f>
        <v>0</v>
      </c>
      <c r="GA76" s="1">
        <f>VC!FV35</f>
        <v>0</v>
      </c>
      <c r="GB76" s="1">
        <f>VC!FW35</f>
        <v>0</v>
      </c>
      <c r="GC76" s="1">
        <f>VC!FX35</f>
        <v>0</v>
      </c>
      <c r="GD76" s="1">
        <f>VC!FY35</f>
        <v>0</v>
      </c>
      <c r="GE76" s="1">
        <f>VC!FZ35</f>
        <v>0</v>
      </c>
      <c r="GF76" s="1">
        <f>VC!GA35</f>
        <v>0</v>
      </c>
      <c r="GG76" s="1">
        <f>VC!GB35</f>
        <v>0</v>
      </c>
      <c r="GH76" s="1">
        <f>VC!GC35</f>
        <v>0</v>
      </c>
      <c r="GI76" s="1">
        <f>VC!GD35</f>
        <v>0</v>
      </c>
      <c r="GJ76" s="1" t="str">
        <f>VC!GE35</f>
        <v>K212T</v>
      </c>
      <c r="GK76" s="1">
        <f>VC!GF35</f>
        <v>0</v>
      </c>
      <c r="GL76" s="1">
        <f>VC!GG35</f>
        <v>0</v>
      </c>
      <c r="GM76" s="1">
        <f>VC!GH35</f>
        <v>0</v>
      </c>
      <c r="GN76" s="1">
        <f>VC!GI35</f>
        <v>0</v>
      </c>
      <c r="GO76" s="1">
        <f>VC!GJ35</f>
        <v>0</v>
      </c>
      <c r="GP76" s="1">
        <f>VC!GK35</f>
        <v>0</v>
      </c>
      <c r="GQ76" s="1">
        <f>VC!GL35</f>
        <v>0</v>
      </c>
      <c r="GR76" s="1">
        <f>VC!GM35</f>
        <v>0</v>
      </c>
      <c r="GS76" s="1">
        <f>VC!GN35</f>
        <v>0</v>
      </c>
      <c r="GT76" s="1">
        <f>VC!GO35</f>
        <v>0</v>
      </c>
      <c r="GU76" s="1">
        <f>VC!GP35</f>
        <v>0</v>
      </c>
      <c r="GV76" s="1">
        <f>VC!GQ35</f>
        <v>0</v>
      </c>
      <c r="GW76" s="1">
        <f>VC!GR35</f>
        <v>0</v>
      </c>
      <c r="GX76" s="1" t="str">
        <f>VC!GS35</f>
        <v>Y552C</v>
      </c>
      <c r="GY76" s="1">
        <f>VC!GT35</f>
        <v>0</v>
      </c>
      <c r="GZ76" s="1">
        <f>VC!GU35</f>
        <v>0</v>
      </c>
      <c r="HA76" s="1">
        <f>VC!GV35</f>
        <v>0</v>
      </c>
      <c r="HB76" s="1">
        <f>VC!GW35</f>
        <v>0</v>
      </c>
      <c r="HC76" s="1">
        <f>VC!GX35</f>
        <v>0</v>
      </c>
    </row>
    <row r="77" spans="1:211" s="7" customFormat="1" x14ac:dyDescent="0.25">
      <c r="A77" s="7" t="s">
        <v>32</v>
      </c>
      <c r="B77" s="7" t="s">
        <v>99</v>
      </c>
      <c r="C77" s="8" t="s">
        <v>1</v>
      </c>
      <c r="D77" s="7" t="s">
        <v>76</v>
      </c>
      <c r="E77" s="7" t="s">
        <v>138</v>
      </c>
      <c r="F77" s="7" t="s">
        <v>73</v>
      </c>
      <c r="G77" s="7" t="s">
        <v>1054</v>
      </c>
      <c r="H77" s="7">
        <f>VC!C36</f>
        <v>0</v>
      </c>
      <c r="I77" s="7">
        <f>VC!D36</f>
        <v>0</v>
      </c>
      <c r="J77" s="7">
        <f>VC!E36</f>
        <v>0</v>
      </c>
      <c r="K77" s="7">
        <f>VC!F36</f>
        <v>0</v>
      </c>
      <c r="L77" s="7">
        <f>VC!G36</f>
        <v>0</v>
      </c>
      <c r="M77" s="7">
        <f>VC!H36</f>
        <v>0</v>
      </c>
      <c r="N77" s="7">
        <f>VC!I36</f>
        <v>0</v>
      </c>
      <c r="O77" s="7">
        <f>VC!J36</f>
        <v>0</v>
      </c>
      <c r="P77" s="7">
        <f>VC!K36</f>
        <v>0</v>
      </c>
      <c r="Q77" s="7">
        <f>VC!L36</f>
        <v>0</v>
      </c>
      <c r="R77" s="7">
        <f>VC!M36</f>
        <v>0</v>
      </c>
      <c r="S77" s="7">
        <f>VC!N36</f>
        <v>0</v>
      </c>
      <c r="T77" s="7">
        <f>VC!O36</f>
        <v>0</v>
      </c>
      <c r="U77" s="7">
        <f>VC!P36</f>
        <v>0</v>
      </c>
      <c r="V77" s="7">
        <f>VC!Q36</f>
        <v>0</v>
      </c>
      <c r="W77" s="7">
        <f>VC!R36</f>
        <v>0</v>
      </c>
      <c r="X77" s="7">
        <f>VC!S36</f>
        <v>0</v>
      </c>
      <c r="Y77" s="7">
        <f>VC!T36</f>
        <v>0</v>
      </c>
      <c r="Z77" s="7">
        <f>VC!U36</f>
        <v>0</v>
      </c>
      <c r="AA77" s="7">
        <f>VC!V36</f>
        <v>0</v>
      </c>
      <c r="AB77" s="7">
        <f>VC!W36</f>
        <v>0</v>
      </c>
      <c r="AC77" s="7">
        <f>VC!X36</f>
        <v>0</v>
      </c>
      <c r="AD77" s="7">
        <f>VC!Y36</f>
        <v>0</v>
      </c>
      <c r="AE77" s="7">
        <f>VC!Z36</f>
        <v>0</v>
      </c>
      <c r="AF77" s="7">
        <f>VC!AA36</f>
        <v>0</v>
      </c>
      <c r="AG77" s="7">
        <f>VC!AB36</f>
        <v>0</v>
      </c>
      <c r="AH77" s="7">
        <f>VC!AC36</f>
        <v>0</v>
      </c>
      <c r="AI77" s="7">
        <f>VC!AD36</f>
        <v>0</v>
      </c>
      <c r="AJ77" s="7">
        <f>VC!AE36</f>
        <v>0</v>
      </c>
      <c r="AK77" s="7">
        <f>VC!AF36</f>
        <v>0</v>
      </c>
      <c r="AL77" s="7">
        <f>VC!AG36</f>
        <v>0</v>
      </c>
      <c r="AM77" s="7">
        <f>VC!AH36</f>
        <v>0</v>
      </c>
      <c r="AN77" s="7">
        <f>VC!AI36</f>
        <v>0</v>
      </c>
      <c r="AO77" s="7">
        <f>VC!AJ36</f>
        <v>0</v>
      </c>
      <c r="AP77" s="7">
        <f>VC!AK36</f>
        <v>0</v>
      </c>
      <c r="AQ77" s="7">
        <f>VC!AL36</f>
        <v>0</v>
      </c>
      <c r="AR77" s="7">
        <f>VC!AM36</f>
        <v>0</v>
      </c>
      <c r="AS77" s="7">
        <f>VC!AN36</f>
        <v>0</v>
      </c>
      <c r="AT77" s="7">
        <f>VC!AO36</f>
        <v>0</v>
      </c>
      <c r="AU77" s="7">
        <f>VC!AP36</f>
        <v>0</v>
      </c>
      <c r="AV77" s="7">
        <f>VC!AQ36</f>
        <v>0</v>
      </c>
      <c r="AW77" s="7">
        <f>VC!AR36</f>
        <v>0</v>
      </c>
      <c r="AX77" s="7">
        <f>VC!AS36</f>
        <v>0</v>
      </c>
      <c r="AY77" s="7">
        <f>VC!AT36</f>
        <v>0</v>
      </c>
      <c r="AZ77" s="7">
        <f>VC!AU36</f>
        <v>0</v>
      </c>
      <c r="BA77" s="7">
        <f>VC!AV36</f>
        <v>0</v>
      </c>
      <c r="BB77" s="7" t="str">
        <f>VC!AW36</f>
        <v>D440E</v>
      </c>
      <c r="BC77" s="7">
        <f>VC!AX36</f>
        <v>0</v>
      </c>
      <c r="BD77" s="7">
        <f>VC!AY36</f>
        <v>0</v>
      </c>
      <c r="BE77" s="7">
        <f>VC!AZ36</f>
        <v>0</v>
      </c>
      <c r="BF77" s="7">
        <f>VC!BA36</f>
        <v>0</v>
      </c>
      <c r="BG77" s="7">
        <f>VC!BB36</f>
        <v>0</v>
      </c>
      <c r="BH77" s="7">
        <f>VC!BC36</f>
        <v>0</v>
      </c>
      <c r="BI77" s="7">
        <f>VC!BD36</f>
        <v>0</v>
      </c>
      <c r="BJ77" s="7">
        <f>VC!BE36</f>
        <v>0</v>
      </c>
      <c r="BK77" s="7">
        <f>VC!BF36</f>
        <v>0</v>
      </c>
      <c r="BL77" s="7">
        <f>VC!BG36</f>
        <v>0</v>
      </c>
      <c r="BM77" s="7">
        <f>VC!BH36</f>
        <v>0</v>
      </c>
      <c r="BN77" s="7" t="str">
        <f>VC!BI36</f>
        <v>R551L</v>
      </c>
      <c r="BO77" s="7">
        <f>VC!BJ36</f>
        <v>0</v>
      </c>
      <c r="BP77" s="7" t="str">
        <f>VC!BK36</f>
        <v>L21P</v>
      </c>
      <c r="BQ77" s="7">
        <f>VC!BL36</f>
        <v>0</v>
      </c>
      <c r="BR77" s="7">
        <f>VC!BM36</f>
        <v>0</v>
      </c>
      <c r="BS77" s="7">
        <f>VC!BN36</f>
        <v>0</v>
      </c>
      <c r="BT77" s="7" t="str">
        <f>VC!BO36</f>
        <v>L23V</v>
      </c>
      <c r="BU77" s="7">
        <f>VC!BP36</f>
        <v>0</v>
      </c>
      <c r="BV77" s="7" t="str">
        <f>VC!BQ36</f>
        <v>L3V</v>
      </c>
      <c r="BW77" s="7">
        <f>VC!BR36</f>
        <v>0</v>
      </c>
      <c r="BX77" s="7">
        <f>VC!BS36</f>
        <v>0</v>
      </c>
      <c r="BY77" s="7">
        <f>VC!BT36</f>
        <v>0</v>
      </c>
      <c r="BZ77" s="7">
        <f>VC!BU36</f>
        <v>0</v>
      </c>
      <c r="CA77" s="7">
        <f>VC!BV36</f>
        <v>0</v>
      </c>
      <c r="CB77" s="7">
        <f>VC!BW36</f>
        <v>0</v>
      </c>
      <c r="CC77" s="7">
        <f>VC!BX36</f>
        <v>0</v>
      </c>
      <c r="CD77" s="7">
        <f>VC!BY36</f>
        <v>0</v>
      </c>
      <c r="CE77" s="7">
        <f>VC!BZ36</f>
        <v>0</v>
      </c>
      <c r="CF77" s="7">
        <f>VC!CA36</f>
        <v>0</v>
      </c>
      <c r="CG77" s="7">
        <f>VC!CB36</f>
        <v>0</v>
      </c>
      <c r="CH77" s="7">
        <f>VC!CC36</f>
        <v>0</v>
      </c>
      <c r="CI77" s="7">
        <f>VC!CD36</f>
        <v>0</v>
      </c>
      <c r="CJ77" s="7">
        <f>VC!CE36</f>
        <v>0</v>
      </c>
      <c r="CK77" s="7">
        <f>VC!CF36</f>
        <v>0</v>
      </c>
      <c r="CL77" s="7">
        <f>VC!CG36</f>
        <v>0</v>
      </c>
      <c r="CM77" s="7">
        <f>VC!CH36</f>
        <v>0</v>
      </c>
      <c r="CN77" s="7">
        <f>VC!CI36</f>
        <v>0</v>
      </c>
      <c r="CO77" s="7">
        <f>VC!CJ36</f>
        <v>0</v>
      </c>
      <c r="CP77" s="7">
        <f>VC!CK36</f>
        <v>0</v>
      </c>
      <c r="CQ77" s="7">
        <f>VC!CL36</f>
        <v>0</v>
      </c>
      <c r="CR77" s="7">
        <f>VC!CM36</f>
        <v>0</v>
      </c>
      <c r="CS77" s="7">
        <f>VC!CN36</f>
        <v>0</v>
      </c>
      <c r="CT77" s="7">
        <f>VC!CO36</f>
        <v>0</v>
      </c>
      <c r="CU77" s="7">
        <f>VC!CP36</f>
        <v>0</v>
      </c>
      <c r="CV77" s="7">
        <f>VC!CQ36</f>
        <v>0</v>
      </c>
      <c r="CW77" s="7">
        <f>VC!CR36</f>
        <v>0</v>
      </c>
      <c r="CX77" s="7">
        <f>VC!CS36</f>
        <v>0</v>
      </c>
      <c r="CY77" s="7">
        <f>VC!CT36</f>
        <v>0</v>
      </c>
      <c r="CZ77" s="7">
        <f>VC!CU36</f>
        <v>0</v>
      </c>
      <c r="DA77" s="7">
        <f>VC!CV36</f>
        <v>0</v>
      </c>
      <c r="DB77" s="7">
        <f>VC!CW36</f>
        <v>0</v>
      </c>
      <c r="DC77" s="7">
        <f>VC!CX36</f>
        <v>0</v>
      </c>
      <c r="DD77" s="7">
        <f>VC!CY36</f>
        <v>0</v>
      </c>
      <c r="DE77" s="7">
        <f>VC!CZ36</f>
        <v>0</v>
      </c>
      <c r="DF77" s="7">
        <f>VC!DA36</f>
        <v>0</v>
      </c>
      <c r="DG77" s="7">
        <f>VC!DB36</f>
        <v>0</v>
      </c>
      <c r="DH77" s="7">
        <f>VC!DC36</f>
        <v>0</v>
      </c>
      <c r="DI77" s="7">
        <f>VC!DD36</f>
        <v>0</v>
      </c>
      <c r="DJ77" s="7">
        <f>VC!DE36</f>
        <v>0</v>
      </c>
      <c r="DK77" s="7">
        <f>VC!DF36</f>
        <v>0</v>
      </c>
      <c r="DL77" s="7">
        <f>VC!DG36</f>
        <v>0</v>
      </c>
      <c r="DM77" s="7">
        <f>VC!DH36</f>
        <v>0</v>
      </c>
      <c r="DN77" s="7">
        <f>VC!DI36</f>
        <v>0</v>
      </c>
      <c r="DO77" s="7">
        <f>VC!DJ36</f>
        <v>0</v>
      </c>
      <c r="DP77" s="7">
        <f>VC!DK36</f>
        <v>0</v>
      </c>
      <c r="DQ77" s="7">
        <f>VC!DL36</f>
        <v>0</v>
      </c>
      <c r="DR77" s="7">
        <f>VC!DM36</f>
        <v>0</v>
      </c>
      <c r="DS77" s="7">
        <f>VC!DN36</f>
        <v>0</v>
      </c>
      <c r="DT77" s="7">
        <f>VC!DO36</f>
        <v>0</v>
      </c>
      <c r="DU77" s="7">
        <f>VC!DP36</f>
        <v>0</v>
      </c>
      <c r="DV77" s="7">
        <f>VC!DQ36</f>
        <v>0</v>
      </c>
      <c r="DW77" s="7">
        <f>VC!DR36</f>
        <v>0</v>
      </c>
      <c r="DX77" s="7">
        <f>VC!DS36</f>
        <v>0</v>
      </c>
      <c r="DY77" s="7">
        <f>VC!DT36</f>
        <v>0</v>
      </c>
      <c r="DZ77" s="7">
        <f>VC!DU36</f>
        <v>0</v>
      </c>
      <c r="EA77" s="7">
        <f>VC!DV36</f>
        <v>0</v>
      </c>
      <c r="EB77" s="7">
        <f>VC!DW36</f>
        <v>0</v>
      </c>
      <c r="EC77" s="7">
        <f>VC!DX36</f>
        <v>0</v>
      </c>
      <c r="ED77" s="7">
        <f>VC!DY36</f>
        <v>0</v>
      </c>
      <c r="EE77" s="7">
        <f>VC!DZ36</f>
        <v>0</v>
      </c>
      <c r="EF77" s="7">
        <f>VC!EA36</f>
        <v>0</v>
      </c>
      <c r="EG77" s="7">
        <f>VC!EB36</f>
        <v>0</v>
      </c>
      <c r="EH77" s="7">
        <f>VC!EC36</f>
        <v>0</v>
      </c>
      <c r="EI77" s="7">
        <f>VC!ED36</f>
        <v>0</v>
      </c>
      <c r="EJ77" s="7">
        <f>VC!EE36</f>
        <v>0</v>
      </c>
      <c r="EK77" s="7">
        <f>VC!EF36</f>
        <v>0</v>
      </c>
      <c r="EL77" s="7" t="str">
        <f>VC!EG36</f>
        <v>L219V</v>
      </c>
      <c r="EM77" s="7">
        <f>VC!EH36</f>
        <v>0</v>
      </c>
      <c r="EN77" s="7">
        <f>VC!EI36</f>
        <v>0</v>
      </c>
      <c r="EO77" s="7">
        <f>VC!EJ36</f>
        <v>0</v>
      </c>
      <c r="EP77" s="7">
        <f>VC!EK36</f>
        <v>0</v>
      </c>
      <c r="EQ77" s="7">
        <f>VC!EL36</f>
        <v>0</v>
      </c>
      <c r="ER77" s="7">
        <f>VC!EM36</f>
        <v>0</v>
      </c>
      <c r="ES77" s="7">
        <f>VC!EN36</f>
        <v>0</v>
      </c>
      <c r="ET77" s="7">
        <f>VC!EO36</f>
        <v>0</v>
      </c>
      <c r="EU77" s="7">
        <f>VC!EP36</f>
        <v>0</v>
      </c>
      <c r="EV77" s="7">
        <f>VC!EQ36</f>
        <v>0</v>
      </c>
      <c r="EW77" s="7" t="str">
        <f>VC!ER36</f>
        <v>L240V; A572V</v>
      </c>
      <c r="EX77" s="7">
        <f>VC!ES36</f>
        <v>0</v>
      </c>
      <c r="EY77" s="7">
        <f>VC!ET36</f>
        <v>0</v>
      </c>
      <c r="EZ77" s="7">
        <f>VC!EU36</f>
        <v>0</v>
      </c>
      <c r="FA77" s="7">
        <f>VC!EV36</f>
        <v>0</v>
      </c>
      <c r="FB77" s="7">
        <f>VC!EW36</f>
        <v>0</v>
      </c>
      <c r="FC77" s="7">
        <f>VC!EX36</f>
        <v>0</v>
      </c>
      <c r="FD77" s="7">
        <f>VC!EY36</f>
        <v>0</v>
      </c>
      <c r="FE77" s="7">
        <f>VC!EZ36</f>
        <v>0</v>
      </c>
      <c r="FF77" s="7">
        <f>VC!FA36</f>
        <v>0</v>
      </c>
      <c r="FG77" s="7">
        <f>VC!FB36</f>
        <v>0</v>
      </c>
      <c r="FH77" s="7">
        <f>VC!FC36</f>
        <v>0</v>
      </c>
      <c r="FI77" s="7">
        <f>VC!FD36</f>
        <v>0</v>
      </c>
      <c r="FJ77" s="7">
        <f>VC!FE36</f>
        <v>0</v>
      </c>
      <c r="FK77" s="7">
        <f>VC!FF36</f>
        <v>0</v>
      </c>
      <c r="FL77" s="7">
        <f>VC!FG36</f>
        <v>0</v>
      </c>
      <c r="FM77" s="7">
        <f>VC!FH36</f>
        <v>0</v>
      </c>
      <c r="FN77" s="7">
        <f>VC!FI36</f>
        <v>0</v>
      </c>
      <c r="FO77" s="7">
        <f>VC!FJ36</f>
        <v>0</v>
      </c>
      <c r="FP77" s="7">
        <f>VC!FK36</f>
        <v>0</v>
      </c>
      <c r="FQ77" s="7">
        <f>VC!FL36</f>
        <v>0</v>
      </c>
      <c r="FR77" s="7">
        <f>VC!FM36</f>
        <v>0</v>
      </c>
      <c r="FS77" s="7">
        <f>VC!FN36</f>
        <v>0</v>
      </c>
      <c r="FT77" s="7">
        <f>VC!FO36</f>
        <v>0</v>
      </c>
      <c r="FU77" s="7">
        <f>VC!FP36</f>
        <v>0</v>
      </c>
      <c r="FV77" s="7">
        <f>VC!FQ36</f>
        <v>0</v>
      </c>
      <c r="FW77" s="7">
        <f>VC!FR36</f>
        <v>0</v>
      </c>
      <c r="FX77" s="7" t="str">
        <f>VC!FS36</f>
        <v>G243S</v>
      </c>
      <c r="FY77" s="7">
        <f>VC!FT36</f>
        <v>0</v>
      </c>
      <c r="FZ77" s="7">
        <f>VC!FU36</f>
        <v>0</v>
      </c>
      <c r="GA77" s="7">
        <f>VC!FV36</f>
        <v>0</v>
      </c>
      <c r="GB77" s="7" t="str">
        <f>VC!FW36</f>
        <v>I347T</v>
      </c>
      <c r="GC77" s="7">
        <f>VC!FX36</f>
        <v>0</v>
      </c>
      <c r="GD77" s="7">
        <f>VC!FY36</f>
        <v>0</v>
      </c>
      <c r="GE77" s="7">
        <f>VC!FZ36</f>
        <v>0</v>
      </c>
      <c r="GF77" s="7">
        <f>VC!GA36</f>
        <v>0</v>
      </c>
      <c r="GG77" s="7">
        <f>VC!GB36</f>
        <v>0</v>
      </c>
      <c r="GH77" s="7">
        <f>VC!GC36</f>
        <v>0</v>
      </c>
      <c r="GI77" s="7">
        <f>VC!GD36</f>
        <v>0</v>
      </c>
      <c r="GJ77" s="7">
        <f>VC!GE36</f>
        <v>0</v>
      </c>
      <c r="GK77" s="7">
        <f>VC!GF36</f>
        <v>0</v>
      </c>
      <c r="GL77" s="7">
        <f>VC!GG36</f>
        <v>0</v>
      </c>
      <c r="GM77" s="7">
        <f>VC!GH36</f>
        <v>0</v>
      </c>
      <c r="GN77" s="7">
        <f>VC!GI36</f>
        <v>0</v>
      </c>
      <c r="GO77" s="7">
        <f>VC!GJ36</f>
        <v>0</v>
      </c>
      <c r="GP77" s="7">
        <f>VC!GK36</f>
        <v>0</v>
      </c>
      <c r="GQ77" s="7">
        <f>VC!GL36</f>
        <v>0</v>
      </c>
      <c r="GR77" s="7" t="str">
        <f>VC!GM36</f>
        <v>L23V; Y146F</v>
      </c>
      <c r="GS77" s="7">
        <f>VC!GN36</f>
        <v>0</v>
      </c>
      <c r="GT77" s="7">
        <f>VC!GO36</f>
        <v>0</v>
      </c>
      <c r="GU77" s="7">
        <f>VC!GP36</f>
        <v>0</v>
      </c>
      <c r="GV77" s="7">
        <f>VC!GQ36</f>
        <v>0</v>
      </c>
      <c r="GW77" s="7">
        <f>VC!GR36</f>
        <v>0</v>
      </c>
      <c r="GX77" s="7">
        <f>VC!GS36</f>
        <v>0</v>
      </c>
      <c r="GY77" s="7">
        <f>VC!GT36</f>
        <v>0</v>
      </c>
      <c r="GZ77" s="7">
        <f>VC!GU36</f>
        <v>0</v>
      </c>
      <c r="HA77" s="7">
        <f>VC!GV36</f>
        <v>0</v>
      </c>
      <c r="HB77" s="7">
        <f>VC!GW36</f>
        <v>0</v>
      </c>
      <c r="HC77" s="7">
        <f>VC!GX36</f>
        <v>0</v>
      </c>
    </row>
    <row r="78" spans="1:211" s="7" customFormat="1" x14ac:dyDescent="0.25">
      <c r="A78" s="7" t="s">
        <v>32</v>
      </c>
      <c r="B78" s="7" t="s">
        <v>99</v>
      </c>
      <c r="C78" s="8" t="s">
        <v>2</v>
      </c>
      <c r="D78" s="7" t="s">
        <v>76</v>
      </c>
      <c r="E78" s="7" t="s">
        <v>138</v>
      </c>
      <c r="F78" s="7" t="s">
        <v>73</v>
      </c>
      <c r="G78" s="7" t="s">
        <v>1054</v>
      </c>
      <c r="H78" s="7">
        <f>VC!C36</f>
        <v>0</v>
      </c>
      <c r="I78" s="7">
        <f>VC!D36</f>
        <v>0</v>
      </c>
      <c r="J78" s="7">
        <f>VC!E36</f>
        <v>0</v>
      </c>
      <c r="K78" s="7">
        <f>VC!F36</f>
        <v>0</v>
      </c>
      <c r="L78" s="7">
        <f>VC!G36</f>
        <v>0</v>
      </c>
      <c r="M78" s="7">
        <f>VC!H36</f>
        <v>0</v>
      </c>
      <c r="N78" s="7">
        <f>VC!I36</f>
        <v>0</v>
      </c>
      <c r="O78" s="7">
        <f>VC!J36</f>
        <v>0</v>
      </c>
      <c r="P78" s="7">
        <f>VC!K36</f>
        <v>0</v>
      </c>
      <c r="Q78" s="7">
        <f>VC!L36</f>
        <v>0</v>
      </c>
      <c r="R78" s="7">
        <f>VC!M36</f>
        <v>0</v>
      </c>
      <c r="S78" s="7">
        <f>VC!N36</f>
        <v>0</v>
      </c>
      <c r="T78" s="7">
        <f>VC!O36</f>
        <v>0</v>
      </c>
      <c r="U78" s="7">
        <f>VC!P36</f>
        <v>0</v>
      </c>
      <c r="V78" s="7">
        <f>VC!Q36</f>
        <v>0</v>
      </c>
      <c r="W78" s="7">
        <f>VC!R36</f>
        <v>0</v>
      </c>
      <c r="X78" s="7">
        <f>VC!S36</f>
        <v>0</v>
      </c>
      <c r="Y78" s="7">
        <f>VC!T36</f>
        <v>0</v>
      </c>
      <c r="Z78" s="7">
        <f>VC!U36</f>
        <v>0</v>
      </c>
      <c r="AA78" s="7">
        <f>VC!V36</f>
        <v>0</v>
      </c>
      <c r="AB78" s="7">
        <f>VC!W36</f>
        <v>0</v>
      </c>
      <c r="AC78" s="7">
        <f>VC!X36</f>
        <v>0</v>
      </c>
      <c r="AD78" s="7">
        <f>VC!Y36</f>
        <v>0</v>
      </c>
      <c r="AE78" s="7">
        <f>VC!Z36</f>
        <v>0</v>
      </c>
      <c r="AF78" s="7">
        <f>VC!AA36</f>
        <v>0</v>
      </c>
      <c r="AG78" s="7">
        <f>VC!AB36</f>
        <v>0</v>
      </c>
      <c r="AH78" s="7">
        <f>VC!AC36</f>
        <v>0</v>
      </c>
      <c r="AI78" s="7">
        <f>VC!AD36</f>
        <v>0</v>
      </c>
      <c r="AJ78" s="7">
        <f>VC!AE36</f>
        <v>0</v>
      </c>
      <c r="AK78" s="7">
        <f>VC!AF36</f>
        <v>0</v>
      </c>
      <c r="AL78" s="7">
        <f>VC!AG36</f>
        <v>0</v>
      </c>
      <c r="AM78" s="7">
        <f>VC!AH36</f>
        <v>0</v>
      </c>
      <c r="AN78" s="7">
        <f>VC!AI36</f>
        <v>0</v>
      </c>
      <c r="AO78" s="7">
        <f>VC!AJ36</f>
        <v>0</v>
      </c>
      <c r="AP78" s="7">
        <f>VC!AK36</f>
        <v>0</v>
      </c>
      <c r="AQ78" s="7">
        <f>VC!AL36</f>
        <v>0</v>
      </c>
      <c r="AR78" s="7">
        <f>VC!AM36</f>
        <v>0</v>
      </c>
      <c r="AS78" s="7">
        <f>VC!AN36</f>
        <v>0</v>
      </c>
      <c r="AT78" s="7">
        <f>VC!AO36</f>
        <v>0</v>
      </c>
      <c r="AU78" s="7">
        <f>VC!AP36</f>
        <v>0</v>
      </c>
      <c r="AV78" s="7">
        <f>VC!AQ36</f>
        <v>0</v>
      </c>
      <c r="AW78" s="7">
        <f>VC!AR36</f>
        <v>0</v>
      </c>
      <c r="AX78" s="7">
        <f>VC!AS36</f>
        <v>0</v>
      </c>
      <c r="AY78" s="7">
        <f>VC!AT36</f>
        <v>0</v>
      </c>
      <c r="AZ78" s="7">
        <f>VC!AU36</f>
        <v>0</v>
      </c>
      <c r="BA78" s="7">
        <f>VC!AV36</f>
        <v>0</v>
      </c>
      <c r="BB78" s="7" t="str">
        <f>VC!AW36</f>
        <v>D440E</v>
      </c>
      <c r="BC78" s="7">
        <f>VC!AX36</f>
        <v>0</v>
      </c>
      <c r="BD78" s="7">
        <f>VC!AY36</f>
        <v>0</v>
      </c>
      <c r="BE78" s="7">
        <f>VC!AZ36</f>
        <v>0</v>
      </c>
      <c r="BF78" s="7">
        <f>VC!BA36</f>
        <v>0</v>
      </c>
      <c r="BG78" s="7">
        <f>VC!BB36</f>
        <v>0</v>
      </c>
      <c r="BH78" s="7">
        <f>VC!BC36</f>
        <v>0</v>
      </c>
      <c r="BI78" s="7">
        <f>VC!BD36</f>
        <v>0</v>
      </c>
      <c r="BJ78" s="7">
        <f>VC!BE36</f>
        <v>0</v>
      </c>
      <c r="BK78" s="7">
        <f>VC!BF36</f>
        <v>0</v>
      </c>
      <c r="BL78" s="7">
        <f>VC!BG36</f>
        <v>0</v>
      </c>
      <c r="BM78" s="7">
        <f>VC!BH36</f>
        <v>0</v>
      </c>
      <c r="BN78" s="7" t="str">
        <f>VC!BI36</f>
        <v>R551L</v>
      </c>
      <c r="BO78" s="7">
        <f>VC!BJ36</f>
        <v>0</v>
      </c>
      <c r="BP78" s="7" t="str">
        <f>VC!BK36</f>
        <v>L21P</v>
      </c>
      <c r="BQ78" s="7">
        <f>VC!BL36</f>
        <v>0</v>
      </c>
      <c r="BR78" s="7">
        <f>VC!BM36</f>
        <v>0</v>
      </c>
      <c r="BS78" s="7">
        <f>VC!BN36</f>
        <v>0</v>
      </c>
      <c r="BT78" s="7" t="str">
        <f>VC!BO36</f>
        <v>L23V</v>
      </c>
      <c r="BU78" s="7">
        <f>VC!BP36</f>
        <v>0</v>
      </c>
      <c r="BV78" s="7" t="str">
        <f>VC!BQ36</f>
        <v>L3V</v>
      </c>
      <c r="BW78" s="7">
        <f>VC!BR36</f>
        <v>0</v>
      </c>
      <c r="BX78" s="7">
        <f>VC!BS36</f>
        <v>0</v>
      </c>
      <c r="BY78" s="7">
        <f>VC!BT36</f>
        <v>0</v>
      </c>
      <c r="BZ78" s="7">
        <f>VC!BU36</f>
        <v>0</v>
      </c>
      <c r="CA78" s="7">
        <f>VC!BV36</f>
        <v>0</v>
      </c>
      <c r="CB78" s="7">
        <f>VC!BW36</f>
        <v>0</v>
      </c>
      <c r="CC78" s="7">
        <f>VC!BX36</f>
        <v>0</v>
      </c>
      <c r="CD78" s="7">
        <f>VC!BY36</f>
        <v>0</v>
      </c>
      <c r="CE78" s="7">
        <f>VC!BZ36</f>
        <v>0</v>
      </c>
      <c r="CF78" s="7">
        <f>VC!CA36</f>
        <v>0</v>
      </c>
      <c r="CG78" s="7">
        <f>VC!CB36</f>
        <v>0</v>
      </c>
      <c r="CH78" s="7">
        <f>VC!CC36</f>
        <v>0</v>
      </c>
      <c r="CI78" s="7">
        <f>VC!CD36</f>
        <v>0</v>
      </c>
      <c r="CJ78" s="7">
        <f>VC!CE36</f>
        <v>0</v>
      </c>
      <c r="CK78" s="7">
        <f>VC!CF36</f>
        <v>0</v>
      </c>
      <c r="CL78" s="7">
        <f>VC!CG36</f>
        <v>0</v>
      </c>
      <c r="CM78" s="7">
        <f>VC!CH36</f>
        <v>0</v>
      </c>
      <c r="CN78" s="7">
        <f>VC!CI36</f>
        <v>0</v>
      </c>
      <c r="CO78" s="7">
        <f>VC!CJ36</f>
        <v>0</v>
      </c>
      <c r="CP78" s="7">
        <f>VC!CK36</f>
        <v>0</v>
      </c>
      <c r="CQ78" s="7">
        <f>VC!CL36</f>
        <v>0</v>
      </c>
      <c r="CR78" s="7">
        <f>VC!CM36</f>
        <v>0</v>
      </c>
      <c r="CS78" s="7">
        <f>VC!CN36</f>
        <v>0</v>
      </c>
      <c r="CT78" s="7">
        <f>VC!CO36</f>
        <v>0</v>
      </c>
      <c r="CU78" s="7">
        <f>VC!CP36</f>
        <v>0</v>
      </c>
      <c r="CV78" s="7">
        <f>VC!CQ36</f>
        <v>0</v>
      </c>
      <c r="CW78" s="7">
        <f>VC!CR36</f>
        <v>0</v>
      </c>
      <c r="CX78" s="7">
        <f>VC!CS36</f>
        <v>0</v>
      </c>
      <c r="CY78" s="7">
        <f>VC!CT36</f>
        <v>0</v>
      </c>
      <c r="CZ78" s="7">
        <f>VC!CU36</f>
        <v>0</v>
      </c>
      <c r="DA78" s="7">
        <f>VC!CV36</f>
        <v>0</v>
      </c>
      <c r="DB78" s="7">
        <f>VC!CW36</f>
        <v>0</v>
      </c>
      <c r="DC78" s="7">
        <f>VC!CX36</f>
        <v>0</v>
      </c>
      <c r="DD78" s="7">
        <f>VC!CY36</f>
        <v>0</v>
      </c>
      <c r="DE78" s="7">
        <f>VC!CZ36</f>
        <v>0</v>
      </c>
      <c r="DF78" s="7">
        <f>VC!DA36</f>
        <v>0</v>
      </c>
      <c r="DG78" s="7">
        <f>VC!DB36</f>
        <v>0</v>
      </c>
      <c r="DH78" s="7">
        <f>VC!DC36</f>
        <v>0</v>
      </c>
      <c r="DI78" s="7">
        <f>VC!DD36</f>
        <v>0</v>
      </c>
      <c r="DJ78" s="7">
        <f>VC!DE36</f>
        <v>0</v>
      </c>
      <c r="DK78" s="7">
        <f>VC!DF36</f>
        <v>0</v>
      </c>
      <c r="DL78" s="7">
        <f>VC!DG36</f>
        <v>0</v>
      </c>
      <c r="DM78" s="7">
        <f>VC!DH36</f>
        <v>0</v>
      </c>
      <c r="DN78" s="7">
        <f>VC!DI36</f>
        <v>0</v>
      </c>
      <c r="DO78" s="7">
        <f>VC!DJ36</f>
        <v>0</v>
      </c>
      <c r="DP78" s="7">
        <f>VC!DK36</f>
        <v>0</v>
      </c>
      <c r="DQ78" s="7">
        <f>VC!DL36</f>
        <v>0</v>
      </c>
      <c r="DR78" s="7">
        <f>VC!DM36</f>
        <v>0</v>
      </c>
      <c r="DS78" s="7">
        <f>VC!DN36</f>
        <v>0</v>
      </c>
      <c r="DT78" s="7">
        <f>VC!DO36</f>
        <v>0</v>
      </c>
      <c r="DU78" s="7">
        <f>VC!DP36</f>
        <v>0</v>
      </c>
      <c r="DV78" s="7">
        <f>VC!DQ36</f>
        <v>0</v>
      </c>
      <c r="DW78" s="7">
        <f>VC!DR36</f>
        <v>0</v>
      </c>
      <c r="DX78" s="7">
        <f>VC!DS36</f>
        <v>0</v>
      </c>
      <c r="DY78" s="7">
        <f>VC!DT36</f>
        <v>0</v>
      </c>
      <c r="DZ78" s="7">
        <f>VC!DU36</f>
        <v>0</v>
      </c>
      <c r="EA78" s="7">
        <f>VC!DV36</f>
        <v>0</v>
      </c>
      <c r="EB78" s="7">
        <f>VC!DW36</f>
        <v>0</v>
      </c>
      <c r="EC78" s="7">
        <f>VC!DX36</f>
        <v>0</v>
      </c>
      <c r="ED78" s="7">
        <f>VC!DY36</f>
        <v>0</v>
      </c>
      <c r="EE78" s="7">
        <f>VC!DZ36</f>
        <v>0</v>
      </c>
      <c r="EF78" s="7">
        <f>VC!EA36</f>
        <v>0</v>
      </c>
      <c r="EG78" s="7">
        <f>VC!EB36</f>
        <v>0</v>
      </c>
      <c r="EH78" s="7">
        <f>VC!EC36</f>
        <v>0</v>
      </c>
      <c r="EI78" s="7">
        <f>VC!ED36</f>
        <v>0</v>
      </c>
      <c r="EJ78" s="7">
        <f>VC!EE36</f>
        <v>0</v>
      </c>
      <c r="EK78" s="7">
        <f>VC!EF36</f>
        <v>0</v>
      </c>
      <c r="EL78" s="7" t="str">
        <f>VC!EG36</f>
        <v>L219V</v>
      </c>
      <c r="EM78" s="7">
        <f>VC!EH36</f>
        <v>0</v>
      </c>
      <c r="EN78" s="7">
        <f>VC!EI36</f>
        <v>0</v>
      </c>
      <c r="EO78" s="7">
        <f>VC!EJ36</f>
        <v>0</v>
      </c>
      <c r="EP78" s="7">
        <f>VC!EK36</f>
        <v>0</v>
      </c>
      <c r="EQ78" s="7">
        <f>VC!EL36</f>
        <v>0</v>
      </c>
      <c r="ER78" s="7">
        <f>VC!EM36</f>
        <v>0</v>
      </c>
      <c r="ES78" s="7">
        <f>VC!EN36</f>
        <v>0</v>
      </c>
      <c r="ET78" s="7">
        <f>VC!EO36</f>
        <v>0</v>
      </c>
      <c r="EU78" s="7">
        <f>VC!EP36</f>
        <v>0</v>
      </c>
      <c r="EV78" s="7">
        <f>VC!EQ36</f>
        <v>0</v>
      </c>
      <c r="EW78" s="7" t="str">
        <f>VC!ER36</f>
        <v>L240V; A572V</v>
      </c>
      <c r="EX78" s="7">
        <f>VC!ES36</f>
        <v>0</v>
      </c>
      <c r="EY78" s="7">
        <f>VC!ET36</f>
        <v>0</v>
      </c>
      <c r="EZ78" s="7">
        <f>VC!EU36</f>
        <v>0</v>
      </c>
      <c r="FA78" s="7">
        <f>VC!EV36</f>
        <v>0</v>
      </c>
      <c r="FB78" s="7">
        <f>VC!EW36</f>
        <v>0</v>
      </c>
      <c r="FC78" s="7">
        <f>VC!EX36</f>
        <v>0</v>
      </c>
      <c r="FD78" s="7">
        <f>VC!EY36</f>
        <v>0</v>
      </c>
      <c r="FE78" s="7">
        <f>VC!EZ36</f>
        <v>0</v>
      </c>
      <c r="FF78" s="7">
        <f>VC!FA36</f>
        <v>0</v>
      </c>
      <c r="FG78" s="7">
        <f>VC!FB36</f>
        <v>0</v>
      </c>
      <c r="FH78" s="7">
        <f>VC!FC36</f>
        <v>0</v>
      </c>
      <c r="FI78" s="7">
        <f>VC!FD36</f>
        <v>0</v>
      </c>
      <c r="FJ78" s="7">
        <f>VC!FE36</f>
        <v>0</v>
      </c>
      <c r="FK78" s="7">
        <f>VC!FF36</f>
        <v>0</v>
      </c>
      <c r="FL78" s="7">
        <f>VC!FG36</f>
        <v>0</v>
      </c>
      <c r="FM78" s="7">
        <f>VC!FH36</f>
        <v>0</v>
      </c>
      <c r="FN78" s="7">
        <f>VC!FI36</f>
        <v>0</v>
      </c>
      <c r="FO78" s="7">
        <f>VC!FJ36</f>
        <v>0</v>
      </c>
      <c r="FP78" s="7">
        <f>VC!FK36</f>
        <v>0</v>
      </c>
      <c r="FQ78" s="7">
        <f>VC!FL36</f>
        <v>0</v>
      </c>
      <c r="FR78" s="7">
        <f>VC!FM36</f>
        <v>0</v>
      </c>
      <c r="FS78" s="7">
        <f>VC!FN36</f>
        <v>0</v>
      </c>
      <c r="FT78" s="7">
        <f>VC!FO36</f>
        <v>0</v>
      </c>
      <c r="FU78" s="7">
        <f>VC!FP36</f>
        <v>0</v>
      </c>
      <c r="FV78" s="7">
        <f>VC!FQ36</f>
        <v>0</v>
      </c>
      <c r="FW78" s="7">
        <f>VC!FR36</f>
        <v>0</v>
      </c>
      <c r="FX78" s="7" t="str">
        <f>VC!FS36</f>
        <v>G243S</v>
      </c>
      <c r="FY78" s="7">
        <f>VC!FT36</f>
        <v>0</v>
      </c>
      <c r="FZ78" s="7">
        <f>VC!FU36</f>
        <v>0</v>
      </c>
      <c r="GA78" s="7">
        <f>VC!FV36</f>
        <v>0</v>
      </c>
      <c r="GB78" s="7" t="str">
        <f>VC!FW36</f>
        <v>I347T</v>
      </c>
      <c r="GC78" s="7">
        <f>VC!FX36</f>
        <v>0</v>
      </c>
      <c r="GD78" s="7">
        <f>VC!FY36</f>
        <v>0</v>
      </c>
      <c r="GE78" s="7">
        <f>VC!FZ36</f>
        <v>0</v>
      </c>
      <c r="GF78" s="7">
        <f>VC!GA36</f>
        <v>0</v>
      </c>
      <c r="GG78" s="7">
        <f>VC!GB36</f>
        <v>0</v>
      </c>
      <c r="GH78" s="7">
        <f>VC!GC36</f>
        <v>0</v>
      </c>
      <c r="GI78" s="7">
        <f>VC!GD36</f>
        <v>0</v>
      </c>
      <c r="GJ78" s="7">
        <f>VC!GE36</f>
        <v>0</v>
      </c>
      <c r="GK78" s="7">
        <f>VC!GF36</f>
        <v>0</v>
      </c>
      <c r="GL78" s="7">
        <f>VC!GG36</f>
        <v>0</v>
      </c>
      <c r="GM78" s="7">
        <f>VC!GH36</f>
        <v>0</v>
      </c>
      <c r="GN78" s="7">
        <f>VC!GI36</f>
        <v>0</v>
      </c>
      <c r="GO78" s="7">
        <f>VC!GJ36</f>
        <v>0</v>
      </c>
      <c r="GP78" s="7">
        <f>VC!GK36</f>
        <v>0</v>
      </c>
      <c r="GQ78" s="7">
        <f>VC!GL36</f>
        <v>0</v>
      </c>
      <c r="GR78" s="7" t="str">
        <f>VC!GM36</f>
        <v>L23V; Y146F</v>
      </c>
      <c r="GS78" s="7">
        <f>VC!GN36</f>
        <v>0</v>
      </c>
      <c r="GT78" s="7">
        <f>VC!GO36</f>
        <v>0</v>
      </c>
      <c r="GU78" s="7">
        <f>VC!GP36</f>
        <v>0</v>
      </c>
      <c r="GV78" s="7">
        <f>VC!GQ36</f>
        <v>0</v>
      </c>
      <c r="GW78" s="7">
        <f>VC!GR36</f>
        <v>0</v>
      </c>
      <c r="GX78" s="7">
        <f>VC!GS36</f>
        <v>0</v>
      </c>
      <c r="GY78" s="7">
        <f>VC!GT36</f>
        <v>0</v>
      </c>
      <c r="GZ78" s="7">
        <f>VC!GU36</f>
        <v>0</v>
      </c>
      <c r="HA78" s="7">
        <f>VC!GV36</f>
        <v>0</v>
      </c>
      <c r="HB78" s="7">
        <f>VC!GW36</f>
        <v>0</v>
      </c>
      <c r="HC78" s="7">
        <f>VC!GX36</f>
        <v>0</v>
      </c>
    </row>
    <row r="79" spans="1:211" s="7" customFormat="1" x14ac:dyDescent="0.25">
      <c r="A79" s="7" t="s">
        <v>32</v>
      </c>
      <c r="B79" s="7" t="s">
        <v>99</v>
      </c>
      <c r="C79" s="8" t="s">
        <v>3</v>
      </c>
      <c r="D79" s="7" t="s">
        <v>76</v>
      </c>
      <c r="E79" s="7" t="s">
        <v>138</v>
      </c>
      <c r="F79" s="7" t="s">
        <v>73</v>
      </c>
      <c r="G79" s="7" t="s">
        <v>1054</v>
      </c>
      <c r="H79" s="7">
        <f>VC!C36</f>
        <v>0</v>
      </c>
      <c r="I79" s="7">
        <f>VC!D36</f>
        <v>0</v>
      </c>
      <c r="J79" s="7">
        <f>VC!E36</f>
        <v>0</v>
      </c>
      <c r="K79" s="7">
        <f>VC!F36</f>
        <v>0</v>
      </c>
      <c r="L79" s="7">
        <f>VC!G36</f>
        <v>0</v>
      </c>
      <c r="M79" s="7">
        <f>VC!H36</f>
        <v>0</v>
      </c>
      <c r="N79" s="7">
        <f>VC!I36</f>
        <v>0</v>
      </c>
      <c r="O79" s="7">
        <f>VC!J36</f>
        <v>0</v>
      </c>
      <c r="P79" s="7">
        <f>VC!K36</f>
        <v>0</v>
      </c>
      <c r="Q79" s="7">
        <f>VC!L36</f>
        <v>0</v>
      </c>
      <c r="R79" s="7">
        <f>VC!M36</f>
        <v>0</v>
      </c>
      <c r="S79" s="7">
        <f>VC!N36</f>
        <v>0</v>
      </c>
      <c r="T79" s="7">
        <f>VC!O36</f>
        <v>0</v>
      </c>
      <c r="U79" s="7">
        <f>VC!P36</f>
        <v>0</v>
      </c>
      <c r="V79" s="7">
        <f>VC!Q36</f>
        <v>0</v>
      </c>
      <c r="W79" s="7">
        <f>VC!R36</f>
        <v>0</v>
      </c>
      <c r="X79" s="7">
        <f>VC!S36</f>
        <v>0</v>
      </c>
      <c r="Y79" s="7">
        <f>VC!T36</f>
        <v>0</v>
      </c>
      <c r="Z79" s="7">
        <f>VC!U36</f>
        <v>0</v>
      </c>
      <c r="AA79" s="7">
        <f>VC!V36</f>
        <v>0</v>
      </c>
      <c r="AB79" s="7">
        <f>VC!W36</f>
        <v>0</v>
      </c>
      <c r="AC79" s="7">
        <f>VC!X36</f>
        <v>0</v>
      </c>
      <c r="AD79" s="7">
        <f>VC!Y36</f>
        <v>0</v>
      </c>
      <c r="AE79" s="7">
        <f>VC!Z36</f>
        <v>0</v>
      </c>
      <c r="AF79" s="7">
        <f>VC!AA36</f>
        <v>0</v>
      </c>
      <c r="AG79" s="7">
        <f>VC!AB36</f>
        <v>0</v>
      </c>
      <c r="AH79" s="7">
        <f>VC!AC36</f>
        <v>0</v>
      </c>
      <c r="AI79" s="7">
        <f>VC!AD36</f>
        <v>0</v>
      </c>
      <c r="AJ79" s="7">
        <f>VC!AE36</f>
        <v>0</v>
      </c>
      <c r="AK79" s="7">
        <f>VC!AF36</f>
        <v>0</v>
      </c>
      <c r="AL79" s="7">
        <f>VC!AG36</f>
        <v>0</v>
      </c>
      <c r="AM79" s="7">
        <f>VC!AH36</f>
        <v>0</v>
      </c>
      <c r="AN79" s="7">
        <f>VC!AI36</f>
        <v>0</v>
      </c>
      <c r="AO79" s="7">
        <f>VC!AJ36</f>
        <v>0</v>
      </c>
      <c r="AP79" s="7">
        <f>VC!AK36</f>
        <v>0</v>
      </c>
      <c r="AQ79" s="7">
        <f>VC!AL36</f>
        <v>0</v>
      </c>
      <c r="AR79" s="7">
        <f>VC!AM36</f>
        <v>0</v>
      </c>
      <c r="AS79" s="7">
        <f>VC!AN36</f>
        <v>0</v>
      </c>
      <c r="AT79" s="7">
        <f>VC!AO36</f>
        <v>0</v>
      </c>
      <c r="AU79" s="7">
        <f>VC!AP36</f>
        <v>0</v>
      </c>
      <c r="AV79" s="7">
        <f>VC!AQ36</f>
        <v>0</v>
      </c>
      <c r="AW79" s="7">
        <f>VC!AR36</f>
        <v>0</v>
      </c>
      <c r="AX79" s="7">
        <f>VC!AS36</f>
        <v>0</v>
      </c>
      <c r="AY79" s="7">
        <f>VC!AT36</f>
        <v>0</v>
      </c>
      <c r="AZ79" s="7">
        <f>VC!AU36</f>
        <v>0</v>
      </c>
      <c r="BA79" s="7">
        <f>VC!AV36</f>
        <v>0</v>
      </c>
      <c r="BB79" s="7" t="str">
        <f>VC!AW36</f>
        <v>D440E</v>
      </c>
      <c r="BC79" s="7">
        <f>VC!AX36</f>
        <v>0</v>
      </c>
      <c r="BD79" s="7">
        <f>VC!AY36</f>
        <v>0</v>
      </c>
      <c r="BE79" s="7">
        <f>VC!AZ36</f>
        <v>0</v>
      </c>
      <c r="BF79" s="7">
        <f>VC!BA36</f>
        <v>0</v>
      </c>
      <c r="BG79" s="7">
        <f>VC!BB36</f>
        <v>0</v>
      </c>
      <c r="BH79" s="7">
        <f>VC!BC36</f>
        <v>0</v>
      </c>
      <c r="BI79" s="7">
        <f>VC!BD36</f>
        <v>0</v>
      </c>
      <c r="BJ79" s="7">
        <f>VC!BE36</f>
        <v>0</v>
      </c>
      <c r="BK79" s="7">
        <f>VC!BF36</f>
        <v>0</v>
      </c>
      <c r="BL79" s="7">
        <f>VC!BG36</f>
        <v>0</v>
      </c>
      <c r="BM79" s="7">
        <f>VC!BH36</f>
        <v>0</v>
      </c>
      <c r="BN79" s="7" t="str">
        <f>VC!BI36</f>
        <v>R551L</v>
      </c>
      <c r="BO79" s="7">
        <f>VC!BJ36</f>
        <v>0</v>
      </c>
      <c r="BP79" s="7" t="str">
        <f>VC!BK36</f>
        <v>L21P</v>
      </c>
      <c r="BQ79" s="7">
        <f>VC!BL36</f>
        <v>0</v>
      </c>
      <c r="BR79" s="7">
        <f>VC!BM36</f>
        <v>0</v>
      </c>
      <c r="BS79" s="7">
        <f>VC!BN36</f>
        <v>0</v>
      </c>
      <c r="BT79" s="7" t="str">
        <f>VC!BO36</f>
        <v>L23V</v>
      </c>
      <c r="BU79" s="7">
        <f>VC!BP36</f>
        <v>0</v>
      </c>
      <c r="BV79" s="7" t="str">
        <f>VC!BQ36</f>
        <v>L3V</v>
      </c>
      <c r="BW79" s="7">
        <f>VC!BR36</f>
        <v>0</v>
      </c>
      <c r="BX79" s="7">
        <f>VC!BS36</f>
        <v>0</v>
      </c>
      <c r="BY79" s="7">
        <f>VC!BT36</f>
        <v>0</v>
      </c>
      <c r="BZ79" s="7">
        <f>VC!BU36</f>
        <v>0</v>
      </c>
      <c r="CA79" s="7">
        <f>VC!BV36</f>
        <v>0</v>
      </c>
      <c r="CB79" s="7">
        <f>VC!BW36</f>
        <v>0</v>
      </c>
      <c r="CC79" s="7">
        <f>VC!BX36</f>
        <v>0</v>
      </c>
      <c r="CD79" s="7">
        <f>VC!BY36</f>
        <v>0</v>
      </c>
      <c r="CE79" s="7">
        <f>VC!BZ36</f>
        <v>0</v>
      </c>
      <c r="CF79" s="7">
        <f>VC!CA36</f>
        <v>0</v>
      </c>
      <c r="CG79" s="7">
        <f>VC!CB36</f>
        <v>0</v>
      </c>
      <c r="CH79" s="7">
        <f>VC!CC36</f>
        <v>0</v>
      </c>
      <c r="CI79" s="7">
        <f>VC!CD36</f>
        <v>0</v>
      </c>
      <c r="CJ79" s="7">
        <f>VC!CE36</f>
        <v>0</v>
      </c>
      <c r="CK79" s="7">
        <f>VC!CF36</f>
        <v>0</v>
      </c>
      <c r="CL79" s="7">
        <f>VC!CG36</f>
        <v>0</v>
      </c>
      <c r="CM79" s="7">
        <f>VC!CH36</f>
        <v>0</v>
      </c>
      <c r="CN79" s="7">
        <f>VC!CI36</f>
        <v>0</v>
      </c>
      <c r="CO79" s="7">
        <f>VC!CJ36</f>
        <v>0</v>
      </c>
      <c r="CP79" s="7">
        <f>VC!CK36</f>
        <v>0</v>
      </c>
      <c r="CQ79" s="7">
        <f>VC!CL36</f>
        <v>0</v>
      </c>
      <c r="CR79" s="7">
        <f>VC!CM36</f>
        <v>0</v>
      </c>
      <c r="CS79" s="7">
        <f>VC!CN36</f>
        <v>0</v>
      </c>
      <c r="CT79" s="7">
        <f>VC!CO36</f>
        <v>0</v>
      </c>
      <c r="CU79" s="7">
        <f>VC!CP36</f>
        <v>0</v>
      </c>
      <c r="CV79" s="7">
        <f>VC!CQ36</f>
        <v>0</v>
      </c>
      <c r="CW79" s="7">
        <f>VC!CR36</f>
        <v>0</v>
      </c>
      <c r="CX79" s="7">
        <f>VC!CS36</f>
        <v>0</v>
      </c>
      <c r="CY79" s="7">
        <f>VC!CT36</f>
        <v>0</v>
      </c>
      <c r="CZ79" s="7">
        <f>VC!CU36</f>
        <v>0</v>
      </c>
      <c r="DA79" s="7">
        <f>VC!CV36</f>
        <v>0</v>
      </c>
      <c r="DB79" s="7">
        <f>VC!CW36</f>
        <v>0</v>
      </c>
      <c r="DC79" s="7">
        <f>VC!CX36</f>
        <v>0</v>
      </c>
      <c r="DD79" s="7">
        <f>VC!CY36</f>
        <v>0</v>
      </c>
      <c r="DE79" s="7">
        <f>VC!CZ36</f>
        <v>0</v>
      </c>
      <c r="DF79" s="7">
        <f>VC!DA36</f>
        <v>0</v>
      </c>
      <c r="DG79" s="7">
        <f>VC!DB36</f>
        <v>0</v>
      </c>
      <c r="DH79" s="7">
        <f>VC!DC36</f>
        <v>0</v>
      </c>
      <c r="DI79" s="7">
        <f>VC!DD36</f>
        <v>0</v>
      </c>
      <c r="DJ79" s="7">
        <f>VC!DE36</f>
        <v>0</v>
      </c>
      <c r="DK79" s="7">
        <f>VC!DF36</f>
        <v>0</v>
      </c>
      <c r="DL79" s="7">
        <f>VC!DG36</f>
        <v>0</v>
      </c>
      <c r="DM79" s="7">
        <f>VC!DH36</f>
        <v>0</v>
      </c>
      <c r="DN79" s="7">
        <f>VC!DI36</f>
        <v>0</v>
      </c>
      <c r="DO79" s="7">
        <f>VC!DJ36</f>
        <v>0</v>
      </c>
      <c r="DP79" s="7">
        <f>VC!DK36</f>
        <v>0</v>
      </c>
      <c r="DQ79" s="7">
        <f>VC!DL36</f>
        <v>0</v>
      </c>
      <c r="DR79" s="7">
        <f>VC!DM36</f>
        <v>0</v>
      </c>
      <c r="DS79" s="7">
        <f>VC!DN36</f>
        <v>0</v>
      </c>
      <c r="DT79" s="7">
        <f>VC!DO36</f>
        <v>0</v>
      </c>
      <c r="DU79" s="7">
        <f>VC!DP36</f>
        <v>0</v>
      </c>
      <c r="DV79" s="7">
        <f>VC!DQ36</f>
        <v>0</v>
      </c>
      <c r="DW79" s="7">
        <f>VC!DR36</f>
        <v>0</v>
      </c>
      <c r="DX79" s="7">
        <f>VC!DS36</f>
        <v>0</v>
      </c>
      <c r="DY79" s="7">
        <f>VC!DT36</f>
        <v>0</v>
      </c>
      <c r="DZ79" s="7">
        <f>VC!DU36</f>
        <v>0</v>
      </c>
      <c r="EA79" s="7">
        <f>VC!DV36</f>
        <v>0</v>
      </c>
      <c r="EB79" s="7">
        <f>VC!DW36</f>
        <v>0</v>
      </c>
      <c r="EC79" s="7">
        <f>VC!DX36</f>
        <v>0</v>
      </c>
      <c r="ED79" s="7">
        <f>VC!DY36</f>
        <v>0</v>
      </c>
      <c r="EE79" s="7">
        <f>VC!DZ36</f>
        <v>0</v>
      </c>
      <c r="EF79" s="7">
        <f>VC!EA36</f>
        <v>0</v>
      </c>
      <c r="EG79" s="7">
        <f>VC!EB36</f>
        <v>0</v>
      </c>
      <c r="EH79" s="7">
        <f>VC!EC36</f>
        <v>0</v>
      </c>
      <c r="EI79" s="7">
        <f>VC!ED36</f>
        <v>0</v>
      </c>
      <c r="EJ79" s="7">
        <f>VC!EE36</f>
        <v>0</v>
      </c>
      <c r="EK79" s="7">
        <f>VC!EF36</f>
        <v>0</v>
      </c>
      <c r="EL79" s="7" t="str">
        <f>VC!EG36</f>
        <v>L219V</v>
      </c>
      <c r="EM79" s="7">
        <f>VC!EH36</f>
        <v>0</v>
      </c>
      <c r="EN79" s="7">
        <f>VC!EI36</f>
        <v>0</v>
      </c>
      <c r="EO79" s="7">
        <f>VC!EJ36</f>
        <v>0</v>
      </c>
      <c r="EP79" s="7">
        <f>VC!EK36</f>
        <v>0</v>
      </c>
      <c r="EQ79" s="7">
        <f>VC!EL36</f>
        <v>0</v>
      </c>
      <c r="ER79" s="7">
        <f>VC!EM36</f>
        <v>0</v>
      </c>
      <c r="ES79" s="7">
        <f>VC!EN36</f>
        <v>0</v>
      </c>
      <c r="ET79" s="7">
        <f>VC!EO36</f>
        <v>0</v>
      </c>
      <c r="EU79" s="7">
        <f>VC!EP36</f>
        <v>0</v>
      </c>
      <c r="EV79" s="7">
        <f>VC!EQ36</f>
        <v>0</v>
      </c>
      <c r="EW79" s="7" t="str">
        <f>VC!ER36</f>
        <v>L240V; A572V</v>
      </c>
      <c r="EX79" s="7">
        <f>VC!ES36</f>
        <v>0</v>
      </c>
      <c r="EY79" s="7">
        <f>VC!ET36</f>
        <v>0</v>
      </c>
      <c r="EZ79" s="7">
        <f>VC!EU36</f>
        <v>0</v>
      </c>
      <c r="FA79" s="7">
        <f>VC!EV36</f>
        <v>0</v>
      </c>
      <c r="FB79" s="7">
        <f>VC!EW36</f>
        <v>0</v>
      </c>
      <c r="FC79" s="7">
        <f>VC!EX36</f>
        <v>0</v>
      </c>
      <c r="FD79" s="7">
        <f>VC!EY36</f>
        <v>0</v>
      </c>
      <c r="FE79" s="7">
        <f>VC!EZ36</f>
        <v>0</v>
      </c>
      <c r="FF79" s="7">
        <f>VC!FA36</f>
        <v>0</v>
      </c>
      <c r="FG79" s="7">
        <f>VC!FB36</f>
        <v>0</v>
      </c>
      <c r="FH79" s="7">
        <f>VC!FC36</f>
        <v>0</v>
      </c>
      <c r="FI79" s="7">
        <f>VC!FD36</f>
        <v>0</v>
      </c>
      <c r="FJ79" s="7">
        <f>VC!FE36</f>
        <v>0</v>
      </c>
      <c r="FK79" s="7">
        <f>VC!FF36</f>
        <v>0</v>
      </c>
      <c r="FL79" s="7">
        <f>VC!FG36</f>
        <v>0</v>
      </c>
      <c r="FM79" s="7">
        <f>VC!FH36</f>
        <v>0</v>
      </c>
      <c r="FN79" s="7">
        <f>VC!FI36</f>
        <v>0</v>
      </c>
      <c r="FO79" s="7">
        <f>VC!FJ36</f>
        <v>0</v>
      </c>
      <c r="FP79" s="7">
        <f>VC!FK36</f>
        <v>0</v>
      </c>
      <c r="FQ79" s="7">
        <f>VC!FL36</f>
        <v>0</v>
      </c>
      <c r="FR79" s="7">
        <f>VC!FM36</f>
        <v>0</v>
      </c>
      <c r="FS79" s="7">
        <f>VC!FN36</f>
        <v>0</v>
      </c>
      <c r="FT79" s="7">
        <f>VC!FO36</f>
        <v>0</v>
      </c>
      <c r="FU79" s="7">
        <f>VC!FP36</f>
        <v>0</v>
      </c>
      <c r="FV79" s="7">
        <f>VC!FQ36</f>
        <v>0</v>
      </c>
      <c r="FW79" s="7">
        <f>VC!FR36</f>
        <v>0</v>
      </c>
      <c r="FX79" s="7" t="str">
        <f>VC!FS36</f>
        <v>G243S</v>
      </c>
      <c r="FY79" s="7">
        <f>VC!FT36</f>
        <v>0</v>
      </c>
      <c r="FZ79" s="7">
        <f>VC!FU36</f>
        <v>0</v>
      </c>
      <c r="GA79" s="7">
        <f>VC!FV36</f>
        <v>0</v>
      </c>
      <c r="GB79" s="7" t="str">
        <f>VC!FW36</f>
        <v>I347T</v>
      </c>
      <c r="GC79" s="7">
        <f>VC!FX36</f>
        <v>0</v>
      </c>
      <c r="GD79" s="7">
        <f>VC!FY36</f>
        <v>0</v>
      </c>
      <c r="GE79" s="7">
        <f>VC!FZ36</f>
        <v>0</v>
      </c>
      <c r="GF79" s="7">
        <f>VC!GA36</f>
        <v>0</v>
      </c>
      <c r="GG79" s="7">
        <f>VC!GB36</f>
        <v>0</v>
      </c>
      <c r="GH79" s="7">
        <f>VC!GC36</f>
        <v>0</v>
      </c>
      <c r="GI79" s="7">
        <f>VC!GD36</f>
        <v>0</v>
      </c>
      <c r="GJ79" s="7">
        <f>VC!GE36</f>
        <v>0</v>
      </c>
      <c r="GK79" s="7">
        <f>VC!GF36</f>
        <v>0</v>
      </c>
      <c r="GL79" s="7">
        <f>VC!GG36</f>
        <v>0</v>
      </c>
      <c r="GM79" s="7">
        <f>VC!GH36</f>
        <v>0</v>
      </c>
      <c r="GN79" s="7">
        <f>VC!GI36</f>
        <v>0</v>
      </c>
      <c r="GO79" s="7">
        <f>VC!GJ36</f>
        <v>0</v>
      </c>
      <c r="GP79" s="7">
        <f>VC!GK36</f>
        <v>0</v>
      </c>
      <c r="GQ79" s="7">
        <f>VC!GL36</f>
        <v>0</v>
      </c>
      <c r="GR79" s="7" t="str">
        <f>VC!GM36</f>
        <v>L23V; Y146F</v>
      </c>
      <c r="GS79" s="7">
        <f>VC!GN36</f>
        <v>0</v>
      </c>
      <c r="GT79" s="7">
        <f>VC!GO36</f>
        <v>0</v>
      </c>
      <c r="GU79" s="7">
        <f>VC!GP36</f>
        <v>0</v>
      </c>
      <c r="GV79" s="7">
        <f>VC!GQ36</f>
        <v>0</v>
      </c>
      <c r="GW79" s="7">
        <f>VC!GR36</f>
        <v>0</v>
      </c>
      <c r="GX79" s="7">
        <f>VC!GS36</f>
        <v>0</v>
      </c>
      <c r="GY79" s="7">
        <f>VC!GT36</f>
        <v>0</v>
      </c>
      <c r="GZ79" s="7">
        <f>VC!GU36</f>
        <v>0</v>
      </c>
      <c r="HA79" s="7">
        <f>VC!GV36</f>
        <v>0</v>
      </c>
      <c r="HB79" s="7">
        <f>VC!GW36</f>
        <v>0</v>
      </c>
      <c r="HC79" s="7">
        <f>VC!GX36</f>
        <v>0</v>
      </c>
    </row>
    <row r="80" spans="1:211" s="1" customFormat="1" x14ac:dyDescent="0.25">
      <c r="A80" s="30" t="s">
        <v>33</v>
      </c>
      <c r="B80" s="30" t="s">
        <v>34</v>
      </c>
      <c r="C80" s="31" t="s">
        <v>1</v>
      </c>
      <c r="D80" s="30" t="s">
        <v>76</v>
      </c>
      <c r="E80" s="30" t="s">
        <v>147</v>
      </c>
      <c r="F80" s="30" t="s">
        <v>74</v>
      </c>
      <c r="G80" s="30" t="s">
        <v>136</v>
      </c>
      <c r="H80" s="1">
        <f>VC!C37</f>
        <v>0</v>
      </c>
      <c r="I80" s="1">
        <f>VC!D37</f>
        <v>0</v>
      </c>
      <c r="J80" s="1">
        <f>VC!E37</f>
        <v>0</v>
      </c>
      <c r="K80" s="1">
        <f>VC!F37</f>
        <v>0</v>
      </c>
      <c r="L80" s="1" t="str">
        <f>VC!G37</f>
        <v>L135Q</v>
      </c>
      <c r="M80" s="1" t="str">
        <f>VC!H37</f>
        <v>P126Q</v>
      </c>
      <c r="N80" s="1" t="str">
        <f>VC!I37</f>
        <v>A96T</v>
      </c>
      <c r="O80" s="1">
        <f>VC!J37</f>
        <v>0</v>
      </c>
      <c r="P80" s="1">
        <f>VC!K37</f>
        <v>0</v>
      </c>
      <c r="Q80" s="1">
        <f>VC!L37</f>
        <v>0</v>
      </c>
      <c r="R80" s="1">
        <f>VC!M37</f>
        <v>0</v>
      </c>
      <c r="S80" s="1">
        <f>VC!N37</f>
        <v>0</v>
      </c>
      <c r="T80" s="1">
        <f>VC!O37</f>
        <v>0</v>
      </c>
      <c r="U80" s="1" t="str">
        <f>VC!P37</f>
        <v>A134V</v>
      </c>
      <c r="V80" s="1" t="str">
        <f>VC!Q37</f>
        <v>R140W</v>
      </c>
      <c r="W80" s="1">
        <f>VC!R37</f>
        <v>0</v>
      </c>
      <c r="X80" s="1">
        <f>VC!S37</f>
        <v>0</v>
      </c>
      <c r="Y80" s="1">
        <f>VC!T37</f>
        <v>0</v>
      </c>
      <c r="Z80" s="1">
        <f>VC!U37</f>
        <v>0</v>
      </c>
      <c r="AA80" s="1">
        <f>VC!V37</f>
        <v>0</v>
      </c>
      <c r="AB80" s="1" t="str">
        <f>VC!W37</f>
        <v>A29T</v>
      </c>
      <c r="AC80" s="1">
        <f>VC!X37</f>
        <v>0</v>
      </c>
      <c r="AD80" s="1">
        <f>VC!Y37</f>
        <v>0</v>
      </c>
      <c r="AE80" s="1">
        <f>VC!Z37</f>
        <v>0</v>
      </c>
      <c r="AF80" s="1">
        <f>VC!AA37</f>
        <v>0</v>
      </c>
      <c r="AG80" s="1">
        <f>VC!AB37</f>
        <v>0</v>
      </c>
      <c r="AH80" s="1">
        <f>VC!AC37</f>
        <v>0</v>
      </c>
      <c r="AI80" s="1">
        <f>VC!AD37</f>
        <v>0</v>
      </c>
      <c r="AJ80" s="1">
        <f>VC!AE37</f>
        <v>0</v>
      </c>
      <c r="AK80" s="1">
        <f>VC!AF37</f>
        <v>0</v>
      </c>
      <c r="AL80" s="1">
        <f>VC!AG37</f>
        <v>0</v>
      </c>
      <c r="AM80" s="1">
        <f>VC!AH37</f>
        <v>0</v>
      </c>
      <c r="AN80" s="1">
        <f>VC!AI37</f>
        <v>0</v>
      </c>
      <c r="AO80" s="1" t="str">
        <f>VC!AJ37</f>
        <v>A136V</v>
      </c>
      <c r="AP80" s="1">
        <f>VC!AK37</f>
        <v>0</v>
      </c>
      <c r="AQ80" s="1">
        <f>VC!AL37</f>
        <v>0</v>
      </c>
      <c r="AR80" s="1">
        <f>VC!AM37</f>
        <v>0</v>
      </c>
      <c r="AS80" s="1">
        <f>VC!AN37</f>
        <v>0</v>
      </c>
      <c r="AT80" s="1">
        <f>VC!AO37</f>
        <v>0</v>
      </c>
      <c r="AU80" s="1" t="str">
        <f>VC!AP37</f>
        <v>Q131X</v>
      </c>
      <c r="AV80" s="1">
        <f>VC!AQ37</f>
        <v>0</v>
      </c>
      <c r="AW80" s="1">
        <f>VC!AR37</f>
        <v>0</v>
      </c>
      <c r="AX80" s="1">
        <f>VC!AS37</f>
        <v>0</v>
      </c>
      <c r="AY80" s="1">
        <f>VC!AT37</f>
        <v>0</v>
      </c>
      <c r="AZ80" s="1" t="str">
        <f>VC!AU37</f>
        <v>A136V</v>
      </c>
      <c r="BA80" s="1">
        <f>VC!AV37</f>
        <v>0</v>
      </c>
      <c r="BB80" s="1">
        <f>VC!AW37</f>
        <v>0</v>
      </c>
      <c r="BC80" s="1">
        <f>VC!AX37</f>
        <v>0</v>
      </c>
      <c r="BD80" s="1">
        <f>VC!AY37</f>
        <v>0</v>
      </c>
      <c r="BE80" s="1">
        <f>VC!AZ37</f>
        <v>0</v>
      </c>
      <c r="BF80" s="1">
        <f>VC!BA37</f>
        <v>0</v>
      </c>
      <c r="BG80" s="1" t="str">
        <f>VC!BB37</f>
        <v>T47I</v>
      </c>
      <c r="BH80" s="1" t="str">
        <f>VC!BC37</f>
        <v>A29T</v>
      </c>
      <c r="BI80" s="1">
        <f>VC!BD37</f>
        <v>0</v>
      </c>
      <c r="BJ80" s="1" t="str">
        <f>VC!BE37</f>
        <v>A134V</v>
      </c>
      <c r="BK80" s="1">
        <f>VC!BF37</f>
        <v>0</v>
      </c>
      <c r="BL80" s="1">
        <f>VC!BG37</f>
        <v>0</v>
      </c>
      <c r="BM80" s="1">
        <f>VC!BH37</f>
        <v>0</v>
      </c>
      <c r="BN80" s="1">
        <f>VC!BI37</f>
        <v>0</v>
      </c>
      <c r="BO80" s="1">
        <f>VC!BJ37</f>
        <v>0</v>
      </c>
      <c r="BP80" s="1">
        <f>VC!BK37</f>
        <v>0</v>
      </c>
      <c r="BQ80" s="1">
        <f>VC!BL37</f>
        <v>0</v>
      </c>
      <c r="BR80" s="1">
        <f>VC!BM37</f>
        <v>0</v>
      </c>
      <c r="BS80" s="1" t="str">
        <f>VC!BN37</f>
        <v>T139M</v>
      </c>
      <c r="BT80" s="1" t="str">
        <f>VC!BO37</f>
        <v>D28G</v>
      </c>
      <c r="BU80" s="1">
        <f>VC!BP37</f>
        <v>0</v>
      </c>
      <c r="BV80" s="1">
        <f>VC!BQ37</f>
        <v>0</v>
      </c>
      <c r="BW80" s="1">
        <f>VC!BR37</f>
        <v>0</v>
      </c>
      <c r="BX80" s="1">
        <f>VC!BS37</f>
        <v>0</v>
      </c>
      <c r="BY80" s="1">
        <f>VC!BT37</f>
        <v>0</v>
      </c>
      <c r="BZ80" s="1">
        <f>VC!BU37</f>
        <v>0</v>
      </c>
      <c r="CA80" s="1">
        <f>VC!BV37</f>
        <v>0</v>
      </c>
      <c r="CB80" s="1">
        <f>VC!BW37</f>
        <v>0</v>
      </c>
      <c r="CC80" s="1">
        <f>VC!BX37</f>
        <v>0</v>
      </c>
      <c r="CD80" s="1">
        <f>VC!BY37</f>
        <v>0</v>
      </c>
      <c r="CE80" s="1">
        <f>VC!BZ37</f>
        <v>0</v>
      </c>
      <c r="CF80" s="1" t="str">
        <f>VC!CA37</f>
        <v>S75F</v>
      </c>
      <c r="CG80" s="1">
        <f>VC!CB37</f>
        <v>0</v>
      </c>
      <c r="CH80" s="1">
        <f>VC!CC37</f>
        <v>0</v>
      </c>
      <c r="CI80" s="1">
        <f>VC!CD37</f>
        <v>0</v>
      </c>
      <c r="CJ80" s="1">
        <f>VC!CE37</f>
        <v>0</v>
      </c>
      <c r="CK80" s="1">
        <f>VC!CF37</f>
        <v>0</v>
      </c>
      <c r="CL80" s="1">
        <f>VC!CG37</f>
        <v>0</v>
      </c>
      <c r="CM80" s="1">
        <f>VC!CH37</f>
        <v>0</v>
      </c>
      <c r="CN80" s="1">
        <f>VC!CI37</f>
        <v>0</v>
      </c>
      <c r="CO80" s="1" t="str">
        <f>VC!CJ37</f>
        <v>A144V</v>
      </c>
      <c r="CP80" s="1">
        <f>VC!CK37</f>
        <v>0</v>
      </c>
      <c r="CQ80" s="1">
        <f>VC!CL37</f>
        <v>0</v>
      </c>
      <c r="CR80" s="1">
        <f>VC!CM37</f>
        <v>0</v>
      </c>
      <c r="CS80" s="1" t="str">
        <f>VC!CN37</f>
        <v>A136V</v>
      </c>
      <c r="CT80" s="1" t="str">
        <f>VC!CO37</f>
        <v>V10I</v>
      </c>
      <c r="CU80" s="1">
        <f>VC!CP37</f>
        <v>0</v>
      </c>
      <c r="CV80" s="1">
        <f>VC!CQ37</f>
        <v>0</v>
      </c>
      <c r="CW80" s="1">
        <f>VC!CR37</f>
        <v>0</v>
      </c>
      <c r="CX80" s="1">
        <f>VC!CS37</f>
        <v>0</v>
      </c>
      <c r="CY80" s="1">
        <f>VC!CT37</f>
        <v>0</v>
      </c>
      <c r="CZ80" s="1">
        <f>VC!CU37</f>
        <v>0</v>
      </c>
      <c r="DA80" s="1">
        <f>VC!CV37</f>
        <v>0</v>
      </c>
      <c r="DB80" s="1">
        <f>VC!CW37</f>
        <v>0</v>
      </c>
      <c r="DC80" s="1">
        <f>VC!CX37</f>
        <v>0</v>
      </c>
      <c r="DD80" s="1" t="str">
        <f>VC!CY37</f>
        <v>T182I</v>
      </c>
      <c r="DE80" s="1" t="str">
        <f>VC!CZ37</f>
        <v>A136V</v>
      </c>
      <c r="DF80" s="1">
        <f>VC!DA37</f>
        <v>0</v>
      </c>
      <c r="DG80" s="1">
        <f>VC!DB37</f>
        <v>0</v>
      </c>
      <c r="DH80" s="1">
        <f>VC!DC37</f>
        <v>0</v>
      </c>
      <c r="DI80" s="1">
        <f>VC!DD37</f>
        <v>0</v>
      </c>
      <c r="DJ80" s="1">
        <f>VC!DE37</f>
        <v>0</v>
      </c>
      <c r="DK80" s="1" t="str">
        <f>VC!DF37</f>
        <v>A134P</v>
      </c>
      <c r="DL80" s="1" t="str">
        <f>VC!DG37</f>
        <v>A136V</v>
      </c>
      <c r="DM80" s="1">
        <f>VC!DH37</f>
        <v>0</v>
      </c>
      <c r="DN80" s="1">
        <f>VC!DI37</f>
        <v>0</v>
      </c>
      <c r="DO80" s="1" t="str">
        <f>VC!DJ37</f>
        <v>D59E</v>
      </c>
      <c r="DP80" s="1">
        <f>VC!DK37</f>
        <v>0</v>
      </c>
      <c r="DQ80" s="1">
        <f>VC!DL37</f>
        <v>0</v>
      </c>
      <c r="DR80" s="1">
        <f>VC!DM37</f>
        <v>0</v>
      </c>
      <c r="DS80" s="1">
        <f>VC!DN37</f>
        <v>0</v>
      </c>
      <c r="DT80" s="1">
        <f>VC!DO37</f>
        <v>0</v>
      </c>
      <c r="DU80" s="1" t="str">
        <f>VC!DP37</f>
        <v>F113L</v>
      </c>
      <c r="DV80" s="1">
        <f>VC!DQ37</f>
        <v>0</v>
      </c>
      <c r="DW80" s="1" t="str">
        <f>VC!DR37</f>
        <v>F113L</v>
      </c>
      <c r="DX80" s="1">
        <f>VC!DS37</f>
        <v>0</v>
      </c>
      <c r="DY80" s="1">
        <f>VC!DT37</f>
        <v>0</v>
      </c>
      <c r="DZ80" s="1">
        <f>VC!DU37</f>
        <v>0</v>
      </c>
      <c r="EA80" s="1">
        <f>VC!DV37</f>
        <v>0</v>
      </c>
      <c r="EB80" s="1">
        <f>VC!DW37</f>
        <v>0</v>
      </c>
      <c r="EC80" s="1">
        <f>VC!DX37</f>
        <v>0</v>
      </c>
      <c r="ED80" s="1">
        <f>VC!DY37</f>
        <v>0</v>
      </c>
      <c r="EE80" s="1" t="str">
        <f>VC!DZ37</f>
        <v>V10G</v>
      </c>
      <c r="EF80" s="1">
        <f>VC!EA37</f>
        <v>0</v>
      </c>
      <c r="EG80" s="1">
        <f>VC!EB37</f>
        <v>0</v>
      </c>
      <c r="EH80" s="1" t="str">
        <f>VC!EC37</f>
        <v>L40Q</v>
      </c>
      <c r="EI80" s="1">
        <f>VC!ED37</f>
        <v>0</v>
      </c>
      <c r="EJ80" s="1">
        <f>VC!EE37</f>
        <v>0</v>
      </c>
      <c r="EK80" s="1">
        <f>VC!EF37</f>
        <v>0</v>
      </c>
      <c r="EL80" s="1" t="str">
        <f>VC!EG37</f>
        <v>D83G</v>
      </c>
      <c r="EM80" s="1">
        <f>VC!EH37</f>
        <v>0</v>
      </c>
      <c r="EN80" s="1">
        <f>VC!EI37</f>
        <v>0</v>
      </c>
      <c r="EO80" s="1">
        <f>VC!EJ37</f>
        <v>0</v>
      </c>
      <c r="EP80" s="1">
        <f>VC!EK37</f>
        <v>0</v>
      </c>
      <c r="EQ80" s="1">
        <f>VC!EL37</f>
        <v>0</v>
      </c>
      <c r="ER80" s="1">
        <f>VC!EM37</f>
        <v>0</v>
      </c>
      <c r="ES80" s="1">
        <f>VC!EN37</f>
        <v>0</v>
      </c>
      <c r="ET80" s="1">
        <f>VC!EO37</f>
        <v>0</v>
      </c>
      <c r="EU80" s="1">
        <f>VC!EP37</f>
        <v>0</v>
      </c>
      <c r="EV80" s="1">
        <f>VC!EQ37</f>
        <v>0</v>
      </c>
      <c r="EW80" s="1" t="str">
        <f>VC!ER37</f>
        <v>R11H; A85S; S175P</v>
      </c>
      <c r="EX80" s="1">
        <f>VC!ES37</f>
        <v>0</v>
      </c>
      <c r="EY80" s="1">
        <f>VC!ET37</f>
        <v>0</v>
      </c>
      <c r="EZ80" s="1">
        <f>VC!EU37</f>
        <v>0</v>
      </c>
      <c r="FA80" s="1">
        <f>VC!EV37</f>
        <v>0</v>
      </c>
      <c r="FB80" s="1">
        <f>VC!EW37</f>
        <v>0</v>
      </c>
      <c r="FC80" s="1">
        <f>VC!EX37</f>
        <v>0</v>
      </c>
      <c r="FD80" s="1">
        <f>VC!EY37</f>
        <v>0</v>
      </c>
      <c r="FE80" s="1" t="str">
        <f>VC!EZ37</f>
        <v>A96T</v>
      </c>
      <c r="FF80" s="1" t="str">
        <f>VC!FA37</f>
        <v>A136V</v>
      </c>
      <c r="FG80" s="1">
        <f>VC!FB37</f>
        <v>0</v>
      </c>
      <c r="FH80" s="1">
        <f>VC!FC37</f>
        <v>0</v>
      </c>
      <c r="FI80" s="1" t="str">
        <f>VC!FD37</f>
        <v>A29V; W97C</v>
      </c>
      <c r="FJ80" s="1">
        <f>VC!FE37</f>
        <v>0</v>
      </c>
      <c r="FK80" s="1" t="str">
        <f>VC!FF37</f>
        <v>G137E</v>
      </c>
      <c r="FL80" s="1">
        <f>VC!FG37</f>
        <v>0</v>
      </c>
      <c r="FM80" s="1">
        <f>VC!FH37</f>
        <v>0</v>
      </c>
      <c r="FN80" s="1">
        <f>VC!FI37</f>
        <v>0</v>
      </c>
      <c r="FO80" s="1">
        <f>VC!FJ37</f>
        <v>0</v>
      </c>
      <c r="FP80" s="1">
        <f>VC!FK37</f>
        <v>0</v>
      </c>
      <c r="FQ80" s="1">
        <f>VC!FL37</f>
        <v>0</v>
      </c>
      <c r="FR80" s="1">
        <f>VC!FM37</f>
        <v>0</v>
      </c>
      <c r="FS80" s="1">
        <f>VC!FN37</f>
        <v>0</v>
      </c>
      <c r="FT80" s="1">
        <f>VC!FO37</f>
        <v>0</v>
      </c>
      <c r="FU80" s="1">
        <f>VC!FP37</f>
        <v>0</v>
      </c>
      <c r="FV80" s="1">
        <f>VC!FQ37</f>
        <v>0</v>
      </c>
      <c r="FW80" s="1">
        <f>VC!FR37</f>
        <v>0</v>
      </c>
      <c r="FX80" s="1" t="str">
        <f>VC!FS37</f>
        <v>A136V</v>
      </c>
      <c r="FY80" s="1">
        <f>VC!FT37</f>
        <v>0</v>
      </c>
      <c r="FZ80" s="1">
        <f>VC!FU37</f>
        <v>0</v>
      </c>
      <c r="GA80" s="1">
        <f>VC!FV37</f>
        <v>0</v>
      </c>
      <c r="GB80" s="1">
        <f>VC!FW37</f>
        <v>0</v>
      </c>
      <c r="GC80" s="1">
        <f>VC!FX37</f>
        <v>0</v>
      </c>
      <c r="GD80" s="1">
        <f>VC!FY37</f>
        <v>0</v>
      </c>
      <c r="GE80" s="1">
        <f>VC!FZ37</f>
        <v>0</v>
      </c>
      <c r="GF80" s="1">
        <f>VC!GA37</f>
        <v>0</v>
      </c>
      <c r="GG80" s="1">
        <f>VC!GB37</f>
        <v>0</v>
      </c>
      <c r="GH80" s="1">
        <f>VC!GC37</f>
        <v>0</v>
      </c>
      <c r="GI80" s="1">
        <f>VC!GD37</f>
        <v>0</v>
      </c>
      <c r="GJ80" s="1">
        <f>VC!GE37</f>
        <v>0</v>
      </c>
      <c r="GK80" s="1">
        <f>VC!GF37</f>
        <v>0</v>
      </c>
      <c r="GL80" s="1">
        <f>VC!GG37</f>
        <v>0</v>
      </c>
      <c r="GM80" s="1">
        <f>VC!GH37</f>
        <v>0</v>
      </c>
      <c r="GN80" s="1" t="str">
        <f>VC!GI37</f>
        <v>G46S</v>
      </c>
      <c r="GO80" s="1" t="str">
        <f>VC!GJ37</f>
        <v>A29V; W97C</v>
      </c>
      <c r="GP80" s="1">
        <f>VC!GK37</f>
        <v>0</v>
      </c>
      <c r="GQ80" s="1">
        <f>VC!GL37</f>
        <v>0</v>
      </c>
      <c r="GR80" s="1">
        <f>VC!GM37</f>
        <v>0</v>
      </c>
      <c r="GS80" s="1">
        <f>VC!GN37</f>
        <v>0</v>
      </c>
      <c r="GT80" s="1" t="str">
        <f>VC!GO37</f>
        <v>R178C</v>
      </c>
      <c r="GU80" s="1">
        <f>VC!GP37</f>
        <v>0</v>
      </c>
      <c r="GV80" s="1">
        <f>VC!GQ37</f>
        <v>0</v>
      </c>
      <c r="GW80" s="1">
        <f>VC!GR37</f>
        <v>0</v>
      </c>
      <c r="GX80" s="1" t="str">
        <f>VC!GS37</f>
        <v>P126Q</v>
      </c>
      <c r="GY80" s="1">
        <f>VC!GT37</f>
        <v>0</v>
      </c>
      <c r="GZ80" s="1">
        <f>VC!GU37</f>
        <v>0</v>
      </c>
      <c r="HA80" s="1">
        <f>VC!GV37</f>
        <v>0</v>
      </c>
      <c r="HB80" s="1">
        <f>VC!GW37</f>
        <v>0</v>
      </c>
      <c r="HC80" s="1">
        <f>VC!GX37</f>
        <v>0</v>
      </c>
    </row>
    <row r="81" spans="1:211" s="1" customFormat="1" x14ac:dyDescent="0.25">
      <c r="A81" s="30" t="s">
        <v>33</v>
      </c>
      <c r="B81" s="30" t="s">
        <v>34</v>
      </c>
      <c r="C81" s="31" t="s">
        <v>2</v>
      </c>
      <c r="D81" s="30" t="s">
        <v>76</v>
      </c>
      <c r="E81" s="30" t="s">
        <v>139</v>
      </c>
      <c r="F81" s="30" t="s">
        <v>74</v>
      </c>
      <c r="G81" s="30" t="s">
        <v>136</v>
      </c>
      <c r="H81" s="1">
        <f>VC!C37</f>
        <v>0</v>
      </c>
      <c r="I81" s="1">
        <f>VC!D37</f>
        <v>0</v>
      </c>
      <c r="J81" s="1">
        <f>VC!E37</f>
        <v>0</v>
      </c>
      <c r="K81" s="1">
        <f>VC!F37</f>
        <v>0</v>
      </c>
      <c r="L81" s="1" t="str">
        <f>VC!G37</f>
        <v>L135Q</v>
      </c>
      <c r="M81" s="1" t="str">
        <f>VC!H37</f>
        <v>P126Q</v>
      </c>
      <c r="N81" s="1" t="str">
        <f>VC!I37</f>
        <v>A96T</v>
      </c>
      <c r="O81" s="1">
        <f>VC!J37</f>
        <v>0</v>
      </c>
      <c r="P81" s="1">
        <f>VC!K37</f>
        <v>0</v>
      </c>
      <c r="Q81" s="1">
        <f>VC!L37</f>
        <v>0</v>
      </c>
      <c r="R81" s="1">
        <f>VC!M37</f>
        <v>0</v>
      </c>
      <c r="S81" s="1">
        <f>VC!N37</f>
        <v>0</v>
      </c>
      <c r="T81" s="1">
        <f>VC!O37</f>
        <v>0</v>
      </c>
      <c r="U81" s="1" t="str">
        <f>VC!P37</f>
        <v>A134V</v>
      </c>
      <c r="V81" s="1" t="str">
        <f>VC!Q37</f>
        <v>R140W</v>
      </c>
      <c r="W81" s="1">
        <f>VC!R37</f>
        <v>0</v>
      </c>
      <c r="X81" s="1">
        <f>VC!S37</f>
        <v>0</v>
      </c>
      <c r="Y81" s="1">
        <f>VC!T37</f>
        <v>0</v>
      </c>
      <c r="Z81" s="1">
        <f>VC!U37</f>
        <v>0</v>
      </c>
      <c r="AA81" s="1">
        <f>VC!V37</f>
        <v>0</v>
      </c>
      <c r="AB81" s="1" t="str">
        <f>VC!W37</f>
        <v>A29T</v>
      </c>
      <c r="AC81" s="1">
        <f>VC!X37</f>
        <v>0</v>
      </c>
      <c r="AD81" s="1">
        <f>VC!Y37</f>
        <v>0</v>
      </c>
      <c r="AE81" s="1">
        <f>VC!Z37</f>
        <v>0</v>
      </c>
      <c r="AF81" s="1">
        <f>VC!AA37</f>
        <v>0</v>
      </c>
      <c r="AG81" s="1">
        <f>VC!AB37</f>
        <v>0</v>
      </c>
      <c r="AH81" s="1">
        <f>VC!AC37</f>
        <v>0</v>
      </c>
      <c r="AI81" s="1">
        <f>VC!AD37</f>
        <v>0</v>
      </c>
      <c r="AJ81" s="1">
        <f>VC!AE37</f>
        <v>0</v>
      </c>
      <c r="AK81" s="1">
        <f>VC!AF37</f>
        <v>0</v>
      </c>
      <c r="AL81" s="1">
        <f>VC!AG37</f>
        <v>0</v>
      </c>
      <c r="AM81" s="1">
        <f>VC!AH37</f>
        <v>0</v>
      </c>
      <c r="AN81" s="1">
        <f>VC!AI37</f>
        <v>0</v>
      </c>
      <c r="AO81" s="1" t="str">
        <f>VC!AJ37</f>
        <v>A136V</v>
      </c>
      <c r="AP81" s="1">
        <f>VC!AK37</f>
        <v>0</v>
      </c>
      <c r="AQ81" s="1">
        <f>VC!AL37</f>
        <v>0</v>
      </c>
      <c r="AR81" s="1">
        <f>VC!AM37</f>
        <v>0</v>
      </c>
      <c r="AS81" s="1">
        <f>VC!AN37</f>
        <v>0</v>
      </c>
      <c r="AT81" s="1">
        <f>VC!AO37</f>
        <v>0</v>
      </c>
      <c r="AU81" s="1" t="str">
        <f>VC!AP37</f>
        <v>Q131X</v>
      </c>
      <c r="AV81" s="1">
        <f>VC!AQ37</f>
        <v>0</v>
      </c>
      <c r="AW81" s="1">
        <f>VC!AR37</f>
        <v>0</v>
      </c>
      <c r="AX81" s="1">
        <f>VC!AS37</f>
        <v>0</v>
      </c>
      <c r="AY81" s="1">
        <f>VC!AT37</f>
        <v>0</v>
      </c>
      <c r="AZ81" s="1" t="str">
        <f>VC!AU37</f>
        <v>A136V</v>
      </c>
      <c r="BA81" s="1">
        <f>VC!AV37</f>
        <v>0</v>
      </c>
      <c r="BB81" s="1">
        <f>VC!AW37</f>
        <v>0</v>
      </c>
      <c r="BC81" s="1">
        <f>VC!AX37</f>
        <v>0</v>
      </c>
      <c r="BD81" s="1">
        <f>VC!AY37</f>
        <v>0</v>
      </c>
      <c r="BE81" s="1">
        <f>VC!AZ37</f>
        <v>0</v>
      </c>
      <c r="BF81" s="1">
        <f>VC!BA37</f>
        <v>0</v>
      </c>
      <c r="BG81" s="1" t="str">
        <f>VC!BB37</f>
        <v>T47I</v>
      </c>
      <c r="BH81" s="1" t="str">
        <f>VC!BC37</f>
        <v>A29T</v>
      </c>
      <c r="BI81" s="1">
        <f>VC!BD37</f>
        <v>0</v>
      </c>
      <c r="BJ81" s="1" t="str">
        <f>VC!BE37</f>
        <v>A134V</v>
      </c>
      <c r="BK81" s="1">
        <f>VC!BF37</f>
        <v>0</v>
      </c>
      <c r="BL81" s="1">
        <f>VC!BG37</f>
        <v>0</v>
      </c>
      <c r="BM81" s="1">
        <f>VC!BH37</f>
        <v>0</v>
      </c>
      <c r="BN81" s="1">
        <f>VC!BI37</f>
        <v>0</v>
      </c>
      <c r="BO81" s="1">
        <f>VC!BJ37</f>
        <v>0</v>
      </c>
      <c r="BP81" s="1">
        <f>VC!BK37</f>
        <v>0</v>
      </c>
      <c r="BQ81" s="1">
        <f>VC!BL37</f>
        <v>0</v>
      </c>
      <c r="BR81" s="1">
        <f>VC!BM37</f>
        <v>0</v>
      </c>
      <c r="BS81" s="1" t="str">
        <f>VC!BN37</f>
        <v>T139M</v>
      </c>
      <c r="BT81" s="1" t="str">
        <f>VC!BO37</f>
        <v>D28G</v>
      </c>
      <c r="BU81" s="1">
        <f>VC!BP37</f>
        <v>0</v>
      </c>
      <c r="BV81" s="1">
        <f>VC!BQ37</f>
        <v>0</v>
      </c>
      <c r="BW81" s="1">
        <f>VC!BR37</f>
        <v>0</v>
      </c>
      <c r="BX81" s="1">
        <f>VC!BS37</f>
        <v>0</v>
      </c>
      <c r="BY81" s="1">
        <f>VC!BT37</f>
        <v>0</v>
      </c>
      <c r="BZ81" s="1">
        <f>VC!BU37</f>
        <v>0</v>
      </c>
      <c r="CA81" s="1">
        <f>VC!BV37</f>
        <v>0</v>
      </c>
      <c r="CB81" s="1">
        <f>VC!BW37</f>
        <v>0</v>
      </c>
      <c r="CC81" s="1">
        <f>VC!BX37</f>
        <v>0</v>
      </c>
      <c r="CD81" s="1">
        <f>VC!BY37</f>
        <v>0</v>
      </c>
      <c r="CE81" s="1">
        <f>VC!BZ37</f>
        <v>0</v>
      </c>
      <c r="CF81" s="1" t="str">
        <f>VC!CA37</f>
        <v>S75F</v>
      </c>
      <c r="CG81" s="1">
        <f>VC!CB37</f>
        <v>0</v>
      </c>
      <c r="CH81" s="1">
        <f>VC!CC37</f>
        <v>0</v>
      </c>
      <c r="CI81" s="1">
        <f>VC!CD37</f>
        <v>0</v>
      </c>
      <c r="CJ81" s="1">
        <f>VC!CE37</f>
        <v>0</v>
      </c>
      <c r="CK81" s="1">
        <f>VC!CF37</f>
        <v>0</v>
      </c>
      <c r="CL81" s="1">
        <f>VC!CG37</f>
        <v>0</v>
      </c>
      <c r="CM81" s="1">
        <f>VC!CH37</f>
        <v>0</v>
      </c>
      <c r="CN81" s="1">
        <f>VC!CI37</f>
        <v>0</v>
      </c>
      <c r="CO81" s="1" t="str">
        <f>VC!CJ37</f>
        <v>A144V</v>
      </c>
      <c r="CP81" s="1">
        <f>VC!CK37</f>
        <v>0</v>
      </c>
      <c r="CQ81" s="1">
        <f>VC!CL37</f>
        <v>0</v>
      </c>
      <c r="CR81" s="1">
        <f>VC!CM37</f>
        <v>0</v>
      </c>
      <c r="CS81" s="1" t="str">
        <f>VC!CN37</f>
        <v>A136V</v>
      </c>
      <c r="CT81" s="1" t="str">
        <f>VC!CO37</f>
        <v>V10I</v>
      </c>
      <c r="CU81" s="1">
        <f>VC!CP37</f>
        <v>0</v>
      </c>
      <c r="CV81" s="1">
        <f>VC!CQ37</f>
        <v>0</v>
      </c>
      <c r="CW81" s="1">
        <f>VC!CR37</f>
        <v>0</v>
      </c>
      <c r="CX81" s="1">
        <f>VC!CS37</f>
        <v>0</v>
      </c>
      <c r="CY81" s="1">
        <f>VC!CT37</f>
        <v>0</v>
      </c>
      <c r="CZ81" s="1">
        <f>VC!CU37</f>
        <v>0</v>
      </c>
      <c r="DA81" s="1">
        <f>VC!CV37</f>
        <v>0</v>
      </c>
      <c r="DB81" s="1">
        <f>VC!CW37</f>
        <v>0</v>
      </c>
      <c r="DC81" s="1">
        <f>VC!CX37</f>
        <v>0</v>
      </c>
      <c r="DD81" s="1" t="str">
        <f>VC!CY37</f>
        <v>T182I</v>
      </c>
      <c r="DE81" s="1" t="str">
        <f>VC!CZ37</f>
        <v>A136V</v>
      </c>
      <c r="DF81" s="1">
        <f>VC!DA37</f>
        <v>0</v>
      </c>
      <c r="DG81" s="1">
        <f>VC!DB37</f>
        <v>0</v>
      </c>
      <c r="DH81" s="1">
        <f>VC!DC37</f>
        <v>0</v>
      </c>
      <c r="DI81" s="1">
        <f>VC!DD37</f>
        <v>0</v>
      </c>
      <c r="DJ81" s="1">
        <f>VC!DE37</f>
        <v>0</v>
      </c>
      <c r="DK81" s="1" t="str">
        <f>VC!DF37</f>
        <v>A134P</v>
      </c>
      <c r="DL81" s="1" t="str">
        <f>VC!DG37</f>
        <v>A136V</v>
      </c>
      <c r="DM81" s="1">
        <f>VC!DH37</f>
        <v>0</v>
      </c>
      <c r="DN81" s="1">
        <f>VC!DI37</f>
        <v>0</v>
      </c>
      <c r="DO81" s="1" t="str">
        <f>VC!DJ37</f>
        <v>D59E</v>
      </c>
      <c r="DP81" s="1">
        <f>VC!DK37</f>
        <v>0</v>
      </c>
      <c r="DQ81" s="1">
        <f>VC!DL37</f>
        <v>0</v>
      </c>
      <c r="DR81" s="1">
        <f>VC!DM37</f>
        <v>0</v>
      </c>
      <c r="DS81" s="1">
        <f>VC!DN37</f>
        <v>0</v>
      </c>
      <c r="DT81" s="1">
        <f>VC!DO37</f>
        <v>0</v>
      </c>
      <c r="DU81" s="1" t="str">
        <f>VC!DP37</f>
        <v>F113L</v>
      </c>
      <c r="DV81" s="1">
        <f>VC!DQ37</f>
        <v>0</v>
      </c>
      <c r="DW81" s="1" t="str">
        <f>VC!DR37</f>
        <v>F113L</v>
      </c>
      <c r="DX81" s="1">
        <f>VC!DS37</f>
        <v>0</v>
      </c>
      <c r="DY81" s="1">
        <f>VC!DT37</f>
        <v>0</v>
      </c>
      <c r="DZ81" s="1">
        <f>VC!DU37</f>
        <v>0</v>
      </c>
      <c r="EA81" s="1">
        <f>VC!DV37</f>
        <v>0</v>
      </c>
      <c r="EB81" s="1">
        <f>VC!DW37</f>
        <v>0</v>
      </c>
      <c r="EC81" s="1">
        <f>VC!DX37</f>
        <v>0</v>
      </c>
      <c r="ED81" s="1">
        <f>VC!DY37</f>
        <v>0</v>
      </c>
      <c r="EE81" s="1" t="str">
        <f>VC!DZ37</f>
        <v>V10G</v>
      </c>
      <c r="EF81" s="1">
        <f>VC!EA37</f>
        <v>0</v>
      </c>
      <c r="EG81" s="1">
        <f>VC!EB37</f>
        <v>0</v>
      </c>
      <c r="EH81" s="1" t="str">
        <f>VC!EC37</f>
        <v>L40Q</v>
      </c>
      <c r="EI81" s="1">
        <f>VC!ED37</f>
        <v>0</v>
      </c>
      <c r="EJ81" s="1">
        <f>VC!EE37</f>
        <v>0</v>
      </c>
      <c r="EK81" s="1">
        <f>VC!EF37</f>
        <v>0</v>
      </c>
      <c r="EL81" s="1" t="str">
        <f>VC!EG37</f>
        <v>D83G</v>
      </c>
      <c r="EM81" s="1">
        <f>VC!EH37</f>
        <v>0</v>
      </c>
      <c r="EN81" s="1">
        <f>VC!EI37</f>
        <v>0</v>
      </c>
      <c r="EO81" s="1">
        <f>VC!EJ37</f>
        <v>0</v>
      </c>
      <c r="EP81" s="1">
        <f>VC!EK37</f>
        <v>0</v>
      </c>
      <c r="EQ81" s="1">
        <f>VC!EL37</f>
        <v>0</v>
      </c>
      <c r="ER81" s="1">
        <f>VC!EM37</f>
        <v>0</v>
      </c>
      <c r="ES81" s="1">
        <f>VC!EN37</f>
        <v>0</v>
      </c>
      <c r="ET81" s="1">
        <f>VC!EO37</f>
        <v>0</v>
      </c>
      <c r="EU81" s="1">
        <f>VC!EP37</f>
        <v>0</v>
      </c>
      <c r="EV81" s="1">
        <f>VC!EQ37</f>
        <v>0</v>
      </c>
      <c r="EW81" s="1" t="str">
        <f>VC!ER37</f>
        <v>R11H; A85S; S175P</v>
      </c>
      <c r="EX81" s="1">
        <f>VC!ES37</f>
        <v>0</v>
      </c>
      <c r="EY81" s="1">
        <f>VC!ET37</f>
        <v>0</v>
      </c>
      <c r="EZ81" s="1">
        <f>VC!EU37</f>
        <v>0</v>
      </c>
      <c r="FA81" s="1">
        <f>VC!EV37</f>
        <v>0</v>
      </c>
      <c r="FB81" s="1">
        <f>VC!EW37</f>
        <v>0</v>
      </c>
      <c r="FC81" s="1">
        <f>VC!EX37</f>
        <v>0</v>
      </c>
      <c r="FD81" s="1">
        <f>VC!EY37</f>
        <v>0</v>
      </c>
      <c r="FE81" s="1" t="str">
        <f>VC!EZ37</f>
        <v>A96T</v>
      </c>
      <c r="FF81" s="1" t="str">
        <f>VC!FA37</f>
        <v>A136V</v>
      </c>
      <c r="FG81" s="1">
        <f>VC!FB37</f>
        <v>0</v>
      </c>
      <c r="FH81" s="1">
        <f>VC!FC37</f>
        <v>0</v>
      </c>
      <c r="FI81" s="1" t="str">
        <f>VC!FD37</f>
        <v>A29V; W97C</v>
      </c>
      <c r="FJ81" s="1">
        <f>VC!FE37</f>
        <v>0</v>
      </c>
      <c r="FK81" s="1" t="str">
        <f>VC!FF37</f>
        <v>G137E</v>
      </c>
      <c r="FL81" s="1">
        <f>VC!FG37</f>
        <v>0</v>
      </c>
      <c r="FM81" s="1">
        <f>VC!FH37</f>
        <v>0</v>
      </c>
      <c r="FN81" s="1">
        <f>VC!FI37</f>
        <v>0</v>
      </c>
      <c r="FO81" s="1">
        <f>VC!FJ37</f>
        <v>0</v>
      </c>
      <c r="FP81" s="1">
        <f>VC!FK37</f>
        <v>0</v>
      </c>
      <c r="FQ81" s="1">
        <f>VC!FL37</f>
        <v>0</v>
      </c>
      <c r="FR81" s="1">
        <f>VC!FM37</f>
        <v>0</v>
      </c>
      <c r="FS81" s="1">
        <f>VC!FN37</f>
        <v>0</v>
      </c>
      <c r="FT81" s="1">
        <f>VC!FO37</f>
        <v>0</v>
      </c>
      <c r="FU81" s="1">
        <f>VC!FP37</f>
        <v>0</v>
      </c>
      <c r="FV81" s="1">
        <f>VC!FQ37</f>
        <v>0</v>
      </c>
      <c r="FW81" s="1">
        <f>VC!FR37</f>
        <v>0</v>
      </c>
      <c r="FX81" s="1" t="str">
        <f>VC!FS37</f>
        <v>A136V</v>
      </c>
      <c r="FY81" s="1">
        <f>VC!FT37</f>
        <v>0</v>
      </c>
      <c r="FZ81" s="1">
        <f>VC!FU37</f>
        <v>0</v>
      </c>
      <c r="GA81" s="1">
        <f>VC!FV37</f>
        <v>0</v>
      </c>
      <c r="GB81" s="1">
        <f>VC!FW37</f>
        <v>0</v>
      </c>
      <c r="GC81" s="1">
        <f>VC!FX37</f>
        <v>0</v>
      </c>
      <c r="GD81" s="1">
        <f>VC!FY37</f>
        <v>0</v>
      </c>
      <c r="GE81" s="1">
        <f>VC!FZ37</f>
        <v>0</v>
      </c>
      <c r="GF81" s="1">
        <f>VC!GA37</f>
        <v>0</v>
      </c>
      <c r="GG81" s="1">
        <f>VC!GB37</f>
        <v>0</v>
      </c>
      <c r="GH81" s="1">
        <f>VC!GC37</f>
        <v>0</v>
      </c>
      <c r="GI81" s="1">
        <f>VC!GD37</f>
        <v>0</v>
      </c>
      <c r="GJ81" s="1">
        <f>VC!GE37</f>
        <v>0</v>
      </c>
      <c r="GK81" s="1">
        <f>VC!GF37</f>
        <v>0</v>
      </c>
      <c r="GL81" s="1">
        <f>VC!GG37</f>
        <v>0</v>
      </c>
      <c r="GM81" s="1">
        <f>VC!GH37</f>
        <v>0</v>
      </c>
      <c r="GN81" s="1" t="str">
        <f>VC!GI37</f>
        <v>G46S</v>
      </c>
      <c r="GO81" s="1" t="str">
        <f>VC!GJ37</f>
        <v>A29V; W97C</v>
      </c>
      <c r="GP81" s="1">
        <f>VC!GK37</f>
        <v>0</v>
      </c>
      <c r="GQ81" s="1">
        <f>VC!GL37</f>
        <v>0</v>
      </c>
      <c r="GR81" s="1">
        <f>VC!GM37</f>
        <v>0</v>
      </c>
      <c r="GS81" s="1">
        <f>VC!GN37</f>
        <v>0</v>
      </c>
      <c r="GT81" s="1" t="str">
        <f>VC!GO37</f>
        <v>R178C</v>
      </c>
      <c r="GU81" s="1">
        <f>VC!GP37</f>
        <v>0</v>
      </c>
      <c r="GV81" s="1">
        <f>VC!GQ37</f>
        <v>0</v>
      </c>
      <c r="GW81" s="1">
        <f>VC!GR37</f>
        <v>0</v>
      </c>
      <c r="GX81" s="1" t="str">
        <f>VC!GS37</f>
        <v>P126Q</v>
      </c>
      <c r="GY81" s="1">
        <f>VC!GT37</f>
        <v>0</v>
      </c>
      <c r="GZ81" s="1">
        <f>VC!GU37</f>
        <v>0</v>
      </c>
      <c r="HA81" s="1">
        <f>VC!GV37</f>
        <v>0</v>
      </c>
      <c r="HB81" s="1">
        <f>VC!GW37</f>
        <v>0</v>
      </c>
      <c r="HC81" s="1">
        <f>VC!GX37</f>
        <v>0</v>
      </c>
    </row>
    <row r="82" spans="1:211" s="1" customFormat="1" ht="15.75" thickBot="1" x14ac:dyDescent="0.3">
      <c r="A82" s="30" t="s">
        <v>33</v>
      </c>
      <c r="B82" s="30" t="s">
        <v>34</v>
      </c>
      <c r="C82" s="31" t="s">
        <v>3</v>
      </c>
      <c r="D82" s="30" t="s">
        <v>76</v>
      </c>
      <c r="E82" s="30" t="s">
        <v>139</v>
      </c>
      <c r="F82" s="30" t="s">
        <v>74</v>
      </c>
      <c r="G82" s="30" t="s">
        <v>136</v>
      </c>
      <c r="H82" s="1">
        <f>VC!C37</f>
        <v>0</v>
      </c>
      <c r="I82" s="1">
        <f>VC!D37</f>
        <v>0</v>
      </c>
      <c r="J82" s="1">
        <f>VC!E37</f>
        <v>0</v>
      </c>
      <c r="K82" s="1">
        <f>VC!F37</f>
        <v>0</v>
      </c>
      <c r="L82" s="1" t="str">
        <f>VC!G37</f>
        <v>L135Q</v>
      </c>
      <c r="M82" s="1" t="str">
        <f>VC!H37</f>
        <v>P126Q</v>
      </c>
      <c r="N82" s="1" t="str">
        <f>VC!I37</f>
        <v>A96T</v>
      </c>
      <c r="O82" s="1">
        <f>VC!J37</f>
        <v>0</v>
      </c>
      <c r="P82" s="1">
        <f>VC!K37</f>
        <v>0</v>
      </c>
      <c r="Q82" s="1">
        <f>VC!L37</f>
        <v>0</v>
      </c>
      <c r="R82" s="1">
        <f>VC!M37</f>
        <v>0</v>
      </c>
      <c r="S82" s="1">
        <f>VC!N37</f>
        <v>0</v>
      </c>
      <c r="T82" s="1">
        <f>VC!O37</f>
        <v>0</v>
      </c>
      <c r="U82" s="1" t="str">
        <f>VC!P37</f>
        <v>A134V</v>
      </c>
      <c r="V82" s="1" t="str">
        <f>VC!Q37</f>
        <v>R140W</v>
      </c>
      <c r="W82" s="1">
        <f>VC!R37</f>
        <v>0</v>
      </c>
      <c r="X82" s="1">
        <f>VC!S37</f>
        <v>0</v>
      </c>
      <c r="Y82" s="1">
        <f>VC!T37</f>
        <v>0</v>
      </c>
      <c r="Z82" s="1">
        <f>VC!U37</f>
        <v>0</v>
      </c>
      <c r="AA82" s="1">
        <f>VC!V37</f>
        <v>0</v>
      </c>
      <c r="AB82" s="1" t="str">
        <f>VC!W37</f>
        <v>A29T</v>
      </c>
      <c r="AC82" s="1">
        <f>VC!X37</f>
        <v>0</v>
      </c>
      <c r="AD82" s="1">
        <f>VC!Y37</f>
        <v>0</v>
      </c>
      <c r="AE82" s="1">
        <f>VC!Z37</f>
        <v>0</v>
      </c>
      <c r="AF82" s="1">
        <f>VC!AA37</f>
        <v>0</v>
      </c>
      <c r="AG82" s="1">
        <f>VC!AB37</f>
        <v>0</v>
      </c>
      <c r="AH82" s="1">
        <f>VC!AC37</f>
        <v>0</v>
      </c>
      <c r="AI82" s="1">
        <f>VC!AD37</f>
        <v>0</v>
      </c>
      <c r="AJ82" s="1">
        <f>VC!AE37</f>
        <v>0</v>
      </c>
      <c r="AK82" s="1">
        <f>VC!AF37</f>
        <v>0</v>
      </c>
      <c r="AL82" s="1">
        <f>VC!AG37</f>
        <v>0</v>
      </c>
      <c r="AM82" s="1">
        <f>VC!AH37</f>
        <v>0</v>
      </c>
      <c r="AN82" s="1">
        <f>VC!AI37</f>
        <v>0</v>
      </c>
      <c r="AO82" s="1" t="str">
        <f>VC!AJ37</f>
        <v>A136V</v>
      </c>
      <c r="AP82" s="1">
        <f>VC!AK37</f>
        <v>0</v>
      </c>
      <c r="AQ82" s="1">
        <f>VC!AL37</f>
        <v>0</v>
      </c>
      <c r="AR82" s="1">
        <f>VC!AM37</f>
        <v>0</v>
      </c>
      <c r="AS82" s="1">
        <f>VC!AN37</f>
        <v>0</v>
      </c>
      <c r="AT82" s="1">
        <f>VC!AO37</f>
        <v>0</v>
      </c>
      <c r="AU82" s="1" t="str">
        <f>VC!AP37</f>
        <v>Q131X</v>
      </c>
      <c r="AV82" s="1">
        <f>VC!AQ37</f>
        <v>0</v>
      </c>
      <c r="AW82" s="1">
        <f>VC!AR37</f>
        <v>0</v>
      </c>
      <c r="AX82" s="1">
        <f>VC!AS37</f>
        <v>0</v>
      </c>
      <c r="AY82" s="1">
        <f>VC!AT37</f>
        <v>0</v>
      </c>
      <c r="AZ82" s="1" t="str">
        <f>VC!AU37</f>
        <v>A136V</v>
      </c>
      <c r="BA82" s="1">
        <f>VC!AV37</f>
        <v>0</v>
      </c>
      <c r="BB82" s="1">
        <f>VC!AW37</f>
        <v>0</v>
      </c>
      <c r="BC82" s="1">
        <f>VC!AX37</f>
        <v>0</v>
      </c>
      <c r="BD82" s="1">
        <f>VC!AY37</f>
        <v>0</v>
      </c>
      <c r="BE82" s="1">
        <f>VC!AZ37</f>
        <v>0</v>
      </c>
      <c r="BF82" s="1">
        <f>VC!BA37</f>
        <v>0</v>
      </c>
      <c r="BG82" s="1" t="str">
        <f>VC!BB37</f>
        <v>T47I</v>
      </c>
      <c r="BH82" s="1" t="str">
        <f>VC!BC37</f>
        <v>A29T</v>
      </c>
      <c r="BI82" s="1">
        <f>VC!BD37</f>
        <v>0</v>
      </c>
      <c r="BJ82" s="1" t="str">
        <f>VC!BE37</f>
        <v>A134V</v>
      </c>
      <c r="BK82" s="1">
        <f>VC!BF37</f>
        <v>0</v>
      </c>
      <c r="BL82" s="1">
        <f>VC!BG37</f>
        <v>0</v>
      </c>
      <c r="BM82" s="1">
        <f>VC!BH37</f>
        <v>0</v>
      </c>
      <c r="BN82" s="1">
        <f>VC!BI37</f>
        <v>0</v>
      </c>
      <c r="BO82" s="1">
        <f>VC!BJ37</f>
        <v>0</v>
      </c>
      <c r="BP82" s="1">
        <f>VC!BK37</f>
        <v>0</v>
      </c>
      <c r="BQ82" s="1">
        <f>VC!BL37</f>
        <v>0</v>
      </c>
      <c r="BR82" s="1">
        <f>VC!BM37</f>
        <v>0</v>
      </c>
      <c r="BS82" s="1" t="str">
        <f>VC!BN37</f>
        <v>T139M</v>
      </c>
      <c r="BT82" s="1" t="str">
        <f>VC!BO37</f>
        <v>D28G</v>
      </c>
      <c r="BU82" s="1">
        <f>VC!BP37</f>
        <v>0</v>
      </c>
      <c r="BV82" s="1">
        <f>VC!BQ37</f>
        <v>0</v>
      </c>
      <c r="BW82" s="1">
        <f>VC!BR37</f>
        <v>0</v>
      </c>
      <c r="BX82" s="1">
        <f>VC!BS37</f>
        <v>0</v>
      </c>
      <c r="BY82" s="1">
        <f>VC!BT37</f>
        <v>0</v>
      </c>
      <c r="BZ82" s="1">
        <f>VC!BU37</f>
        <v>0</v>
      </c>
      <c r="CA82" s="1">
        <f>VC!BV37</f>
        <v>0</v>
      </c>
      <c r="CB82" s="1">
        <f>VC!BW37</f>
        <v>0</v>
      </c>
      <c r="CC82" s="1">
        <f>VC!BX37</f>
        <v>0</v>
      </c>
      <c r="CD82" s="1">
        <f>VC!BY37</f>
        <v>0</v>
      </c>
      <c r="CE82" s="1">
        <f>VC!BZ37</f>
        <v>0</v>
      </c>
      <c r="CF82" s="1" t="str">
        <f>VC!CA37</f>
        <v>S75F</v>
      </c>
      <c r="CG82" s="1">
        <f>VC!CB37</f>
        <v>0</v>
      </c>
      <c r="CH82" s="1">
        <f>VC!CC37</f>
        <v>0</v>
      </c>
      <c r="CI82" s="1">
        <f>VC!CD37</f>
        <v>0</v>
      </c>
      <c r="CJ82" s="1">
        <f>VC!CE37</f>
        <v>0</v>
      </c>
      <c r="CK82" s="1">
        <f>VC!CF37</f>
        <v>0</v>
      </c>
      <c r="CL82" s="1">
        <f>VC!CG37</f>
        <v>0</v>
      </c>
      <c r="CM82" s="1">
        <f>VC!CH37</f>
        <v>0</v>
      </c>
      <c r="CN82" s="1">
        <f>VC!CI37</f>
        <v>0</v>
      </c>
      <c r="CO82" s="1" t="str">
        <f>VC!CJ37</f>
        <v>A144V</v>
      </c>
      <c r="CP82" s="1">
        <f>VC!CK37</f>
        <v>0</v>
      </c>
      <c r="CQ82" s="1">
        <f>VC!CL37</f>
        <v>0</v>
      </c>
      <c r="CR82" s="1">
        <f>VC!CM37</f>
        <v>0</v>
      </c>
      <c r="CS82" s="1" t="str">
        <f>VC!CN37</f>
        <v>A136V</v>
      </c>
      <c r="CT82" s="1" t="str">
        <f>VC!CO37</f>
        <v>V10I</v>
      </c>
      <c r="CU82" s="1">
        <f>VC!CP37</f>
        <v>0</v>
      </c>
      <c r="CV82" s="1">
        <f>VC!CQ37</f>
        <v>0</v>
      </c>
      <c r="CW82" s="1">
        <f>VC!CR37</f>
        <v>0</v>
      </c>
      <c r="CX82" s="1">
        <f>VC!CS37</f>
        <v>0</v>
      </c>
      <c r="CY82" s="1">
        <f>VC!CT37</f>
        <v>0</v>
      </c>
      <c r="CZ82" s="1">
        <f>VC!CU37</f>
        <v>0</v>
      </c>
      <c r="DA82" s="1">
        <f>VC!CV37</f>
        <v>0</v>
      </c>
      <c r="DB82" s="1">
        <f>VC!CW37</f>
        <v>0</v>
      </c>
      <c r="DC82" s="1">
        <f>VC!CX37</f>
        <v>0</v>
      </c>
      <c r="DD82" s="1" t="str">
        <f>VC!CY37</f>
        <v>T182I</v>
      </c>
      <c r="DE82" s="1" t="str">
        <f>VC!CZ37</f>
        <v>A136V</v>
      </c>
      <c r="DF82" s="1">
        <f>VC!DA37</f>
        <v>0</v>
      </c>
      <c r="DG82" s="1">
        <f>VC!DB37</f>
        <v>0</v>
      </c>
      <c r="DH82" s="1">
        <f>VC!DC37</f>
        <v>0</v>
      </c>
      <c r="DI82" s="1">
        <f>VC!DD37</f>
        <v>0</v>
      </c>
      <c r="DJ82" s="1">
        <f>VC!DE37</f>
        <v>0</v>
      </c>
      <c r="DK82" s="1" t="str">
        <f>VC!DF37</f>
        <v>A134P</v>
      </c>
      <c r="DL82" s="1" t="str">
        <f>VC!DG37</f>
        <v>A136V</v>
      </c>
      <c r="DM82" s="1">
        <f>VC!DH37</f>
        <v>0</v>
      </c>
      <c r="DN82" s="1">
        <f>VC!DI37</f>
        <v>0</v>
      </c>
      <c r="DO82" s="1" t="str">
        <f>VC!DJ37</f>
        <v>D59E</v>
      </c>
      <c r="DP82" s="1">
        <f>VC!DK37</f>
        <v>0</v>
      </c>
      <c r="DQ82" s="1">
        <f>VC!DL37</f>
        <v>0</v>
      </c>
      <c r="DR82" s="1">
        <f>VC!DM37</f>
        <v>0</v>
      </c>
      <c r="DS82" s="1">
        <f>VC!DN37</f>
        <v>0</v>
      </c>
      <c r="DT82" s="1">
        <f>VC!DO37</f>
        <v>0</v>
      </c>
      <c r="DU82" s="1" t="str">
        <f>VC!DP37</f>
        <v>F113L</v>
      </c>
      <c r="DV82" s="1">
        <f>VC!DQ37</f>
        <v>0</v>
      </c>
      <c r="DW82" s="1" t="str">
        <f>VC!DR37</f>
        <v>F113L</v>
      </c>
      <c r="DX82" s="1">
        <f>VC!DS37</f>
        <v>0</v>
      </c>
      <c r="DY82" s="1">
        <f>VC!DT37</f>
        <v>0</v>
      </c>
      <c r="DZ82" s="1">
        <f>VC!DU37</f>
        <v>0</v>
      </c>
      <c r="EA82" s="1">
        <f>VC!DV37</f>
        <v>0</v>
      </c>
      <c r="EB82" s="1">
        <f>VC!DW37</f>
        <v>0</v>
      </c>
      <c r="EC82" s="1">
        <f>VC!DX37</f>
        <v>0</v>
      </c>
      <c r="ED82" s="1">
        <f>VC!DY37</f>
        <v>0</v>
      </c>
      <c r="EE82" s="1" t="str">
        <f>VC!DZ37</f>
        <v>V10G</v>
      </c>
      <c r="EF82" s="1">
        <f>VC!EA37</f>
        <v>0</v>
      </c>
      <c r="EG82" s="1">
        <f>VC!EB37</f>
        <v>0</v>
      </c>
      <c r="EH82" s="1" t="str">
        <f>VC!EC37</f>
        <v>L40Q</v>
      </c>
      <c r="EI82" s="1">
        <f>VC!ED37</f>
        <v>0</v>
      </c>
      <c r="EJ82" s="1">
        <f>VC!EE37</f>
        <v>0</v>
      </c>
      <c r="EK82" s="1">
        <f>VC!EF37</f>
        <v>0</v>
      </c>
      <c r="EL82" s="1" t="str">
        <f>VC!EG37</f>
        <v>D83G</v>
      </c>
      <c r="EM82" s="1">
        <f>VC!EH37</f>
        <v>0</v>
      </c>
      <c r="EN82" s="1">
        <f>VC!EI37</f>
        <v>0</v>
      </c>
      <c r="EO82" s="1">
        <f>VC!EJ37</f>
        <v>0</v>
      </c>
      <c r="EP82" s="1">
        <f>VC!EK37</f>
        <v>0</v>
      </c>
      <c r="EQ82" s="1">
        <f>VC!EL37</f>
        <v>0</v>
      </c>
      <c r="ER82" s="1">
        <f>VC!EM37</f>
        <v>0</v>
      </c>
      <c r="ES82" s="1">
        <f>VC!EN37</f>
        <v>0</v>
      </c>
      <c r="ET82" s="1">
        <f>VC!EO37</f>
        <v>0</v>
      </c>
      <c r="EU82" s="1">
        <f>VC!EP37</f>
        <v>0</v>
      </c>
      <c r="EV82" s="1">
        <f>VC!EQ37</f>
        <v>0</v>
      </c>
      <c r="EW82" s="1" t="str">
        <f>VC!ER37</f>
        <v>R11H; A85S; S175P</v>
      </c>
      <c r="EX82" s="1">
        <f>VC!ES37</f>
        <v>0</v>
      </c>
      <c r="EY82" s="1">
        <f>VC!ET37</f>
        <v>0</v>
      </c>
      <c r="EZ82" s="1">
        <f>VC!EU37</f>
        <v>0</v>
      </c>
      <c r="FA82" s="1">
        <f>VC!EV37</f>
        <v>0</v>
      </c>
      <c r="FB82" s="1">
        <f>VC!EW37</f>
        <v>0</v>
      </c>
      <c r="FC82" s="1">
        <f>VC!EX37</f>
        <v>0</v>
      </c>
      <c r="FD82" s="1">
        <f>VC!EY37</f>
        <v>0</v>
      </c>
      <c r="FE82" s="1" t="str">
        <f>VC!EZ37</f>
        <v>A96T</v>
      </c>
      <c r="FF82" s="1" t="str">
        <f>VC!FA37</f>
        <v>A136V</v>
      </c>
      <c r="FG82" s="1">
        <f>VC!FB37</f>
        <v>0</v>
      </c>
      <c r="FH82" s="1">
        <f>VC!FC37</f>
        <v>0</v>
      </c>
      <c r="FI82" s="1" t="str">
        <f>VC!FD37</f>
        <v>A29V; W97C</v>
      </c>
      <c r="FJ82" s="1">
        <f>VC!FE37</f>
        <v>0</v>
      </c>
      <c r="FK82" s="1" t="str">
        <f>VC!FF37</f>
        <v>G137E</v>
      </c>
      <c r="FL82" s="1">
        <f>VC!FG37</f>
        <v>0</v>
      </c>
      <c r="FM82" s="1">
        <f>VC!FH37</f>
        <v>0</v>
      </c>
      <c r="FN82" s="1">
        <f>VC!FI37</f>
        <v>0</v>
      </c>
      <c r="FO82" s="1">
        <f>VC!FJ37</f>
        <v>0</v>
      </c>
      <c r="FP82" s="1">
        <f>VC!FK37</f>
        <v>0</v>
      </c>
      <c r="FQ82" s="1">
        <f>VC!FL37</f>
        <v>0</v>
      </c>
      <c r="FR82" s="1">
        <f>VC!FM37</f>
        <v>0</v>
      </c>
      <c r="FS82" s="1">
        <f>VC!FN37</f>
        <v>0</v>
      </c>
      <c r="FT82" s="1">
        <f>VC!FO37</f>
        <v>0</v>
      </c>
      <c r="FU82" s="1">
        <f>VC!FP37</f>
        <v>0</v>
      </c>
      <c r="FV82" s="1">
        <f>VC!FQ37</f>
        <v>0</v>
      </c>
      <c r="FW82" s="1">
        <f>VC!FR37</f>
        <v>0</v>
      </c>
      <c r="FX82" s="1" t="str">
        <f>VC!FS37</f>
        <v>A136V</v>
      </c>
      <c r="FY82" s="1">
        <f>VC!FT37</f>
        <v>0</v>
      </c>
      <c r="FZ82" s="1">
        <f>VC!FU37</f>
        <v>0</v>
      </c>
      <c r="GA82" s="1">
        <f>VC!FV37</f>
        <v>0</v>
      </c>
      <c r="GB82" s="1">
        <f>VC!FW37</f>
        <v>0</v>
      </c>
      <c r="GC82" s="1">
        <f>VC!FX37</f>
        <v>0</v>
      </c>
      <c r="GD82" s="1">
        <f>VC!FY37</f>
        <v>0</v>
      </c>
      <c r="GE82" s="1">
        <f>VC!FZ37</f>
        <v>0</v>
      </c>
      <c r="GF82" s="1">
        <f>VC!GA37</f>
        <v>0</v>
      </c>
      <c r="GG82" s="1">
        <f>VC!GB37</f>
        <v>0</v>
      </c>
      <c r="GH82" s="1">
        <f>VC!GC37</f>
        <v>0</v>
      </c>
      <c r="GI82" s="1">
        <f>VC!GD37</f>
        <v>0</v>
      </c>
      <c r="GJ82" s="1">
        <f>VC!GE37</f>
        <v>0</v>
      </c>
      <c r="GK82" s="1">
        <f>VC!GF37</f>
        <v>0</v>
      </c>
      <c r="GL82" s="1">
        <f>VC!GG37</f>
        <v>0</v>
      </c>
      <c r="GM82" s="1">
        <f>VC!GH37</f>
        <v>0</v>
      </c>
      <c r="GN82" s="1" t="str">
        <f>VC!GI37</f>
        <v>G46S</v>
      </c>
      <c r="GO82" s="1" t="str">
        <f>VC!GJ37</f>
        <v>A29V; W97C</v>
      </c>
      <c r="GP82" s="1">
        <f>VC!GK37</f>
        <v>0</v>
      </c>
      <c r="GQ82" s="1">
        <f>VC!GL37</f>
        <v>0</v>
      </c>
      <c r="GR82" s="1">
        <f>VC!GM37</f>
        <v>0</v>
      </c>
      <c r="GS82" s="1">
        <f>VC!GN37</f>
        <v>0</v>
      </c>
      <c r="GT82" s="1" t="str">
        <f>VC!GO37</f>
        <v>R178C</v>
      </c>
      <c r="GU82" s="1">
        <f>VC!GP37</f>
        <v>0</v>
      </c>
      <c r="GV82" s="1">
        <f>VC!GQ37</f>
        <v>0</v>
      </c>
      <c r="GW82" s="1">
        <f>VC!GR37</f>
        <v>0</v>
      </c>
      <c r="GX82" s="1" t="str">
        <f>VC!GS37</f>
        <v>P126Q</v>
      </c>
      <c r="GY82" s="1">
        <f>VC!GT37</f>
        <v>0</v>
      </c>
      <c r="GZ82" s="1">
        <f>VC!GU37</f>
        <v>0</v>
      </c>
      <c r="HA82" s="1">
        <f>VC!GV37</f>
        <v>0</v>
      </c>
      <c r="HB82" s="1">
        <f>VC!GW37</f>
        <v>0</v>
      </c>
      <c r="HC82" s="1">
        <f>VC!GX37</f>
        <v>0</v>
      </c>
    </row>
    <row r="83" spans="1:211" s="7" customFormat="1" x14ac:dyDescent="0.25">
      <c r="A83" s="56" t="s">
        <v>90</v>
      </c>
      <c r="B83" s="57" t="s">
        <v>93</v>
      </c>
      <c r="C83" s="58" t="s">
        <v>4</v>
      </c>
      <c r="D83" s="57" t="s">
        <v>77</v>
      </c>
      <c r="E83" s="57"/>
      <c r="F83" s="57" t="s">
        <v>74</v>
      </c>
      <c r="G83" s="112" t="s">
        <v>1055</v>
      </c>
      <c r="H83" s="7">
        <f>VC!C38</f>
        <v>0</v>
      </c>
      <c r="I83" s="7">
        <f>VC!D38</f>
        <v>0</v>
      </c>
      <c r="J83" s="7">
        <f>VC!E38</f>
        <v>0</v>
      </c>
      <c r="K83" s="7">
        <f>VC!F38</f>
        <v>0</v>
      </c>
      <c r="L83" s="7">
        <f>VC!G38</f>
        <v>0</v>
      </c>
      <c r="M83" s="7">
        <f>VC!H38</f>
        <v>0</v>
      </c>
      <c r="N83" s="7">
        <f>VC!I38</f>
        <v>0</v>
      </c>
      <c r="O83" s="7">
        <f>VC!J38</f>
        <v>0</v>
      </c>
      <c r="P83" s="7">
        <f>VC!K38</f>
        <v>0</v>
      </c>
      <c r="Q83" s="7">
        <f>VC!L38</f>
        <v>0</v>
      </c>
      <c r="R83" s="7">
        <f>VC!M38</f>
        <v>0</v>
      </c>
      <c r="S83" s="7">
        <f>VC!N38</f>
        <v>0</v>
      </c>
      <c r="T83" s="7" t="str">
        <f>VC!O38</f>
        <v>I261T</v>
      </c>
      <c r="U83" s="7">
        <f>VC!P38</f>
        <v>0</v>
      </c>
      <c r="V83" s="7">
        <f>VC!Q38</f>
        <v>0</v>
      </c>
      <c r="W83" s="7">
        <f>VC!R38</f>
        <v>0</v>
      </c>
      <c r="X83" s="7">
        <f>VC!S38</f>
        <v>0</v>
      </c>
      <c r="Y83" s="7" t="str">
        <f>VC!T38</f>
        <v>A152V</v>
      </c>
      <c r="Z83" s="7">
        <f>VC!U38</f>
        <v>0</v>
      </c>
      <c r="AA83" s="7">
        <f>VC!V38</f>
        <v>0</v>
      </c>
      <c r="AB83" s="7">
        <f>VC!W38</f>
        <v>0</v>
      </c>
      <c r="AC83" s="7">
        <f>VC!X38</f>
        <v>0</v>
      </c>
      <c r="AD83" s="7">
        <f>VC!Y38</f>
        <v>0</v>
      </c>
      <c r="AE83" s="7">
        <f>VC!Z38</f>
        <v>0</v>
      </c>
      <c r="AF83" s="7">
        <f>VC!AA38</f>
        <v>0</v>
      </c>
      <c r="AG83" s="7">
        <f>VC!AB38</f>
        <v>0</v>
      </c>
      <c r="AH83" s="7">
        <f>VC!AC38</f>
        <v>0</v>
      </c>
      <c r="AI83" s="7">
        <f>VC!AD38</f>
        <v>0</v>
      </c>
      <c r="AJ83" s="7">
        <f>VC!AE38</f>
        <v>0</v>
      </c>
      <c r="AK83" s="7">
        <f>VC!AF38</f>
        <v>0</v>
      </c>
      <c r="AL83" s="7">
        <f>VC!AG38</f>
        <v>0</v>
      </c>
      <c r="AM83" s="7">
        <f>VC!AH38</f>
        <v>0</v>
      </c>
      <c r="AN83" s="7">
        <f>VC!AI38</f>
        <v>0</v>
      </c>
      <c r="AO83" s="7">
        <f>VC!AJ38</f>
        <v>0</v>
      </c>
      <c r="AP83" s="7">
        <f>VC!AK38</f>
        <v>0</v>
      </c>
      <c r="AQ83" s="7">
        <f>VC!AL38</f>
        <v>0</v>
      </c>
      <c r="AR83" s="7">
        <f>VC!AM38</f>
        <v>0</v>
      </c>
      <c r="AS83" s="7">
        <f>VC!AN38</f>
        <v>0</v>
      </c>
      <c r="AT83" s="7">
        <f>VC!AO38</f>
        <v>0</v>
      </c>
      <c r="AU83" s="7">
        <f>VC!AP38</f>
        <v>0</v>
      </c>
      <c r="AV83" s="7">
        <f>VC!AQ38</f>
        <v>0</v>
      </c>
      <c r="AW83" s="7">
        <f>VC!AR38</f>
        <v>0</v>
      </c>
      <c r="AX83" s="7">
        <f>VC!AS38</f>
        <v>0</v>
      </c>
      <c r="AY83" s="7">
        <f>VC!AT38</f>
        <v>0</v>
      </c>
      <c r="AZ83" s="7">
        <f>VC!AU38</f>
        <v>0</v>
      </c>
      <c r="BA83" s="7">
        <f>VC!AV38</f>
        <v>0</v>
      </c>
      <c r="BB83" s="7">
        <f>VC!AW38</f>
        <v>0</v>
      </c>
      <c r="BC83" s="7">
        <f>VC!AX38</f>
        <v>0</v>
      </c>
      <c r="BD83" s="7">
        <f>VC!AY38</f>
        <v>0</v>
      </c>
      <c r="BE83" s="7">
        <f>VC!AZ38</f>
        <v>0</v>
      </c>
      <c r="BF83" s="7">
        <f>VC!BA38</f>
        <v>0</v>
      </c>
      <c r="BG83" s="7">
        <f>VC!BB38</f>
        <v>0</v>
      </c>
      <c r="BH83" s="7">
        <f>VC!BC38</f>
        <v>0</v>
      </c>
      <c r="BI83" s="7">
        <f>VC!BD38</f>
        <v>0</v>
      </c>
      <c r="BJ83" s="7">
        <f>VC!BE38</f>
        <v>0</v>
      </c>
      <c r="BK83" s="7">
        <f>VC!BF38</f>
        <v>0</v>
      </c>
      <c r="BL83" s="7">
        <f>VC!BG38</f>
        <v>0</v>
      </c>
      <c r="BM83" s="7">
        <f>VC!BH38</f>
        <v>0</v>
      </c>
      <c r="BN83" s="7">
        <f>VC!BI38</f>
        <v>0</v>
      </c>
      <c r="BO83" s="7">
        <f>VC!BJ38</f>
        <v>0</v>
      </c>
      <c r="BP83" s="7">
        <f>VC!BK38</f>
        <v>0</v>
      </c>
      <c r="BQ83" s="7">
        <f>VC!BL38</f>
        <v>0</v>
      </c>
      <c r="BR83" s="7">
        <f>VC!BM38</f>
        <v>0</v>
      </c>
      <c r="BS83" s="7">
        <f>VC!BN38</f>
        <v>0</v>
      </c>
      <c r="BT83" s="7">
        <f>VC!BO38</f>
        <v>0</v>
      </c>
      <c r="BU83" s="7">
        <f>VC!BP38</f>
        <v>0</v>
      </c>
      <c r="BV83" s="7">
        <f>VC!BQ38</f>
        <v>0</v>
      </c>
      <c r="BW83" s="7">
        <f>VC!BR38</f>
        <v>0</v>
      </c>
      <c r="BX83" s="7">
        <f>VC!BS38</f>
        <v>0</v>
      </c>
      <c r="BY83" s="7">
        <f>VC!BT38</f>
        <v>0</v>
      </c>
      <c r="BZ83" s="7">
        <f>VC!BU38</f>
        <v>0</v>
      </c>
      <c r="CA83" s="7">
        <f>VC!BV38</f>
        <v>0</v>
      </c>
      <c r="CB83" s="7">
        <f>VC!BW38</f>
        <v>0</v>
      </c>
      <c r="CC83" s="7">
        <f>VC!BX38</f>
        <v>0</v>
      </c>
      <c r="CD83" s="7">
        <f>VC!BY38</f>
        <v>0</v>
      </c>
      <c r="CE83" s="7">
        <f>VC!BZ38</f>
        <v>0</v>
      </c>
      <c r="CF83" s="7">
        <f>VC!CA38</f>
        <v>0</v>
      </c>
      <c r="CG83" s="7">
        <f>VC!CB38</f>
        <v>0</v>
      </c>
      <c r="CH83" s="7">
        <f>VC!CC38</f>
        <v>0</v>
      </c>
      <c r="CI83" s="7">
        <f>VC!CD38</f>
        <v>0</v>
      </c>
      <c r="CJ83" s="7">
        <f>VC!CE38</f>
        <v>0</v>
      </c>
      <c r="CK83" s="7">
        <f>VC!CF38</f>
        <v>0</v>
      </c>
      <c r="CL83" s="7" t="str">
        <f>VC!CG38</f>
        <v>A40G</v>
      </c>
      <c r="CM83" s="7">
        <f>VC!CH38</f>
        <v>0</v>
      </c>
      <c r="CN83" s="7">
        <f>VC!CI38</f>
        <v>0</v>
      </c>
      <c r="CO83" s="7">
        <f>VC!CJ38</f>
        <v>0</v>
      </c>
      <c r="CP83" s="7">
        <f>VC!CK38</f>
        <v>0</v>
      </c>
      <c r="CQ83" s="7">
        <f>VC!CL38</f>
        <v>0</v>
      </c>
      <c r="CR83" s="7">
        <f>VC!CM38</f>
        <v>0</v>
      </c>
      <c r="CS83" s="7">
        <f>VC!CN38</f>
        <v>0</v>
      </c>
      <c r="CT83" s="7">
        <f>VC!CO38</f>
        <v>0</v>
      </c>
      <c r="CU83" s="7">
        <f>VC!CP38</f>
        <v>0</v>
      </c>
      <c r="CV83" s="7" t="str">
        <f>VC!CQ38</f>
        <v>D256G</v>
      </c>
      <c r="CW83" s="7">
        <f>VC!CR38</f>
        <v>0</v>
      </c>
      <c r="CX83" s="7">
        <f>VC!CS38</f>
        <v>0</v>
      </c>
      <c r="CY83" s="7">
        <f>VC!CT38</f>
        <v>0</v>
      </c>
      <c r="CZ83" s="7">
        <f>VC!CU38</f>
        <v>0</v>
      </c>
      <c r="DA83" s="7">
        <f>VC!CV38</f>
        <v>0</v>
      </c>
      <c r="DB83" s="7">
        <f>VC!CW38</f>
        <v>0</v>
      </c>
      <c r="DC83" s="7">
        <f>VC!CX38</f>
        <v>0</v>
      </c>
      <c r="DD83" s="7">
        <f>VC!CY38</f>
        <v>0</v>
      </c>
      <c r="DE83" s="7">
        <f>VC!CZ38</f>
        <v>0</v>
      </c>
      <c r="DF83" s="7">
        <f>VC!DA38</f>
        <v>0</v>
      </c>
      <c r="DG83" s="7">
        <f>VC!DB38</f>
        <v>0</v>
      </c>
      <c r="DH83" s="7">
        <f>VC!DC38</f>
        <v>0</v>
      </c>
      <c r="DI83" s="7">
        <f>VC!DD38</f>
        <v>0</v>
      </c>
      <c r="DJ83" s="7">
        <f>VC!DE38</f>
        <v>0</v>
      </c>
      <c r="DK83" s="7">
        <f>VC!DF38</f>
        <v>0</v>
      </c>
      <c r="DL83" s="7">
        <f>VC!DG38</f>
        <v>0</v>
      </c>
      <c r="DM83" s="7">
        <f>VC!DH38</f>
        <v>0</v>
      </c>
      <c r="DN83" s="7">
        <f>VC!DI38</f>
        <v>0</v>
      </c>
      <c r="DO83" s="7">
        <f>VC!DJ38</f>
        <v>0</v>
      </c>
      <c r="DP83" s="7">
        <f>VC!DK38</f>
        <v>0</v>
      </c>
      <c r="DQ83" s="7">
        <f>VC!DL38</f>
        <v>0</v>
      </c>
      <c r="DR83" s="7">
        <f>VC!DM38</f>
        <v>0</v>
      </c>
      <c r="DS83" s="7" t="str">
        <f>VC!DN38</f>
        <v>N73D</v>
      </c>
      <c r="DT83" s="7">
        <f>VC!DO38</f>
        <v>0</v>
      </c>
      <c r="DU83" s="7">
        <f>VC!DP38</f>
        <v>0</v>
      </c>
      <c r="DV83" s="7">
        <f>VC!DQ38</f>
        <v>0</v>
      </c>
      <c r="DW83" s="7">
        <f>VC!DR38</f>
        <v>0</v>
      </c>
      <c r="DX83" s="7" t="str">
        <f>VC!DS38</f>
        <v>V472A</v>
      </c>
      <c r="DY83" s="7">
        <f>VC!DT38</f>
        <v>0</v>
      </c>
      <c r="DZ83" s="7">
        <f>VC!DU38</f>
        <v>0</v>
      </c>
      <c r="EA83" s="7">
        <f>VC!DV38</f>
        <v>0</v>
      </c>
      <c r="EB83" s="7">
        <f>VC!DW38</f>
        <v>0</v>
      </c>
      <c r="EC83" s="7" t="str">
        <f>VC!DX38</f>
        <v>R210H</v>
      </c>
      <c r="ED83" s="7">
        <f>VC!DY38</f>
        <v>0</v>
      </c>
      <c r="EE83" s="7">
        <f>VC!DZ38</f>
        <v>0</v>
      </c>
      <c r="EF83" s="7">
        <f>VC!EA38</f>
        <v>0</v>
      </c>
      <c r="EG83" s="7">
        <f>VC!EB38</f>
        <v>0</v>
      </c>
      <c r="EH83" s="7">
        <f>VC!EC38</f>
        <v>0</v>
      </c>
      <c r="EI83" s="7">
        <f>VC!ED38</f>
        <v>0</v>
      </c>
      <c r="EJ83" s="7">
        <f>VC!EE38</f>
        <v>0</v>
      </c>
      <c r="EK83" s="7">
        <f>VC!EF38</f>
        <v>0</v>
      </c>
      <c r="EL83" s="7" t="str">
        <f>VC!EG38</f>
        <v>N121S</v>
      </c>
      <c r="EM83" s="7">
        <f>VC!EH38</f>
        <v>0</v>
      </c>
      <c r="EN83" s="7">
        <f>VC!EI38</f>
        <v>0</v>
      </c>
      <c r="EO83" s="7">
        <f>VC!EJ38</f>
        <v>0</v>
      </c>
      <c r="EP83" s="7">
        <f>VC!EK38</f>
        <v>0</v>
      </c>
      <c r="EQ83" s="7">
        <f>VC!EL38</f>
        <v>0</v>
      </c>
      <c r="ER83" s="7">
        <f>VC!EM38</f>
        <v>0</v>
      </c>
      <c r="ES83" s="7" t="str">
        <f>VC!EN38</f>
        <v>D303V</v>
      </c>
      <c r="ET83" s="7">
        <f>VC!EO38</f>
        <v>0</v>
      </c>
      <c r="EU83" s="7">
        <f>VC!EP38</f>
        <v>0</v>
      </c>
      <c r="EV83" s="7">
        <f>VC!EQ38</f>
        <v>0</v>
      </c>
      <c r="EW83" s="7" t="str">
        <f>VC!ER38</f>
        <v>A41T</v>
      </c>
      <c r="EX83" s="7" t="str">
        <f>VC!ES38</f>
        <v>L81I; A152T</v>
      </c>
      <c r="EY83" s="7">
        <f>VC!ET38</f>
        <v>0</v>
      </c>
      <c r="EZ83" s="7">
        <f>VC!EU38</f>
        <v>0</v>
      </c>
      <c r="FA83" s="7">
        <f>VC!EV38</f>
        <v>0</v>
      </c>
      <c r="FB83" s="7">
        <f>VC!EW38</f>
        <v>0</v>
      </c>
      <c r="FC83" s="7">
        <f>VC!EX38</f>
        <v>0</v>
      </c>
      <c r="FD83" s="7">
        <f>VC!EY38</f>
        <v>0</v>
      </c>
      <c r="FE83" s="7">
        <f>VC!EZ38</f>
        <v>0</v>
      </c>
      <c r="FF83" s="7">
        <f>VC!FA38</f>
        <v>0</v>
      </c>
      <c r="FG83" s="7">
        <f>VC!FB38</f>
        <v>0</v>
      </c>
      <c r="FH83" s="7">
        <f>VC!FC38</f>
        <v>0</v>
      </c>
      <c r="FI83" s="7">
        <f>VC!FD38</f>
        <v>0</v>
      </c>
      <c r="FJ83" s="7">
        <f>VC!FE38</f>
        <v>0</v>
      </c>
      <c r="FK83" s="7">
        <f>VC!FF38</f>
        <v>0</v>
      </c>
      <c r="FL83" s="7">
        <f>VC!FG38</f>
        <v>0</v>
      </c>
      <c r="FM83" s="7">
        <f>VC!FH38</f>
        <v>0</v>
      </c>
      <c r="FN83" s="7">
        <f>VC!FI38</f>
        <v>0</v>
      </c>
      <c r="FO83" s="7">
        <f>VC!FJ38</f>
        <v>0</v>
      </c>
      <c r="FP83" s="7">
        <f>VC!FK38</f>
        <v>0</v>
      </c>
      <c r="FQ83" s="7">
        <f>VC!FL38</f>
        <v>0</v>
      </c>
      <c r="FR83" s="7">
        <f>VC!FM38</f>
        <v>0</v>
      </c>
      <c r="FS83" s="7" t="str">
        <f>VC!FN38</f>
        <v>A364V</v>
      </c>
      <c r="FT83" s="7">
        <f>VC!FO38</f>
        <v>0</v>
      </c>
      <c r="FU83" s="7">
        <f>VC!FP38</f>
        <v>0</v>
      </c>
      <c r="FV83" s="7">
        <f>VC!FQ38</f>
        <v>0</v>
      </c>
      <c r="FW83" s="7">
        <f>VC!FR38</f>
        <v>0</v>
      </c>
      <c r="FX83" s="7">
        <f>VC!FS38</f>
        <v>0</v>
      </c>
      <c r="FY83" s="7">
        <f>VC!FT38</f>
        <v>0</v>
      </c>
      <c r="FZ83" s="7">
        <f>VC!FU38</f>
        <v>0</v>
      </c>
      <c r="GA83" s="7">
        <f>VC!FV38</f>
        <v>0</v>
      </c>
      <c r="GB83" s="7">
        <f>VC!FW38</f>
        <v>0</v>
      </c>
      <c r="GC83" s="7">
        <f>VC!FX38</f>
        <v>0</v>
      </c>
      <c r="GD83" s="7">
        <f>VC!FY38</f>
        <v>0</v>
      </c>
      <c r="GE83" s="7">
        <f>VC!FZ38</f>
        <v>0</v>
      </c>
      <c r="GF83" s="7">
        <f>VC!GA38</f>
        <v>0</v>
      </c>
      <c r="GG83" s="7">
        <f>VC!GB38</f>
        <v>0</v>
      </c>
      <c r="GH83" s="7">
        <f>VC!GC38</f>
        <v>0</v>
      </c>
      <c r="GI83" s="7">
        <f>VC!GD38</f>
        <v>0</v>
      </c>
      <c r="GJ83" s="7">
        <f>VC!GE38</f>
        <v>0</v>
      </c>
      <c r="GK83" s="7">
        <f>VC!GF38</f>
        <v>0</v>
      </c>
      <c r="GL83" s="7">
        <f>VC!GG38</f>
        <v>0</v>
      </c>
      <c r="GM83" s="7">
        <f>VC!GH38</f>
        <v>0</v>
      </c>
      <c r="GN83" s="7">
        <f>VC!GI38</f>
        <v>0</v>
      </c>
      <c r="GO83" s="7">
        <f>VC!GJ38</f>
        <v>0</v>
      </c>
      <c r="GP83" s="7">
        <f>VC!GK38</f>
        <v>0</v>
      </c>
      <c r="GQ83" s="7" t="str">
        <f>VC!GL38</f>
        <v>S127N</v>
      </c>
      <c r="GR83" s="7">
        <f>VC!GM38</f>
        <v>0</v>
      </c>
      <c r="GS83" s="7">
        <f>VC!GN38</f>
        <v>0</v>
      </c>
      <c r="GT83" s="7">
        <f>VC!GO38</f>
        <v>0</v>
      </c>
      <c r="GU83" s="7">
        <f>VC!GP38</f>
        <v>0</v>
      </c>
      <c r="GV83" s="7">
        <f>VC!GQ38</f>
        <v>0</v>
      </c>
      <c r="GW83" s="7">
        <f>VC!GR38</f>
        <v>0</v>
      </c>
      <c r="GX83" s="7">
        <f>VC!GS38</f>
        <v>0</v>
      </c>
      <c r="GY83" s="7">
        <f>VC!GT38</f>
        <v>0</v>
      </c>
      <c r="GZ83" s="7">
        <f>VC!GU38</f>
        <v>0</v>
      </c>
      <c r="HA83" s="7">
        <f>VC!GV38</f>
        <v>0</v>
      </c>
      <c r="HB83" s="7">
        <f>VC!GW38</f>
        <v>0</v>
      </c>
      <c r="HC83" s="7">
        <f>VC!GX38</f>
        <v>0</v>
      </c>
    </row>
    <row r="84" spans="1:211" s="1" customFormat="1" x14ac:dyDescent="0.25">
      <c r="A84" s="59" t="s">
        <v>89</v>
      </c>
      <c r="B84" s="60" t="s">
        <v>92</v>
      </c>
      <c r="C84" s="61" t="s">
        <v>4</v>
      </c>
      <c r="D84" s="60" t="s">
        <v>77</v>
      </c>
      <c r="E84" s="60"/>
      <c r="F84" s="60" t="s">
        <v>74</v>
      </c>
      <c r="G84" s="113"/>
      <c r="H84" s="1" t="str">
        <f>VC!C39</f>
        <v>A566T; V607A</v>
      </c>
      <c r="I84" s="1">
        <f>VC!D39</f>
        <v>0</v>
      </c>
      <c r="J84" s="1">
        <f>VC!E39</f>
        <v>0</v>
      </c>
      <c r="K84" s="1">
        <f>VC!F39</f>
        <v>0</v>
      </c>
      <c r="L84" s="1" t="str">
        <f>VC!G39</f>
        <v>A566T; V607A</v>
      </c>
      <c r="M84" s="1" t="str">
        <f>VC!H39</f>
        <v>R596S; L1027V</v>
      </c>
      <c r="N84" s="1">
        <f>VC!I39</f>
        <v>0</v>
      </c>
      <c r="O84" s="1">
        <f>VC!J39</f>
        <v>0</v>
      </c>
      <c r="P84" s="1">
        <f>VC!K39</f>
        <v>0</v>
      </c>
      <c r="Q84" s="1">
        <f>VC!L39</f>
        <v>0</v>
      </c>
      <c r="R84" s="1">
        <f>VC!M39</f>
        <v>0</v>
      </c>
      <c r="S84" s="1">
        <f>VC!N39</f>
        <v>0</v>
      </c>
      <c r="T84" s="1">
        <f>VC!O39</f>
        <v>0</v>
      </c>
      <c r="U84" s="1">
        <f>VC!P39</f>
        <v>0</v>
      </c>
      <c r="V84" s="1">
        <f>VC!Q39</f>
        <v>0</v>
      </c>
      <c r="W84" s="1">
        <f>VC!R39</f>
        <v>0</v>
      </c>
      <c r="X84" s="1">
        <f>VC!S39</f>
        <v>0</v>
      </c>
      <c r="Y84" s="1">
        <f>VC!T39</f>
        <v>0</v>
      </c>
      <c r="Z84" s="1">
        <f>VC!U39</f>
        <v>0</v>
      </c>
      <c r="AA84" s="1">
        <f>VC!V39</f>
        <v>0</v>
      </c>
      <c r="AB84" s="1" t="str">
        <f>VC!W39</f>
        <v>N775K</v>
      </c>
      <c r="AC84" s="1">
        <f>VC!X39</f>
        <v>0</v>
      </c>
      <c r="AD84" s="1">
        <f>VC!Y39</f>
        <v>0</v>
      </c>
      <c r="AE84" s="1">
        <f>VC!Z39</f>
        <v>0</v>
      </c>
      <c r="AF84" s="1">
        <f>VC!AA39</f>
        <v>0</v>
      </c>
      <c r="AG84" s="1">
        <f>VC!AB39</f>
        <v>0</v>
      </c>
      <c r="AH84" s="1">
        <f>VC!AC39</f>
        <v>0</v>
      </c>
      <c r="AI84" s="1">
        <f>VC!AD39</f>
        <v>0</v>
      </c>
      <c r="AJ84" s="1">
        <f>VC!AE39</f>
        <v>0</v>
      </c>
      <c r="AK84" s="1">
        <f>VC!AF39</f>
        <v>0</v>
      </c>
      <c r="AL84" s="1">
        <f>VC!AG39</f>
        <v>0</v>
      </c>
      <c r="AM84" s="1">
        <f>VC!AH39</f>
        <v>0</v>
      </c>
      <c r="AN84" s="1">
        <f>VC!AI39</f>
        <v>0</v>
      </c>
      <c r="AO84" s="1">
        <f>VC!AJ39</f>
        <v>0</v>
      </c>
      <c r="AP84" s="1">
        <f>VC!AK39</f>
        <v>0</v>
      </c>
      <c r="AQ84" s="1" t="str">
        <f>VC!AL39</f>
        <v>T778A; P829H</v>
      </c>
      <c r="AR84" s="1">
        <f>VC!AM39</f>
        <v>0</v>
      </c>
      <c r="AS84" s="1">
        <f>VC!AN39</f>
        <v>0</v>
      </c>
      <c r="AT84" s="1">
        <f>VC!AO39</f>
        <v>0</v>
      </c>
      <c r="AU84" s="1">
        <f>VC!AP39</f>
        <v>0</v>
      </c>
      <c r="AV84" s="1">
        <f>VC!AQ39</f>
        <v>0</v>
      </c>
      <c r="AW84" s="1">
        <f>VC!AR39</f>
        <v>0</v>
      </c>
      <c r="AX84" s="1">
        <f>VC!AS39</f>
        <v>0</v>
      </c>
      <c r="AY84" s="1">
        <f>VC!AT39</f>
        <v>0</v>
      </c>
      <c r="AZ84" s="1">
        <f>VC!AU39</f>
        <v>0</v>
      </c>
      <c r="BA84" s="1">
        <f>VC!AV39</f>
        <v>0</v>
      </c>
      <c r="BB84" s="1">
        <f>VC!AW39</f>
        <v>0</v>
      </c>
      <c r="BC84" s="1">
        <f>VC!AX39</f>
        <v>0</v>
      </c>
      <c r="BD84" s="1">
        <f>VC!AY39</f>
        <v>0</v>
      </c>
      <c r="BE84" s="1">
        <f>VC!AZ39</f>
        <v>0</v>
      </c>
      <c r="BF84" s="1">
        <f>VC!BA39</f>
        <v>0</v>
      </c>
      <c r="BG84" s="1">
        <f>VC!BB39</f>
        <v>0</v>
      </c>
      <c r="BH84" s="1" t="str">
        <f>VC!BC39</f>
        <v>N775K</v>
      </c>
      <c r="BI84" s="1">
        <f>VC!BD39</f>
        <v>0</v>
      </c>
      <c r="BJ84" s="1">
        <f>VC!BE39</f>
        <v>0</v>
      </c>
      <c r="BK84" s="1">
        <f>VC!BF39</f>
        <v>0</v>
      </c>
      <c r="BL84" s="1">
        <f>VC!BG39</f>
        <v>0</v>
      </c>
      <c r="BM84" s="1">
        <f>VC!BH39</f>
        <v>0</v>
      </c>
      <c r="BN84" s="1" t="str">
        <f>VC!BI39</f>
        <v>E602K</v>
      </c>
      <c r="BO84" s="1">
        <f>VC!BJ39</f>
        <v>0</v>
      </c>
      <c r="BP84" s="1" t="str">
        <f>VC!BK39</f>
        <v>A566T; V607A</v>
      </c>
      <c r="BQ84" s="1">
        <f>VC!BL39</f>
        <v>0</v>
      </c>
      <c r="BR84" s="1">
        <f>VC!BM39</f>
        <v>0</v>
      </c>
      <c r="BS84" s="1">
        <f>VC!BN39</f>
        <v>0</v>
      </c>
      <c r="BT84" s="1">
        <f>VC!BO39</f>
        <v>0</v>
      </c>
      <c r="BU84" s="1">
        <f>VC!BP39</f>
        <v>0</v>
      </c>
      <c r="BV84" s="1">
        <f>VC!BQ39</f>
        <v>0</v>
      </c>
      <c r="BW84" s="1">
        <f>VC!BR39</f>
        <v>0</v>
      </c>
      <c r="BX84" s="1">
        <f>VC!BS39</f>
        <v>0</v>
      </c>
      <c r="BY84" s="1">
        <f>VC!BT39</f>
        <v>0</v>
      </c>
      <c r="BZ84" s="1">
        <f>VC!BU39</f>
        <v>0</v>
      </c>
      <c r="CA84" s="1">
        <f>VC!BV39</f>
        <v>0</v>
      </c>
      <c r="CB84" s="1">
        <f>VC!BW39</f>
        <v>0</v>
      </c>
      <c r="CC84" s="1" t="str">
        <f>VC!BX39</f>
        <v>A566T; V607A</v>
      </c>
      <c r="CD84" s="1">
        <f>VC!BY39</f>
        <v>0</v>
      </c>
      <c r="CE84" s="1">
        <f>VC!BZ39</f>
        <v>0</v>
      </c>
      <c r="CF84" s="1">
        <f>VC!CA39</f>
        <v>0</v>
      </c>
      <c r="CG84" s="1">
        <f>VC!CB39</f>
        <v>0</v>
      </c>
      <c r="CH84" s="1">
        <f>VC!CC39</f>
        <v>0</v>
      </c>
      <c r="CI84" s="1">
        <f>VC!CD39</f>
        <v>0</v>
      </c>
      <c r="CJ84" s="1">
        <f>VC!CE39</f>
        <v>0</v>
      </c>
      <c r="CK84" s="1">
        <f>VC!CF39</f>
        <v>0</v>
      </c>
      <c r="CL84" s="1" t="str">
        <f>VC!CG39</f>
        <v>S606L</v>
      </c>
      <c r="CM84" s="1">
        <f>VC!CH39</f>
        <v>0</v>
      </c>
      <c r="CN84" s="1">
        <f>VC!CI39</f>
        <v>0</v>
      </c>
      <c r="CO84" s="1">
        <f>VC!CJ39</f>
        <v>0</v>
      </c>
      <c r="CP84" s="1">
        <f>VC!CK39</f>
        <v>0</v>
      </c>
      <c r="CQ84" s="1">
        <f>VC!CL39</f>
        <v>0</v>
      </c>
      <c r="CR84" s="1">
        <f>VC!CM39</f>
        <v>0</v>
      </c>
      <c r="CS84" s="1">
        <f>VC!CN39</f>
        <v>0</v>
      </c>
      <c r="CT84" s="1">
        <f>VC!CO39</f>
        <v>0</v>
      </c>
      <c r="CU84" s="1">
        <f>VC!CP39</f>
        <v>0</v>
      </c>
      <c r="CV84" s="1">
        <f>VC!CQ39</f>
        <v>0</v>
      </c>
      <c r="CW84" s="1">
        <f>VC!CR39</f>
        <v>0</v>
      </c>
      <c r="CX84" s="1">
        <f>VC!CS39</f>
        <v>0</v>
      </c>
      <c r="CY84" s="1" t="str">
        <f>VC!CT39</f>
        <v>A566T; V607A</v>
      </c>
      <c r="CZ84" s="1">
        <f>VC!CU39</f>
        <v>0</v>
      </c>
      <c r="DA84" s="1">
        <f>VC!CV39</f>
        <v>0</v>
      </c>
      <c r="DB84" s="1">
        <f>VC!CW39</f>
        <v>0</v>
      </c>
      <c r="DC84" s="1">
        <f>VC!CX39</f>
        <v>0</v>
      </c>
      <c r="DD84" s="1" t="str">
        <f>VC!CY39</f>
        <v>T489I</v>
      </c>
      <c r="DE84" s="1">
        <f>VC!CZ39</f>
        <v>0</v>
      </c>
      <c r="DF84" s="1">
        <f>VC!DA39</f>
        <v>0</v>
      </c>
      <c r="DG84" s="1" t="str">
        <f>VC!DB39</f>
        <v>A734V</v>
      </c>
      <c r="DH84" s="1">
        <f>VC!DC39</f>
        <v>0</v>
      </c>
      <c r="DI84" s="1">
        <f>VC!DD39</f>
        <v>0</v>
      </c>
      <c r="DJ84" s="1">
        <f>VC!DE39</f>
        <v>0</v>
      </c>
      <c r="DK84" s="1">
        <f>VC!DF39</f>
        <v>0</v>
      </c>
      <c r="DL84" s="1">
        <f>VC!DG39</f>
        <v>0</v>
      </c>
      <c r="DM84" s="1">
        <f>VC!DH39</f>
        <v>0</v>
      </c>
      <c r="DN84" s="1">
        <f>VC!DI39</f>
        <v>0</v>
      </c>
      <c r="DO84" s="1">
        <f>VC!DJ39</f>
        <v>0</v>
      </c>
      <c r="DP84" s="1">
        <f>VC!DK39</f>
        <v>0</v>
      </c>
      <c r="DQ84" s="1">
        <f>VC!DL39</f>
        <v>0</v>
      </c>
      <c r="DR84" s="1">
        <f>VC!DM39</f>
        <v>0</v>
      </c>
      <c r="DS84" s="1">
        <f>VC!DN39</f>
        <v>0</v>
      </c>
      <c r="DT84" s="1">
        <f>VC!DO39</f>
        <v>0</v>
      </c>
      <c r="DU84" s="1">
        <f>VC!DP39</f>
        <v>0</v>
      </c>
      <c r="DV84" s="1">
        <f>VC!DQ39</f>
        <v>0</v>
      </c>
      <c r="DW84" s="1">
        <f>VC!DR39</f>
        <v>0</v>
      </c>
      <c r="DX84" s="1">
        <f>VC!DS39</f>
        <v>0</v>
      </c>
      <c r="DY84" s="1" t="str">
        <f>VC!DT39</f>
        <v>R333C</v>
      </c>
      <c r="DZ84" s="1" t="str">
        <f>VC!DU39</f>
        <v>A905T</v>
      </c>
      <c r="EA84" s="1">
        <f>VC!DV39</f>
        <v>0</v>
      </c>
      <c r="EB84" s="1">
        <f>VC!DW39</f>
        <v>0</v>
      </c>
      <c r="EC84" s="1">
        <f>VC!DX39</f>
        <v>0</v>
      </c>
      <c r="ED84" s="1">
        <f>VC!DY39</f>
        <v>0</v>
      </c>
      <c r="EE84" s="1">
        <f>VC!DZ39</f>
        <v>0</v>
      </c>
      <c r="EF84" s="1">
        <f>VC!EA39</f>
        <v>0</v>
      </c>
      <c r="EG84" s="1">
        <f>VC!EB39</f>
        <v>0</v>
      </c>
      <c r="EH84" s="1">
        <f>VC!EC39</f>
        <v>0</v>
      </c>
      <c r="EI84" s="1" t="str">
        <f>VC!ED39</f>
        <v>V364L; I610V</v>
      </c>
      <c r="EJ84" s="1">
        <f>VC!EE39</f>
        <v>0</v>
      </c>
      <c r="EK84" s="1">
        <f>VC!EF39</f>
        <v>0</v>
      </c>
      <c r="EL84" s="1" t="str">
        <f>VC!EG39</f>
        <v>V364L; I610V; E650Q; H953N; A1039V</v>
      </c>
      <c r="EM84" s="1" t="str">
        <f>VC!EH39</f>
        <v>A566T; V607A</v>
      </c>
      <c r="EN84" s="1">
        <f>VC!EI39</f>
        <v>0</v>
      </c>
      <c r="EO84" s="1" t="str">
        <f>VC!EJ39</f>
        <v>aa1027InsLLS</v>
      </c>
      <c r="EP84" s="1">
        <f>VC!EK39</f>
        <v>0</v>
      </c>
      <c r="EQ84" s="1">
        <f>VC!EL39</f>
        <v>0</v>
      </c>
      <c r="ER84" s="1">
        <f>VC!EM39</f>
        <v>0</v>
      </c>
      <c r="ES84" s="1" t="str">
        <f>VC!EN39</f>
        <v>aa1027InsLLS</v>
      </c>
      <c r="ET84" s="1">
        <f>VC!EO39</f>
        <v>0</v>
      </c>
      <c r="EU84" s="1">
        <f>VC!EP39</f>
        <v>0</v>
      </c>
      <c r="EV84" s="1">
        <f>VC!EQ39</f>
        <v>0</v>
      </c>
      <c r="EW84" s="1" t="str">
        <f>VC!ER39</f>
        <v xml:space="preserve">G147D; A642D; H651R; T659S; S738N </v>
      </c>
      <c r="EX84" s="1" t="str">
        <f>VC!ES39</f>
        <v>G686R</v>
      </c>
      <c r="EY84" s="1">
        <f>VC!ET39</f>
        <v>0</v>
      </c>
      <c r="EZ84" s="1">
        <f>VC!EU39</f>
        <v>0</v>
      </c>
      <c r="FA84" s="1">
        <f>VC!EV39</f>
        <v>0</v>
      </c>
      <c r="FB84" s="1" t="str">
        <f>VC!EW39</f>
        <v>A566T; V607A</v>
      </c>
      <c r="FC84" s="1" t="str">
        <f>VC!EX39</f>
        <v>V351L</v>
      </c>
      <c r="FD84" s="1">
        <f>VC!EY39</f>
        <v>0</v>
      </c>
      <c r="FE84" s="1">
        <f>VC!EZ39</f>
        <v>0</v>
      </c>
      <c r="FF84" s="1">
        <f>VC!FA39</f>
        <v>0</v>
      </c>
      <c r="FG84" s="1">
        <f>VC!FB39</f>
        <v>0</v>
      </c>
      <c r="FH84" s="1" t="str">
        <f>VC!FC39</f>
        <v>V364L; I610V; E650Q; H953N; A1039V</v>
      </c>
      <c r="FI84" s="1" t="str">
        <f>VC!FD39</f>
        <v>T286M</v>
      </c>
      <c r="FJ84" s="1">
        <f>VC!FE39</f>
        <v>0</v>
      </c>
      <c r="FK84" s="1">
        <f>VC!FF39</f>
        <v>0</v>
      </c>
      <c r="FL84" s="1">
        <f>VC!FG39</f>
        <v>0</v>
      </c>
      <c r="FM84" s="1">
        <f>VC!FH39</f>
        <v>0</v>
      </c>
      <c r="FN84" s="1">
        <f>VC!FI39</f>
        <v>0</v>
      </c>
      <c r="FO84" s="1">
        <f>VC!FJ39</f>
        <v>0</v>
      </c>
      <c r="FP84" s="1">
        <f>VC!FK39</f>
        <v>0</v>
      </c>
      <c r="FQ84" s="1">
        <f>VC!FL39</f>
        <v>0</v>
      </c>
      <c r="FR84" s="1">
        <f>VC!FM39</f>
        <v>0</v>
      </c>
      <c r="FS84" s="1">
        <f>VC!FN39</f>
        <v>0</v>
      </c>
      <c r="FT84" s="1" t="str">
        <f>VC!FO39</f>
        <v>I427V; G1042R</v>
      </c>
      <c r="FU84" s="1">
        <f>VC!FP39</f>
        <v>0</v>
      </c>
      <c r="FV84" s="1">
        <f>VC!FQ39</f>
        <v>0</v>
      </c>
      <c r="FW84" s="1">
        <f>VC!FR39</f>
        <v>0</v>
      </c>
      <c r="FX84" s="1">
        <f>VC!FS39</f>
        <v>0</v>
      </c>
      <c r="FY84" s="1">
        <f>VC!FT39</f>
        <v>0</v>
      </c>
      <c r="FZ84" s="1">
        <f>VC!FU39</f>
        <v>0</v>
      </c>
      <c r="GA84" s="1">
        <f>VC!FV39</f>
        <v>0</v>
      </c>
      <c r="GB84" s="1">
        <f>VC!FW39</f>
        <v>0</v>
      </c>
      <c r="GC84" s="1" t="str">
        <f>VC!FX39</f>
        <v>V914I</v>
      </c>
      <c r="GD84" s="1">
        <f>VC!FY39</f>
        <v>0</v>
      </c>
      <c r="GE84" s="1">
        <f>VC!FZ39</f>
        <v>0</v>
      </c>
      <c r="GF84" s="1">
        <f>VC!GA39</f>
        <v>0</v>
      </c>
      <c r="GG84" s="1">
        <f>VC!GB39</f>
        <v>0</v>
      </c>
      <c r="GH84" s="1">
        <f>VC!GC39</f>
        <v>0</v>
      </c>
      <c r="GI84" s="1">
        <f>VC!GD39</f>
        <v>0</v>
      </c>
      <c r="GJ84" s="1">
        <f>VC!GE39</f>
        <v>0</v>
      </c>
      <c r="GK84" s="1">
        <f>VC!GF39</f>
        <v>0</v>
      </c>
      <c r="GL84" s="1">
        <f>VC!GG39</f>
        <v>0</v>
      </c>
      <c r="GM84" s="1">
        <f>VC!GH39</f>
        <v>0</v>
      </c>
      <c r="GN84" s="1">
        <f>VC!GI39</f>
        <v>0</v>
      </c>
      <c r="GO84" s="1">
        <f>VC!GJ39</f>
        <v>0</v>
      </c>
      <c r="GP84" s="1">
        <f>VC!GK39</f>
        <v>0</v>
      </c>
      <c r="GQ84" s="1" t="str">
        <f>VC!GL39</f>
        <v>R696C</v>
      </c>
      <c r="GR84" s="1">
        <f>VC!GM39</f>
        <v>0</v>
      </c>
      <c r="GS84" s="1">
        <f>VC!GN39</f>
        <v>0</v>
      </c>
      <c r="GT84" s="1">
        <f>VC!GO39</f>
        <v>0</v>
      </c>
      <c r="GU84" s="1">
        <f>VC!GP39</f>
        <v>0</v>
      </c>
      <c r="GV84" s="1">
        <f>VC!GQ39</f>
        <v>0</v>
      </c>
      <c r="GW84" s="1">
        <f>VC!GR39</f>
        <v>0</v>
      </c>
      <c r="GX84" s="1" t="str">
        <f>VC!GS39</f>
        <v>L1027V</v>
      </c>
      <c r="GY84" s="1">
        <f>VC!GT39</f>
        <v>0</v>
      </c>
      <c r="GZ84" s="1" t="str">
        <f>VC!GU39</f>
        <v>R254H</v>
      </c>
      <c r="HA84" s="1">
        <f>VC!GV39</f>
        <v>0</v>
      </c>
      <c r="HB84" s="1">
        <f>VC!GW39</f>
        <v>0</v>
      </c>
      <c r="HC84" s="1">
        <f>VC!GX39</f>
        <v>0</v>
      </c>
    </row>
    <row r="85" spans="1:211" s="7" customFormat="1" ht="15.75" thickBot="1" x14ac:dyDescent="0.3">
      <c r="A85" s="62" t="s">
        <v>88</v>
      </c>
      <c r="B85" s="63" t="s">
        <v>91</v>
      </c>
      <c r="C85" s="64" t="s">
        <v>4</v>
      </c>
      <c r="D85" s="63" t="s">
        <v>77</v>
      </c>
      <c r="E85" s="63"/>
      <c r="F85" s="63" t="s">
        <v>74</v>
      </c>
      <c r="G85" s="114"/>
      <c r="H85" s="7">
        <f>VC!C40</f>
        <v>0</v>
      </c>
      <c r="I85" s="7">
        <f>VC!D40</f>
        <v>0</v>
      </c>
      <c r="J85" s="7" t="str">
        <f>VC!E40</f>
        <v>V131M</v>
      </c>
      <c r="K85" s="7">
        <f>VC!F40</f>
        <v>0</v>
      </c>
      <c r="L85" s="7">
        <f>VC!G40</f>
        <v>0</v>
      </c>
      <c r="M85" s="7" t="str">
        <f>VC!H40</f>
        <v>V367A</v>
      </c>
      <c r="N85" s="7">
        <f>VC!I40</f>
        <v>0</v>
      </c>
      <c r="O85" s="7">
        <f>VC!J40</f>
        <v>0</v>
      </c>
      <c r="P85" s="7">
        <f>VC!K40</f>
        <v>0</v>
      </c>
      <c r="Q85" s="7">
        <f>VC!L40</f>
        <v>0</v>
      </c>
      <c r="R85" s="7">
        <f>VC!M40</f>
        <v>0</v>
      </c>
      <c r="S85" s="7">
        <f>VC!N40</f>
        <v>0</v>
      </c>
      <c r="T85" s="7">
        <f>VC!O40</f>
        <v>0</v>
      </c>
      <c r="U85" s="7">
        <f>VC!P40</f>
        <v>0</v>
      </c>
      <c r="V85" s="7">
        <f>VC!Q40</f>
        <v>0</v>
      </c>
      <c r="W85" s="7">
        <f>VC!R40</f>
        <v>0</v>
      </c>
      <c r="X85" s="7">
        <f>VC!S40</f>
        <v>0</v>
      </c>
      <c r="Y85" s="7">
        <f>VC!T40</f>
        <v>0</v>
      </c>
      <c r="Z85" s="7">
        <f>VC!U40</f>
        <v>0</v>
      </c>
      <c r="AA85" s="7">
        <f>VC!V40</f>
        <v>0</v>
      </c>
      <c r="AB85" s="7">
        <f>VC!W40</f>
        <v>0</v>
      </c>
      <c r="AC85" s="7">
        <f>VC!X40</f>
        <v>0</v>
      </c>
      <c r="AD85" s="7" t="str">
        <f>VC!Y40</f>
        <v>A31V</v>
      </c>
      <c r="AE85" s="7">
        <f>VC!Z40</f>
        <v>0</v>
      </c>
      <c r="AF85" s="7">
        <f>VC!AA40</f>
        <v>0</v>
      </c>
      <c r="AG85" s="7">
        <f>VC!AB40</f>
        <v>0</v>
      </c>
      <c r="AH85" s="7">
        <f>VC!AC40</f>
        <v>0</v>
      </c>
      <c r="AI85" s="7">
        <f>VC!AD40</f>
        <v>0</v>
      </c>
      <c r="AJ85" s="7" t="str">
        <f>VC!AE40</f>
        <v>G8R</v>
      </c>
      <c r="AK85" s="7">
        <f>VC!AF40</f>
        <v>0</v>
      </c>
      <c r="AL85" s="7">
        <f>VC!AG40</f>
        <v>0</v>
      </c>
      <c r="AM85" s="7">
        <f>VC!AH40</f>
        <v>0</v>
      </c>
      <c r="AN85" s="7">
        <f>VC!AI40</f>
        <v>0</v>
      </c>
      <c r="AO85" s="7">
        <f>VC!AJ40</f>
        <v>0</v>
      </c>
      <c r="AP85" s="7">
        <f>VC!AK40</f>
        <v>0</v>
      </c>
      <c r="AQ85" s="7">
        <f>VC!AL40</f>
        <v>0</v>
      </c>
      <c r="AR85" s="7">
        <f>VC!AM40</f>
        <v>0</v>
      </c>
      <c r="AS85" s="7">
        <f>VC!AN40</f>
        <v>0</v>
      </c>
      <c r="AT85" s="7">
        <f>VC!AO40</f>
        <v>0</v>
      </c>
      <c r="AU85" s="7">
        <f>VC!AP40</f>
        <v>0</v>
      </c>
      <c r="AV85" s="7">
        <f>VC!AQ40</f>
        <v>0</v>
      </c>
      <c r="AW85" s="7">
        <f>VC!AR40</f>
        <v>0</v>
      </c>
      <c r="AX85" s="7">
        <f>VC!AS40</f>
        <v>0</v>
      </c>
      <c r="AY85" s="7">
        <f>VC!AT40</f>
        <v>0</v>
      </c>
      <c r="AZ85" s="7">
        <f>VC!AU40</f>
        <v>0</v>
      </c>
      <c r="BA85" s="7" t="str">
        <f>VC!AV40</f>
        <v>E26A</v>
      </c>
      <c r="BB85" s="7">
        <f>VC!AW40</f>
        <v>0</v>
      </c>
      <c r="BC85" s="7" t="str">
        <f>VC!AX40</f>
        <v>E26A</v>
      </c>
      <c r="BD85" s="7">
        <f>VC!AY40</f>
        <v>0</v>
      </c>
      <c r="BE85" s="7">
        <f>VC!AZ40</f>
        <v>0</v>
      </c>
      <c r="BF85" s="7">
        <f>VC!BA40</f>
        <v>0</v>
      </c>
      <c r="BG85" s="7">
        <f>VC!BB40</f>
        <v>0</v>
      </c>
      <c r="BH85" s="7">
        <f>VC!BC40</f>
        <v>0</v>
      </c>
      <c r="BI85" s="7" t="str">
        <f>VC!BD40</f>
        <v>E26A</v>
      </c>
      <c r="BJ85" s="7">
        <f>VC!BE40</f>
        <v>0</v>
      </c>
      <c r="BK85" s="7" t="str">
        <f>VC!BF40</f>
        <v>nt205∆2</v>
      </c>
      <c r="BL85" s="7">
        <f>VC!BG40</f>
        <v>0</v>
      </c>
      <c r="BM85" s="7">
        <f>VC!BH40</f>
        <v>0</v>
      </c>
      <c r="BN85" s="7">
        <f>VC!BI40</f>
        <v>0</v>
      </c>
      <c r="BO85" s="7">
        <f>VC!BJ40</f>
        <v>0</v>
      </c>
      <c r="BP85" s="7">
        <f>VC!BK40</f>
        <v>0</v>
      </c>
      <c r="BQ85" s="7">
        <f>VC!BL40</f>
        <v>0</v>
      </c>
      <c r="BR85" s="7">
        <f>VC!BM40</f>
        <v>0</v>
      </c>
      <c r="BS85" s="7" t="str">
        <f>VC!BN40</f>
        <v>E26A</v>
      </c>
      <c r="BT85" s="7">
        <f>VC!BO40</f>
        <v>0</v>
      </c>
      <c r="BU85" s="7">
        <f>VC!BP40</f>
        <v>0</v>
      </c>
      <c r="BV85" s="7">
        <f>VC!BQ40</f>
        <v>0</v>
      </c>
      <c r="BW85" s="7">
        <f>VC!BR40</f>
        <v>0</v>
      </c>
      <c r="BX85" s="7">
        <f>VC!BS40</f>
        <v>0</v>
      </c>
      <c r="BY85" s="7">
        <f>VC!BT40</f>
        <v>0</v>
      </c>
      <c r="BZ85" s="7">
        <f>VC!BU40</f>
        <v>0</v>
      </c>
      <c r="CA85" s="7">
        <f>VC!BV40</f>
        <v>0</v>
      </c>
      <c r="CB85" s="7">
        <f>VC!BW40</f>
        <v>0</v>
      </c>
      <c r="CC85" s="7">
        <f>VC!BX40</f>
        <v>0</v>
      </c>
      <c r="CD85" s="7" t="str">
        <f>VC!BY40</f>
        <v>E26A</v>
      </c>
      <c r="CE85" s="7">
        <f>VC!BZ40</f>
        <v>0</v>
      </c>
      <c r="CF85" s="7">
        <f>VC!CA40</f>
        <v>0</v>
      </c>
      <c r="CG85" s="7">
        <f>VC!CB40</f>
        <v>0</v>
      </c>
      <c r="CH85" s="7">
        <f>VC!CC40</f>
        <v>0</v>
      </c>
      <c r="CI85" s="7">
        <f>VC!CD40</f>
        <v>0</v>
      </c>
      <c r="CJ85" s="7" t="str">
        <f>VC!CE40</f>
        <v>E26A</v>
      </c>
      <c r="CK85" s="7" t="str">
        <f>VC!CF40</f>
        <v>E26A</v>
      </c>
      <c r="CL85" s="7">
        <f>VC!CG40</f>
        <v>0</v>
      </c>
      <c r="CM85" s="7">
        <f>VC!CH40</f>
        <v>0</v>
      </c>
      <c r="CN85" s="7">
        <f>VC!CI40</f>
        <v>0</v>
      </c>
      <c r="CO85" s="7">
        <f>VC!CJ40</f>
        <v>0</v>
      </c>
      <c r="CP85" s="7" t="str">
        <f>VC!CK40</f>
        <v>E26A</v>
      </c>
      <c r="CQ85" s="7" t="str">
        <f>VC!CL40</f>
        <v>E26A</v>
      </c>
      <c r="CR85" s="7" t="str">
        <f>VC!CM40</f>
        <v>M34I</v>
      </c>
      <c r="CS85" s="7">
        <f>VC!CN40</f>
        <v>0</v>
      </c>
      <c r="CT85" s="7">
        <f>VC!CO40</f>
        <v>0</v>
      </c>
      <c r="CU85" s="7">
        <f>VC!CP40</f>
        <v>0</v>
      </c>
      <c r="CV85" s="7">
        <f>VC!CQ40</f>
        <v>0</v>
      </c>
      <c r="CW85" s="7">
        <f>VC!CR40</f>
        <v>0</v>
      </c>
      <c r="CX85" s="7">
        <f>VC!CS40</f>
        <v>0</v>
      </c>
      <c r="CY85" s="7">
        <f>VC!CT40</f>
        <v>0</v>
      </c>
      <c r="CZ85" s="7" t="str">
        <f>VC!CU40</f>
        <v>A31V</v>
      </c>
      <c r="DA85" s="7">
        <f>VC!CV40</f>
        <v>0</v>
      </c>
      <c r="DB85" s="7">
        <f>VC!CW40</f>
        <v>0</v>
      </c>
      <c r="DC85" s="7">
        <f>VC!CX40</f>
        <v>0</v>
      </c>
      <c r="DD85" s="7">
        <f>VC!CY40</f>
        <v>0</v>
      </c>
      <c r="DE85" s="7">
        <f>VC!CZ40</f>
        <v>0</v>
      </c>
      <c r="DF85" s="7">
        <f>VC!DA40</f>
        <v>0</v>
      </c>
      <c r="DG85" s="7">
        <f>VC!DB40</f>
        <v>0</v>
      </c>
      <c r="DH85" s="7">
        <f>VC!DC40</f>
        <v>0</v>
      </c>
      <c r="DI85" s="7">
        <f>VC!DD40</f>
        <v>0</v>
      </c>
      <c r="DJ85" s="7" t="str">
        <f>VC!DE40</f>
        <v>A31V</v>
      </c>
      <c r="DK85" s="7">
        <f>VC!DF40</f>
        <v>0</v>
      </c>
      <c r="DL85" s="7">
        <f>VC!DG40</f>
        <v>0</v>
      </c>
      <c r="DM85" s="7">
        <f>VC!DH40</f>
        <v>0</v>
      </c>
      <c r="DN85" s="7">
        <f>VC!DI40</f>
        <v>0</v>
      </c>
      <c r="DO85" s="7">
        <f>VC!DJ40</f>
        <v>0</v>
      </c>
      <c r="DP85" s="7">
        <f>VC!DK40</f>
        <v>0</v>
      </c>
      <c r="DQ85" s="7">
        <f>VC!DL40</f>
        <v>0</v>
      </c>
      <c r="DR85" s="7">
        <f>VC!DM40</f>
        <v>0</v>
      </c>
      <c r="DS85" s="7" t="str">
        <f>VC!DN40</f>
        <v>T145I</v>
      </c>
      <c r="DT85" s="7">
        <f>VC!DO40</f>
        <v>0</v>
      </c>
      <c r="DU85" s="7" t="str">
        <f>VC!DP40</f>
        <v>E26A</v>
      </c>
      <c r="DV85" s="7">
        <f>VC!DQ40</f>
        <v>0</v>
      </c>
      <c r="DW85" s="7" t="str">
        <f>VC!DR40</f>
        <v>E26A</v>
      </c>
      <c r="DX85" s="7">
        <f>VC!DS40</f>
        <v>0</v>
      </c>
      <c r="DY85" s="7" t="str">
        <f>VC!DT40</f>
        <v>Q206X</v>
      </c>
      <c r="DZ85" s="7">
        <f>VC!DU40</f>
        <v>0</v>
      </c>
      <c r="EA85" s="8" t="str">
        <f>VC!DV40</f>
        <v>E26A</v>
      </c>
      <c r="EB85" s="7">
        <f>VC!DW40</f>
        <v>0</v>
      </c>
      <c r="EC85" s="7" t="str">
        <f>VC!DX40</f>
        <v>G254S</v>
      </c>
      <c r="ED85" s="7">
        <f>VC!DY40</f>
        <v>0</v>
      </c>
      <c r="EE85" s="8" t="str">
        <f>VC!DZ40</f>
        <v>E26A</v>
      </c>
      <c r="EF85" s="7">
        <f>VC!EA40</f>
        <v>0</v>
      </c>
      <c r="EG85" s="7" t="str">
        <f>VC!EB40</f>
        <v>Q134X</v>
      </c>
      <c r="EH85" s="7">
        <f>VC!EC40</f>
        <v>0</v>
      </c>
      <c r="EI85" s="7">
        <f>VC!ED40</f>
        <v>0</v>
      </c>
      <c r="EJ85" s="7">
        <f>VC!EE40</f>
        <v>0</v>
      </c>
      <c r="EK85" s="7">
        <f>VC!EF40</f>
        <v>0</v>
      </c>
      <c r="EL85" s="7">
        <f>VC!EG40</f>
        <v>0</v>
      </c>
      <c r="EM85" s="7">
        <f>VC!EH40</f>
        <v>0</v>
      </c>
      <c r="EN85" s="7">
        <f>VC!EI40</f>
        <v>0</v>
      </c>
      <c r="EO85" s="7">
        <f>VC!EJ40</f>
        <v>0</v>
      </c>
      <c r="EP85" s="7">
        <f>VC!EK40</f>
        <v>0</v>
      </c>
      <c r="EQ85" s="7">
        <f>VC!EL40</f>
        <v>0</v>
      </c>
      <c r="ER85" s="7">
        <f>VC!EM40</f>
        <v>0</v>
      </c>
      <c r="ES85" s="7">
        <f>VC!EN40</f>
        <v>0</v>
      </c>
      <c r="ET85" s="7">
        <f>VC!EO40</f>
        <v>0</v>
      </c>
      <c r="EU85" s="7">
        <f>VC!EP40</f>
        <v>0</v>
      </c>
      <c r="EV85" s="7">
        <f>VC!EQ40</f>
        <v>0</v>
      </c>
      <c r="EW85" s="7" t="str">
        <f>VC!ER40</f>
        <v>E152Q; V282I; N299S; G334A; V337A; E350K</v>
      </c>
      <c r="EX85" s="7">
        <f>VC!ES40</f>
        <v>0</v>
      </c>
      <c r="EY85" s="7">
        <f>VC!ET40</f>
        <v>0</v>
      </c>
      <c r="EZ85" s="7">
        <f>VC!EU40</f>
        <v>0</v>
      </c>
      <c r="FA85" s="7" t="str">
        <f>VC!EV40</f>
        <v>A31V</v>
      </c>
      <c r="FB85" s="7">
        <f>VC!EW40</f>
        <v>0</v>
      </c>
      <c r="FC85" s="7">
        <f>VC!EX40</f>
        <v>0</v>
      </c>
      <c r="FD85" s="7" t="str">
        <f>VC!EY40</f>
        <v>A31V</v>
      </c>
      <c r="FE85" s="7">
        <f>VC!EZ40</f>
        <v>0</v>
      </c>
      <c r="FF85" s="7">
        <f>VC!FA40</f>
        <v>0</v>
      </c>
      <c r="FG85" s="7">
        <f>VC!FB40</f>
        <v>0</v>
      </c>
      <c r="FH85" s="7">
        <f>VC!FC40</f>
        <v>0</v>
      </c>
      <c r="FI85" s="7">
        <f>VC!FD40</f>
        <v>0</v>
      </c>
      <c r="FJ85" s="7">
        <f>VC!FE40</f>
        <v>0</v>
      </c>
      <c r="FK85" s="7">
        <f>VC!FF40</f>
        <v>0</v>
      </c>
      <c r="FL85" s="7">
        <f>VC!FG40</f>
        <v>0</v>
      </c>
      <c r="FM85" s="7">
        <f>VC!FH40</f>
        <v>0</v>
      </c>
      <c r="FN85" s="7">
        <f>VC!FI40</f>
        <v>0</v>
      </c>
      <c r="FO85" s="7">
        <f>VC!FJ40</f>
        <v>0</v>
      </c>
      <c r="FP85" s="7">
        <f>VC!FK40</f>
        <v>0</v>
      </c>
      <c r="FQ85" s="7" t="str">
        <f>VC!FL40</f>
        <v>E26A</v>
      </c>
      <c r="FR85" s="7" t="str">
        <f>VC!FM40</f>
        <v>G8R</v>
      </c>
      <c r="FS85" s="7">
        <f>VC!FN40</f>
        <v>0</v>
      </c>
      <c r="FT85" s="7">
        <f>VC!FO40</f>
        <v>0</v>
      </c>
      <c r="FU85" s="7">
        <f>VC!FP40</f>
        <v>0</v>
      </c>
      <c r="FV85" s="7">
        <f>VC!FQ40</f>
        <v>0</v>
      </c>
      <c r="FW85" s="7">
        <f>VC!FR40</f>
        <v>0</v>
      </c>
      <c r="FX85" s="7">
        <f>VC!FS40</f>
        <v>0</v>
      </c>
      <c r="FY85" s="7">
        <f>VC!FT40</f>
        <v>0</v>
      </c>
      <c r="FZ85" s="7">
        <f>VC!FU40</f>
        <v>0</v>
      </c>
      <c r="GA85" s="7" t="str">
        <f>VC!FV40</f>
        <v>E26A</v>
      </c>
      <c r="GB85" s="7">
        <f>VC!FW40</f>
        <v>0</v>
      </c>
      <c r="GC85" s="7">
        <f>VC!FX40</f>
        <v>0</v>
      </c>
      <c r="GD85" s="7" t="str">
        <f>VC!FY40</f>
        <v>E26A</v>
      </c>
      <c r="GE85" s="7">
        <f>VC!FZ40</f>
        <v>0</v>
      </c>
      <c r="GF85" s="7">
        <f>VC!GA40</f>
        <v>0</v>
      </c>
      <c r="GG85" s="7">
        <f>VC!GB40</f>
        <v>0</v>
      </c>
      <c r="GH85" s="7">
        <f>VC!GC40</f>
        <v>0</v>
      </c>
      <c r="GI85" s="7">
        <f>VC!GD40</f>
        <v>0</v>
      </c>
      <c r="GJ85" s="7" t="str">
        <f>VC!GE40</f>
        <v>S51R</v>
      </c>
      <c r="GK85" s="7">
        <f>VC!GF40</f>
        <v>0</v>
      </c>
      <c r="GL85" s="7">
        <f>VC!GG40</f>
        <v>0</v>
      </c>
      <c r="GM85" s="7" t="str">
        <f>VC!GH40</f>
        <v>E26A</v>
      </c>
      <c r="GN85" s="7">
        <f>VC!GI40</f>
        <v>0</v>
      </c>
      <c r="GO85" s="7">
        <f>VC!GJ40</f>
        <v>0</v>
      </c>
      <c r="GP85" s="7">
        <f>VC!GK40</f>
        <v>0</v>
      </c>
      <c r="GQ85" s="7">
        <f>VC!GL40</f>
        <v>0</v>
      </c>
      <c r="GR85" s="7">
        <f>VC!GM40</f>
        <v>0</v>
      </c>
      <c r="GS85" s="7">
        <f>VC!GN40</f>
        <v>0</v>
      </c>
      <c r="GT85" s="7">
        <f>VC!GO40</f>
        <v>0</v>
      </c>
      <c r="GU85" s="7">
        <f>VC!GP40</f>
        <v>0</v>
      </c>
      <c r="GV85" s="7">
        <f>VC!GQ40</f>
        <v>0</v>
      </c>
      <c r="GW85" s="7">
        <f>VC!GR40</f>
        <v>0</v>
      </c>
      <c r="GX85" s="7" t="str">
        <f>VC!GS40</f>
        <v>V367A</v>
      </c>
      <c r="GY85" s="7">
        <f>VC!GT40</f>
        <v>0</v>
      </c>
      <c r="GZ85" s="7" t="str">
        <f>VC!GU40</f>
        <v>V367A</v>
      </c>
      <c r="HA85" s="7">
        <f>VC!GV40</f>
        <v>0</v>
      </c>
      <c r="HB85" s="7">
        <f>VC!GW40</f>
        <v>0</v>
      </c>
      <c r="HC85" s="7" t="str">
        <f>VC!GX40</f>
        <v>E26A</v>
      </c>
    </row>
    <row r="86" spans="1:211" s="1" customFormat="1" ht="15.75" thickBot="1" x14ac:dyDescent="0.3">
      <c r="A86" s="74" t="s">
        <v>66</v>
      </c>
      <c r="B86" s="75" t="s">
        <v>155</v>
      </c>
      <c r="C86" s="76" t="s">
        <v>4</v>
      </c>
      <c r="D86" s="75" t="s">
        <v>76</v>
      </c>
      <c r="E86" s="75" t="s">
        <v>147</v>
      </c>
      <c r="F86" s="75" t="s">
        <v>74</v>
      </c>
      <c r="G86" s="77" t="s">
        <v>141</v>
      </c>
      <c r="H86" s="1">
        <f>VC!C41</f>
        <v>0</v>
      </c>
      <c r="I86" s="1">
        <f>VC!D41</f>
        <v>0</v>
      </c>
      <c r="J86" s="1">
        <f>VC!E41</f>
        <v>0</v>
      </c>
      <c r="K86" s="1">
        <f>VC!F41</f>
        <v>0</v>
      </c>
      <c r="L86" s="1">
        <f>VC!G41</f>
        <v>0</v>
      </c>
      <c r="M86" s="1">
        <f>VC!H41</f>
        <v>0</v>
      </c>
      <c r="N86" s="1">
        <f>VC!I41</f>
        <v>0</v>
      </c>
      <c r="O86" s="1">
        <f>VC!J41</f>
        <v>0</v>
      </c>
      <c r="P86" s="1">
        <f>VC!K41</f>
        <v>0</v>
      </c>
      <c r="Q86" s="1">
        <f>VC!L41</f>
        <v>0</v>
      </c>
      <c r="R86" s="1">
        <f>VC!M41</f>
        <v>0</v>
      </c>
      <c r="S86" s="1">
        <f>VC!N41</f>
        <v>0</v>
      </c>
      <c r="T86" s="1">
        <f>VC!O41</f>
        <v>0</v>
      </c>
      <c r="U86" s="1">
        <f>VC!P41</f>
        <v>0</v>
      </c>
      <c r="V86" s="1">
        <f>VC!Q41</f>
        <v>0</v>
      </c>
      <c r="W86" s="1">
        <f>VC!R41</f>
        <v>0</v>
      </c>
      <c r="X86" s="1">
        <f>VC!S41</f>
        <v>0</v>
      </c>
      <c r="Y86" s="1">
        <f>VC!T41</f>
        <v>0</v>
      </c>
      <c r="Z86" s="1">
        <f>VC!U41</f>
        <v>0</v>
      </c>
      <c r="AA86" s="1">
        <f>VC!V41</f>
        <v>0</v>
      </c>
      <c r="AB86" s="1">
        <f>VC!W41</f>
        <v>0</v>
      </c>
      <c r="AC86" s="1">
        <f>VC!X41</f>
        <v>0</v>
      </c>
      <c r="AD86" s="1">
        <f>VC!Y41</f>
        <v>0</v>
      </c>
      <c r="AE86" s="1">
        <f>VC!Z41</f>
        <v>0</v>
      </c>
      <c r="AF86" s="1">
        <f>VC!AA41</f>
        <v>0</v>
      </c>
      <c r="AG86" s="1">
        <f>VC!AB41</f>
        <v>0</v>
      </c>
      <c r="AH86" s="1">
        <f>VC!AC41</f>
        <v>0</v>
      </c>
      <c r="AI86" s="1">
        <f>VC!AD41</f>
        <v>0</v>
      </c>
      <c r="AJ86" s="1" t="str">
        <f>VC!AE41</f>
        <v>A124T</v>
      </c>
      <c r="AK86" s="1">
        <f>VC!AF41</f>
        <v>0</v>
      </c>
      <c r="AL86" s="1">
        <f>VC!AG41</f>
        <v>0</v>
      </c>
      <c r="AM86" s="1">
        <f>VC!AH41</f>
        <v>0</v>
      </c>
      <c r="AN86" s="1">
        <f>VC!AI41</f>
        <v>0</v>
      </c>
      <c r="AO86" s="1">
        <f>VC!AJ41</f>
        <v>0</v>
      </c>
      <c r="AP86" s="1">
        <f>VC!AK41</f>
        <v>0</v>
      </c>
      <c r="AQ86" s="1">
        <f>VC!AL41</f>
        <v>0</v>
      </c>
      <c r="AR86" s="1">
        <f>VC!AM41</f>
        <v>0</v>
      </c>
      <c r="AS86" s="1">
        <f>VC!AN41</f>
        <v>0</v>
      </c>
      <c r="AT86" s="1">
        <f>VC!AO41</f>
        <v>0</v>
      </c>
      <c r="AU86" s="1">
        <f>VC!AP41</f>
        <v>0</v>
      </c>
      <c r="AV86" s="1">
        <f>VC!AQ41</f>
        <v>0</v>
      </c>
      <c r="AW86" s="1">
        <f>VC!AR41</f>
        <v>0</v>
      </c>
      <c r="AX86" s="1">
        <f>VC!AS41</f>
        <v>0</v>
      </c>
      <c r="AY86" s="1">
        <f>VC!AT41</f>
        <v>0</v>
      </c>
      <c r="AZ86" s="1">
        <f>VC!AU41</f>
        <v>0</v>
      </c>
      <c r="BA86" s="1">
        <f>VC!AV41</f>
        <v>0</v>
      </c>
      <c r="BB86" s="1">
        <f>VC!AW41</f>
        <v>0</v>
      </c>
      <c r="BC86" s="1">
        <f>VC!AX41</f>
        <v>0</v>
      </c>
      <c r="BD86" s="1">
        <f>VC!AY41</f>
        <v>0</v>
      </c>
      <c r="BE86" s="1">
        <f>VC!AZ41</f>
        <v>0</v>
      </c>
      <c r="BF86" s="1">
        <f>VC!BA41</f>
        <v>0</v>
      </c>
      <c r="BG86" s="1" t="str">
        <f>VC!BB41</f>
        <v>R163Q</v>
      </c>
      <c r="BH86" s="1">
        <f>VC!BC41</f>
        <v>0</v>
      </c>
      <c r="BI86" s="1">
        <f>VC!BD41</f>
        <v>0</v>
      </c>
      <c r="BJ86" s="1">
        <f>VC!BE41</f>
        <v>0</v>
      </c>
      <c r="BK86" s="1" t="str">
        <f>VC!BF41</f>
        <v>A170T; nt65InsCC</v>
      </c>
      <c r="BL86" s="1">
        <f>VC!BG41</f>
        <v>0</v>
      </c>
      <c r="BM86" s="1">
        <f>VC!BH41</f>
        <v>0</v>
      </c>
      <c r="BN86" s="1">
        <f>VC!BI41</f>
        <v>0</v>
      </c>
      <c r="BO86" s="1">
        <f>VC!BJ41</f>
        <v>0</v>
      </c>
      <c r="BP86" s="1">
        <f>VC!BK41</f>
        <v>0</v>
      </c>
      <c r="BQ86" s="1">
        <f>VC!BL41</f>
        <v>0</v>
      </c>
      <c r="BR86" s="1">
        <f>VC!BM41</f>
        <v>0</v>
      </c>
      <c r="BS86" s="1">
        <f>VC!BN41</f>
        <v>0</v>
      </c>
      <c r="BT86" s="1">
        <f>VC!BO41</f>
        <v>0</v>
      </c>
      <c r="BU86" s="1">
        <f>VC!BP41</f>
        <v>0</v>
      </c>
      <c r="BV86" s="1">
        <f>VC!BQ41</f>
        <v>0</v>
      </c>
      <c r="BW86" s="1">
        <f>VC!BR41</f>
        <v>0</v>
      </c>
      <c r="BX86" s="1">
        <f>VC!BS41</f>
        <v>0</v>
      </c>
      <c r="BY86" s="1">
        <f>VC!BT41</f>
        <v>0</v>
      </c>
      <c r="BZ86" s="1">
        <f>VC!BU41</f>
        <v>0</v>
      </c>
      <c r="CA86" s="1">
        <f>VC!BV41</f>
        <v>0</v>
      </c>
      <c r="CB86" s="1">
        <f>VC!BW41</f>
        <v>0</v>
      </c>
      <c r="CC86" s="1">
        <f>VC!BX41</f>
        <v>0</v>
      </c>
      <c r="CD86" s="1">
        <f>VC!BY41</f>
        <v>0</v>
      </c>
      <c r="CE86" s="1">
        <f>VC!BZ41</f>
        <v>0</v>
      </c>
      <c r="CF86" s="1">
        <f>VC!CA41</f>
        <v>0</v>
      </c>
      <c r="CG86" s="1">
        <f>VC!CB41</f>
        <v>0</v>
      </c>
      <c r="CH86" s="1" t="str">
        <f>VC!CC41</f>
        <v>A170T</v>
      </c>
      <c r="CI86" s="1">
        <f>VC!CD41</f>
        <v>0</v>
      </c>
      <c r="CJ86" s="1">
        <f>VC!CE41</f>
        <v>0</v>
      </c>
      <c r="CK86" s="1">
        <f>VC!CF41</f>
        <v>0</v>
      </c>
      <c r="CL86" s="1">
        <f>VC!CG41</f>
        <v>0</v>
      </c>
      <c r="CM86" s="1">
        <f>VC!CH41</f>
        <v>0</v>
      </c>
      <c r="CN86" s="1">
        <f>VC!CI41</f>
        <v>0</v>
      </c>
      <c r="CO86" s="1">
        <f>VC!CJ41</f>
        <v>0</v>
      </c>
      <c r="CP86" s="1">
        <f>VC!CK41</f>
        <v>0</v>
      </c>
      <c r="CQ86" s="1">
        <f>VC!CL41</f>
        <v>0</v>
      </c>
      <c r="CR86" s="1">
        <f>VC!CM41</f>
        <v>0</v>
      </c>
      <c r="CS86" s="1">
        <f>VC!CN41</f>
        <v>0</v>
      </c>
      <c r="CT86" s="1">
        <f>VC!CO41</f>
        <v>0</v>
      </c>
      <c r="CU86" s="1">
        <f>VC!CP41</f>
        <v>0</v>
      </c>
      <c r="CV86" s="1" t="str">
        <f>VC!CQ41</f>
        <v>X188ext</v>
      </c>
      <c r="CW86" s="1">
        <f>VC!CR41</f>
        <v>0</v>
      </c>
      <c r="CX86" s="1">
        <f>VC!CS41</f>
        <v>0</v>
      </c>
      <c r="CY86" s="1">
        <f>VC!CT41</f>
        <v>0</v>
      </c>
      <c r="CZ86" s="1">
        <f>VC!CU41</f>
        <v>0</v>
      </c>
      <c r="DA86" s="1">
        <f>VC!CV41</f>
        <v>0</v>
      </c>
      <c r="DB86" s="1">
        <f>VC!CW41</f>
        <v>0</v>
      </c>
      <c r="DC86" s="1">
        <f>VC!CX41</f>
        <v>0</v>
      </c>
      <c r="DD86" s="1">
        <f>VC!CY41</f>
        <v>0</v>
      </c>
      <c r="DE86" s="1">
        <f>VC!CZ41</f>
        <v>0</v>
      </c>
      <c r="DF86" s="1">
        <f>VC!DA41</f>
        <v>0</v>
      </c>
      <c r="DG86" s="1">
        <f>VC!DB41</f>
        <v>0</v>
      </c>
      <c r="DH86" s="1">
        <f>VC!DC41</f>
        <v>0</v>
      </c>
      <c r="DI86" s="1">
        <f>VC!DD41</f>
        <v>0</v>
      </c>
      <c r="DJ86" s="1">
        <f>VC!DE41</f>
        <v>0</v>
      </c>
      <c r="DK86" s="1">
        <f>VC!DF41</f>
        <v>0</v>
      </c>
      <c r="DL86" s="1">
        <f>VC!DG41</f>
        <v>0</v>
      </c>
      <c r="DM86" s="1">
        <f>VC!DH41</f>
        <v>0</v>
      </c>
      <c r="DN86" s="1">
        <f>VC!DI41</f>
        <v>0</v>
      </c>
      <c r="DO86" s="1">
        <f>VC!DJ41</f>
        <v>0</v>
      </c>
      <c r="DP86" s="1">
        <f>VC!DK41</f>
        <v>0</v>
      </c>
      <c r="DQ86" s="1">
        <f>VC!DL41</f>
        <v>0</v>
      </c>
      <c r="DR86" s="1">
        <f>VC!DM41</f>
        <v>0</v>
      </c>
      <c r="DS86" s="1">
        <f>VC!DN41</f>
        <v>0</v>
      </c>
      <c r="DT86" s="1">
        <f>VC!DO41</f>
        <v>0</v>
      </c>
      <c r="DU86" s="1">
        <f>VC!DP41</f>
        <v>0</v>
      </c>
      <c r="DV86" s="1">
        <f>VC!DQ41</f>
        <v>0</v>
      </c>
      <c r="DW86" s="1">
        <f>VC!DR41</f>
        <v>0</v>
      </c>
      <c r="DX86" s="1">
        <f>VC!DS41</f>
        <v>0</v>
      </c>
      <c r="DY86" s="1" t="s">
        <v>734</v>
      </c>
      <c r="DZ86" s="1">
        <f>VC!DU41</f>
        <v>0</v>
      </c>
      <c r="EA86" s="1">
        <f>VC!DV41</f>
        <v>0</v>
      </c>
      <c r="EB86" s="1">
        <f>VC!DW41</f>
        <v>0</v>
      </c>
      <c r="EC86" s="1" t="str">
        <f>VC!DX41</f>
        <v>G129R</v>
      </c>
      <c r="ED86" s="1">
        <f>VC!DY41</f>
        <v>0</v>
      </c>
      <c r="EE86" s="1">
        <f>VC!DZ41</f>
        <v>0</v>
      </c>
      <c r="EF86" s="1">
        <f>VC!EA41</f>
        <v>0</v>
      </c>
      <c r="EG86" s="1" t="str">
        <f>VC!EB41</f>
        <v>Q64X</v>
      </c>
      <c r="EH86" s="1">
        <f>VC!EC41</f>
        <v>0</v>
      </c>
      <c r="EI86" s="1" t="str">
        <f>VC!ED41</f>
        <v>I149L</v>
      </c>
      <c r="EJ86" s="1">
        <f>VC!EE41</f>
        <v>0</v>
      </c>
      <c r="EK86" s="1" t="str">
        <f>VC!EF41</f>
        <v>R47Q</v>
      </c>
      <c r="EL86" s="1">
        <f>VC!EG41</f>
        <v>0</v>
      </c>
      <c r="EM86" s="1">
        <f>VC!EH41</f>
        <v>0</v>
      </c>
      <c r="EN86" s="1">
        <f>VC!EI41</f>
        <v>0</v>
      </c>
      <c r="EO86" s="1">
        <f>VC!EJ41</f>
        <v>0</v>
      </c>
      <c r="EP86" s="1">
        <f>VC!EK41</f>
        <v>0</v>
      </c>
      <c r="EQ86" s="1">
        <f>VC!EL41</f>
        <v>0</v>
      </c>
      <c r="ER86" s="1">
        <f>VC!EM41</f>
        <v>0</v>
      </c>
      <c r="ES86" s="1">
        <f>VC!EN41</f>
        <v>0</v>
      </c>
      <c r="ET86" s="1" t="str">
        <f>VC!EO41</f>
        <v>R82L</v>
      </c>
      <c r="EU86" s="1">
        <f>VC!EP41</f>
        <v>0</v>
      </c>
      <c r="EV86" s="1">
        <f>VC!EQ41</f>
        <v>0</v>
      </c>
      <c r="EW86" s="1" t="str">
        <f>VC!ER41</f>
        <v>E75G</v>
      </c>
      <c r="EX86" s="1">
        <f>VC!ES41</f>
        <v>0</v>
      </c>
      <c r="EY86" s="1">
        <f>VC!ET41</f>
        <v>0</v>
      </c>
      <c r="EZ86" s="1">
        <f>VC!EU41</f>
        <v>0</v>
      </c>
      <c r="FA86" s="1">
        <f>VC!EV41</f>
        <v>0</v>
      </c>
      <c r="FB86" s="1">
        <f>VC!EW41</f>
        <v>0</v>
      </c>
      <c r="FC86" s="1">
        <f>VC!EX41</f>
        <v>0</v>
      </c>
      <c r="FD86" s="1">
        <f>VC!EY41</f>
        <v>0</v>
      </c>
      <c r="FE86" s="1">
        <f>VC!EZ41</f>
        <v>0</v>
      </c>
      <c r="FF86" s="1">
        <f>VC!FA41</f>
        <v>0</v>
      </c>
      <c r="FG86" s="1">
        <f>VC!FB41</f>
        <v>0</v>
      </c>
      <c r="FH86" s="1">
        <f>VC!FC41</f>
        <v>0</v>
      </c>
      <c r="FI86" s="1">
        <f>VC!FD41</f>
        <v>0</v>
      </c>
      <c r="FJ86" s="1">
        <f>VC!FE41</f>
        <v>0</v>
      </c>
      <c r="FK86" s="1">
        <f>VC!FF41</f>
        <v>0</v>
      </c>
      <c r="FL86" s="1">
        <f>VC!FG41</f>
        <v>0</v>
      </c>
      <c r="FM86" s="1">
        <f>VC!FH41</f>
        <v>0</v>
      </c>
      <c r="FN86" s="1">
        <f>VC!FI41</f>
        <v>0</v>
      </c>
      <c r="FO86" s="1">
        <f>VC!FJ41</f>
        <v>0</v>
      </c>
      <c r="FP86" s="1">
        <f>VC!FK41</f>
        <v>0</v>
      </c>
      <c r="FQ86" s="1">
        <f>VC!FL41</f>
        <v>0</v>
      </c>
      <c r="FR86" s="1" t="str">
        <f>VC!FM41</f>
        <v>A124T</v>
      </c>
      <c r="FS86" s="1">
        <f>VC!FN41</f>
        <v>0</v>
      </c>
      <c r="FT86" s="1" t="str">
        <f>VC!FO41</f>
        <v>G133S</v>
      </c>
      <c r="FU86" s="1">
        <f>VC!FP41</f>
        <v>0</v>
      </c>
      <c r="FV86" s="1">
        <f>VC!FQ41</f>
        <v>0</v>
      </c>
      <c r="FW86" s="1">
        <f>VC!FR41</f>
        <v>0</v>
      </c>
      <c r="FX86" s="1">
        <f>VC!FS41</f>
        <v>0</v>
      </c>
      <c r="FY86" s="1">
        <f>VC!FT41</f>
        <v>0</v>
      </c>
      <c r="FZ86" s="1">
        <f>VC!FU41</f>
        <v>0</v>
      </c>
      <c r="GA86" s="1">
        <f>VC!FV41</f>
        <v>0</v>
      </c>
      <c r="GB86" s="1">
        <f>VC!FW41</f>
        <v>0</v>
      </c>
      <c r="GC86" s="1">
        <f>VC!FX41</f>
        <v>0</v>
      </c>
      <c r="GD86" s="1">
        <f>VC!FY41</f>
        <v>0</v>
      </c>
      <c r="GE86" s="1">
        <f>VC!FZ41</f>
        <v>0</v>
      </c>
      <c r="GF86" s="1">
        <f>VC!GA41</f>
        <v>0</v>
      </c>
      <c r="GG86" s="1">
        <f>VC!GB41</f>
        <v>0</v>
      </c>
      <c r="GH86" s="1">
        <f>VC!GC41</f>
        <v>0</v>
      </c>
      <c r="GI86" s="1">
        <f>VC!GD41</f>
        <v>0</v>
      </c>
      <c r="GJ86" s="1">
        <f>VC!GE41</f>
        <v>0</v>
      </c>
      <c r="GK86" s="1">
        <f>VC!GF41</f>
        <v>0</v>
      </c>
      <c r="GL86" s="1">
        <f>VC!GG41</f>
        <v>0</v>
      </c>
      <c r="GM86" s="1">
        <f>VC!GH41</f>
        <v>0</v>
      </c>
      <c r="GN86" s="1">
        <f>VC!GI41</f>
        <v>0</v>
      </c>
      <c r="GO86" s="1">
        <f>VC!GJ41</f>
        <v>0</v>
      </c>
      <c r="GP86" s="1">
        <f>VC!GK41</f>
        <v>0</v>
      </c>
      <c r="GQ86" s="1">
        <f>VC!GL41</f>
        <v>0</v>
      </c>
      <c r="GR86" s="1">
        <f>VC!GM41</f>
        <v>0</v>
      </c>
      <c r="GS86" s="1">
        <f>VC!GN41</f>
        <v>0</v>
      </c>
      <c r="GT86" s="1">
        <f>VC!GO41</f>
        <v>0</v>
      </c>
      <c r="GU86" s="1">
        <f>VC!GP41</f>
        <v>0</v>
      </c>
      <c r="GV86" s="1">
        <f>VC!GQ41</f>
        <v>0</v>
      </c>
      <c r="GW86" s="1" t="str">
        <f>VC!GR41</f>
        <v>R82L</v>
      </c>
      <c r="GX86" s="1">
        <f>VC!GS41</f>
        <v>0</v>
      </c>
      <c r="GY86" s="1">
        <f>VC!GT41</f>
        <v>0</v>
      </c>
      <c r="GZ86" s="1">
        <f>VC!GU41</f>
        <v>0</v>
      </c>
      <c r="HA86" s="1">
        <f>VC!GV41</f>
        <v>0</v>
      </c>
      <c r="HB86" s="1">
        <f>VC!GW41</f>
        <v>0</v>
      </c>
      <c r="HC86" s="1">
        <f>VC!GX41</f>
        <v>0</v>
      </c>
    </row>
    <row r="87" spans="1:211" s="2" customFormat="1" x14ac:dyDescent="0.25">
      <c r="A87" s="2" t="s">
        <v>133</v>
      </c>
      <c r="B87" s="2" t="s">
        <v>119</v>
      </c>
      <c r="C87" s="4" t="s">
        <v>0</v>
      </c>
      <c r="D87" s="2" t="s">
        <v>76</v>
      </c>
      <c r="E87" s="2" t="s">
        <v>138</v>
      </c>
      <c r="F87" s="2" t="s">
        <v>73</v>
      </c>
      <c r="G87" s="20" t="s">
        <v>157</v>
      </c>
      <c r="H87" s="2">
        <f>VC!C43</f>
        <v>0</v>
      </c>
      <c r="I87" s="2">
        <f>VC!D43</f>
        <v>0</v>
      </c>
      <c r="J87" s="2">
        <f>VC!E43</f>
        <v>0</v>
      </c>
      <c r="K87" s="2">
        <f>VC!F43</f>
        <v>0</v>
      </c>
      <c r="L87" s="2">
        <f>VC!G43</f>
        <v>0</v>
      </c>
      <c r="M87" s="2" t="str">
        <f>VC!H43</f>
        <v>D61N</v>
      </c>
      <c r="N87" s="2">
        <f>VC!I43</f>
        <v>0</v>
      </c>
      <c r="O87" s="2">
        <f>VC!J43</f>
        <v>0</v>
      </c>
      <c r="P87" s="2">
        <f>VC!K43</f>
        <v>0</v>
      </c>
      <c r="Q87" s="2">
        <f>VC!L43</f>
        <v>0</v>
      </c>
      <c r="R87" s="2">
        <f>VC!M43</f>
        <v>0</v>
      </c>
      <c r="S87" s="2">
        <f>VC!N43</f>
        <v>0</v>
      </c>
      <c r="T87" s="2">
        <f>VC!O43</f>
        <v>0</v>
      </c>
      <c r="U87" s="2">
        <f>VC!P43</f>
        <v>0</v>
      </c>
      <c r="V87" s="2">
        <f>VC!Q43</f>
        <v>0</v>
      </c>
      <c r="W87" s="2">
        <f>VC!R43</f>
        <v>0</v>
      </c>
      <c r="X87" s="2">
        <f>VC!S43</f>
        <v>0</v>
      </c>
      <c r="Y87" s="2">
        <f>VC!T43</f>
        <v>0</v>
      </c>
      <c r="Z87" s="2">
        <f>VC!U43</f>
        <v>0</v>
      </c>
      <c r="AA87" s="2">
        <f>VC!V43</f>
        <v>0</v>
      </c>
      <c r="AB87" s="2" t="str">
        <f>VC!W43</f>
        <v>E131D</v>
      </c>
      <c r="AC87" s="2">
        <f>VC!X43</f>
        <v>0</v>
      </c>
      <c r="AD87" s="2">
        <f>VC!Y43</f>
        <v>0</v>
      </c>
      <c r="AE87" s="2">
        <f>VC!Z43</f>
        <v>0</v>
      </c>
      <c r="AF87" s="2">
        <f>VC!AA43</f>
        <v>0</v>
      </c>
      <c r="AG87" s="2">
        <f>VC!AB43</f>
        <v>0</v>
      </c>
      <c r="AH87" s="2">
        <f>VC!AC43</f>
        <v>0</v>
      </c>
      <c r="AI87" s="2">
        <f>VC!AD43</f>
        <v>0</v>
      </c>
      <c r="AJ87" s="2">
        <f>VC!AE43</f>
        <v>0</v>
      </c>
      <c r="AK87" s="2">
        <f>VC!AF43</f>
        <v>0</v>
      </c>
      <c r="AL87" s="2">
        <f>VC!AG43</f>
        <v>0</v>
      </c>
      <c r="AM87" s="2">
        <f>VC!AH43</f>
        <v>0</v>
      </c>
      <c r="AN87" s="2">
        <f>VC!AI43</f>
        <v>0</v>
      </c>
      <c r="AO87" s="2">
        <f>VC!AJ43</f>
        <v>0</v>
      </c>
      <c r="AP87" s="2">
        <f>VC!AK43</f>
        <v>0</v>
      </c>
      <c r="AQ87" s="2">
        <f>VC!AL43</f>
        <v>0</v>
      </c>
      <c r="AR87" s="2">
        <f>VC!AM43</f>
        <v>0</v>
      </c>
      <c r="AS87" s="2">
        <f>VC!AN43</f>
        <v>0</v>
      </c>
      <c r="AT87" s="2">
        <f>VC!AO43</f>
        <v>0</v>
      </c>
      <c r="AU87" s="2">
        <f>VC!AP43</f>
        <v>0</v>
      </c>
      <c r="AV87" s="2">
        <f>VC!AQ43</f>
        <v>0</v>
      </c>
      <c r="AW87" s="2">
        <f>VC!AR43</f>
        <v>0</v>
      </c>
      <c r="AX87" s="2">
        <f>VC!AS43</f>
        <v>0</v>
      </c>
      <c r="AY87" s="2">
        <f>VC!AT43</f>
        <v>0</v>
      </c>
      <c r="AZ87" s="2">
        <f>VC!AU43</f>
        <v>0</v>
      </c>
      <c r="BA87" s="2">
        <f>VC!AV43</f>
        <v>0</v>
      </c>
      <c r="BB87" s="2">
        <f>VC!AW43</f>
        <v>0</v>
      </c>
      <c r="BC87" s="2">
        <f>VC!AX43</f>
        <v>0</v>
      </c>
      <c r="BD87" s="2">
        <f>VC!AY43</f>
        <v>0</v>
      </c>
      <c r="BE87" s="2">
        <f>VC!AZ43</f>
        <v>0</v>
      </c>
      <c r="BF87" s="2">
        <f>VC!BA43</f>
        <v>0</v>
      </c>
      <c r="BG87" s="2">
        <f>VC!BB43</f>
        <v>0</v>
      </c>
      <c r="BH87" s="2" t="str">
        <f>VC!BC43</f>
        <v>E131D</v>
      </c>
      <c r="BI87" s="2">
        <f>VC!BD43</f>
        <v>0</v>
      </c>
      <c r="BJ87" s="2">
        <f>VC!BE43</f>
        <v>0</v>
      </c>
      <c r="BK87" s="2">
        <f>VC!BF43</f>
        <v>0</v>
      </c>
      <c r="BL87" s="2">
        <f>VC!BG43</f>
        <v>0</v>
      </c>
      <c r="BM87" s="2">
        <f>VC!BH43</f>
        <v>0</v>
      </c>
      <c r="BN87" s="2">
        <f>VC!BI43</f>
        <v>0</v>
      </c>
      <c r="BO87" s="2">
        <f>VC!BJ43</f>
        <v>0</v>
      </c>
      <c r="BP87" s="2">
        <f>VC!BK43</f>
        <v>0</v>
      </c>
      <c r="BQ87" s="2">
        <f>VC!BL43</f>
        <v>0</v>
      </c>
      <c r="BR87" s="2">
        <f>VC!BM43</f>
        <v>0</v>
      </c>
      <c r="BS87" s="2">
        <f>VC!BN43</f>
        <v>0</v>
      </c>
      <c r="BT87" s="2">
        <f>VC!BO43</f>
        <v>0</v>
      </c>
      <c r="BU87" s="2">
        <f>VC!BP43</f>
        <v>0</v>
      </c>
      <c r="BV87" s="2">
        <f>VC!BQ43</f>
        <v>0</v>
      </c>
      <c r="BW87" s="2">
        <f>VC!BR43</f>
        <v>0</v>
      </c>
      <c r="BX87" s="2">
        <f>VC!BS43</f>
        <v>0</v>
      </c>
      <c r="BY87" s="2">
        <f>VC!BT43</f>
        <v>0</v>
      </c>
      <c r="BZ87" s="2">
        <f>VC!BU43</f>
        <v>0</v>
      </c>
      <c r="CA87" s="2">
        <f>VC!BV43</f>
        <v>0</v>
      </c>
      <c r="CB87" s="2">
        <f>VC!BW43</f>
        <v>0</v>
      </c>
      <c r="CC87" s="2" t="str">
        <f>VC!BX43</f>
        <v>R122H</v>
      </c>
      <c r="CD87" s="2">
        <f>VC!BY43</f>
        <v>0</v>
      </c>
      <c r="CE87" s="2">
        <f>VC!BZ43</f>
        <v>0</v>
      </c>
      <c r="CF87" s="2">
        <f>VC!CA43</f>
        <v>0</v>
      </c>
      <c r="CG87" s="2">
        <f>VC!CB43</f>
        <v>0</v>
      </c>
      <c r="CH87" s="2">
        <f>VC!CC43</f>
        <v>0</v>
      </c>
      <c r="CI87" s="2">
        <f>VC!CD43</f>
        <v>0</v>
      </c>
      <c r="CJ87" s="2">
        <f>VC!CE43</f>
        <v>0</v>
      </c>
      <c r="CK87" s="2">
        <f>VC!CF43</f>
        <v>0</v>
      </c>
      <c r="CL87" s="2">
        <f>VC!CG43</f>
        <v>0</v>
      </c>
      <c r="CM87" s="2">
        <f>VC!CH43</f>
        <v>0</v>
      </c>
      <c r="CN87" s="2">
        <f>VC!CI43</f>
        <v>0</v>
      </c>
      <c r="CO87" s="2">
        <f>VC!CJ43</f>
        <v>0</v>
      </c>
      <c r="CP87" s="2">
        <f>VC!CK43</f>
        <v>0</v>
      </c>
      <c r="CQ87" s="2">
        <f>VC!CL43</f>
        <v>0</v>
      </c>
      <c r="CR87" s="2">
        <f>VC!CM43</f>
        <v>0</v>
      </c>
      <c r="CS87" s="2">
        <f>VC!CN43</f>
        <v>0</v>
      </c>
      <c r="CT87" s="2">
        <f>VC!CO43</f>
        <v>0</v>
      </c>
      <c r="CU87" s="2">
        <f>VC!CP43</f>
        <v>0</v>
      </c>
      <c r="CV87" s="2">
        <f>VC!CQ43</f>
        <v>0</v>
      </c>
      <c r="CW87" s="2">
        <f>VC!CR43</f>
        <v>0</v>
      </c>
      <c r="CX87" s="2">
        <f>VC!CS43</f>
        <v>0</v>
      </c>
      <c r="CY87" s="2">
        <f>VC!CT43</f>
        <v>0</v>
      </c>
      <c r="CZ87" s="2">
        <f>VC!CU43</f>
        <v>0</v>
      </c>
      <c r="DA87" s="2">
        <f>VC!CV43</f>
        <v>0</v>
      </c>
      <c r="DB87" s="2">
        <f>VC!CW43</f>
        <v>0</v>
      </c>
      <c r="DC87" s="2">
        <f>VC!CX43</f>
        <v>0</v>
      </c>
      <c r="DD87" s="2">
        <f>VC!CY43</f>
        <v>0</v>
      </c>
      <c r="DE87" s="2">
        <f>VC!CZ43</f>
        <v>0</v>
      </c>
      <c r="DF87" s="2">
        <f>VC!DA43</f>
        <v>0</v>
      </c>
      <c r="DG87" s="2">
        <f>VC!DB43</f>
        <v>0</v>
      </c>
      <c r="DH87" s="2">
        <f>VC!DC43</f>
        <v>0</v>
      </c>
      <c r="DI87" s="2">
        <f>VC!DD43</f>
        <v>0</v>
      </c>
      <c r="DJ87" s="2">
        <f>VC!DE43</f>
        <v>0</v>
      </c>
      <c r="DK87" s="2">
        <f>VC!DF43</f>
        <v>0</v>
      </c>
      <c r="DL87" s="2">
        <f>VC!DG43</f>
        <v>0</v>
      </c>
      <c r="DM87" s="2">
        <f>VC!DH43</f>
        <v>0</v>
      </c>
      <c r="DN87" s="2">
        <f>VC!DI43</f>
        <v>0</v>
      </c>
      <c r="DO87" s="2">
        <f>VC!DJ43</f>
        <v>0</v>
      </c>
      <c r="DP87" s="2">
        <f>VC!DK43</f>
        <v>0</v>
      </c>
      <c r="DQ87" s="2">
        <f>VC!DL43</f>
        <v>0</v>
      </c>
      <c r="DR87" s="2">
        <f>VC!DM43</f>
        <v>0</v>
      </c>
      <c r="DS87" s="2">
        <f>VC!DN43</f>
        <v>0</v>
      </c>
      <c r="DT87" s="2">
        <f>VC!DO43</f>
        <v>0</v>
      </c>
      <c r="DU87" s="2">
        <f>VC!DP43</f>
        <v>0</v>
      </c>
      <c r="DV87" s="2">
        <f>VC!DQ43</f>
        <v>0</v>
      </c>
      <c r="DW87" s="2">
        <f>VC!DR43</f>
        <v>0</v>
      </c>
      <c r="DX87" s="2">
        <f>VC!DS43</f>
        <v>0</v>
      </c>
      <c r="DY87" s="2">
        <f>VC!DT43</f>
        <v>0</v>
      </c>
      <c r="DZ87" s="2">
        <f>VC!DU43</f>
        <v>0</v>
      </c>
      <c r="EA87" s="2">
        <f>VC!DV43</f>
        <v>0</v>
      </c>
      <c r="EB87" s="2">
        <f>VC!DW43</f>
        <v>0</v>
      </c>
      <c r="EC87" s="2">
        <f>VC!DX43</f>
        <v>0</v>
      </c>
      <c r="ED87" s="2">
        <f>VC!DY43</f>
        <v>0</v>
      </c>
      <c r="EE87" s="2">
        <f>VC!DZ43</f>
        <v>0</v>
      </c>
      <c r="EF87" s="2">
        <f>VC!EA43</f>
        <v>0</v>
      </c>
      <c r="EG87" s="2">
        <f>VC!EB43</f>
        <v>0</v>
      </c>
      <c r="EH87" s="2">
        <f>VC!EC43</f>
        <v>0</v>
      </c>
      <c r="EI87" s="2">
        <f>VC!ED43</f>
        <v>0</v>
      </c>
      <c r="EJ87" s="2">
        <f>VC!EE43</f>
        <v>0</v>
      </c>
      <c r="EK87" s="2">
        <f>VC!EF43</f>
        <v>0</v>
      </c>
      <c r="EL87" s="2">
        <f>VC!EG43</f>
        <v>0</v>
      </c>
      <c r="EM87" s="2">
        <f>VC!EH43</f>
        <v>0</v>
      </c>
      <c r="EN87" s="2">
        <f>VC!EI43</f>
        <v>0</v>
      </c>
      <c r="EO87" s="2">
        <f>VC!EJ43</f>
        <v>0</v>
      </c>
      <c r="EP87" s="2">
        <f>VC!EK43</f>
        <v>0</v>
      </c>
      <c r="EQ87" s="2">
        <f>VC!EL43</f>
        <v>0</v>
      </c>
      <c r="ER87" s="2">
        <f>VC!EM43</f>
        <v>0</v>
      </c>
      <c r="ES87" s="2">
        <f>VC!EN43</f>
        <v>0</v>
      </c>
      <c r="ET87" s="2">
        <f>VC!EO43</f>
        <v>0</v>
      </c>
      <c r="EU87" s="2">
        <f>VC!EP43</f>
        <v>0</v>
      </c>
      <c r="EV87" s="2" t="str">
        <f>VC!EQ43</f>
        <v>E163D</v>
      </c>
      <c r="EW87" s="2">
        <f>VC!ER43</f>
        <v>0</v>
      </c>
      <c r="EX87" s="2">
        <f>VC!ES43</f>
        <v>0</v>
      </c>
      <c r="EY87" s="2">
        <f>VC!ET43</f>
        <v>0</v>
      </c>
      <c r="EZ87" s="2">
        <f>VC!EU43</f>
        <v>0</v>
      </c>
      <c r="FA87" s="2">
        <f>VC!EV43</f>
        <v>0</v>
      </c>
      <c r="FB87" s="2">
        <f>VC!EW43</f>
        <v>0</v>
      </c>
      <c r="FC87" s="2">
        <f>VC!EX43</f>
        <v>0</v>
      </c>
      <c r="FD87" s="2">
        <f>VC!EY43</f>
        <v>0</v>
      </c>
      <c r="FE87" s="2">
        <f>VC!EZ43</f>
        <v>0</v>
      </c>
      <c r="FF87" s="2">
        <f>VC!FA43</f>
        <v>0</v>
      </c>
      <c r="FG87" s="2">
        <f>VC!FB43</f>
        <v>0</v>
      </c>
      <c r="FH87" s="2" t="str">
        <f>VC!FC43</f>
        <v>D61E</v>
      </c>
      <c r="FI87" s="2">
        <f>VC!FD43</f>
        <v>0</v>
      </c>
      <c r="FJ87" s="2">
        <f>VC!FE43</f>
        <v>0</v>
      </c>
      <c r="FK87" s="2">
        <f>VC!FF43</f>
        <v>0</v>
      </c>
      <c r="FL87" s="2">
        <f>VC!FG43</f>
        <v>0</v>
      </c>
      <c r="FM87" s="2">
        <f>VC!FH43</f>
        <v>0</v>
      </c>
      <c r="FN87" s="2">
        <f>VC!FI43</f>
        <v>0</v>
      </c>
      <c r="FO87" s="2">
        <f>VC!FJ43</f>
        <v>0</v>
      </c>
      <c r="FP87" s="2">
        <f>VC!FK43</f>
        <v>0</v>
      </c>
      <c r="FQ87" s="2">
        <f>VC!FL43</f>
        <v>0</v>
      </c>
      <c r="FR87" s="2">
        <f>VC!FM43</f>
        <v>0</v>
      </c>
      <c r="FS87" s="2">
        <f>VC!FN43</f>
        <v>0</v>
      </c>
      <c r="FT87" s="2">
        <f>VC!FO43</f>
        <v>0</v>
      </c>
      <c r="FU87" s="2">
        <f>VC!FP43</f>
        <v>0</v>
      </c>
      <c r="FV87" s="2">
        <f>VC!FQ43</f>
        <v>0</v>
      </c>
      <c r="FW87" s="2">
        <f>VC!FR43</f>
        <v>0</v>
      </c>
      <c r="FX87" s="2">
        <f>VC!FS43</f>
        <v>0</v>
      </c>
      <c r="FY87" s="2">
        <f>VC!FT43</f>
        <v>0</v>
      </c>
      <c r="FZ87" s="2">
        <f>VC!FU43</f>
        <v>0</v>
      </c>
      <c r="GA87" s="2">
        <f>VC!FV43</f>
        <v>0</v>
      </c>
      <c r="GB87" s="2">
        <f>VC!FW43</f>
        <v>0</v>
      </c>
      <c r="GC87" s="2">
        <f>VC!FX43</f>
        <v>0</v>
      </c>
      <c r="GD87" s="2">
        <f>VC!FY43</f>
        <v>0</v>
      </c>
      <c r="GE87" s="2" t="str">
        <f>VC!FZ43</f>
        <v>R81Q</v>
      </c>
      <c r="GF87" s="2">
        <f>VC!GA43</f>
        <v>0</v>
      </c>
      <c r="GG87" s="2">
        <f>VC!GB43</f>
        <v>0</v>
      </c>
      <c r="GH87" s="2">
        <f>VC!GC43</f>
        <v>0</v>
      </c>
      <c r="GI87" s="2">
        <f>VC!GD43</f>
        <v>0</v>
      </c>
      <c r="GJ87" s="2">
        <f>VC!GE43</f>
        <v>0</v>
      </c>
      <c r="GK87" s="2">
        <f>VC!GF43</f>
        <v>0</v>
      </c>
      <c r="GL87" s="2">
        <f>VC!GG43</f>
        <v>0</v>
      </c>
      <c r="GM87" s="2">
        <f>VC!GH43</f>
        <v>0</v>
      </c>
      <c r="GN87" s="2">
        <f>VC!GI43</f>
        <v>0</v>
      </c>
      <c r="GO87" s="2">
        <f>VC!GJ43</f>
        <v>0</v>
      </c>
      <c r="GP87" s="2">
        <f>VC!GK43</f>
        <v>0</v>
      </c>
      <c r="GQ87" s="2">
        <f>VC!GL43</f>
        <v>0</v>
      </c>
      <c r="GR87" s="2">
        <f>VC!GM43</f>
        <v>0</v>
      </c>
      <c r="GS87" s="2">
        <f>VC!GN43</f>
        <v>0</v>
      </c>
      <c r="GT87" s="2">
        <f>VC!GO43</f>
        <v>0</v>
      </c>
      <c r="GU87" s="2">
        <f>VC!GP43</f>
        <v>0</v>
      </c>
      <c r="GV87" s="2">
        <f>VC!GQ43</f>
        <v>0</v>
      </c>
      <c r="GW87" s="2">
        <f>VC!GR43</f>
        <v>0</v>
      </c>
      <c r="GX87" s="2" t="str">
        <f>VC!GS43</f>
        <v>D61N</v>
      </c>
      <c r="GY87" s="2">
        <f>VC!GT43</f>
        <v>0</v>
      </c>
      <c r="GZ87" s="2">
        <f>VC!GU43</f>
        <v>0</v>
      </c>
      <c r="HA87" s="2">
        <f>VC!GV43</f>
        <v>0</v>
      </c>
      <c r="HB87" s="2">
        <f>VC!GW43</f>
        <v>0</v>
      </c>
      <c r="HC87" s="2">
        <f>VC!GX43</f>
        <v>0</v>
      </c>
    </row>
    <row r="88" spans="1:211" s="7" customFormat="1" x14ac:dyDescent="0.25">
      <c r="A88" s="7" t="s">
        <v>118</v>
      </c>
      <c r="B88" s="7" t="s">
        <v>121</v>
      </c>
      <c r="C88" s="8" t="s">
        <v>0</v>
      </c>
      <c r="D88" s="7" t="s">
        <v>76</v>
      </c>
      <c r="E88" s="7" t="s">
        <v>138</v>
      </c>
      <c r="F88" s="7" t="s">
        <v>73</v>
      </c>
      <c r="G88" s="7" t="s">
        <v>156</v>
      </c>
      <c r="H88" s="7">
        <f>VC!C44</f>
        <v>0</v>
      </c>
      <c r="I88" s="7">
        <f>VC!D44</f>
        <v>0</v>
      </c>
      <c r="J88" s="7">
        <f>VC!E44</f>
        <v>0</v>
      </c>
      <c r="K88" s="7">
        <f>VC!F44</f>
        <v>0</v>
      </c>
      <c r="L88" s="7">
        <f>VC!G44</f>
        <v>0</v>
      </c>
      <c r="M88" s="7">
        <f>VC!H44</f>
        <v>0</v>
      </c>
      <c r="N88" s="7">
        <f>VC!I44</f>
        <v>0</v>
      </c>
      <c r="O88" s="7">
        <f>VC!J44</f>
        <v>0</v>
      </c>
      <c r="P88" s="7">
        <f>VC!K44</f>
        <v>0</v>
      </c>
      <c r="Q88" s="7">
        <f>VC!L44</f>
        <v>0</v>
      </c>
      <c r="R88" s="7" t="str">
        <f>VC!M44</f>
        <v>T343A</v>
      </c>
      <c r="S88" s="7">
        <f>VC!N44</f>
        <v>0</v>
      </c>
      <c r="T88" s="7">
        <f>VC!O44</f>
        <v>0</v>
      </c>
      <c r="U88" s="7">
        <f>VC!P44</f>
        <v>0</v>
      </c>
      <c r="V88" s="7">
        <f>VC!Q44</f>
        <v>0</v>
      </c>
      <c r="W88" s="7">
        <f>VC!R44</f>
        <v>0</v>
      </c>
      <c r="X88" s="7">
        <f>VC!S44</f>
        <v>0</v>
      </c>
      <c r="Y88" s="7">
        <f>VC!T44</f>
        <v>0</v>
      </c>
      <c r="Z88" s="7">
        <f>VC!U44</f>
        <v>0</v>
      </c>
      <c r="AA88" s="7">
        <f>VC!V44</f>
        <v>0</v>
      </c>
      <c r="AB88" s="7">
        <f>VC!W44</f>
        <v>0</v>
      </c>
      <c r="AC88" s="7" t="str">
        <f>VC!X44</f>
        <v>V431I</v>
      </c>
      <c r="AD88" s="7" t="str">
        <f>VC!Y44</f>
        <v>V6A</v>
      </c>
      <c r="AE88" s="7">
        <f>VC!Z44</f>
        <v>0</v>
      </c>
      <c r="AF88" s="7">
        <f>VC!AA44</f>
        <v>0</v>
      </c>
      <c r="AG88" s="7">
        <f>VC!AB44</f>
        <v>0</v>
      </c>
      <c r="AH88" s="7">
        <f>VC!AC44</f>
        <v>0</v>
      </c>
      <c r="AI88" s="7">
        <f>VC!AD44</f>
        <v>0</v>
      </c>
      <c r="AJ88" s="7">
        <f>VC!AE44</f>
        <v>0</v>
      </c>
      <c r="AK88" s="7">
        <f>VC!AF44</f>
        <v>0</v>
      </c>
      <c r="AL88" s="7">
        <f>VC!AG44</f>
        <v>0</v>
      </c>
      <c r="AM88" s="7">
        <f>VC!AH44</f>
        <v>0</v>
      </c>
      <c r="AN88" s="7">
        <f>VC!AI44</f>
        <v>0</v>
      </c>
      <c r="AO88" s="7">
        <f>VC!AJ44</f>
        <v>0</v>
      </c>
      <c r="AP88" s="7">
        <f>VC!AK44</f>
        <v>0</v>
      </c>
      <c r="AQ88" s="7">
        <f>VC!AL44</f>
        <v>0</v>
      </c>
      <c r="AR88" s="7">
        <f>VC!AM44</f>
        <v>0</v>
      </c>
      <c r="AS88" s="7">
        <f>VC!AN44</f>
        <v>0</v>
      </c>
      <c r="AT88" s="7">
        <f>VC!AO44</f>
        <v>0</v>
      </c>
      <c r="AU88" s="7">
        <f>VC!AP44</f>
        <v>0</v>
      </c>
      <c r="AV88" s="7">
        <f>VC!AQ44</f>
        <v>0</v>
      </c>
      <c r="AW88" s="7">
        <f>VC!AR44</f>
        <v>0</v>
      </c>
      <c r="AX88" s="7">
        <f>VC!AS44</f>
        <v>0</v>
      </c>
      <c r="AY88" s="7">
        <f>VC!AT44</f>
        <v>0</v>
      </c>
      <c r="AZ88" s="7">
        <f>VC!AU44</f>
        <v>0</v>
      </c>
      <c r="BA88" s="7">
        <f>VC!AV44</f>
        <v>0</v>
      </c>
      <c r="BB88" s="7">
        <f>VC!AW44</f>
        <v>0</v>
      </c>
      <c r="BC88" s="7">
        <f>VC!AX44</f>
        <v>0</v>
      </c>
      <c r="BD88" s="7">
        <f>VC!AY44</f>
        <v>0</v>
      </c>
      <c r="BE88" s="7">
        <f>VC!AZ44</f>
        <v>0</v>
      </c>
      <c r="BF88" s="7" t="str">
        <f>VC!BA44</f>
        <v>T406A</v>
      </c>
      <c r="BG88" s="7">
        <f>VC!BB44</f>
        <v>0</v>
      </c>
      <c r="BH88" s="7">
        <f>VC!BC44</f>
        <v>0</v>
      </c>
      <c r="BI88" s="7">
        <f>VC!BD44</f>
        <v>0</v>
      </c>
      <c r="BJ88" s="7">
        <f>VC!BE44</f>
        <v>0</v>
      </c>
      <c r="BK88" s="7">
        <f>VC!BF44</f>
        <v>0</v>
      </c>
      <c r="BL88" s="7">
        <f>VC!BG44</f>
        <v>0</v>
      </c>
      <c r="BM88" s="7">
        <f>VC!BH44</f>
        <v>0</v>
      </c>
      <c r="BN88" s="7">
        <f>VC!BI44</f>
        <v>0</v>
      </c>
      <c r="BO88" s="7">
        <f>VC!BJ44</f>
        <v>0</v>
      </c>
      <c r="BP88" s="7">
        <f>VC!BK44</f>
        <v>0</v>
      </c>
      <c r="BQ88" s="7" t="str">
        <f>VC!BL44</f>
        <v xml:space="preserve">V6A </v>
      </c>
      <c r="BR88" s="7" t="str">
        <f>VC!BM44</f>
        <v>V6A</v>
      </c>
      <c r="BS88" s="7">
        <f>VC!BN44</f>
        <v>0</v>
      </c>
      <c r="BT88" s="7">
        <f>VC!BO44</f>
        <v>0</v>
      </c>
      <c r="BU88" s="7">
        <f>VC!BP44</f>
        <v>0</v>
      </c>
      <c r="BV88" s="7" t="str">
        <f>VC!BQ44</f>
        <v>H311Q</v>
      </c>
      <c r="BW88" s="7">
        <f>VC!BR44</f>
        <v>0</v>
      </c>
      <c r="BX88" s="7">
        <f>VC!BS44</f>
        <v>0</v>
      </c>
      <c r="BY88" s="7">
        <f>VC!BT44</f>
        <v>0</v>
      </c>
      <c r="BZ88" s="7">
        <f>VC!BU44</f>
        <v>0</v>
      </c>
      <c r="CA88" s="7">
        <f>VC!BV44</f>
        <v>0</v>
      </c>
      <c r="CB88" s="7">
        <f>VC!BW44</f>
        <v>0</v>
      </c>
      <c r="CC88" s="7">
        <f>VC!BX44</f>
        <v>0</v>
      </c>
      <c r="CD88" s="7">
        <f>VC!BY44</f>
        <v>0</v>
      </c>
      <c r="CE88" s="7">
        <f>VC!BZ44</f>
        <v>0</v>
      </c>
      <c r="CF88" s="7">
        <f>VC!CA44</f>
        <v>0</v>
      </c>
      <c r="CG88" s="7" t="str">
        <f>VC!CB44</f>
        <v>H311Q; A413T</v>
      </c>
      <c r="CH88" s="7">
        <f>VC!CC44</f>
        <v>0</v>
      </c>
      <c r="CI88" s="7" t="str">
        <f>VC!CD44</f>
        <v>H311Q; A413T</v>
      </c>
      <c r="CJ88" s="7">
        <f>VC!CE44</f>
        <v>0</v>
      </c>
      <c r="CK88" s="7">
        <f>VC!CF44</f>
        <v>0</v>
      </c>
      <c r="CL88" s="7">
        <f>VC!CG44</f>
        <v>0</v>
      </c>
      <c r="CM88" s="7">
        <f>VC!CH44</f>
        <v>0</v>
      </c>
      <c r="CN88" s="7">
        <f>VC!CI44</f>
        <v>0</v>
      </c>
      <c r="CO88" s="7">
        <f>VC!CJ44</f>
        <v>0</v>
      </c>
      <c r="CP88" s="7">
        <f>VC!CK44</f>
        <v>0</v>
      </c>
      <c r="CQ88" s="7">
        <f>VC!CL44</f>
        <v>0</v>
      </c>
      <c r="CR88" s="7" t="str">
        <f>VC!CM44</f>
        <v>V6A</v>
      </c>
      <c r="CS88" s="7">
        <f>VC!CN44</f>
        <v>0</v>
      </c>
      <c r="CT88" s="7">
        <f>VC!CO44</f>
        <v>0</v>
      </c>
      <c r="CU88" s="7">
        <f>VC!CP44</f>
        <v>0</v>
      </c>
      <c r="CV88" s="7">
        <f>VC!CQ44</f>
        <v>0</v>
      </c>
      <c r="CW88" s="7">
        <f>VC!CR44</f>
        <v>0</v>
      </c>
      <c r="CX88" s="7">
        <f>VC!CS44</f>
        <v>0</v>
      </c>
      <c r="CY88" s="7">
        <f>VC!CT44</f>
        <v>0</v>
      </c>
      <c r="CZ88" s="7" t="str">
        <f>VC!CU44</f>
        <v>G362S</v>
      </c>
      <c r="DA88" s="7">
        <f>VC!CV44</f>
        <v>0</v>
      </c>
      <c r="DB88" s="7">
        <f>VC!CW44</f>
        <v>0</v>
      </c>
      <c r="DC88" s="7">
        <f>VC!CX44</f>
        <v>0</v>
      </c>
      <c r="DD88" s="7" t="str">
        <f>VC!CY44</f>
        <v>S94N</v>
      </c>
      <c r="DE88" s="7">
        <f>VC!CZ44</f>
        <v>0</v>
      </c>
      <c r="DF88" s="7">
        <f>VC!DA44</f>
        <v>0</v>
      </c>
      <c r="DG88" s="7">
        <f>VC!DB44</f>
        <v>0</v>
      </c>
      <c r="DH88" s="7">
        <f>VC!DC44</f>
        <v>0</v>
      </c>
      <c r="DI88" s="7">
        <f>VC!DD44</f>
        <v>0</v>
      </c>
      <c r="DJ88" s="7" t="str">
        <f>VC!DE44</f>
        <v>G362S</v>
      </c>
      <c r="DK88" s="7">
        <f>VC!DF44</f>
        <v>0</v>
      </c>
      <c r="DL88" s="7">
        <f>VC!DG44</f>
        <v>0</v>
      </c>
      <c r="DM88" s="7">
        <f>VC!DH44</f>
        <v>0</v>
      </c>
      <c r="DN88" s="7">
        <f>VC!DI44</f>
        <v>0</v>
      </c>
      <c r="DO88" s="7">
        <f>VC!DJ44</f>
        <v>0</v>
      </c>
      <c r="DP88" s="7">
        <f>VC!DK44</f>
        <v>0</v>
      </c>
      <c r="DQ88" s="7">
        <f>VC!DL44</f>
        <v>0</v>
      </c>
      <c r="DR88" s="7">
        <f>VC!DM44</f>
        <v>0</v>
      </c>
      <c r="DS88" s="7">
        <f>VC!DN44</f>
        <v>0</v>
      </c>
      <c r="DT88" s="7">
        <f>VC!DO44</f>
        <v>0</v>
      </c>
      <c r="DU88" s="7">
        <f>VC!DP44</f>
        <v>0</v>
      </c>
      <c r="DV88" s="7">
        <f>VC!DQ44</f>
        <v>0</v>
      </c>
      <c r="DW88" s="7">
        <f>VC!DR44</f>
        <v>0</v>
      </c>
      <c r="DX88" s="7">
        <f>VC!DS44</f>
        <v>0</v>
      </c>
      <c r="DY88" s="7" t="str">
        <f>VC!DT44</f>
        <v>H311Q; A413T</v>
      </c>
      <c r="DZ88" s="7">
        <f>VC!DU44</f>
        <v>0</v>
      </c>
      <c r="EA88" s="7">
        <f>VC!DV44</f>
        <v>0</v>
      </c>
      <c r="EB88" s="7">
        <f>VC!DW44</f>
        <v>0</v>
      </c>
      <c r="EC88" s="7">
        <f>VC!DX44</f>
        <v>0</v>
      </c>
      <c r="ED88" s="7">
        <f>VC!DY44</f>
        <v>0</v>
      </c>
      <c r="EE88" s="7">
        <f>VC!DZ44</f>
        <v>0</v>
      </c>
      <c r="EF88" s="7">
        <f>VC!EA44</f>
        <v>0</v>
      </c>
      <c r="EG88" s="7">
        <f>VC!EB44</f>
        <v>0</v>
      </c>
      <c r="EH88" s="7">
        <f>VC!EC44</f>
        <v>0</v>
      </c>
      <c r="EI88" s="7">
        <f>VC!ED44</f>
        <v>0</v>
      </c>
      <c r="EJ88" s="7">
        <f>VC!EE44</f>
        <v>0</v>
      </c>
      <c r="EK88" s="7">
        <f>VC!EF44</f>
        <v>0</v>
      </c>
      <c r="EL88" s="7">
        <f>VC!EG44</f>
        <v>0</v>
      </c>
      <c r="EM88" s="7">
        <f>VC!EH44</f>
        <v>0</v>
      </c>
      <c r="EN88" s="7">
        <f>VC!EI44</f>
        <v>0</v>
      </c>
      <c r="EO88" s="7">
        <f>VC!EJ44</f>
        <v>0</v>
      </c>
      <c r="EP88" s="7">
        <f>VC!EK44</f>
        <v>0</v>
      </c>
      <c r="EQ88" s="7">
        <f>VC!EL44</f>
        <v>0</v>
      </c>
      <c r="ER88" s="7">
        <f>VC!EM44</f>
        <v>0</v>
      </c>
      <c r="ES88" s="7" t="str">
        <f>VC!EN44</f>
        <v>A467V</v>
      </c>
      <c r="ET88" s="7">
        <f>VC!EO44</f>
        <v>0</v>
      </c>
      <c r="EU88" s="7">
        <f>VC!EP44</f>
        <v>0</v>
      </c>
      <c r="EV88" s="7">
        <f>VC!EQ44</f>
        <v>0</v>
      </c>
      <c r="EW88" s="7" t="str">
        <f>VC!ER44</f>
        <v>A197S; E213D; L217V; L398Q; G469S</v>
      </c>
      <c r="EX88" s="7" t="str">
        <f>VC!ES44</f>
        <v>G439D</v>
      </c>
      <c r="EY88" s="7">
        <f>VC!ET44</f>
        <v>0</v>
      </c>
      <c r="EZ88" s="7">
        <f>VC!EU44</f>
        <v>0</v>
      </c>
      <c r="FA88" s="7" t="str">
        <f>VC!EV44</f>
        <v>G362S</v>
      </c>
      <c r="FB88" s="7">
        <f>VC!EW44</f>
        <v>0</v>
      </c>
      <c r="FC88" s="7">
        <f>VC!EX44</f>
        <v>0</v>
      </c>
      <c r="FD88" s="7" t="str">
        <f>VC!EY44</f>
        <v>G362S</v>
      </c>
      <c r="FE88" s="7">
        <f>VC!EZ44</f>
        <v>0</v>
      </c>
      <c r="FF88" s="7">
        <f>VC!FA44</f>
        <v>0</v>
      </c>
      <c r="FG88" s="7" t="str">
        <f>VC!FB44</f>
        <v>A67T</v>
      </c>
      <c r="FH88" s="7">
        <f>VC!FC44</f>
        <v>0</v>
      </c>
      <c r="FI88" s="7">
        <f>VC!FD44</f>
        <v>0</v>
      </c>
      <c r="FJ88" s="7">
        <f>VC!FE44</f>
        <v>0</v>
      </c>
      <c r="FK88" s="7">
        <f>VC!FF44</f>
        <v>0</v>
      </c>
      <c r="FL88" s="7">
        <f>VC!FG44</f>
        <v>0</v>
      </c>
      <c r="FM88" s="7">
        <f>VC!FH44</f>
        <v>0</v>
      </c>
      <c r="FN88" s="7">
        <f>VC!FI44</f>
        <v>0</v>
      </c>
      <c r="FO88" s="7">
        <f>VC!FJ44</f>
        <v>0</v>
      </c>
      <c r="FP88" s="7">
        <f>VC!FK44</f>
        <v>0</v>
      </c>
      <c r="FQ88" s="7">
        <f>VC!FL44</f>
        <v>0</v>
      </c>
      <c r="FR88" s="7">
        <f>VC!FM44</f>
        <v>0</v>
      </c>
      <c r="FS88" s="7">
        <f>VC!FN44</f>
        <v>0</v>
      </c>
      <c r="FT88" s="7">
        <f>VC!FO44</f>
        <v>0</v>
      </c>
      <c r="FU88" s="7">
        <f>VC!FP44</f>
        <v>0</v>
      </c>
      <c r="FV88" s="7" t="str">
        <f>VC!FQ44</f>
        <v>V431I</v>
      </c>
      <c r="FW88" s="7" t="str">
        <f>VC!FR44</f>
        <v>A67T</v>
      </c>
      <c r="FX88" s="7">
        <f>VC!FS44</f>
        <v>0</v>
      </c>
      <c r="FY88" s="7">
        <f>VC!FT44</f>
        <v>0</v>
      </c>
      <c r="FZ88" s="7">
        <f>VC!FU44</f>
        <v>0</v>
      </c>
      <c r="GA88" s="7">
        <f>VC!FV44</f>
        <v>0</v>
      </c>
      <c r="GB88" s="7">
        <f>VC!FW44</f>
        <v>0</v>
      </c>
      <c r="GC88" s="7">
        <f>VC!FX44</f>
        <v>0</v>
      </c>
      <c r="GD88" s="7" t="str">
        <f>VC!FY44</f>
        <v>P369S</v>
      </c>
      <c r="GE88" s="7">
        <f>VC!FZ44</f>
        <v>0</v>
      </c>
      <c r="GF88" s="7">
        <f>VC!GA44</f>
        <v>0</v>
      </c>
      <c r="GG88" s="7">
        <f>VC!GB44</f>
        <v>0</v>
      </c>
      <c r="GH88" s="7">
        <f>VC!GC44</f>
        <v>0</v>
      </c>
      <c r="GI88" s="7">
        <f>VC!GD44</f>
        <v>0</v>
      </c>
      <c r="GJ88" s="7">
        <f>VC!GE44</f>
        <v>0</v>
      </c>
      <c r="GK88" s="7">
        <f>VC!GF44</f>
        <v>0</v>
      </c>
      <c r="GL88" s="7">
        <f>VC!GG44</f>
        <v>0</v>
      </c>
      <c r="GM88" s="7">
        <f>VC!GH44</f>
        <v>0</v>
      </c>
      <c r="GN88" s="7">
        <f>VC!GI44</f>
        <v>0</v>
      </c>
      <c r="GO88" s="7">
        <f>VC!GJ44</f>
        <v>0</v>
      </c>
      <c r="GP88" s="7">
        <f>VC!GK44</f>
        <v>0</v>
      </c>
      <c r="GQ88" s="7">
        <f>VC!GL44</f>
        <v>0</v>
      </c>
      <c r="GR88" s="7">
        <f>VC!GM44</f>
        <v>0</v>
      </c>
      <c r="GS88" s="7">
        <f>VC!GN44</f>
        <v>0</v>
      </c>
      <c r="GT88" s="7">
        <f>VC!GO44</f>
        <v>0</v>
      </c>
      <c r="GU88" s="7">
        <f>VC!GP44</f>
        <v>0</v>
      </c>
      <c r="GV88" s="7">
        <f>VC!GQ44</f>
        <v>0</v>
      </c>
      <c r="GW88" s="7">
        <f>VC!GR44</f>
        <v>0</v>
      </c>
      <c r="GX88" s="7" t="str">
        <f>VC!GS44</f>
        <v>A173T</v>
      </c>
      <c r="GY88" s="7" t="str">
        <f>VC!GT44</f>
        <v>V6A</v>
      </c>
      <c r="GZ88" s="7">
        <f>VC!GU44</f>
        <v>0</v>
      </c>
      <c r="HA88" s="7" t="str">
        <f>VC!GV44</f>
        <v>V6A</v>
      </c>
      <c r="HB88" s="7">
        <f>VC!GW44</f>
        <v>0</v>
      </c>
      <c r="HC88" s="7">
        <f>VC!GX44</f>
        <v>0</v>
      </c>
    </row>
    <row r="89" spans="1:211" s="2" customFormat="1" x14ac:dyDescent="0.25">
      <c r="A89" s="2" t="s">
        <v>68</v>
      </c>
      <c r="B89" s="2" t="s">
        <v>69</v>
      </c>
      <c r="C89" s="4" t="s">
        <v>4</v>
      </c>
      <c r="D89" s="2" t="s">
        <v>76</v>
      </c>
      <c r="E89" s="2">
        <v>0.5</v>
      </c>
      <c r="F89" s="2" t="s">
        <v>73</v>
      </c>
      <c r="G89" s="2" t="s">
        <v>158</v>
      </c>
      <c r="H89" s="2">
        <f>VC!C45</f>
        <v>0</v>
      </c>
      <c r="I89" s="2">
        <f>VC!D45</f>
        <v>0</v>
      </c>
      <c r="J89" s="2">
        <f>VC!E45</f>
        <v>0</v>
      </c>
      <c r="K89" s="2">
        <f>VC!F45</f>
        <v>0</v>
      </c>
      <c r="L89" s="2">
        <f>VC!G45</f>
        <v>0</v>
      </c>
      <c r="M89" s="2">
        <f>VC!H45</f>
        <v>0</v>
      </c>
      <c r="N89" s="2" t="str">
        <f>VC!I45</f>
        <v>S87L</v>
      </c>
      <c r="O89" s="2">
        <f>VC!J45</f>
        <v>0</v>
      </c>
      <c r="P89" s="2">
        <f>VC!K45</f>
        <v>0</v>
      </c>
      <c r="Q89" s="2">
        <f>VC!L45</f>
        <v>0</v>
      </c>
      <c r="R89" s="2">
        <f>VC!M45</f>
        <v>0</v>
      </c>
      <c r="S89" s="2">
        <f>VC!N45</f>
        <v>0</v>
      </c>
      <c r="T89" s="2">
        <f>VC!O45</f>
        <v>0</v>
      </c>
      <c r="U89" s="2">
        <f>VC!P45</f>
        <v>0</v>
      </c>
      <c r="V89" s="2">
        <f>VC!Q45</f>
        <v>0</v>
      </c>
      <c r="W89" s="2">
        <f>VC!R45</f>
        <v>0</v>
      </c>
      <c r="X89" s="2">
        <f>VC!S45</f>
        <v>0</v>
      </c>
      <c r="Y89" s="2">
        <f>VC!T45</f>
        <v>0</v>
      </c>
      <c r="Z89" s="2">
        <f>VC!U45</f>
        <v>0</v>
      </c>
      <c r="AA89" s="2">
        <f>VC!V45</f>
        <v>0</v>
      </c>
      <c r="AB89" s="2">
        <f>VC!W45</f>
        <v>0</v>
      </c>
      <c r="AC89" s="2">
        <f>VC!X45</f>
        <v>0</v>
      </c>
      <c r="AD89" s="2">
        <f>VC!Y45</f>
        <v>0</v>
      </c>
      <c r="AE89" s="2">
        <f>VC!Z45</f>
        <v>0</v>
      </c>
      <c r="AF89" s="2">
        <f>VC!AA45</f>
        <v>0</v>
      </c>
      <c r="AG89" s="2">
        <f>VC!AB45</f>
        <v>0</v>
      </c>
      <c r="AH89" s="2">
        <f>VC!AC45</f>
        <v>0</v>
      </c>
      <c r="AI89" s="2">
        <f>VC!AD45</f>
        <v>0</v>
      </c>
      <c r="AJ89" s="2">
        <f>VC!AE45</f>
        <v>0</v>
      </c>
      <c r="AK89" s="2">
        <f>VC!AF45</f>
        <v>0</v>
      </c>
      <c r="AL89" s="2">
        <f>VC!AG45</f>
        <v>0</v>
      </c>
      <c r="AM89" s="2">
        <f>VC!AH45</f>
        <v>0</v>
      </c>
      <c r="AN89" s="2">
        <f>VC!AI45</f>
        <v>0</v>
      </c>
      <c r="AO89" s="2">
        <f>VC!AJ45</f>
        <v>0</v>
      </c>
      <c r="AP89" s="2">
        <f>VC!AK45</f>
        <v>0</v>
      </c>
      <c r="AQ89" s="2">
        <f>VC!AL45</f>
        <v>0</v>
      </c>
      <c r="AR89" s="2">
        <f>VC!AM45</f>
        <v>0</v>
      </c>
      <c r="AS89" s="2">
        <f>VC!AN45</f>
        <v>0</v>
      </c>
      <c r="AT89" s="2">
        <f>VC!AO45</f>
        <v>0</v>
      </c>
      <c r="AU89" s="2">
        <f>VC!AP45</f>
        <v>0</v>
      </c>
      <c r="AV89" s="2">
        <f>VC!AQ45</f>
        <v>0</v>
      </c>
      <c r="AW89" s="2">
        <f>VC!AR45</f>
        <v>0</v>
      </c>
      <c r="AX89" s="2">
        <f>VC!AS45</f>
        <v>0</v>
      </c>
      <c r="AY89" s="2">
        <f>VC!AT45</f>
        <v>0</v>
      </c>
      <c r="AZ89" s="2">
        <f>VC!AU45</f>
        <v>0</v>
      </c>
      <c r="BA89" s="2" t="str">
        <f>VC!AV45</f>
        <v>S87W</v>
      </c>
      <c r="BB89" s="2">
        <f>VC!AW45</f>
        <v>0</v>
      </c>
      <c r="BC89" s="2" t="str">
        <f>VC!AX45</f>
        <v>S87W</v>
      </c>
      <c r="BD89" s="2">
        <f>VC!AY45</f>
        <v>0</v>
      </c>
      <c r="BE89" s="2">
        <f>VC!AZ45</f>
        <v>0</v>
      </c>
      <c r="BF89" s="2">
        <f>VC!BA45</f>
        <v>0</v>
      </c>
      <c r="BG89" s="2">
        <f>VC!BB45</f>
        <v>0</v>
      </c>
      <c r="BH89" s="2">
        <f>VC!BC45</f>
        <v>0</v>
      </c>
      <c r="BI89" s="2" t="str">
        <f>VC!BD45</f>
        <v>S87W</v>
      </c>
      <c r="BJ89" s="2">
        <f>VC!BE45</f>
        <v>0</v>
      </c>
      <c r="BK89" s="2">
        <f>VC!BF45</f>
        <v>0</v>
      </c>
      <c r="BL89" s="2">
        <f>VC!BG45</f>
        <v>0</v>
      </c>
      <c r="BM89" s="2">
        <f>VC!BH45</f>
        <v>0</v>
      </c>
      <c r="BN89" s="2">
        <f>VC!BI45</f>
        <v>0</v>
      </c>
      <c r="BO89" s="2">
        <f>VC!BJ45</f>
        <v>0</v>
      </c>
      <c r="BP89" s="2">
        <f>VC!BK45</f>
        <v>0</v>
      </c>
      <c r="BQ89" s="2">
        <f>VC!BL45</f>
        <v>0</v>
      </c>
      <c r="BR89" s="2" t="str">
        <f>VC!BM45</f>
        <v>S87L</v>
      </c>
      <c r="BS89" s="2" t="str">
        <f>VC!BN45</f>
        <v>S87W</v>
      </c>
      <c r="BT89" s="2">
        <f>VC!BO45</f>
        <v>0</v>
      </c>
      <c r="BU89" s="2">
        <f>VC!BP45</f>
        <v>0</v>
      </c>
      <c r="BV89" s="2">
        <f>VC!BQ45</f>
        <v>0</v>
      </c>
      <c r="BW89" s="2" t="str">
        <f>VC!BR45</f>
        <v>S87W</v>
      </c>
      <c r="BX89" s="2">
        <f>VC!BS45</f>
        <v>0</v>
      </c>
      <c r="BY89" s="2">
        <f>VC!BT45</f>
        <v>0</v>
      </c>
      <c r="BZ89" s="2">
        <f>VC!BU45</f>
        <v>0</v>
      </c>
      <c r="CA89" s="2">
        <f>VC!BV45</f>
        <v>0</v>
      </c>
      <c r="CB89" s="2">
        <f>VC!BW45</f>
        <v>0</v>
      </c>
      <c r="CC89" s="2">
        <f>VC!BX45</f>
        <v>0</v>
      </c>
      <c r="CD89" s="2" t="str">
        <f>VC!BY45</f>
        <v>S87W</v>
      </c>
      <c r="CE89" s="2">
        <f>VC!BZ45</f>
        <v>0</v>
      </c>
      <c r="CF89" s="2" t="str">
        <f>VC!CA45</f>
        <v>S87W</v>
      </c>
      <c r="CG89" s="2">
        <f>VC!CB45</f>
        <v>0</v>
      </c>
      <c r="CH89" s="2">
        <f>VC!CC45</f>
        <v>0</v>
      </c>
      <c r="CI89" s="2">
        <f>VC!CD45</f>
        <v>0</v>
      </c>
      <c r="CJ89" s="2" t="str">
        <f>VC!CE45</f>
        <v>S87W</v>
      </c>
      <c r="CK89" s="2" t="str">
        <f>VC!CF45</f>
        <v>S87W</v>
      </c>
      <c r="CL89" s="2">
        <f>VC!CG45</f>
        <v>0</v>
      </c>
      <c r="CM89" s="2" t="str">
        <f>VC!CH45</f>
        <v>S87W</v>
      </c>
      <c r="CN89" s="2">
        <f>VC!CI45</f>
        <v>0</v>
      </c>
      <c r="CO89" s="2">
        <f>VC!CJ45</f>
        <v>0</v>
      </c>
      <c r="CP89" s="2" t="str">
        <f>VC!CK45</f>
        <v>S87W</v>
      </c>
      <c r="CQ89" s="2" t="str">
        <f>VC!CL45</f>
        <v>S87W</v>
      </c>
      <c r="CR89" s="2">
        <f>VC!CM45</f>
        <v>0</v>
      </c>
      <c r="CS89" s="2">
        <f>VC!CN45</f>
        <v>0</v>
      </c>
      <c r="CT89" s="2">
        <f>VC!CO45</f>
        <v>0</v>
      </c>
      <c r="CU89" s="2">
        <f>VC!CP45</f>
        <v>0</v>
      </c>
      <c r="CV89" s="2">
        <f>VC!CQ45</f>
        <v>0</v>
      </c>
      <c r="CW89" s="2" t="str">
        <f>VC!CR45</f>
        <v>S87L</v>
      </c>
      <c r="CX89" s="2">
        <f>VC!CS45</f>
        <v>0</v>
      </c>
      <c r="CY89" s="2">
        <f>VC!CT45</f>
        <v>0</v>
      </c>
      <c r="CZ89" s="2" t="str">
        <f>VC!CU45</f>
        <v>S87L</v>
      </c>
      <c r="DA89" s="2">
        <f>VC!CV45</f>
        <v>0</v>
      </c>
      <c r="DB89" s="2">
        <f>VC!CW45</f>
        <v>0</v>
      </c>
      <c r="DC89" s="2">
        <f>VC!CX45</f>
        <v>0</v>
      </c>
      <c r="DD89" s="2">
        <f>VC!CY45</f>
        <v>0</v>
      </c>
      <c r="DE89" s="2">
        <f>VC!CZ45</f>
        <v>0</v>
      </c>
      <c r="DF89" s="2">
        <f>VC!DA45</f>
        <v>0</v>
      </c>
      <c r="DG89" s="2">
        <f>VC!DB45</f>
        <v>0</v>
      </c>
      <c r="DH89" s="2">
        <f>VC!DC45</f>
        <v>0</v>
      </c>
      <c r="DI89" s="2">
        <f>VC!DD45</f>
        <v>0</v>
      </c>
      <c r="DJ89" s="2" t="str">
        <f>VC!DE45</f>
        <v>S87L</v>
      </c>
      <c r="DK89" s="2">
        <f>VC!DF45</f>
        <v>0</v>
      </c>
      <c r="DL89" s="2" t="str">
        <f>VC!DG45</f>
        <v>S87L</v>
      </c>
      <c r="DM89" s="2">
        <f>VC!DH45</f>
        <v>0</v>
      </c>
      <c r="DN89" s="2">
        <f>VC!DI45</f>
        <v>0</v>
      </c>
      <c r="DO89" s="2">
        <f>VC!DJ45</f>
        <v>0</v>
      </c>
      <c r="DP89" s="2">
        <f>VC!DK45</f>
        <v>0</v>
      </c>
      <c r="DQ89" s="2">
        <f>VC!DL45</f>
        <v>0</v>
      </c>
      <c r="DR89" s="2">
        <f>VC!DM45</f>
        <v>0</v>
      </c>
      <c r="DS89" s="2">
        <f>VC!DN45</f>
        <v>0</v>
      </c>
      <c r="DT89" s="2">
        <f>VC!DO45</f>
        <v>0</v>
      </c>
      <c r="DU89" s="2" t="str">
        <f>VC!DP45</f>
        <v>S87W</v>
      </c>
      <c r="DV89" s="2">
        <f>VC!DQ45</f>
        <v>0</v>
      </c>
      <c r="DW89" s="2" t="str">
        <f>VC!DR45</f>
        <v>S87W</v>
      </c>
      <c r="DX89" s="2">
        <f>VC!DS45</f>
        <v>0</v>
      </c>
      <c r="DY89" s="2">
        <f>VC!DT45</f>
        <v>0</v>
      </c>
      <c r="DZ89" s="2">
        <f>VC!DU45</f>
        <v>0</v>
      </c>
      <c r="EA89" s="2" t="str">
        <f>VC!DV45</f>
        <v>S87W</v>
      </c>
      <c r="EB89" s="2">
        <f>VC!DW45</f>
        <v>0</v>
      </c>
      <c r="EC89" s="2">
        <f>VC!DX45</f>
        <v>0</v>
      </c>
      <c r="ED89" s="2">
        <f>VC!DY45</f>
        <v>0</v>
      </c>
      <c r="EE89" s="2" t="str">
        <f>VC!DZ45</f>
        <v>S87W</v>
      </c>
      <c r="EF89" s="2">
        <f>VC!EA45</f>
        <v>0</v>
      </c>
      <c r="EG89" s="2">
        <f>VC!EB45</f>
        <v>0</v>
      </c>
      <c r="EH89" s="2" t="str">
        <f>VC!EC45</f>
        <v>S87L</v>
      </c>
      <c r="EI89" s="2">
        <f>VC!ED45</f>
        <v>0</v>
      </c>
      <c r="EJ89" s="2">
        <f>VC!EE45</f>
        <v>0</v>
      </c>
      <c r="EK89" s="2" t="str">
        <f>VC!EF45</f>
        <v>S87L</v>
      </c>
      <c r="EL89" s="2">
        <f>VC!EG45</f>
        <v>0</v>
      </c>
      <c r="EM89" s="2">
        <f>VC!EH45</f>
        <v>0</v>
      </c>
      <c r="EN89" s="2">
        <f>VC!EI45</f>
        <v>0</v>
      </c>
      <c r="EO89" s="2">
        <f>VC!EJ45</f>
        <v>0</v>
      </c>
      <c r="EP89" s="2">
        <f>VC!EK45</f>
        <v>0</v>
      </c>
      <c r="EQ89" s="2">
        <f>VC!EL45</f>
        <v>0</v>
      </c>
      <c r="ER89" s="2">
        <f>VC!EM45</f>
        <v>0</v>
      </c>
      <c r="ES89" s="2">
        <f>VC!EN45</f>
        <v>0</v>
      </c>
      <c r="ET89" s="2">
        <f>VC!EO45</f>
        <v>0</v>
      </c>
      <c r="EU89" s="2">
        <f>VC!EP45</f>
        <v>0</v>
      </c>
      <c r="EV89" s="2">
        <f>VC!EQ45</f>
        <v>0</v>
      </c>
      <c r="EW89" s="2">
        <f>VC!ER45</f>
        <v>0</v>
      </c>
      <c r="EX89" s="2">
        <f>VC!ES45</f>
        <v>0</v>
      </c>
      <c r="EY89" s="2">
        <f>VC!ET45</f>
        <v>0</v>
      </c>
      <c r="EZ89" s="2">
        <f>VC!EU45</f>
        <v>0</v>
      </c>
      <c r="FA89" s="2" t="str">
        <f>VC!EV45</f>
        <v>S87L</v>
      </c>
      <c r="FB89" s="2">
        <f>VC!EW45</f>
        <v>0</v>
      </c>
      <c r="FC89" s="2">
        <f>VC!EX45</f>
        <v>0</v>
      </c>
      <c r="FD89" s="2">
        <f>VC!EY45</f>
        <v>0</v>
      </c>
      <c r="FE89" s="2" t="str">
        <f>VC!EZ45</f>
        <v>S87L</v>
      </c>
      <c r="FF89" s="2">
        <f>VC!FA45</f>
        <v>0</v>
      </c>
      <c r="FG89" s="2">
        <f>VC!FB45</f>
        <v>0</v>
      </c>
      <c r="FH89" s="2">
        <f>VC!FC45</f>
        <v>0</v>
      </c>
      <c r="FI89" s="2" t="str">
        <f>VC!FD45</f>
        <v>S87L</v>
      </c>
      <c r="FJ89" s="2">
        <f>VC!FE45</f>
        <v>0</v>
      </c>
      <c r="FK89" s="2">
        <f>VC!FF45</f>
        <v>0</v>
      </c>
      <c r="FL89" s="2" t="str">
        <f>VC!FG45</f>
        <v>S87L</v>
      </c>
      <c r="FM89" s="2">
        <f>VC!FH45</f>
        <v>0</v>
      </c>
      <c r="FN89" s="2">
        <f>VC!FI45</f>
        <v>0</v>
      </c>
      <c r="FO89" s="2">
        <f>VC!FJ45</f>
        <v>0</v>
      </c>
      <c r="FP89" s="2">
        <f>VC!FK45</f>
        <v>0</v>
      </c>
      <c r="FQ89" s="2" t="str">
        <f>VC!FL45</f>
        <v>S87W</v>
      </c>
      <c r="FR89" s="2">
        <f>VC!FM45</f>
        <v>0</v>
      </c>
      <c r="FS89" s="2">
        <f>VC!FN45</f>
        <v>0</v>
      </c>
      <c r="FT89" s="2">
        <f>VC!FO45</f>
        <v>0</v>
      </c>
      <c r="FU89" s="2">
        <f>VC!FP45</f>
        <v>0</v>
      </c>
      <c r="FV89" s="2">
        <f>VC!FQ45</f>
        <v>0</v>
      </c>
      <c r="FW89" s="2" t="str">
        <f>VC!FR45</f>
        <v>S87L</v>
      </c>
      <c r="FX89" s="2">
        <f>VC!FS45</f>
        <v>0</v>
      </c>
      <c r="FY89" s="2">
        <f>VC!FT45</f>
        <v>0</v>
      </c>
      <c r="FZ89" s="2">
        <f>VC!FU45</f>
        <v>0</v>
      </c>
      <c r="GA89" s="2" t="str">
        <f>VC!FV45</f>
        <v>S87W</v>
      </c>
      <c r="GB89" s="2" t="str">
        <f>VC!FW45</f>
        <v>S87L</v>
      </c>
      <c r="GC89" s="2">
        <f>VC!FX45</f>
        <v>0</v>
      </c>
      <c r="GD89" s="2">
        <f>VC!FY45</f>
        <v>0</v>
      </c>
      <c r="GE89" s="2">
        <f>VC!FZ45</f>
        <v>0</v>
      </c>
      <c r="GF89" s="2">
        <f>VC!GA45</f>
        <v>0</v>
      </c>
      <c r="GG89" s="2">
        <f>VC!GB45</f>
        <v>0</v>
      </c>
      <c r="GH89" s="2">
        <f>VC!GC45</f>
        <v>0</v>
      </c>
      <c r="GI89" s="2">
        <f>VC!GD45</f>
        <v>0</v>
      </c>
      <c r="GJ89" s="2">
        <f>VC!GE45</f>
        <v>0</v>
      </c>
      <c r="GK89" s="2">
        <f>VC!GF45</f>
        <v>0</v>
      </c>
      <c r="GL89" s="2">
        <f>VC!GG45</f>
        <v>0</v>
      </c>
      <c r="GM89" s="2" t="str">
        <f>VC!GH45</f>
        <v>S87W</v>
      </c>
      <c r="GN89" s="2">
        <f>VC!GI45</f>
        <v>0</v>
      </c>
      <c r="GO89" s="2">
        <f>VC!GJ45</f>
        <v>0</v>
      </c>
      <c r="GP89" s="2">
        <f>VC!GK45</f>
        <v>0</v>
      </c>
      <c r="GQ89" s="2">
        <f>VC!GL45</f>
        <v>0</v>
      </c>
      <c r="GR89" s="2">
        <f>VC!GM45</f>
        <v>0</v>
      </c>
      <c r="GS89" s="2">
        <f>VC!GN45</f>
        <v>0</v>
      </c>
      <c r="GT89" s="2">
        <f>VC!GO45</f>
        <v>0</v>
      </c>
      <c r="GU89" s="2">
        <f>VC!GP45</f>
        <v>0</v>
      </c>
      <c r="GV89" s="2">
        <f>VC!GQ45</f>
        <v>0</v>
      </c>
      <c r="GW89" s="2">
        <f>VC!GR45</f>
        <v>0</v>
      </c>
      <c r="GX89" s="2">
        <f>VC!GS45</f>
        <v>0</v>
      </c>
      <c r="GY89" s="2">
        <f>VC!GT45</f>
        <v>0</v>
      </c>
      <c r="GZ89" s="2">
        <f>VC!GU45</f>
        <v>0</v>
      </c>
      <c r="HA89" s="2">
        <f>VC!GV45</f>
        <v>0</v>
      </c>
      <c r="HB89" s="2" t="str">
        <f>VC!GW45</f>
        <v>S87W</v>
      </c>
      <c r="HC89" s="2">
        <f>VC!GX45</f>
        <v>0</v>
      </c>
    </row>
    <row r="90" spans="1:211" s="7" customFormat="1" x14ac:dyDescent="0.25">
      <c r="A90" s="7" t="s">
        <v>70</v>
      </c>
      <c r="B90" s="7" t="s">
        <v>71</v>
      </c>
      <c r="C90" s="8" t="s">
        <v>4</v>
      </c>
      <c r="D90" s="7" t="s">
        <v>76</v>
      </c>
      <c r="E90" s="7">
        <v>0.5</v>
      </c>
      <c r="F90" s="7" t="s">
        <v>73</v>
      </c>
      <c r="G90" s="7" t="s">
        <v>159</v>
      </c>
      <c r="H90" s="7">
        <f>VC!C46</f>
        <v>0</v>
      </c>
      <c r="I90" s="7">
        <f>VC!D46</f>
        <v>0</v>
      </c>
      <c r="J90" s="7">
        <f>VC!E46</f>
        <v>0</v>
      </c>
      <c r="K90" s="7">
        <f>VC!F46</f>
        <v>0</v>
      </c>
      <c r="L90" s="7" t="str">
        <f>VC!G46</f>
        <v>E459V</v>
      </c>
      <c r="M90" s="7">
        <f>VC!H46</f>
        <v>0</v>
      </c>
      <c r="N90" s="7" t="str">
        <f>VC!I46</f>
        <v>P438S</v>
      </c>
      <c r="O90" s="7">
        <f>VC!J46</f>
        <v>0</v>
      </c>
      <c r="P90" s="7">
        <f>VC!K46</f>
        <v>0</v>
      </c>
      <c r="Q90" s="7">
        <f>VC!L46</f>
        <v>0</v>
      </c>
      <c r="R90" s="7">
        <f>VC!M46</f>
        <v>0</v>
      </c>
      <c r="S90" s="7">
        <f>VC!N46</f>
        <v>0</v>
      </c>
      <c r="T90" s="7">
        <f>VC!O46</f>
        <v>0</v>
      </c>
      <c r="U90" s="7" t="str">
        <f>VC!P46</f>
        <v>V200M</v>
      </c>
      <c r="V90" s="7">
        <f>VC!Q46</f>
        <v>0</v>
      </c>
      <c r="W90" s="7">
        <f>VC!R46</f>
        <v>0</v>
      </c>
      <c r="X90" s="7">
        <f>VC!S46</f>
        <v>0</v>
      </c>
      <c r="Y90" s="7">
        <f>VC!T46</f>
        <v>0</v>
      </c>
      <c r="Z90" s="7">
        <f>VC!U46</f>
        <v>0</v>
      </c>
      <c r="AA90" s="7">
        <f>VC!V46</f>
        <v>0</v>
      </c>
      <c r="AB90" s="7">
        <f>VC!W46</f>
        <v>0</v>
      </c>
      <c r="AC90" s="7">
        <f>VC!X46</f>
        <v>0</v>
      </c>
      <c r="AD90" s="7">
        <f>VC!Y46</f>
        <v>0</v>
      </c>
      <c r="AE90" s="7">
        <f>VC!Z46</f>
        <v>0</v>
      </c>
      <c r="AF90" s="7">
        <f>VC!AA46</f>
        <v>0</v>
      </c>
      <c r="AG90" s="7">
        <f>VC!AB46</f>
        <v>0</v>
      </c>
      <c r="AH90" s="7">
        <f>VC!AC46</f>
        <v>0</v>
      </c>
      <c r="AI90" s="7">
        <f>VC!AD46</f>
        <v>0</v>
      </c>
      <c r="AJ90" s="7">
        <f>VC!AE46</f>
        <v>0</v>
      </c>
      <c r="AK90" s="7">
        <f>VC!AF46</f>
        <v>0</v>
      </c>
      <c r="AL90" s="7">
        <f>VC!AG46</f>
        <v>0</v>
      </c>
      <c r="AM90" s="7">
        <f>VC!AH46</f>
        <v>0</v>
      </c>
      <c r="AN90" s="7">
        <f>VC!AI46</f>
        <v>0</v>
      </c>
      <c r="AO90" s="7">
        <f>VC!AJ46</f>
        <v>0</v>
      </c>
      <c r="AP90" s="7">
        <f>VC!AK46</f>
        <v>0</v>
      </c>
      <c r="AQ90" s="7">
        <f>VC!AL46</f>
        <v>0</v>
      </c>
      <c r="AR90" s="7">
        <f>VC!AM46</f>
        <v>0</v>
      </c>
      <c r="AS90" s="7">
        <f>VC!AN46</f>
        <v>0</v>
      </c>
      <c r="AT90" s="7">
        <f>VC!AO46</f>
        <v>0</v>
      </c>
      <c r="AU90" s="7">
        <f>VC!AP46</f>
        <v>0</v>
      </c>
      <c r="AV90" s="7">
        <f>VC!AQ46</f>
        <v>0</v>
      </c>
      <c r="AW90" s="7">
        <f>VC!AR46</f>
        <v>0</v>
      </c>
      <c r="AX90" s="7">
        <f>VC!AS46</f>
        <v>0</v>
      </c>
      <c r="AY90" s="7">
        <f>VC!AT46</f>
        <v>0</v>
      </c>
      <c r="AZ90" s="7">
        <f>VC!AU46</f>
        <v>0</v>
      </c>
      <c r="BA90" s="7">
        <f>VC!AV46</f>
        <v>0</v>
      </c>
      <c r="BB90" s="7">
        <f>VC!AW46</f>
        <v>0</v>
      </c>
      <c r="BC90" s="7">
        <f>VC!AX46</f>
        <v>0</v>
      </c>
      <c r="BD90" s="7">
        <f>VC!AY46</f>
        <v>0</v>
      </c>
      <c r="BE90" s="7">
        <f>VC!AZ46</f>
        <v>0</v>
      </c>
      <c r="BF90" s="7">
        <f>VC!BA46</f>
        <v>0</v>
      </c>
      <c r="BG90" s="7">
        <f>VC!BB46</f>
        <v>0</v>
      </c>
      <c r="BH90" s="7">
        <f>VC!BC46</f>
        <v>0</v>
      </c>
      <c r="BI90" s="7">
        <f>VC!BD46</f>
        <v>0</v>
      </c>
      <c r="BJ90" s="7" t="str">
        <f>VC!BE46</f>
        <v>V200M</v>
      </c>
      <c r="BK90" s="7" t="str">
        <f>VC!BF46</f>
        <v>A473V</v>
      </c>
      <c r="BL90" s="7">
        <f>VC!BG46</f>
        <v>0</v>
      </c>
      <c r="BM90" s="7" t="str">
        <f>VC!BH46</f>
        <v>E215Q</v>
      </c>
      <c r="BN90" s="7">
        <f>VC!BI46</f>
        <v>0</v>
      </c>
      <c r="BO90" s="7">
        <f>VC!BJ46</f>
        <v>0</v>
      </c>
      <c r="BP90" s="7">
        <f>VC!BK46</f>
        <v>0</v>
      </c>
      <c r="BQ90" s="7">
        <f>VC!BL46</f>
        <v>0</v>
      </c>
      <c r="BR90" s="7">
        <f>VC!BM46</f>
        <v>0</v>
      </c>
      <c r="BS90" s="7">
        <f>VC!BN46</f>
        <v>0</v>
      </c>
      <c r="BT90" s="7">
        <f>VC!BO46</f>
        <v>0</v>
      </c>
      <c r="BU90" s="7">
        <f>VC!BP46</f>
        <v>0</v>
      </c>
      <c r="BV90" s="7">
        <f>VC!BQ46</f>
        <v>0</v>
      </c>
      <c r="BW90" s="7">
        <f>VC!BR46</f>
        <v>0</v>
      </c>
      <c r="BX90" s="7">
        <f>VC!BS46</f>
        <v>0</v>
      </c>
      <c r="BY90" s="7">
        <f>VC!BT46</f>
        <v>0</v>
      </c>
      <c r="BZ90" s="7">
        <f>VC!BU46</f>
        <v>0</v>
      </c>
      <c r="CA90" s="7">
        <f>VC!BV46</f>
        <v>0</v>
      </c>
      <c r="CB90" s="7">
        <f>VC!BW46</f>
        <v>0</v>
      </c>
      <c r="CC90" s="7">
        <f>VC!BX46</f>
        <v>0</v>
      </c>
      <c r="CD90" s="7">
        <f>VC!BY46</f>
        <v>0</v>
      </c>
      <c r="CE90" s="7">
        <f>VC!BZ46</f>
        <v>0</v>
      </c>
      <c r="CF90" s="7">
        <f>VC!CA46</f>
        <v>0</v>
      </c>
      <c r="CG90" s="7">
        <f>VC!CB46</f>
        <v>0</v>
      </c>
      <c r="CH90" s="7">
        <f>VC!CC46</f>
        <v>0</v>
      </c>
      <c r="CI90" s="7">
        <f>VC!CD46</f>
        <v>0</v>
      </c>
      <c r="CJ90" s="7">
        <f>VC!CE46</f>
        <v>0</v>
      </c>
      <c r="CK90" s="7">
        <f>VC!CF46</f>
        <v>0</v>
      </c>
      <c r="CL90" s="7">
        <f>VC!CG46</f>
        <v>0</v>
      </c>
      <c r="CM90" s="7">
        <f>VC!CH46</f>
        <v>0</v>
      </c>
      <c r="CN90" s="7">
        <f>VC!CI46</f>
        <v>0</v>
      </c>
      <c r="CO90" s="7" t="str">
        <f>VC!CJ46</f>
        <v>V629A</v>
      </c>
      <c r="CP90" s="7">
        <f>VC!CK46</f>
        <v>0</v>
      </c>
      <c r="CQ90" s="7">
        <f>VC!CL46</f>
        <v>0</v>
      </c>
      <c r="CR90" s="7">
        <f>VC!CM46</f>
        <v>0</v>
      </c>
      <c r="CS90" s="7">
        <f>VC!CN46</f>
        <v>0</v>
      </c>
      <c r="CT90" s="7">
        <f>VC!CO46</f>
        <v>0</v>
      </c>
      <c r="CU90" s="7">
        <f>VC!CP46</f>
        <v>0</v>
      </c>
      <c r="CV90" s="7">
        <f>VC!CQ46</f>
        <v>0</v>
      </c>
      <c r="CW90" s="7">
        <f>VC!CR46</f>
        <v>0</v>
      </c>
      <c r="CX90" s="7">
        <f>VC!CS46</f>
        <v>0</v>
      </c>
      <c r="CY90" s="7">
        <f>VC!CT46</f>
        <v>0</v>
      </c>
      <c r="CZ90" s="7">
        <f>VC!CU46</f>
        <v>0</v>
      </c>
      <c r="DA90" s="7">
        <f>VC!CV46</f>
        <v>0</v>
      </c>
      <c r="DB90" s="7">
        <f>VC!CW46</f>
        <v>0</v>
      </c>
      <c r="DC90" s="7">
        <f>VC!CX46</f>
        <v>0</v>
      </c>
      <c r="DD90" s="7">
        <f>VC!CY46</f>
        <v>0</v>
      </c>
      <c r="DE90" s="7" t="str">
        <f>VC!CZ46</f>
        <v>P511S</v>
      </c>
      <c r="DF90" s="7">
        <f>VC!DA46</f>
        <v>0</v>
      </c>
      <c r="DG90" s="7">
        <f>VC!DB46</f>
        <v>0</v>
      </c>
      <c r="DH90" s="7">
        <f>VC!DC46</f>
        <v>0</v>
      </c>
      <c r="DI90" s="7">
        <f>VC!DD46</f>
        <v>0</v>
      </c>
      <c r="DJ90" s="7">
        <f>VC!DE46</f>
        <v>0</v>
      </c>
      <c r="DK90" s="7" t="str">
        <f>VC!DF46</f>
        <v>E215Q</v>
      </c>
      <c r="DL90" s="7">
        <f>VC!DG46</f>
        <v>0</v>
      </c>
      <c r="DM90" s="7">
        <f>VC!DH46</f>
        <v>0</v>
      </c>
      <c r="DN90" s="7">
        <f>VC!DI46</f>
        <v>0</v>
      </c>
      <c r="DO90" s="7">
        <f>VC!DJ46</f>
        <v>0</v>
      </c>
      <c r="DP90" s="7">
        <f>VC!DK46</f>
        <v>0</v>
      </c>
      <c r="DQ90" s="7">
        <f>VC!DL46</f>
        <v>0</v>
      </c>
      <c r="DR90" s="7">
        <f>VC!DM46</f>
        <v>0</v>
      </c>
      <c r="DS90" s="7">
        <f>VC!DN46</f>
        <v>0</v>
      </c>
      <c r="DT90" s="7">
        <f>VC!DO46</f>
        <v>0</v>
      </c>
      <c r="DU90" s="7">
        <f>VC!DP46</f>
        <v>0</v>
      </c>
      <c r="DV90" s="7">
        <f>VC!DQ46</f>
        <v>0</v>
      </c>
      <c r="DW90" s="7">
        <f>VC!DR46</f>
        <v>0</v>
      </c>
      <c r="DX90" s="7">
        <f>VC!DS46</f>
        <v>0</v>
      </c>
      <c r="DY90" s="7">
        <f>VC!DT46</f>
        <v>0</v>
      </c>
      <c r="DZ90" s="7">
        <f>VC!DU46</f>
        <v>0</v>
      </c>
      <c r="EA90" s="7">
        <f>VC!DV46</f>
        <v>0</v>
      </c>
      <c r="EB90" s="7">
        <f>VC!DW46</f>
        <v>0</v>
      </c>
      <c r="EC90" s="7">
        <f>VC!DX46</f>
        <v>0</v>
      </c>
      <c r="ED90" s="7">
        <f>VC!DY46</f>
        <v>0</v>
      </c>
      <c r="EE90" s="7">
        <f>VC!DZ46</f>
        <v>0</v>
      </c>
      <c r="EF90" s="7">
        <f>VC!EA46</f>
        <v>0</v>
      </c>
      <c r="EG90" s="7">
        <f>VC!EB46</f>
        <v>0</v>
      </c>
      <c r="EH90" s="7">
        <f>VC!EC46</f>
        <v>0</v>
      </c>
      <c r="EI90" s="7">
        <f>VC!ED46</f>
        <v>0</v>
      </c>
      <c r="EJ90" s="7">
        <f>VC!EE46</f>
        <v>0</v>
      </c>
      <c r="EK90" s="7">
        <f>VC!EF46</f>
        <v>0</v>
      </c>
      <c r="EL90" s="7">
        <f>VC!EG46</f>
        <v>0</v>
      </c>
      <c r="EM90" s="7">
        <f>VC!EH46</f>
        <v>0</v>
      </c>
      <c r="EN90" s="7">
        <f>VC!EI46</f>
        <v>0</v>
      </c>
      <c r="EO90" s="7">
        <f>VC!EJ46</f>
        <v>0</v>
      </c>
      <c r="EP90" s="7">
        <f>VC!EK46</f>
        <v>0</v>
      </c>
      <c r="EQ90" s="7" t="str">
        <f>VC!EL46</f>
        <v>S457R</v>
      </c>
      <c r="ER90" s="7">
        <f>VC!EM46</f>
        <v>0</v>
      </c>
      <c r="ES90" s="7">
        <f>VC!EN46</f>
        <v>0</v>
      </c>
      <c r="ET90" s="7" t="str">
        <f>VC!EO46</f>
        <v>A473V</v>
      </c>
      <c r="EU90" s="7" t="str">
        <f>VC!EP46</f>
        <v>S457R</v>
      </c>
      <c r="EV90" s="7" t="str">
        <f>VC!EQ46</f>
        <v>E215Q</v>
      </c>
      <c r="EW90" s="7">
        <f>VC!ER46</f>
        <v>0</v>
      </c>
      <c r="EX90" s="7">
        <f>VC!ES46</f>
        <v>0</v>
      </c>
      <c r="EY90" s="7">
        <f>VC!ET46</f>
        <v>0</v>
      </c>
      <c r="EZ90" s="7">
        <f>VC!EU46</f>
        <v>0</v>
      </c>
      <c r="FA90" s="7">
        <f>VC!EV46</f>
        <v>0</v>
      </c>
      <c r="FB90" s="7">
        <f>VC!EW46</f>
        <v>0</v>
      </c>
      <c r="FC90" s="7" t="str">
        <f>VC!EX46</f>
        <v>A473V; E459K</v>
      </c>
      <c r="FD90" s="7">
        <f>VC!EY46</f>
        <v>0</v>
      </c>
      <c r="FE90" s="7" t="str">
        <f>VC!EZ46</f>
        <v>P438S</v>
      </c>
      <c r="FF90" s="7">
        <f>VC!FA46</f>
        <v>0</v>
      </c>
      <c r="FG90" s="7">
        <f>VC!FB46</f>
        <v>0</v>
      </c>
      <c r="FH90" s="7">
        <f>VC!FC46</f>
        <v>0</v>
      </c>
      <c r="FI90" s="7">
        <f>VC!FD46</f>
        <v>0</v>
      </c>
      <c r="FJ90" s="7">
        <f>VC!FE46</f>
        <v>0</v>
      </c>
      <c r="FK90" s="7">
        <f>VC!FF46</f>
        <v>0</v>
      </c>
      <c r="FL90" s="7">
        <f>VC!FG46</f>
        <v>0</v>
      </c>
      <c r="FM90" s="7">
        <f>VC!FH46</f>
        <v>0</v>
      </c>
      <c r="FN90" s="7">
        <f>VC!FI46</f>
        <v>0</v>
      </c>
      <c r="FO90" s="7">
        <f>VC!FJ46</f>
        <v>0</v>
      </c>
      <c r="FP90" s="7">
        <f>VC!FK46</f>
        <v>0</v>
      </c>
      <c r="FQ90" s="7">
        <f>VC!FL46</f>
        <v>0</v>
      </c>
      <c r="FR90" s="7">
        <f>VC!FM46</f>
        <v>0</v>
      </c>
      <c r="FS90" s="7">
        <f>VC!FN46</f>
        <v>0</v>
      </c>
      <c r="FT90" s="7">
        <f>VC!FO46</f>
        <v>0</v>
      </c>
      <c r="FU90" s="7">
        <f>VC!FP46</f>
        <v>0</v>
      </c>
      <c r="FV90" s="7">
        <f>VC!FQ46</f>
        <v>0</v>
      </c>
      <c r="FW90" s="7">
        <f>VC!FR46</f>
        <v>0</v>
      </c>
      <c r="FX90" s="7">
        <f>VC!FS46</f>
        <v>0</v>
      </c>
      <c r="FY90" s="7">
        <f>VC!FT46</f>
        <v>0</v>
      </c>
      <c r="FZ90" s="7">
        <f>VC!FU46</f>
        <v>0</v>
      </c>
      <c r="GA90" s="7">
        <f>VC!FV46</f>
        <v>0</v>
      </c>
      <c r="GB90" s="7">
        <f>VC!FW46</f>
        <v>0</v>
      </c>
      <c r="GC90" s="7" t="str">
        <f>VC!FX46</f>
        <v>I89T</v>
      </c>
      <c r="GD90" s="7">
        <f>VC!FY46</f>
        <v>0</v>
      </c>
      <c r="GE90" s="7">
        <f>VC!FZ46</f>
        <v>0</v>
      </c>
      <c r="GF90" s="7" t="str">
        <f>VC!GA46</f>
        <v>A473V</v>
      </c>
      <c r="GG90" s="7">
        <f>VC!GB46</f>
        <v>0</v>
      </c>
      <c r="GH90" s="7">
        <f>VC!GC46</f>
        <v>0</v>
      </c>
      <c r="GI90" s="7">
        <f>VC!GD46</f>
        <v>0</v>
      </c>
      <c r="GJ90" s="7">
        <f>VC!GE46</f>
        <v>0</v>
      </c>
      <c r="GK90" s="7" t="str">
        <f>VC!GF46</f>
        <v>A473V</v>
      </c>
      <c r="GL90" s="7">
        <f>VC!GG46</f>
        <v>0</v>
      </c>
      <c r="GM90" s="7">
        <f>VC!GH46</f>
        <v>0</v>
      </c>
      <c r="GN90" s="7">
        <f>VC!GI46</f>
        <v>0</v>
      </c>
      <c r="GO90" s="7">
        <f>VC!GJ46</f>
        <v>0</v>
      </c>
      <c r="GP90" s="7">
        <f>VC!GK46</f>
        <v>0</v>
      </c>
      <c r="GQ90" s="7">
        <f>VC!GL46</f>
        <v>0</v>
      </c>
      <c r="GR90" s="7">
        <f>VC!GM46</f>
        <v>0</v>
      </c>
      <c r="GS90" s="7" t="str">
        <f>VC!GN46</f>
        <v>A342V</v>
      </c>
      <c r="GT90" s="7">
        <f>VC!GO46</f>
        <v>0</v>
      </c>
      <c r="GU90" s="7">
        <f>VC!GP46</f>
        <v>0</v>
      </c>
      <c r="GV90" s="7">
        <f>VC!GQ46</f>
        <v>0</v>
      </c>
      <c r="GW90" s="7" t="str">
        <f>VC!GR46</f>
        <v>A473V</v>
      </c>
      <c r="GX90" s="7">
        <f>VC!GS46</f>
        <v>0</v>
      </c>
      <c r="GY90" s="7">
        <f>VC!GT46</f>
        <v>0</v>
      </c>
      <c r="GZ90" s="7">
        <f>VC!GU46</f>
        <v>0</v>
      </c>
      <c r="HA90" s="7">
        <f>VC!GV46</f>
        <v>0</v>
      </c>
      <c r="HB90" s="7">
        <f>VC!GW46</f>
        <v>0</v>
      </c>
      <c r="HC90" s="7">
        <f>VC!GX46</f>
        <v>0</v>
      </c>
    </row>
    <row r="91" spans="1:211" s="2" customFormat="1" x14ac:dyDescent="0.25">
      <c r="A91" s="2" t="s">
        <v>80</v>
      </c>
      <c r="B91" s="2" t="s">
        <v>59</v>
      </c>
      <c r="C91" s="4" t="s">
        <v>0</v>
      </c>
      <c r="D91" s="2" t="s">
        <v>76</v>
      </c>
      <c r="E91" s="2" t="s">
        <v>138</v>
      </c>
      <c r="F91" s="2" t="s">
        <v>74</v>
      </c>
      <c r="G91" s="2" t="s">
        <v>136</v>
      </c>
      <c r="H91" s="2">
        <f>VC!C49</f>
        <v>0</v>
      </c>
      <c r="I91" s="2">
        <f>VC!D49</f>
        <v>0</v>
      </c>
      <c r="J91" s="2">
        <f>VC!E49</f>
        <v>0</v>
      </c>
      <c r="K91" s="2">
        <f>VC!F50</f>
        <v>0</v>
      </c>
      <c r="L91" s="2">
        <f>VC!G49</f>
        <v>0</v>
      </c>
      <c r="M91" s="2" t="str">
        <f>VC!H49</f>
        <v>A262S</v>
      </c>
      <c r="N91" s="2">
        <f>VC!I49</f>
        <v>0</v>
      </c>
      <c r="O91" s="2">
        <f>VC!J49</f>
        <v>0</v>
      </c>
      <c r="P91" s="2">
        <f>VC!K49</f>
        <v>0</v>
      </c>
      <c r="Q91" s="2">
        <f>VC!L49</f>
        <v>0</v>
      </c>
      <c r="R91" s="2">
        <f>VC!M49</f>
        <v>0</v>
      </c>
      <c r="S91" s="2">
        <f>VC!N49</f>
        <v>0</v>
      </c>
      <c r="T91" s="2">
        <f>VC!O49</f>
        <v>0</v>
      </c>
      <c r="U91" s="2">
        <f>VC!P49</f>
        <v>0</v>
      </c>
      <c r="V91" s="2">
        <f>VC!Q49</f>
        <v>0</v>
      </c>
      <c r="W91" s="2">
        <f>VC!R49</f>
        <v>0</v>
      </c>
      <c r="X91" s="2">
        <f>VC!S49</f>
        <v>0</v>
      </c>
      <c r="Y91" s="2">
        <f>VC!T49</f>
        <v>0</v>
      </c>
      <c r="Z91" s="2">
        <f>VC!U49</f>
        <v>0</v>
      </c>
      <c r="AA91" s="2">
        <f>VC!V49</f>
        <v>0</v>
      </c>
      <c r="AB91" s="2">
        <f>VC!W49</f>
        <v>0</v>
      </c>
      <c r="AC91" s="2">
        <f>VC!X49</f>
        <v>0</v>
      </c>
      <c r="AD91" s="2">
        <f>VC!Y49</f>
        <v>0</v>
      </c>
      <c r="AE91" s="2">
        <f>VC!Z49</f>
        <v>0</v>
      </c>
      <c r="AF91" s="2">
        <f>VC!AA49</f>
        <v>0</v>
      </c>
      <c r="AG91" s="2">
        <f>VC!AB49</f>
        <v>0</v>
      </c>
      <c r="AH91" s="2">
        <f>VC!AC49</f>
        <v>0</v>
      </c>
      <c r="AI91" s="2">
        <f>VC!AD49</f>
        <v>0</v>
      </c>
      <c r="AJ91" s="2">
        <f>VC!AE49</f>
        <v>0</v>
      </c>
      <c r="AK91" s="2">
        <f>VC!AF49</f>
        <v>0</v>
      </c>
      <c r="AL91" s="2">
        <f>VC!AG49</f>
        <v>0</v>
      </c>
      <c r="AM91" s="2">
        <f>VC!AH49</f>
        <v>0</v>
      </c>
      <c r="AN91" s="2">
        <f>VC!AI49</f>
        <v>0</v>
      </c>
      <c r="AO91" s="2">
        <f>VC!AJ49</f>
        <v>0</v>
      </c>
      <c r="AP91" s="2" t="str">
        <f>VC!AK49</f>
        <v>R320C</v>
      </c>
      <c r="AQ91" s="2">
        <f>VC!AL49</f>
        <v>0</v>
      </c>
      <c r="AR91" s="2" t="str">
        <f>VC!AM49</f>
        <v>N238S</v>
      </c>
      <c r="AS91" s="2">
        <f>VC!AN49</f>
        <v>0</v>
      </c>
      <c r="AT91" s="2">
        <f>VC!AO49</f>
        <v>0</v>
      </c>
      <c r="AU91" s="2">
        <f>VC!AP49</f>
        <v>0</v>
      </c>
      <c r="AV91" s="2">
        <f>VC!AQ49</f>
        <v>0</v>
      </c>
      <c r="AW91" s="2">
        <f>VC!AR49</f>
        <v>0</v>
      </c>
      <c r="AX91" s="2">
        <f>VC!AS49</f>
        <v>0</v>
      </c>
      <c r="AY91" s="2">
        <f>VC!AT49</f>
        <v>0</v>
      </c>
      <c r="AZ91" s="2">
        <f>VC!AU49</f>
        <v>0</v>
      </c>
      <c r="BA91" s="2" t="str">
        <f>VC!AV49</f>
        <v>V266M</v>
      </c>
      <c r="BB91" s="2">
        <f>VC!AW49</f>
        <v>0</v>
      </c>
      <c r="BC91" s="2" t="str">
        <f>VC!AX49</f>
        <v>V266M</v>
      </c>
      <c r="BD91" s="2">
        <f>VC!AY49</f>
        <v>0</v>
      </c>
      <c r="BE91" s="2">
        <f>VC!AZ49</f>
        <v>0</v>
      </c>
      <c r="BF91" s="2">
        <f>VC!BA49</f>
        <v>0</v>
      </c>
      <c r="BG91" s="2">
        <f>VC!BB49</f>
        <v>0</v>
      </c>
      <c r="BH91" s="2">
        <f>VC!BC49</f>
        <v>0</v>
      </c>
      <c r="BI91" s="2" t="str">
        <f>VC!BD49</f>
        <v>V266M</v>
      </c>
      <c r="BJ91" s="2">
        <f>VC!BE49</f>
        <v>0</v>
      </c>
      <c r="BK91" s="2">
        <f>VC!BF49</f>
        <v>0</v>
      </c>
      <c r="BL91" s="2">
        <f>VC!BG49</f>
        <v>0</v>
      </c>
      <c r="BM91" s="2" t="str">
        <f>VC!BH49</f>
        <v xml:space="preserve">D159N </v>
      </c>
      <c r="BN91" s="2">
        <f>VC!BI49</f>
        <v>0</v>
      </c>
      <c r="BO91" s="2">
        <f>VC!BJ49</f>
        <v>0</v>
      </c>
      <c r="BP91" s="2">
        <f>VC!BK49</f>
        <v>0</v>
      </c>
      <c r="BQ91" s="2">
        <f>VC!BL49</f>
        <v>0</v>
      </c>
      <c r="BR91" s="2">
        <f>VC!BM49</f>
        <v>0</v>
      </c>
      <c r="BS91" s="2" t="str">
        <f>VC!BN49</f>
        <v>V266M</v>
      </c>
      <c r="BT91" s="2" t="str">
        <f>VC!BO49</f>
        <v>A262S</v>
      </c>
      <c r="BU91" s="2">
        <f>VC!BP49</f>
        <v>0</v>
      </c>
      <c r="BV91" s="2">
        <f>VC!BQ49</f>
        <v>0</v>
      </c>
      <c r="BW91" s="2">
        <f>VC!BR49</f>
        <v>0</v>
      </c>
      <c r="BX91" s="2">
        <f>VC!BS49</f>
        <v>0</v>
      </c>
      <c r="BY91" s="2">
        <f>VC!BT49</f>
        <v>0</v>
      </c>
      <c r="BZ91" s="2" t="str">
        <f>VC!BU49</f>
        <v>A87T</v>
      </c>
      <c r="CA91" s="2">
        <f>VC!BV49</f>
        <v>0</v>
      </c>
      <c r="CB91" s="2">
        <f>VC!BW49</f>
        <v>0</v>
      </c>
      <c r="CC91" s="2">
        <f>VC!BX49</f>
        <v>0</v>
      </c>
      <c r="CD91" s="2" t="str">
        <f>VC!BY49</f>
        <v>V266M</v>
      </c>
      <c r="CE91" s="2">
        <f>VC!BZ49</f>
        <v>0</v>
      </c>
      <c r="CF91" s="2">
        <f>VC!CA49</f>
        <v>0</v>
      </c>
      <c r="CG91" s="2">
        <f>VC!CB49</f>
        <v>0</v>
      </c>
      <c r="CH91" s="2">
        <f>VC!CC49</f>
        <v>0</v>
      </c>
      <c r="CI91" s="2">
        <f>VC!CD49</f>
        <v>0</v>
      </c>
      <c r="CJ91" s="2" t="str">
        <f>VC!CE49</f>
        <v>V266M</v>
      </c>
      <c r="CK91" s="2" t="str">
        <f>VC!CF49</f>
        <v>V266M</v>
      </c>
      <c r="CL91" s="2">
        <f>VC!CG49</f>
        <v>0</v>
      </c>
      <c r="CM91" s="2">
        <f>VC!CH49</f>
        <v>0</v>
      </c>
      <c r="CN91" s="2">
        <f>VC!CI49</f>
        <v>0</v>
      </c>
      <c r="CO91" s="2">
        <f>VC!CJ49</f>
        <v>0</v>
      </c>
      <c r="CP91" s="2" t="str">
        <f>VC!CK49</f>
        <v>V266M</v>
      </c>
      <c r="CQ91" s="2" t="str">
        <f>VC!CL49</f>
        <v>V266M</v>
      </c>
      <c r="CR91" s="2">
        <f>VC!CM49</f>
        <v>0</v>
      </c>
      <c r="CS91" s="2">
        <f>VC!CN49</f>
        <v>0</v>
      </c>
      <c r="CT91" s="2">
        <f>VC!CO49</f>
        <v>0</v>
      </c>
      <c r="CU91" s="2">
        <f>VC!CP49</f>
        <v>0</v>
      </c>
      <c r="CV91" s="2">
        <f>VC!CQ49</f>
        <v>0</v>
      </c>
      <c r="CW91" s="2">
        <f>VC!CR49</f>
        <v>0</v>
      </c>
      <c r="CX91" s="2">
        <f>VC!CS49</f>
        <v>0</v>
      </c>
      <c r="CY91" s="2">
        <f>VC!CT49</f>
        <v>0</v>
      </c>
      <c r="CZ91" s="2" t="str">
        <f>VC!CU49</f>
        <v>R204C</v>
      </c>
      <c r="DA91" s="2">
        <f>VC!CV49</f>
        <v>0</v>
      </c>
      <c r="DB91" s="2">
        <f>VC!CW49</f>
        <v>0</v>
      </c>
      <c r="DC91" s="2">
        <f>VC!CX49</f>
        <v>0</v>
      </c>
      <c r="DD91" s="2">
        <f>VC!CY49</f>
        <v>0</v>
      </c>
      <c r="DE91" s="2">
        <f>VC!CZ49</f>
        <v>0</v>
      </c>
      <c r="DF91" s="2">
        <f>VC!DA49</f>
        <v>0</v>
      </c>
      <c r="DG91" s="2">
        <f>VC!DB49</f>
        <v>0</v>
      </c>
      <c r="DH91" s="2" t="str">
        <f>VC!DC49</f>
        <v>S184G</v>
      </c>
      <c r="DI91" s="2">
        <f>VC!DD49</f>
        <v>0</v>
      </c>
      <c r="DJ91" s="2" t="str">
        <f>VC!DE49</f>
        <v>R204C</v>
      </c>
      <c r="DK91" s="2" t="str">
        <f>VC!DF49</f>
        <v>A262S</v>
      </c>
      <c r="DL91" s="2">
        <f>VC!DG49</f>
        <v>0</v>
      </c>
      <c r="DM91" s="2">
        <f>VC!DH49</f>
        <v>0</v>
      </c>
      <c r="DN91" s="2">
        <f>VC!DI49</f>
        <v>0</v>
      </c>
      <c r="DO91" s="2">
        <f>VC!DJ49</f>
        <v>0</v>
      </c>
      <c r="DP91" s="2">
        <f>VC!DK49</f>
        <v>0</v>
      </c>
      <c r="DQ91" s="2">
        <f>VC!DL49</f>
        <v>0</v>
      </c>
      <c r="DR91" s="2">
        <f>VC!DM49</f>
        <v>0</v>
      </c>
      <c r="DS91" s="2">
        <f>VC!DN49</f>
        <v>0</v>
      </c>
      <c r="DT91" s="2">
        <f>VC!DO49</f>
        <v>0</v>
      </c>
      <c r="DU91" s="2" t="str">
        <f>VC!DP49</f>
        <v>V266M</v>
      </c>
      <c r="DV91" s="2">
        <f>VC!DQ49</f>
        <v>0</v>
      </c>
      <c r="DW91" s="2" t="str">
        <f>VC!DR49</f>
        <v>V266M</v>
      </c>
      <c r="DX91" s="2">
        <f>VC!DS49</f>
        <v>0</v>
      </c>
      <c r="DY91" s="2">
        <f>VC!DT49</f>
        <v>0</v>
      </c>
      <c r="DZ91" s="2">
        <f>VC!DU49</f>
        <v>0</v>
      </c>
      <c r="EA91" s="2" t="str">
        <f>VC!DV49</f>
        <v>V266M</v>
      </c>
      <c r="EB91" s="2">
        <f>VC!DW49</f>
        <v>0</v>
      </c>
      <c r="EC91" s="2">
        <f>VC!DX49</f>
        <v>0</v>
      </c>
      <c r="ED91" s="2">
        <f>VC!DY49</f>
        <v>0</v>
      </c>
      <c r="EE91" s="2" t="str">
        <f>VC!DZ49</f>
        <v>V266M</v>
      </c>
      <c r="EF91" s="2">
        <f>VC!EA49</f>
        <v>0</v>
      </c>
      <c r="EG91" s="2">
        <f>VC!EB49</f>
        <v>0</v>
      </c>
      <c r="EH91" s="2">
        <f>VC!EC49</f>
        <v>0</v>
      </c>
      <c r="EI91" s="2">
        <f>VC!ED49</f>
        <v>0</v>
      </c>
      <c r="EJ91" s="2" t="str">
        <f>VC!EE49</f>
        <v xml:space="preserve">N238S </v>
      </c>
      <c r="EK91" s="2" t="str">
        <f>VC!EF49</f>
        <v>S184G</v>
      </c>
      <c r="EL91" s="2" t="str">
        <f>VC!EG49</f>
        <v>E307D; I346V</v>
      </c>
      <c r="EM91" s="2">
        <f>VC!EH49</f>
        <v>0</v>
      </c>
      <c r="EN91" s="2">
        <f>VC!EI49</f>
        <v>0</v>
      </c>
      <c r="EO91" s="2">
        <f>VC!EJ49</f>
        <v>0</v>
      </c>
      <c r="EP91" s="2" t="str">
        <f>VC!EK49</f>
        <v>N238S</v>
      </c>
      <c r="EQ91" s="2">
        <f>VC!EL49</f>
        <v>0</v>
      </c>
      <c r="ER91" s="2">
        <f>VC!EM49</f>
        <v>0</v>
      </c>
      <c r="ES91" s="2">
        <f>VC!EN49</f>
        <v>0</v>
      </c>
      <c r="ET91" s="2">
        <f>VC!EO49</f>
        <v>0</v>
      </c>
      <c r="EU91" s="2">
        <f>VC!EP49</f>
        <v>0</v>
      </c>
      <c r="EV91" s="2" t="str">
        <f>VC!EQ49</f>
        <v>A262S</v>
      </c>
      <c r="EW91" s="2" t="str">
        <f>VC!ER49</f>
        <v>V247I; V362I</v>
      </c>
      <c r="EX91" s="2" t="str">
        <f>VC!ES49</f>
        <v>R322S</v>
      </c>
      <c r="EY91" s="2" t="str">
        <f>VC!ET49</f>
        <v>N238S</v>
      </c>
      <c r="EZ91" s="2">
        <f>VC!EU49</f>
        <v>0</v>
      </c>
      <c r="FA91" s="2" t="str">
        <f>VC!EV49</f>
        <v>R204C</v>
      </c>
      <c r="FB91" s="2">
        <f>VC!EW49</f>
        <v>0</v>
      </c>
      <c r="FC91" s="2">
        <f>VC!EX49</f>
        <v>0</v>
      </c>
      <c r="FD91" s="2" t="str">
        <f>VC!EY49</f>
        <v>R204C</v>
      </c>
      <c r="FE91" s="2">
        <f>VC!EZ49</f>
        <v>0</v>
      </c>
      <c r="FF91" s="2">
        <f>VC!FA49</f>
        <v>0</v>
      </c>
      <c r="FG91" s="2" t="str">
        <f>VC!FB49</f>
        <v>G190S</v>
      </c>
      <c r="FH91" s="2" t="str">
        <f>VC!FC49</f>
        <v>I346V</v>
      </c>
      <c r="FI91" s="2">
        <f>VC!FD49</f>
        <v>0</v>
      </c>
      <c r="FJ91" s="2">
        <f>VC!FE49</f>
        <v>0</v>
      </c>
      <c r="FK91" s="2">
        <f>VC!FF49</f>
        <v>0</v>
      </c>
      <c r="FL91" s="2">
        <f>VC!FG49</f>
        <v>0</v>
      </c>
      <c r="FM91" s="2">
        <f>VC!FH49</f>
        <v>0</v>
      </c>
      <c r="FN91" s="2">
        <f>VC!FI49</f>
        <v>0</v>
      </c>
      <c r="FO91" s="2" t="str">
        <f>VC!FJ49</f>
        <v>V266M</v>
      </c>
      <c r="FP91" s="2">
        <f>VC!FK49</f>
        <v>0</v>
      </c>
      <c r="FQ91" s="2" t="str">
        <f>VC!FL49</f>
        <v>V266M</v>
      </c>
      <c r="FR91" s="2">
        <f>VC!FM49</f>
        <v>0</v>
      </c>
      <c r="FS91" s="2" t="str">
        <f>VC!FN49</f>
        <v>G134D</v>
      </c>
      <c r="FT91" s="2">
        <f>VC!FO49</f>
        <v>0</v>
      </c>
      <c r="FU91" s="2">
        <f>VC!FP49</f>
        <v>0</v>
      </c>
      <c r="FV91" s="2">
        <f>VC!FQ49</f>
        <v>0</v>
      </c>
      <c r="FW91" s="2" t="str">
        <f>VC!FR49</f>
        <v>G190S</v>
      </c>
      <c r="FX91" s="2">
        <f>VC!FS49</f>
        <v>0</v>
      </c>
      <c r="FY91" s="2">
        <f>VC!FT49</f>
        <v>0</v>
      </c>
      <c r="FZ91" s="2">
        <f>VC!FU49</f>
        <v>0</v>
      </c>
      <c r="GA91" s="2" t="str">
        <f>VC!FV49</f>
        <v>V266M</v>
      </c>
      <c r="GB91" s="2">
        <f>VC!FW49</f>
        <v>0</v>
      </c>
      <c r="GC91" s="2">
        <f>VC!FX49</f>
        <v>0</v>
      </c>
      <c r="GD91" s="2">
        <f>VC!FY49</f>
        <v>0</v>
      </c>
      <c r="GE91" s="2">
        <f>VC!FZ49</f>
        <v>0</v>
      </c>
      <c r="GF91" s="2">
        <f>VC!GA49</f>
        <v>0</v>
      </c>
      <c r="GG91" s="2">
        <f>VC!GB49</f>
        <v>0</v>
      </c>
      <c r="GH91" s="2">
        <f>VC!GC49</f>
        <v>0</v>
      </c>
      <c r="GI91" s="2">
        <f>VC!GD49</f>
        <v>0</v>
      </c>
      <c r="GJ91" s="2">
        <f>VC!GE49</f>
        <v>0</v>
      </c>
      <c r="GK91" s="2">
        <f>VC!GF49</f>
        <v>0</v>
      </c>
      <c r="GL91" s="2">
        <f>VC!GG49</f>
        <v>0</v>
      </c>
      <c r="GM91" s="2" t="str">
        <f>VC!GH49</f>
        <v>V266M</v>
      </c>
      <c r="GN91" s="2">
        <f>VC!GI49</f>
        <v>0</v>
      </c>
      <c r="GO91" s="2">
        <f>VC!GJ49</f>
        <v>0</v>
      </c>
      <c r="GP91" s="2">
        <f>VC!GK49</f>
        <v>0</v>
      </c>
      <c r="GQ91" s="2">
        <f>VC!GL49</f>
        <v>0</v>
      </c>
      <c r="GR91" s="2">
        <f>VC!GM49</f>
        <v>0</v>
      </c>
      <c r="GS91" s="2">
        <f>VC!GN49</f>
        <v>0</v>
      </c>
      <c r="GT91" s="2">
        <f>VC!GO49</f>
        <v>0</v>
      </c>
      <c r="GU91" s="2" t="str">
        <f>VC!GP49</f>
        <v>H182Y</v>
      </c>
      <c r="GV91" s="2">
        <f>VC!GQ49</f>
        <v>0</v>
      </c>
      <c r="GW91" s="2">
        <f>VC!GR49</f>
        <v>0</v>
      </c>
      <c r="GX91" s="2" t="str">
        <f>VC!GS49</f>
        <v>A262S</v>
      </c>
      <c r="GY91" s="2">
        <f>VC!GT49</f>
        <v>0</v>
      </c>
      <c r="GZ91" s="2">
        <f>VC!GU49</f>
        <v>0</v>
      </c>
      <c r="HA91" s="2">
        <f>VC!GV49</f>
        <v>0</v>
      </c>
      <c r="HB91" s="2" t="str">
        <f>VC!GW49</f>
        <v>V266M</v>
      </c>
      <c r="HC91" s="2">
        <f>VC!GX49</f>
        <v>0</v>
      </c>
    </row>
    <row r="92" spans="1:211" s="7" customFormat="1" x14ac:dyDescent="0.25">
      <c r="A92" s="7" t="s">
        <v>37</v>
      </c>
      <c r="B92" s="7" t="s">
        <v>38</v>
      </c>
      <c r="C92" s="8" t="s">
        <v>1</v>
      </c>
      <c r="D92" s="7" t="s">
        <v>76</v>
      </c>
      <c r="E92" s="7" t="s">
        <v>139</v>
      </c>
      <c r="F92" s="7" t="s">
        <v>74</v>
      </c>
      <c r="G92" s="7" t="s">
        <v>136</v>
      </c>
      <c r="H92" s="7">
        <f>VC!C50</f>
        <v>0</v>
      </c>
      <c r="I92" s="7">
        <f>VC!D50</f>
        <v>0</v>
      </c>
      <c r="J92" s="7">
        <f>VC!E50</f>
        <v>0</v>
      </c>
      <c r="K92" s="7">
        <f>VC!F53</f>
        <v>0</v>
      </c>
      <c r="L92" s="7">
        <f>VC!G50</f>
        <v>0</v>
      </c>
      <c r="M92" s="7">
        <f>VC!H50</f>
        <v>0</v>
      </c>
      <c r="N92" s="7" t="str">
        <f>VC!I50</f>
        <v>V40I</v>
      </c>
      <c r="O92" s="7">
        <f>VC!J50</f>
        <v>0</v>
      </c>
      <c r="P92" s="7">
        <f>VC!K50</f>
        <v>0</v>
      </c>
      <c r="Q92" s="7">
        <f>VC!L50</f>
        <v>0</v>
      </c>
      <c r="R92" s="7">
        <f>VC!M50</f>
        <v>0</v>
      </c>
      <c r="S92" s="7">
        <f>VC!N50</f>
        <v>0</v>
      </c>
      <c r="T92" s="7">
        <f>VC!O50</f>
        <v>0</v>
      </c>
      <c r="U92" s="7">
        <f>VC!P50</f>
        <v>0</v>
      </c>
      <c r="V92" s="7">
        <f>VC!Q50</f>
        <v>0</v>
      </c>
      <c r="W92" s="7">
        <f>VC!R50</f>
        <v>0</v>
      </c>
      <c r="X92" s="7">
        <f>VC!S50</f>
        <v>0</v>
      </c>
      <c r="Y92" s="7">
        <f>VC!T50</f>
        <v>0</v>
      </c>
      <c r="Z92" s="7">
        <f>VC!U50</f>
        <v>0</v>
      </c>
      <c r="AA92" s="7" t="str">
        <f>VC!V50</f>
        <v>V40I</v>
      </c>
      <c r="AB92" s="7" t="str">
        <f>VC!W50</f>
        <v>Q117E</v>
      </c>
      <c r="AC92" s="7">
        <f>VC!X50</f>
        <v>0</v>
      </c>
      <c r="AD92" s="7">
        <f>VC!Y50</f>
        <v>0</v>
      </c>
      <c r="AE92" s="7">
        <f>VC!Z50</f>
        <v>0</v>
      </c>
      <c r="AF92" s="7">
        <f>VC!AA50</f>
        <v>0</v>
      </c>
      <c r="AG92" s="7">
        <f>VC!AB50</f>
        <v>0</v>
      </c>
      <c r="AH92" s="7" t="str">
        <f>VC!AC50</f>
        <v>P116S</v>
      </c>
      <c r="AI92" s="7">
        <f>VC!AD50</f>
        <v>0</v>
      </c>
      <c r="AJ92" s="7">
        <f>VC!AE50</f>
        <v>0</v>
      </c>
      <c r="AK92" s="7">
        <f>VC!AF50</f>
        <v>0</v>
      </c>
      <c r="AL92" s="7">
        <f>VC!AG50</f>
        <v>0</v>
      </c>
      <c r="AM92" s="7">
        <f>VC!AH50</f>
        <v>0</v>
      </c>
      <c r="AN92" s="7">
        <f>VC!AI50</f>
        <v>0</v>
      </c>
      <c r="AO92" s="7">
        <f>VC!AJ50</f>
        <v>0</v>
      </c>
      <c r="AP92" s="7">
        <f>VC!AK50</f>
        <v>0</v>
      </c>
      <c r="AQ92" s="7">
        <f>VC!AL50</f>
        <v>0</v>
      </c>
      <c r="AR92" s="7">
        <f>VC!AM50</f>
        <v>0</v>
      </c>
      <c r="AS92" s="7">
        <f>VC!AN50</f>
        <v>0</v>
      </c>
      <c r="AT92" s="7">
        <f>VC!AO50</f>
        <v>0</v>
      </c>
      <c r="AU92" s="7">
        <f>VC!AP50</f>
        <v>0</v>
      </c>
      <c r="AV92" s="7">
        <f>VC!AQ50</f>
        <v>0</v>
      </c>
      <c r="AW92" s="7">
        <f>VC!AR50</f>
        <v>0</v>
      </c>
      <c r="AX92" s="7">
        <f>VC!AS50</f>
        <v>0</v>
      </c>
      <c r="AY92" s="7">
        <f>VC!AT50</f>
        <v>0</v>
      </c>
      <c r="AZ92" s="7">
        <f>VC!AU50</f>
        <v>0</v>
      </c>
      <c r="BA92" s="7">
        <f>VC!AV50</f>
        <v>0</v>
      </c>
      <c r="BB92" s="7">
        <f>VC!AW50</f>
        <v>0</v>
      </c>
      <c r="BC92" s="7">
        <f>VC!AX50</f>
        <v>0</v>
      </c>
      <c r="BD92" s="7">
        <f>VC!AY50</f>
        <v>0</v>
      </c>
      <c r="BE92" s="7">
        <f>VC!AZ50</f>
        <v>0</v>
      </c>
      <c r="BF92" s="7">
        <f>VC!BA50</f>
        <v>0</v>
      </c>
      <c r="BG92" s="7">
        <f>VC!BB50</f>
        <v>0</v>
      </c>
      <c r="BH92" s="7" t="str">
        <f>VC!BC50</f>
        <v>Q117E</v>
      </c>
      <c r="BI92" s="7">
        <f>VC!BD50</f>
        <v>0</v>
      </c>
      <c r="BJ92" s="7">
        <f>VC!BE50</f>
        <v>0</v>
      </c>
      <c r="BK92" s="7">
        <f>VC!BF50</f>
        <v>0</v>
      </c>
      <c r="BL92" s="7">
        <f>VC!BG50</f>
        <v>0</v>
      </c>
      <c r="BM92" s="7">
        <f>VC!BH50</f>
        <v>0</v>
      </c>
      <c r="BN92" s="7">
        <f>VC!BI50</f>
        <v>0</v>
      </c>
      <c r="BO92" s="7">
        <f>VC!BJ50</f>
        <v>0</v>
      </c>
      <c r="BP92" s="7">
        <f>VC!BK50</f>
        <v>0</v>
      </c>
      <c r="BQ92" s="7">
        <f>VC!BL50</f>
        <v>0</v>
      </c>
      <c r="BR92" s="7">
        <f>VC!BM50</f>
        <v>0</v>
      </c>
      <c r="BS92" s="7">
        <f>VC!BN50</f>
        <v>0</v>
      </c>
      <c r="BT92" s="7">
        <f>VC!BO50</f>
        <v>0</v>
      </c>
      <c r="BU92" s="7">
        <f>VC!BP50</f>
        <v>0</v>
      </c>
      <c r="BV92" s="7">
        <f>VC!BQ50</f>
        <v>0</v>
      </c>
      <c r="BW92" s="7">
        <f>VC!BR50</f>
        <v>0</v>
      </c>
      <c r="BX92" s="7">
        <f>VC!BS50</f>
        <v>0</v>
      </c>
      <c r="BY92" s="7">
        <f>VC!BT50</f>
        <v>0</v>
      </c>
      <c r="BZ92" s="7">
        <f>VC!BU50</f>
        <v>0</v>
      </c>
      <c r="CA92" s="7">
        <f>VC!BV50</f>
        <v>0</v>
      </c>
      <c r="CB92" s="7">
        <f>VC!BW50</f>
        <v>0</v>
      </c>
      <c r="CC92" s="7">
        <f>VC!BX50</f>
        <v>0</v>
      </c>
      <c r="CD92" s="7">
        <f>VC!BY50</f>
        <v>0</v>
      </c>
      <c r="CE92" s="7">
        <f>VC!BZ50</f>
        <v>0</v>
      </c>
      <c r="CF92" s="7">
        <f>VC!CA50</f>
        <v>0</v>
      </c>
      <c r="CG92" s="7">
        <f>VC!CB50</f>
        <v>0</v>
      </c>
      <c r="CH92" s="7">
        <f>VC!CC50</f>
        <v>0</v>
      </c>
      <c r="CI92" s="7">
        <f>VC!CD50</f>
        <v>0</v>
      </c>
      <c r="CJ92" s="7">
        <f>VC!CE50</f>
        <v>0</v>
      </c>
      <c r="CK92" s="7">
        <f>VC!CF50</f>
        <v>0</v>
      </c>
      <c r="CL92" s="7">
        <f>VC!CG50</f>
        <v>0</v>
      </c>
      <c r="CM92" s="7">
        <f>VC!CH50</f>
        <v>0</v>
      </c>
      <c r="CN92" s="7">
        <f>VC!CI50</f>
        <v>0</v>
      </c>
      <c r="CO92" s="7">
        <f>VC!CJ50</f>
        <v>0</v>
      </c>
      <c r="CP92" s="7">
        <f>VC!CK50</f>
        <v>0</v>
      </c>
      <c r="CQ92" s="7">
        <f>VC!CL50</f>
        <v>0</v>
      </c>
      <c r="CR92" s="7">
        <f>VC!CM50</f>
        <v>0</v>
      </c>
      <c r="CS92" s="7">
        <f>VC!CN50</f>
        <v>0</v>
      </c>
      <c r="CT92" s="7">
        <f>VC!CO50</f>
        <v>0</v>
      </c>
      <c r="CU92" s="7" t="str">
        <f>VC!CP50</f>
        <v>Q110R</v>
      </c>
      <c r="CV92" s="7">
        <f>VC!CQ50</f>
        <v>0</v>
      </c>
      <c r="CW92" s="7">
        <f>VC!CR50</f>
        <v>0</v>
      </c>
      <c r="CX92" s="7">
        <f>VC!CS50</f>
        <v>0</v>
      </c>
      <c r="CY92" s="7">
        <f>VC!CT50</f>
        <v>0</v>
      </c>
      <c r="CZ92" s="7">
        <f>VC!CU50</f>
        <v>0</v>
      </c>
      <c r="DA92" s="7">
        <f>VC!CV50</f>
        <v>0</v>
      </c>
      <c r="DB92" s="7">
        <f>VC!CW50</f>
        <v>0</v>
      </c>
      <c r="DC92" s="7">
        <f>VC!CX50</f>
        <v>0</v>
      </c>
      <c r="DD92" s="7">
        <f>VC!CY50</f>
        <v>0</v>
      </c>
      <c r="DE92" s="7">
        <f>VC!CZ50</f>
        <v>0</v>
      </c>
      <c r="DF92" s="7">
        <f>VC!DA50</f>
        <v>0</v>
      </c>
      <c r="DG92" s="7">
        <f>VC!DB50</f>
        <v>0</v>
      </c>
      <c r="DH92" s="7">
        <f>VC!DC50</f>
        <v>0</v>
      </c>
      <c r="DI92" s="7">
        <f>VC!DD50</f>
        <v>0</v>
      </c>
      <c r="DJ92" s="7">
        <f>VC!DE50</f>
        <v>0</v>
      </c>
      <c r="DK92" s="7">
        <f>VC!DF50</f>
        <v>0</v>
      </c>
      <c r="DL92" s="7">
        <f>VC!DG50</f>
        <v>0</v>
      </c>
      <c r="DM92" s="7">
        <f>VC!DH50</f>
        <v>0</v>
      </c>
      <c r="DN92" s="7">
        <f>VC!DI50</f>
        <v>0</v>
      </c>
      <c r="DO92" s="7">
        <f>VC!DJ50</f>
        <v>0</v>
      </c>
      <c r="DP92" s="7">
        <f>VC!DK50</f>
        <v>0</v>
      </c>
      <c r="DQ92" s="7">
        <f>VC!DL50</f>
        <v>0</v>
      </c>
      <c r="DR92" s="7">
        <f>VC!DM50</f>
        <v>0</v>
      </c>
      <c r="DS92" s="7">
        <f>VC!DN50</f>
        <v>0</v>
      </c>
      <c r="DT92" s="7">
        <f>VC!DO50</f>
        <v>0</v>
      </c>
      <c r="DU92" s="7">
        <f>VC!DP50</f>
        <v>0</v>
      </c>
      <c r="DV92" s="7">
        <f>VC!DQ50</f>
        <v>0</v>
      </c>
      <c r="DW92" s="7">
        <f>VC!DR50</f>
        <v>0</v>
      </c>
      <c r="DX92" s="7">
        <f>VC!DS50</f>
        <v>0</v>
      </c>
      <c r="DY92" s="7">
        <f>VC!DT50</f>
        <v>0</v>
      </c>
      <c r="DZ92" s="7">
        <f>VC!DU50</f>
        <v>0</v>
      </c>
      <c r="EA92" s="7">
        <f>VC!DV50</f>
        <v>0</v>
      </c>
      <c r="EB92" s="7">
        <f>VC!DW50</f>
        <v>0</v>
      </c>
      <c r="EC92" s="7">
        <f>VC!DX50</f>
        <v>0</v>
      </c>
      <c r="ED92" s="7">
        <f>VC!DY50</f>
        <v>0</v>
      </c>
      <c r="EE92" s="7">
        <f>VC!DZ50</f>
        <v>0</v>
      </c>
      <c r="EF92" s="7" t="str">
        <f>VC!EA50</f>
        <v>V40I</v>
      </c>
      <c r="EG92" s="7">
        <f>VC!EB50</f>
        <v>0</v>
      </c>
      <c r="EH92" s="7">
        <f>VC!EC50</f>
        <v>0</v>
      </c>
      <c r="EI92" s="7">
        <f>VC!ED50</f>
        <v>0</v>
      </c>
      <c r="EJ92" s="7">
        <f>VC!EE50</f>
        <v>0</v>
      </c>
      <c r="EK92" s="7">
        <f>VC!EF50</f>
        <v>0</v>
      </c>
      <c r="EL92" s="7">
        <f>VC!EG50</f>
        <v>0</v>
      </c>
      <c r="EM92" s="7">
        <f>VC!EH50</f>
        <v>0</v>
      </c>
      <c r="EN92" s="7">
        <f>VC!EI50</f>
        <v>0</v>
      </c>
      <c r="EO92" s="7">
        <f>VC!EJ50</f>
        <v>0</v>
      </c>
      <c r="EP92" s="7">
        <f>VC!EK50</f>
        <v>0</v>
      </c>
      <c r="EQ92" s="7">
        <f>VC!EL50</f>
        <v>0</v>
      </c>
      <c r="ER92" s="7">
        <f>VC!EM50</f>
        <v>0</v>
      </c>
      <c r="ES92" s="7">
        <f>VC!EN50</f>
        <v>0</v>
      </c>
      <c r="ET92" s="7">
        <f>VC!EO50</f>
        <v>0</v>
      </c>
      <c r="EU92" s="7">
        <f>VC!EP50</f>
        <v>0</v>
      </c>
      <c r="EV92" s="7">
        <f>VC!EQ50</f>
        <v>0</v>
      </c>
      <c r="EW92" s="7" t="str">
        <f>VC!ER50</f>
        <v>A8V; Q110K</v>
      </c>
      <c r="EX92" s="7">
        <f>VC!ES50</f>
        <v>0</v>
      </c>
      <c r="EY92" s="7">
        <f>VC!ET50</f>
        <v>0</v>
      </c>
      <c r="EZ92" s="7">
        <f>VC!EU50</f>
        <v>0</v>
      </c>
      <c r="FA92" s="7">
        <f>VC!EV50</f>
        <v>0</v>
      </c>
      <c r="FB92" s="7">
        <f>VC!EW50</f>
        <v>0</v>
      </c>
      <c r="FC92" s="7">
        <f>VC!EX50</f>
        <v>0</v>
      </c>
      <c r="FD92" s="7">
        <f>VC!EY50</f>
        <v>0</v>
      </c>
      <c r="FE92" s="7" t="str">
        <f>VC!EZ50</f>
        <v>V40I</v>
      </c>
      <c r="FF92" s="7">
        <f>VC!FA50</f>
        <v>0</v>
      </c>
      <c r="FG92" s="7">
        <f>VC!FB50</f>
        <v>0</v>
      </c>
      <c r="FH92" s="7">
        <f>VC!FC50</f>
        <v>0</v>
      </c>
      <c r="FI92" s="7">
        <f>VC!FD50</f>
        <v>0</v>
      </c>
      <c r="FJ92" s="7">
        <f>VC!FE50</f>
        <v>0</v>
      </c>
      <c r="FK92" s="7">
        <f>VC!FF50</f>
        <v>0</v>
      </c>
      <c r="FL92" s="7" t="str">
        <f>VC!FG50</f>
        <v>V40I</v>
      </c>
      <c r="FM92" s="7">
        <f>VC!FH50</f>
        <v>0</v>
      </c>
      <c r="FN92" s="7">
        <f>VC!FI50</f>
        <v>0</v>
      </c>
      <c r="FO92" s="7">
        <f>VC!FJ50</f>
        <v>0</v>
      </c>
      <c r="FP92" s="7">
        <f>VC!FK50</f>
        <v>0</v>
      </c>
      <c r="FQ92" s="7">
        <f>VC!FL50</f>
        <v>0</v>
      </c>
      <c r="FR92" s="7">
        <f>VC!FM50</f>
        <v>0</v>
      </c>
      <c r="FS92" s="7">
        <f>VC!FN50</f>
        <v>0</v>
      </c>
      <c r="FT92" s="7">
        <f>VC!FO50</f>
        <v>0</v>
      </c>
      <c r="FU92" s="7">
        <f>VC!FP50</f>
        <v>0</v>
      </c>
      <c r="FV92" s="7">
        <f>VC!FQ50</f>
        <v>0</v>
      </c>
      <c r="FW92" s="7">
        <f>VC!FR50</f>
        <v>0</v>
      </c>
      <c r="FX92" s="7">
        <f>VC!FS50</f>
        <v>0</v>
      </c>
      <c r="FY92" s="7" t="str">
        <f>VC!FT50</f>
        <v>T115S</v>
      </c>
      <c r="FZ92" s="7">
        <f>VC!FU50</f>
        <v>0</v>
      </c>
      <c r="GA92" s="7">
        <f>VC!FV50</f>
        <v>0</v>
      </c>
      <c r="GB92" s="7">
        <f>VC!FW50</f>
        <v>0</v>
      </c>
      <c r="GC92" s="7">
        <f>VC!FX50</f>
        <v>0</v>
      </c>
      <c r="GD92" s="7">
        <f>VC!FY50</f>
        <v>0</v>
      </c>
      <c r="GE92" s="7">
        <f>VC!FZ50</f>
        <v>0</v>
      </c>
      <c r="GF92" s="7">
        <f>VC!GA50</f>
        <v>0</v>
      </c>
      <c r="GG92" s="7">
        <f>VC!GB50</f>
        <v>0</v>
      </c>
      <c r="GH92" s="7">
        <f>VC!GC50</f>
        <v>0</v>
      </c>
      <c r="GI92" s="7">
        <f>VC!GD50</f>
        <v>0</v>
      </c>
      <c r="GJ92" s="7">
        <f>VC!GE50</f>
        <v>0</v>
      </c>
      <c r="GK92" s="7">
        <f>VC!GF50</f>
        <v>0</v>
      </c>
      <c r="GL92" s="7">
        <f>VC!GG50</f>
        <v>0</v>
      </c>
      <c r="GM92" s="7">
        <f>VC!GH50</f>
        <v>0</v>
      </c>
      <c r="GN92" s="7">
        <f>VC!GI50</f>
        <v>0</v>
      </c>
      <c r="GO92" s="7">
        <f>VC!GJ50</f>
        <v>0</v>
      </c>
      <c r="GP92" s="7">
        <f>VC!GK50</f>
        <v>0</v>
      </c>
      <c r="GQ92" s="7">
        <f>VC!GL50</f>
        <v>0</v>
      </c>
      <c r="GR92" s="7">
        <f>VC!GM50</f>
        <v>0</v>
      </c>
      <c r="GS92" s="7">
        <f>VC!GN50</f>
        <v>0</v>
      </c>
      <c r="GT92" s="7">
        <f>VC!GO50</f>
        <v>0</v>
      </c>
      <c r="GU92" s="7">
        <f>VC!GP50</f>
        <v>0</v>
      </c>
      <c r="GV92" s="7">
        <f>VC!GQ50</f>
        <v>0</v>
      </c>
      <c r="GW92" s="7">
        <f>VC!GR50</f>
        <v>0</v>
      </c>
      <c r="GX92" s="7">
        <f>VC!GS50</f>
        <v>0</v>
      </c>
      <c r="GY92" s="7">
        <f>VC!GT50</f>
        <v>0</v>
      </c>
      <c r="GZ92" s="7">
        <f>VC!GU50</f>
        <v>0</v>
      </c>
      <c r="HA92" s="7">
        <f>VC!GV50</f>
        <v>0</v>
      </c>
      <c r="HB92" s="7">
        <f>VC!GW50</f>
        <v>0</v>
      </c>
      <c r="HC92" s="7" t="str">
        <f>VC!GX50</f>
        <v>P21Q</v>
      </c>
    </row>
    <row r="93" spans="1:211" x14ac:dyDescent="0.25">
      <c r="C93" s="4" t="s">
        <v>0</v>
      </c>
      <c r="G93" t="s">
        <v>1044</v>
      </c>
      <c r="H93">
        <f>1+0.25</f>
        <v>1.25</v>
      </c>
      <c r="I93">
        <v>0.25</v>
      </c>
      <c r="J93">
        <v>0.25</v>
      </c>
      <c r="K93">
        <v>0</v>
      </c>
      <c r="L93">
        <v>0.5</v>
      </c>
      <c r="M93">
        <f>0.25+0.25</f>
        <v>0.5</v>
      </c>
      <c r="N93">
        <f>1+0.5+0.25</f>
        <v>1.75</v>
      </c>
      <c r="O93">
        <v>0</v>
      </c>
      <c r="P93">
        <v>0</v>
      </c>
      <c r="Q93">
        <v>0</v>
      </c>
      <c r="R93">
        <f>0.25+0.25</f>
        <v>0.5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0.25</v>
      </c>
      <c r="AA93">
        <v>0</v>
      </c>
      <c r="AB93">
        <v>0.25</v>
      </c>
      <c r="AC93">
        <f>0.25+0.25</f>
        <v>0.5</v>
      </c>
      <c r="AD93">
        <v>0.25</v>
      </c>
      <c r="AE93">
        <v>0.25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0.5</v>
      </c>
      <c r="AM93">
        <v>0</v>
      </c>
      <c r="AN93">
        <v>0</v>
      </c>
      <c r="AO93">
        <v>0.25</v>
      </c>
      <c r="AP93">
        <v>0.25</v>
      </c>
      <c r="AQ93">
        <v>0.5</v>
      </c>
      <c r="AR93">
        <v>0.25</v>
      </c>
      <c r="AS93">
        <v>0</v>
      </c>
      <c r="AT93">
        <v>0.25</v>
      </c>
      <c r="AU93">
        <v>0</v>
      </c>
      <c r="AV93">
        <v>0</v>
      </c>
      <c r="AW93">
        <v>0</v>
      </c>
      <c r="AX93">
        <v>0</v>
      </c>
      <c r="AY93">
        <v>0.25</v>
      </c>
      <c r="AZ93">
        <v>0</v>
      </c>
      <c r="BA93">
        <f>1+0.25+0.25</f>
        <v>1.5</v>
      </c>
      <c r="BB93">
        <v>0</v>
      </c>
      <c r="BC93">
        <f>1+0.25+0.25</f>
        <v>1.5</v>
      </c>
      <c r="BD93">
        <v>0</v>
      </c>
      <c r="BE93">
        <v>0.25</v>
      </c>
      <c r="BF93">
        <v>0.25</v>
      </c>
      <c r="BG93">
        <v>0.25</v>
      </c>
      <c r="BH93">
        <v>0.25</v>
      </c>
      <c r="BI93">
        <f>1+0.25+0.25</f>
        <v>1.5</v>
      </c>
      <c r="BJ93">
        <f>1+0.25</f>
        <v>1.25</v>
      </c>
      <c r="BK93">
        <v>0</v>
      </c>
      <c r="BL93">
        <v>0</v>
      </c>
      <c r="BM93">
        <v>0.25</v>
      </c>
      <c r="BN93">
        <v>-0.5</v>
      </c>
      <c r="BO93">
        <v>0</v>
      </c>
      <c r="BP93">
        <v>0.25</v>
      </c>
      <c r="BQ93">
        <f>0.25+0.25</f>
        <v>0.5</v>
      </c>
      <c r="BR93">
        <f>1+0.5+0.25</f>
        <v>1.75</v>
      </c>
      <c r="BS93">
        <f>1+0.25+0.25</f>
        <v>1.5</v>
      </c>
      <c r="BT93">
        <f>1+0.25+0.5</f>
        <v>1.75</v>
      </c>
      <c r="BU93">
        <v>0.25</v>
      </c>
      <c r="BV93">
        <v>0.25</v>
      </c>
      <c r="BW93">
        <v>0.25</v>
      </c>
      <c r="BX93">
        <v>0.25</v>
      </c>
      <c r="BY93">
        <v>0.25</v>
      </c>
      <c r="BZ93">
        <v>0.25</v>
      </c>
      <c r="CA93">
        <v>0</v>
      </c>
      <c r="CB93">
        <v>0</v>
      </c>
      <c r="CC93">
        <v>0.25</v>
      </c>
      <c r="CD93">
        <f>1+0.25+0.25</f>
        <v>1.5</v>
      </c>
      <c r="CE93">
        <v>0</v>
      </c>
      <c r="CF93">
        <v>0</v>
      </c>
      <c r="CG93">
        <v>0.25</v>
      </c>
      <c r="CH93">
        <v>0</v>
      </c>
      <c r="CI93">
        <v>0.25</v>
      </c>
      <c r="CJ93">
        <f>1+0.25+0.25</f>
        <v>1.5</v>
      </c>
      <c r="CK93">
        <f>1+0.25-0.5+0.25</f>
        <v>1</v>
      </c>
      <c r="CL93">
        <v>0</v>
      </c>
      <c r="CM93">
        <f>1+0.25</f>
        <v>1.25</v>
      </c>
      <c r="CN93">
        <v>0</v>
      </c>
      <c r="CO93">
        <v>0</v>
      </c>
      <c r="CP93">
        <f>1+0.25+0.25</f>
        <v>1.5</v>
      </c>
      <c r="CQ93">
        <f>1+0.25+0.25</f>
        <v>1.5</v>
      </c>
      <c r="CR93">
        <f>0.25+0.25</f>
        <v>0.5</v>
      </c>
      <c r="CS93">
        <v>0</v>
      </c>
      <c r="CT93">
        <v>0</v>
      </c>
      <c r="CU93">
        <v>0</v>
      </c>
      <c r="CV93">
        <v>0</v>
      </c>
      <c r="CW93">
        <v>0.25</v>
      </c>
      <c r="CX93">
        <v>0</v>
      </c>
      <c r="CY93">
        <v>0</v>
      </c>
      <c r="CZ93">
        <f>1+0.25+0.25+0.25</f>
        <v>1.75</v>
      </c>
      <c r="DA93">
        <v>0.25</v>
      </c>
      <c r="DB93">
        <f>1+0.25</f>
        <v>1.25</v>
      </c>
      <c r="DC93">
        <v>0</v>
      </c>
      <c r="DD93">
        <v>0.25</v>
      </c>
      <c r="DE93">
        <v>0</v>
      </c>
      <c r="DF93">
        <v>0</v>
      </c>
      <c r="DG93">
        <v>0.25</v>
      </c>
      <c r="DH93">
        <v>0.25</v>
      </c>
      <c r="DI93">
        <v>0.5</v>
      </c>
      <c r="DJ93">
        <f>1+0.25+0.25</f>
        <v>1.5</v>
      </c>
      <c r="DK93">
        <f>1+0.25</f>
        <v>1.25</v>
      </c>
      <c r="DL93">
        <v>0.25</v>
      </c>
      <c r="DM93">
        <v>0.5</v>
      </c>
      <c r="DN93">
        <v>0</v>
      </c>
      <c r="DO93">
        <v>0.25</v>
      </c>
      <c r="DP93">
        <v>0</v>
      </c>
      <c r="DQ93">
        <v>0.25</v>
      </c>
      <c r="DR93">
        <v>0</v>
      </c>
      <c r="DS93">
        <v>0</v>
      </c>
      <c r="DT93">
        <v>0</v>
      </c>
      <c r="DU93">
        <f>1+0.25+0.25</f>
        <v>1.5</v>
      </c>
      <c r="DV93">
        <v>0.25</v>
      </c>
      <c r="DW93">
        <f>1+0.25+0.25</f>
        <v>1.5</v>
      </c>
      <c r="DX93">
        <v>0.25</v>
      </c>
      <c r="DY93">
        <f>0.25+0.25</f>
        <v>0.5</v>
      </c>
      <c r="DZ93">
        <v>0</v>
      </c>
      <c r="EA93">
        <f>1+0.25+0.25</f>
        <v>1.5</v>
      </c>
      <c r="EB93">
        <v>0</v>
      </c>
      <c r="EC93">
        <f>0.25-0.25</f>
        <v>0</v>
      </c>
      <c r="ED93">
        <f>0.25+0.5+0.25</f>
        <v>1</v>
      </c>
      <c r="EE93">
        <f>1+0.25+0.25</f>
        <v>1.5</v>
      </c>
      <c r="EF93">
        <v>0</v>
      </c>
      <c r="EG93">
        <f>0.5-0.25</f>
        <v>0.25</v>
      </c>
      <c r="EH93">
        <v>0.5</v>
      </c>
      <c r="EI93">
        <f>0.25+0.25</f>
        <v>0.5</v>
      </c>
      <c r="EJ93">
        <v>0.25</v>
      </c>
      <c r="EK93">
        <v>0.25</v>
      </c>
      <c r="EL93">
        <v>0.25</v>
      </c>
      <c r="EM93">
        <v>0</v>
      </c>
      <c r="EN93">
        <v>0.25</v>
      </c>
      <c r="EO93">
        <v>0</v>
      </c>
      <c r="EP93">
        <v>0.25</v>
      </c>
      <c r="EQ93">
        <v>0</v>
      </c>
      <c r="ER93">
        <v>0.25</v>
      </c>
      <c r="ES93">
        <f>0.5-0.5+0.25</f>
        <v>0.25</v>
      </c>
      <c r="ET93">
        <v>0.25</v>
      </c>
      <c r="EU93">
        <v>0.25</v>
      </c>
      <c r="EV93">
        <f>0.25+0.25</f>
        <v>0.5</v>
      </c>
      <c r="EW93">
        <v>0.75</v>
      </c>
      <c r="EX93">
        <f>0.25+0.25</f>
        <v>0.5</v>
      </c>
      <c r="EY93">
        <v>0.25</v>
      </c>
      <c r="EZ93">
        <v>0.5</v>
      </c>
      <c r="FA93">
        <f>1+0.5+0.25+0.25</f>
        <v>2</v>
      </c>
      <c r="FB93">
        <v>0</v>
      </c>
      <c r="FC93">
        <v>0</v>
      </c>
      <c r="FD93">
        <v>0.5</v>
      </c>
      <c r="FE93">
        <f>1+0.25+0.25</f>
        <v>1.5</v>
      </c>
      <c r="FF93">
        <v>0</v>
      </c>
      <c r="FG93">
        <v>0.5</v>
      </c>
      <c r="FH93">
        <v>0.5</v>
      </c>
      <c r="FI93">
        <f>1+0.25+0.25</f>
        <v>1.5</v>
      </c>
      <c r="FJ93">
        <v>0</v>
      </c>
      <c r="FK93">
        <v>0</v>
      </c>
      <c r="FL93">
        <f>1+0.25</f>
        <v>1.25</v>
      </c>
      <c r="FM93">
        <v>0</v>
      </c>
      <c r="FN93">
        <v>0</v>
      </c>
      <c r="FO93">
        <v>0.25</v>
      </c>
      <c r="FP93">
        <v>0</v>
      </c>
      <c r="FQ93">
        <f>1+0.25+0.25</f>
        <v>1.5</v>
      </c>
      <c r="FR93">
        <v>0</v>
      </c>
      <c r="FS93">
        <f>0.25+0.25+0.25</f>
        <v>0.75</v>
      </c>
      <c r="FT93">
        <v>0</v>
      </c>
      <c r="FU93">
        <f>1+0.25</f>
        <v>1.25</v>
      </c>
      <c r="FV93">
        <v>0.25</v>
      </c>
      <c r="FW93">
        <v>0.5</v>
      </c>
      <c r="FX93">
        <v>0.25</v>
      </c>
      <c r="FY93">
        <v>0</v>
      </c>
      <c r="FZ93">
        <v>0</v>
      </c>
      <c r="GA93">
        <f>1+0.25+0.25</f>
        <v>1.5</v>
      </c>
      <c r="GB93">
        <v>0</v>
      </c>
      <c r="GC93">
        <v>0.25</v>
      </c>
      <c r="GD93">
        <v>0</v>
      </c>
      <c r="GE93">
        <f>0.25+0.25</f>
        <v>0.5</v>
      </c>
      <c r="GF93">
        <v>0</v>
      </c>
      <c r="GG93">
        <v>0</v>
      </c>
      <c r="GH93">
        <v>0.25</v>
      </c>
      <c r="GI93">
        <v>0</v>
      </c>
      <c r="GJ93">
        <f>0.25+0.25</f>
        <v>0.5</v>
      </c>
      <c r="GK93">
        <v>0.25</v>
      </c>
      <c r="GL93">
        <v>0.25</v>
      </c>
      <c r="GM93">
        <f>1+0.25+0.25</f>
        <v>1.5</v>
      </c>
      <c r="GN93">
        <f>0.25+0.5</f>
        <v>0.75</v>
      </c>
      <c r="GO93">
        <v>0</v>
      </c>
      <c r="GP93">
        <v>0.25</v>
      </c>
      <c r="GQ93">
        <v>0</v>
      </c>
      <c r="GR93">
        <v>0</v>
      </c>
      <c r="GS93">
        <v>0</v>
      </c>
      <c r="GT93">
        <v>0</v>
      </c>
      <c r="GU93">
        <f>0.25+0.25</f>
        <v>0.5</v>
      </c>
      <c r="GV93">
        <v>0</v>
      </c>
      <c r="GW93">
        <v>0</v>
      </c>
      <c r="GX93">
        <f>0.25-0.25+0.5+0.25+0.25</f>
        <v>1</v>
      </c>
      <c r="GY93">
        <f>1+0.5+0.25</f>
        <v>1.75</v>
      </c>
      <c r="GZ93">
        <v>0</v>
      </c>
      <c r="HA93">
        <v>0.25</v>
      </c>
      <c r="HB93">
        <v>1.75</v>
      </c>
      <c r="HC93">
        <v>0.25</v>
      </c>
    </row>
    <row r="94" spans="1:211" x14ac:dyDescent="0.25">
      <c r="C94" s="8" t="s">
        <v>1</v>
      </c>
      <c r="G94" s="7" t="s">
        <v>1046</v>
      </c>
      <c r="H94">
        <v>0.5</v>
      </c>
      <c r="I94">
        <v>0.25</v>
      </c>
      <c r="J94">
        <v>0.25</v>
      </c>
      <c r="K94">
        <v>0</v>
      </c>
      <c r="L94">
        <v>0.5</v>
      </c>
      <c r="M94">
        <f>0.25+0.5</f>
        <v>0.75</v>
      </c>
      <c r="N94">
        <f>0.5+0.125</f>
        <v>0.625</v>
      </c>
      <c r="O94">
        <v>0.25</v>
      </c>
      <c r="P94">
        <v>0</v>
      </c>
      <c r="Q94">
        <v>0</v>
      </c>
      <c r="R94">
        <v>0.25</v>
      </c>
      <c r="S94">
        <v>0.125</v>
      </c>
      <c r="T94">
        <v>0</v>
      </c>
      <c r="U94">
        <f>0.125+0.25+0.5</f>
        <v>0.875</v>
      </c>
      <c r="V94">
        <f>0.5+0.5</f>
        <v>1</v>
      </c>
      <c r="W94">
        <v>0</v>
      </c>
      <c r="X94">
        <v>0</v>
      </c>
      <c r="Y94">
        <v>0</v>
      </c>
      <c r="Z94">
        <v>0</v>
      </c>
      <c r="AA94">
        <v>0.125</v>
      </c>
      <c r="AB94">
        <f>0.25+0.5+0.125</f>
        <v>0.875</v>
      </c>
      <c r="AC94">
        <v>0.25</v>
      </c>
      <c r="AD94">
        <v>0.25</v>
      </c>
      <c r="AE94">
        <v>0</v>
      </c>
      <c r="AF94">
        <v>0</v>
      </c>
      <c r="AG94">
        <v>0.125</v>
      </c>
      <c r="AH94">
        <f>0.25+0.125</f>
        <v>0.375</v>
      </c>
      <c r="AI94">
        <v>0</v>
      </c>
      <c r="AJ94">
        <v>0.125</v>
      </c>
      <c r="AK94">
        <v>0.25</v>
      </c>
      <c r="AL94">
        <v>0</v>
      </c>
      <c r="AM94">
        <v>0</v>
      </c>
      <c r="AN94">
        <v>0</v>
      </c>
      <c r="AO94">
        <f>0.5+0.5+0.25+0.5</f>
        <v>1.75</v>
      </c>
      <c r="AP94">
        <v>0</v>
      </c>
      <c r="AQ94">
        <v>0</v>
      </c>
      <c r="AR94">
        <v>0</v>
      </c>
      <c r="AS94">
        <v>0</v>
      </c>
      <c r="AT94">
        <v>0.25</v>
      </c>
      <c r="AU94">
        <f>0.25+0.5+1</f>
        <v>1.75</v>
      </c>
      <c r="AV94">
        <v>0</v>
      </c>
      <c r="AW94">
        <v>0.25</v>
      </c>
      <c r="AX94">
        <v>0</v>
      </c>
      <c r="AY94">
        <v>0</v>
      </c>
      <c r="AZ94">
        <f>0.25+0.5+0.5</f>
        <v>1.25</v>
      </c>
      <c r="BA94">
        <v>1</v>
      </c>
      <c r="BB94">
        <v>0.5</v>
      </c>
      <c r="BC94">
        <v>1</v>
      </c>
      <c r="BD94">
        <v>0</v>
      </c>
      <c r="BE94">
        <v>0</v>
      </c>
      <c r="BF94">
        <v>0</v>
      </c>
      <c r="BG94">
        <f>0.125+0.5</f>
        <v>0.625</v>
      </c>
      <c r="BH94">
        <f>0.5+0.125</f>
        <v>0.625</v>
      </c>
      <c r="BI94">
        <v>1.5</v>
      </c>
      <c r="BJ94">
        <v>2</v>
      </c>
      <c r="BK94">
        <v>0</v>
      </c>
      <c r="BL94">
        <v>0</v>
      </c>
      <c r="BM94">
        <v>0.25</v>
      </c>
      <c r="BN94">
        <v>1.5</v>
      </c>
      <c r="BO94">
        <v>-0.5</v>
      </c>
      <c r="BP94">
        <v>0.25</v>
      </c>
      <c r="BQ94">
        <v>-0.5</v>
      </c>
      <c r="BR94">
        <v>0.25</v>
      </c>
      <c r="BS94">
        <v>0.5</v>
      </c>
      <c r="BT94">
        <f>0.25+0.25+0.5</f>
        <v>1</v>
      </c>
      <c r="BU94">
        <v>0</v>
      </c>
      <c r="BV94">
        <f>0.5+0.25</f>
        <v>0.75</v>
      </c>
      <c r="BW94">
        <v>0.5</v>
      </c>
      <c r="BX94">
        <f>0.125+0.5</f>
        <v>0.625</v>
      </c>
      <c r="BY94">
        <v>0</v>
      </c>
      <c r="BZ94">
        <v>0</v>
      </c>
      <c r="CA94">
        <f>0.5+0.5</f>
        <v>1</v>
      </c>
      <c r="CB94">
        <v>0</v>
      </c>
      <c r="CC94">
        <v>0</v>
      </c>
      <c r="CD94">
        <v>1</v>
      </c>
      <c r="CE94">
        <v>0</v>
      </c>
      <c r="CF94">
        <f>0.25+0.25+0.5</f>
        <v>1</v>
      </c>
      <c r="CG94">
        <v>0.125</v>
      </c>
      <c r="CH94">
        <v>0</v>
      </c>
      <c r="CI94">
        <v>0.125</v>
      </c>
      <c r="CJ94">
        <v>1</v>
      </c>
      <c r="CK94">
        <v>1</v>
      </c>
      <c r="CL94">
        <v>0</v>
      </c>
      <c r="CM94">
        <v>2</v>
      </c>
      <c r="CN94">
        <v>0</v>
      </c>
      <c r="CO94">
        <v>0.5</v>
      </c>
      <c r="CP94">
        <v>1</v>
      </c>
      <c r="CQ94">
        <f>1+0.5</f>
        <v>1.5</v>
      </c>
      <c r="CR94">
        <v>0</v>
      </c>
      <c r="CS94">
        <f>0.25+0.25+0.5</f>
        <v>1</v>
      </c>
      <c r="CT94">
        <v>0.5</v>
      </c>
      <c r="CU94">
        <f>0.25+0.125</f>
        <v>0.375</v>
      </c>
      <c r="CV94">
        <v>0</v>
      </c>
      <c r="CW94">
        <v>0.5</v>
      </c>
      <c r="CX94">
        <v>0.25</v>
      </c>
      <c r="CY94">
        <v>0</v>
      </c>
      <c r="CZ94">
        <v>2</v>
      </c>
      <c r="DA94">
        <v>0</v>
      </c>
      <c r="DB94">
        <v>0</v>
      </c>
      <c r="DC94">
        <v>0</v>
      </c>
      <c r="DD94">
        <v>0.5</v>
      </c>
      <c r="DE94">
        <v>0.5</v>
      </c>
      <c r="DF94">
        <v>0.25</v>
      </c>
      <c r="DG94">
        <v>0</v>
      </c>
      <c r="DH94">
        <v>0.25</v>
      </c>
      <c r="DI94">
        <f>0.5+0.25</f>
        <v>0.75</v>
      </c>
      <c r="DJ94">
        <f>0.5+1</f>
        <v>1.5</v>
      </c>
      <c r="DK94">
        <f>1+0.5+0.5</f>
        <v>2</v>
      </c>
      <c r="DL94">
        <f>0.25+0.5+0.5</f>
        <v>1.25</v>
      </c>
      <c r="DM94">
        <v>0</v>
      </c>
      <c r="DN94">
        <v>0.5</v>
      </c>
      <c r="DO94">
        <f>0.25+0.5</f>
        <v>0.75</v>
      </c>
      <c r="DP94">
        <v>0.25</v>
      </c>
      <c r="DQ94">
        <v>0</v>
      </c>
      <c r="DR94">
        <f>-0.5+0.25+1</f>
        <v>0.75</v>
      </c>
      <c r="DS94">
        <v>0.25</v>
      </c>
      <c r="DT94">
        <v>0</v>
      </c>
      <c r="DU94">
        <f>-0.5+0.125+0.5</f>
        <v>0.125</v>
      </c>
      <c r="DV94">
        <v>0</v>
      </c>
      <c r="DW94">
        <f>0.25+0.5</f>
        <v>0.75</v>
      </c>
      <c r="DX94">
        <v>0</v>
      </c>
      <c r="DY94">
        <v>0.125</v>
      </c>
      <c r="DZ94">
        <v>0</v>
      </c>
      <c r="EA94">
        <v>1.5</v>
      </c>
      <c r="EB94">
        <v>0.5</v>
      </c>
      <c r="EC94">
        <f>0.25+0.5</f>
        <v>0.75</v>
      </c>
      <c r="ED94">
        <v>0</v>
      </c>
      <c r="EE94">
        <v>2</v>
      </c>
      <c r="EF94">
        <f>0.25+0.125</f>
        <v>0.375</v>
      </c>
      <c r="EG94">
        <v>0</v>
      </c>
      <c r="EH94">
        <f>0.5+0.5+0.5</f>
        <v>1.5</v>
      </c>
      <c r="EI94">
        <v>0.25</v>
      </c>
      <c r="EJ94">
        <v>0.25</v>
      </c>
      <c r="EK94">
        <f>0.5+0.25</f>
        <v>0.75</v>
      </c>
      <c r="EL94">
        <f>0.25+0.5+0.25+0.5</f>
        <v>1.5</v>
      </c>
      <c r="EM94">
        <v>0</v>
      </c>
      <c r="EN94">
        <v>0.5</v>
      </c>
      <c r="EO94">
        <v>0</v>
      </c>
      <c r="EP94">
        <v>0</v>
      </c>
      <c r="EQ94">
        <v>0.5</v>
      </c>
      <c r="ER94">
        <v>0</v>
      </c>
      <c r="ES94">
        <v>0.5</v>
      </c>
      <c r="ET94">
        <v>0</v>
      </c>
      <c r="EU94">
        <v>1</v>
      </c>
      <c r="EV94">
        <v>0</v>
      </c>
      <c r="EW94">
        <v>2.375</v>
      </c>
      <c r="EX94">
        <v>0</v>
      </c>
      <c r="EY94">
        <v>0</v>
      </c>
      <c r="EZ94">
        <v>0</v>
      </c>
      <c r="FA94">
        <f>0.5+0.25</f>
        <v>0.75</v>
      </c>
      <c r="FB94">
        <v>0</v>
      </c>
      <c r="FC94">
        <f>0.25+0.5</f>
        <v>0.75</v>
      </c>
      <c r="FD94">
        <v>0.25</v>
      </c>
      <c r="FE94">
        <f>0.125+0.5+0.125</f>
        <v>0.75</v>
      </c>
      <c r="FF94">
        <f>0.25+0.5+0.5</f>
        <v>1.25</v>
      </c>
      <c r="FG94">
        <v>0.25</v>
      </c>
      <c r="FH94">
        <v>0</v>
      </c>
      <c r="FI94">
        <f>0.5+0.5+0.25+0.5</f>
        <v>1.75</v>
      </c>
      <c r="FJ94">
        <v>0.5</v>
      </c>
      <c r="FK94">
        <v>0.5</v>
      </c>
      <c r="FL94">
        <f>0.5+0.25+0.125</f>
        <v>0.875</v>
      </c>
      <c r="FM94">
        <v>0</v>
      </c>
      <c r="FN94">
        <v>0</v>
      </c>
      <c r="FO94">
        <v>0</v>
      </c>
      <c r="FP94">
        <v>0.125</v>
      </c>
      <c r="FQ94">
        <v>0.25</v>
      </c>
      <c r="FR94">
        <f>0.5+0.125</f>
        <v>0.625</v>
      </c>
      <c r="FS94">
        <v>0</v>
      </c>
      <c r="FT94">
        <v>0.125</v>
      </c>
      <c r="FU94">
        <v>0</v>
      </c>
      <c r="FV94">
        <v>0</v>
      </c>
      <c r="FW94">
        <f>0.5+0.25</f>
        <v>0.75</v>
      </c>
      <c r="FX94">
        <f>0.25+0.25+0.5</f>
        <v>1</v>
      </c>
      <c r="FY94">
        <f>0.25+0.125</f>
        <v>0.375</v>
      </c>
      <c r="FZ94">
        <v>0</v>
      </c>
      <c r="GA94">
        <v>2</v>
      </c>
      <c r="GB94">
        <f>0.5+0.5+0.25</f>
        <v>1.25</v>
      </c>
      <c r="GC94">
        <v>0</v>
      </c>
      <c r="GD94">
        <v>0</v>
      </c>
      <c r="GE94">
        <v>0</v>
      </c>
      <c r="GF94">
        <v>0.25</v>
      </c>
      <c r="GG94">
        <v>0.125</v>
      </c>
      <c r="GH94">
        <v>0.25</v>
      </c>
      <c r="GI94">
        <v>0.25</v>
      </c>
      <c r="GJ94">
        <v>0</v>
      </c>
      <c r="GK94">
        <v>0</v>
      </c>
      <c r="GL94">
        <v>0</v>
      </c>
      <c r="GM94">
        <v>0</v>
      </c>
      <c r="GN94">
        <v>0.5</v>
      </c>
      <c r="GO94">
        <f>0.25+0.5</f>
        <v>0.75</v>
      </c>
      <c r="GP94">
        <v>0</v>
      </c>
      <c r="GQ94">
        <v>0</v>
      </c>
      <c r="GR94">
        <v>0.25</v>
      </c>
      <c r="GS94">
        <v>0.5</v>
      </c>
      <c r="GT94">
        <f>0.25+0.5</f>
        <v>0.75</v>
      </c>
      <c r="GU94">
        <v>0</v>
      </c>
      <c r="GV94">
        <v>0.25</v>
      </c>
      <c r="GW94">
        <v>0</v>
      </c>
      <c r="GX94">
        <f>0.25+0.25+0.5</f>
        <v>1</v>
      </c>
      <c r="GY94">
        <f>1+0.25</f>
        <v>1.25</v>
      </c>
      <c r="GZ94">
        <v>0</v>
      </c>
      <c r="HA94">
        <v>0</v>
      </c>
      <c r="HB94">
        <f>0.5+1</f>
        <v>1.5</v>
      </c>
      <c r="HC94">
        <v>0.125</v>
      </c>
    </row>
    <row r="95" spans="1:211" x14ac:dyDescent="0.25">
      <c r="C95" s="4" t="s">
        <v>2</v>
      </c>
      <c r="G95" t="s">
        <v>1045</v>
      </c>
      <c r="H95">
        <f>0.5+0.25+0.125</f>
        <v>0.875</v>
      </c>
      <c r="I95">
        <f>0.25+0.25</f>
        <v>0.5</v>
      </c>
      <c r="J95">
        <f>0.25+0.125</f>
        <v>0.375</v>
      </c>
      <c r="K95">
        <v>0</v>
      </c>
      <c r="L95">
        <f>0.5+0.25+0.125</f>
        <v>0.875</v>
      </c>
      <c r="M95">
        <f>0.25+0.125</f>
        <v>0.375</v>
      </c>
      <c r="N95">
        <f>0.5+0.5+0.25+0.125</f>
        <v>1.375</v>
      </c>
      <c r="O95">
        <v>0.125</v>
      </c>
      <c r="P95">
        <v>0</v>
      </c>
      <c r="Q95">
        <v>0</v>
      </c>
      <c r="R95">
        <f>0.25+0.25</f>
        <v>0.5</v>
      </c>
      <c r="S95">
        <v>0</v>
      </c>
      <c r="T95">
        <v>0</v>
      </c>
      <c r="U95">
        <f>0.125+0.125</f>
        <v>0.25</v>
      </c>
      <c r="V95">
        <f>0.25+0.25+0.5+0.125</f>
        <v>1.125</v>
      </c>
      <c r="W95">
        <v>0</v>
      </c>
      <c r="X95">
        <v>0</v>
      </c>
      <c r="Y95">
        <v>0</v>
      </c>
      <c r="Z95">
        <v>0.25</v>
      </c>
      <c r="AA95">
        <v>0.25</v>
      </c>
      <c r="AB95">
        <f>0.25+0.125</f>
        <v>0.375</v>
      </c>
      <c r="AC95">
        <f>0.25+0.25</f>
        <v>0.5</v>
      </c>
      <c r="AD95">
        <v>0.25</v>
      </c>
      <c r="AE95">
        <f>0.5+0.25</f>
        <v>0.75</v>
      </c>
      <c r="AF95">
        <v>0</v>
      </c>
      <c r="AG95">
        <v>0</v>
      </c>
      <c r="AH95">
        <f>0.25+0.125</f>
        <v>0.375</v>
      </c>
      <c r="AI95">
        <v>0</v>
      </c>
      <c r="AJ95">
        <v>0</v>
      </c>
      <c r="AK95">
        <f>0.25+0.25</f>
        <v>0.5</v>
      </c>
      <c r="AL95">
        <f>0.5+0.5</f>
        <v>1</v>
      </c>
      <c r="AM95">
        <v>0.25</v>
      </c>
      <c r="AN95">
        <v>0</v>
      </c>
      <c r="AO95">
        <f>0.5+0.25+0.125+0.125+0.125</f>
        <v>1.125</v>
      </c>
      <c r="AP95">
        <v>0</v>
      </c>
      <c r="AQ95">
        <v>0.5</v>
      </c>
      <c r="AR95">
        <v>0</v>
      </c>
      <c r="AS95">
        <v>0.5</v>
      </c>
      <c r="AT95">
        <f>0.5+0.25+0.125</f>
        <v>0.875</v>
      </c>
      <c r="AU95">
        <f>0.25+0.25</f>
        <v>0.5</v>
      </c>
      <c r="AV95">
        <v>0.25</v>
      </c>
      <c r="AW95">
        <f>0.25+0.125</f>
        <v>0.375</v>
      </c>
      <c r="AX95">
        <v>0</v>
      </c>
      <c r="AY95">
        <v>0.25</v>
      </c>
      <c r="AZ95">
        <f>0.25+0.125</f>
        <v>0.375</v>
      </c>
      <c r="BA95">
        <f>0.5+0.25+0.25</f>
        <v>1</v>
      </c>
      <c r="BB95">
        <f>0.25+0.5+0.25</f>
        <v>1</v>
      </c>
      <c r="BC95">
        <f>0.5+0.25+0.25</f>
        <v>1</v>
      </c>
      <c r="BD95">
        <v>0</v>
      </c>
      <c r="BE95">
        <f>0.25+0.25</f>
        <v>0.5</v>
      </c>
      <c r="BF95">
        <v>0</v>
      </c>
      <c r="BG95">
        <f>0.25+0.25+0.125</f>
        <v>0.625</v>
      </c>
      <c r="BH95">
        <v>0.125</v>
      </c>
      <c r="BI95">
        <f>0.25+0.25</f>
        <v>0.5</v>
      </c>
      <c r="BJ95">
        <f>1+0.25+0.25+0.125+0.125</f>
        <v>1.75</v>
      </c>
      <c r="BK95">
        <v>0</v>
      </c>
      <c r="BL95">
        <v>0</v>
      </c>
      <c r="BM95">
        <v>0.125</v>
      </c>
      <c r="BN95">
        <v>0.75</v>
      </c>
      <c r="BO95">
        <v>0</v>
      </c>
      <c r="BP95">
        <f>0.25+0.25</f>
        <v>0.5</v>
      </c>
      <c r="BQ95">
        <v>0.75</v>
      </c>
      <c r="BR95">
        <v>2</v>
      </c>
      <c r="BS95">
        <f>0.5+0.25+0.125</f>
        <v>0.875</v>
      </c>
      <c r="BT95">
        <f>0.25+0.5+0.25+0.25+0.25+0.125</f>
        <v>1.625</v>
      </c>
      <c r="BU95">
        <v>0.25</v>
      </c>
      <c r="BV95">
        <f>0.125+0.25</f>
        <v>0.375</v>
      </c>
      <c r="BW95">
        <v>1</v>
      </c>
      <c r="BX95">
        <f>0.25+0.25</f>
        <v>0.5</v>
      </c>
      <c r="BY95">
        <v>0.25</v>
      </c>
      <c r="BZ95">
        <v>0</v>
      </c>
      <c r="CA95">
        <f>0.5+0.125</f>
        <v>0.625</v>
      </c>
      <c r="CB95">
        <v>0</v>
      </c>
      <c r="CC95">
        <v>0.25</v>
      </c>
      <c r="CD95">
        <f>0.5+0.25+0.25</f>
        <v>1</v>
      </c>
      <c r="CE95">
        <v>0</v>
      </c>
      <c r="CF95">
        <f>0.25+0.5+0.25+0.125+0.125</f>
        <v>1.25</v>
      </c>
      <c r="CG95">
        <v>0.25</v>
      </c>
      <c r="CH95">
        <v>0</v>
      </c>
      <c r="CI95">
        <v>0.25</v>
      </c>
      <c r="CJ95">
        <f>0.5+0.25+0.25</f>
        <v>1</v>
      </c>
      <c r="CK95">
        <v>1</v>
      </c>
      <c r="CL95">
        <v>0.25</v>
      </c>
      <c r="CM95">
        <f>1+0.5+0.25+0.25</f>
        <v>2</v>
      </c>
      <c r="CN95">
        <v>0</v>
      </c>
      <c r="CO95">
        <f>0.25+0.125</f>
        <v>0.375</v>
      </c>
      <c r="CP95">
        <f>0.5+0.25+0.25</f>
        <v>1</v>
      </c>
      <c r="CQ95">
        <v>1.375</v>
      </c>
      <c r="CR95">
        <v>0.25</v>
      </c>
      <c r="CS95">
        <f>0.25+0.25+0.25+0.125</f>
        <v>0.875</v>
      </c>
      <c r="CT95">
        <v>0.125</v>
      </c>
      <c r="CU95">
        <f>0.25+0.25+0.125</f>
        <v>0.625</v>
      </c>
      <c r="CV95">
        <v>0</v>
      </c>
      <c r="CW95">
        <f>0.5+0.25</f>
        <v>0.75</v>
      </c>
      <c r="CX95">
        <v>0.25</v>
      </c>
      <c r="CY95">
        <v>0</v>
      </c>
      <c r="CZ95">
        <v>2</v>
      </c>
      <c r="DA95">
        <f>0.25+0.25</f>
        <v>0.5</v>
      </c>
      <c r="DB95">
        <v>0.25</v>
      </c>
      <c r="DC95">
        <v>0</v>
      </c>
      <c r="DD95">
        <v>0.125</v>
      </c>
      <c r="DE95">
        <v>0.125</v>
      </c>
      <c r="DF95">
        <v>0.25</v>
      </c>
      <c r="DG95">
        <v>0.25</v>
      </c>
      <c r="DH95">
        <v>0.125</v>
      </c>
      <c r="DI95">
        <f>0.5+0.25</f>
        <v>0.75</v>
      </c>
      <c r="DJ95">
        <f>0.5+0.5+0.25</f>
        <v>1.25</v>
      </c>
      <c r="DK95">
        <v>2</v>
      </c>
      <c r="DL95">
        <f>0.25+0.25+0.125</f>
        <v>0.625</v>
      </c>
      <c r="DM95">
        <v>0.5</v>
      </c>
      <c r="DN95">
        <v>0</v>
      </c>
      <c r="DO95">
        <f>0.25+0.25+0.125</f>
        <v>0.625</v>
      </c>
      <c r="DP95">
        <v>0.5</v>
      </c>
      <c r="DQ95">
        <v>0.25</v>
      </c>
      <c r="DR95">
        <v>0</v>
      </c>
      <c r="DS95">
        <v>0.125</v>
      </c>
      <c r="DT95">
        <v>0</v>
      </c>
      <c r="DU95">
        <f>0.5+0.125</f>
        <v>0.625</v>
      </c>
      <c r="DV95">
        <v>0.5</v>
      </c>
      <c r="DW95">
        <f>0.5+0.25+0.125</f>
        <v>0.875</v>
      </c>
      <c r="DX95">
        <v>0.5</v>
      </c>
      <c r="DY95">
        <v>0.25</v>
      </c>
      <c r="DZ95">
        <v>0.25</v>
      </c>
      <c r="EA95">
        <v>2</v>
      </c>
      <c r="EB95">
        <f>0.25+0.5</f>
        <v>0.75</v>
      </c>
      <c r="EC95">
        <f>0.25+0.25+0.25</f>
        <v>0.75</v>
      </c>
      <c r="ED95">
        <v>0.5</v>
      </c>
      <c r="EE95">
        <v>2</v>
      </c>
      <c r="EF95">
        <v>0.25</v>
      </c>
      <c r="EG95">
        <v>0</v>
      </c>
      <c r="EH95">
        <f>0.5+0.5+0.25+0.25+0.125+0.5+0.125</f>
        <v>2.25</v>
      </c>
      <c r="EI95">
        <v>0.25</v>
      </c>
      <c r="EJ95">
        <f>0.5+0.5+0.25+0.25</f>
        <v>1.5</v>
      </c>
      <c r="EK95">
        <f>0.5+0.5+0.125</f>
        <v>1.125</v>
      </c>
      <c r="EL95">
        <f>0.25+0.125+0.125+0.125</f>
        <v>0.625</v>
      </c>
      <c r="EM95">
        <v>0</v>
      </c>
      <c r="EN95">
        <v>0.5</v>
      </c>
      <c r="EO95">
        <v>0</v>
      </c>
      <c r="EP95">
        <v>0</v>
      </c>
      <c r="EQ95">
        <v>0</v>
      </c>
      <c r="ER95">
        <v>0.25</v>
      </c>
      <c r="ES95">
        <f>0.5+0.5+0.25</f>
        <v>1.25</v>
      </c>
      <c r="ET95">
        <v>0.125</v>
      </c>
      <c r="EU95">
        <f>0.25+0.25+0.25+0.5+0.25</f>
        <v>1.5</v>
      </c>
      <c r="EV95">
        <v>0</v>
      </c>
      <c r="EW95">
        <v>2.125</v>
      </c>
      <c r="EX95">
        <v>0</v>
      </c>
      <c r="EY95">
        <v>0.25</v>
      </c>
      <c r="EZ95">
        <v>0.5</v>
      </c>
      <c r="FA95">
        <f>0.5+0.5+0.5+0.25</f>
        <v>1.75</v>
      </c>
      <c r="FB95">
        <v>0.25</v>
      </c>
      <c r="FC95">
        <v>0.75</v>
      </c>
      <c r="FD95">
        <v>0.25</v>
      </c>
      <c r="FE95">
        <f>0.5+0.25+0.25+0.125</f>
        <v>1.125</v>
      </c>
      <c r="FF95">
        <f>0.25+0.125</f>
        <v>0.375</v>
      </c>
      <c r="FG95">
        <v>0.125</v>
      </c>
      <c r="FH95">
        <v>0.25</v>
      </c>
      <c r="FI95">
        <f>0.25+0.25+0.125+0.5+0.125+0.125</f>
        <v>1.375</v>
      </c>
      <c r="FJ95">
        <v>0.5</v>
      </c>
      <c r="FK95">
        <f>0.5+0.125</f>
        <v>0.625</v>
      </c>
      <c r="FL95">
        <f>0.25+0.125+0.125</f>
        <v>0.5</v>
      </c>
      <c r="FM95">
        <v>0</v>
      </c>
      <c r="FN95">
        <v>0.25</v>
      </c>
      <c r="FO95">
        <v>0.25</v>
      </c>
      <c r="FP95">
        <v>0.5</v>
      </c>
      <c r="FQ95">
        <f>0.25+0.125</f>
        <v>0.375</v>
      </c>
      <c r="FR95">
        <v>0.5</v>
      </c>
      <c r="FS95">
        <f>0.25+0.125</f>
        <v>0.375</v>
      </c>
      <c r="FT95">
        <v>0</v>
      </c>
      <c r="FU95">
        <v>0.25</v>
      </c>
      <c r="FV95">
        <v>0</v>
      </c>
      <c r="FW95">
        <f>0.25+0.125</f>
        <v>0.375</v>
      </c>
      <c r="FX95">
        <f>0.25+0.25+0.125</f>
        <v>0.625</v>
      </c>
      <c r="FY95">
        <v>0</v>
      </c>
      <c r="FZ95">
        <v>0</v>
      </c>
      <c r="GA95">
        <v>2</v>
      </c>
      <c r="GB95">
        <f>0.25+0.5+0.25+0.25</f>
        <v>1.25</v>
      </c>
      <c r="GC95">
        <v>0.25</v>
      </c>
      <c r="GD95">
        <v>0</v>
      </c>
      <c r="GE95">
        <v>0.25</v>
      </c>
      <c r="GF95">
        <v>0.25</v>
      </c>
      <c r="GG95">
        <v>0</v>
      </c>
      <c r="GH95">
        <f>0.25+0.125</f>
        <v>0.375</v>
      </c>
      <c r="GI95">
        <v>0.25</v>
      </c>
      <c r="GJ95">
        <v>0.25</v>
      </c>
      <c r="GK95">
        <v>0.25</v>
      </c>
      <c r="GL95">
        <f>0.5</f>
        <v>0.5</v>
      </c>
      <c r="GM95">
        <v>0.25</v>
      </c>
      <c r="GN95">
        <f>0.25+0.5+0.25+0.125</f>
        <v>1.125</v>
      </c>
      <c r="GO95">
        <f>0.25+0.125</f>
        <v>0.375</v>
      </c>
      <c r="GP95">
        <v>0.25</v>
      </c>
      <c r="GQ95">
        <v>0.25</v>
      </c>
      <c r="GR95">
        <v>0.25</v>
      </c>
      <c r="GS95">
        <f>0.125+0.25</f>
        <v>0.375</v>
      </c>
      <c r="GT95">
        <f>0.25+0.125</f>
        <v>0.375</v>
      </c>
      <c r="GU95">
        <v>0.25</v>
      </c>
      <c r="GV95">
        <f>0.25+0.25</f>
        <v>0.5</v>
      </c>
      <c r="GW95">
        <v>0</v>
      </c>
      <c r="GX95">
        <f>0.5+0.25+0.25+0.25+0.125</f>
        <v>1.375</v>
      </c>
      <c r="GY95">
        <f>0.5+0.5+0.25+0.125</f>
        <v>1.375</v>
      </c>
      <c r="GZ95">
        <v>0</v>
      </c>
      <c r="HA95">
        <v>0.25</v>
      </c>
      <c r="HB95">
        <v>1.75</v>
      </c>
      <c r="HC95">
        <v>0.5</v>
      </c>
    </row>
    <row r="96" spans="1:211" x14ac:dyDescent="0.25">
      <c r="C96" s="8" t="s">
        <v>4</v>
      </c>
      <c r="G96" s="7" t="s">
        <v>1047</v>
      </c>
      <c r="H96">
        <f>0.125+1</f>
        <v>1.125</v>
      </c>
      <c r="I96">
        <f>0.125+0.25</f>
        <v>0.375</v>
      </c>
      <c r="J96">
        <v>0.125</v>
      </c>
      <c r="K96">
        <v>0</v>
      </c>
      <c r="L96">
        <f>0.125+1+0.5</f>
        <v>1.625</v>
      </c>
      <c r="M96">
        <v>0.25</v>
      </c>
      <c r="N96">
        <f>1+0.25+0.125+1+0.5</f>
        <v>2.875</v>
      </c>
      <c r="O96">
        <v>0</v>
      </c>
      <c r="P96">
        <v>0</v>
      </c>
      <c r="Q96">
        <v>0</v>
      </c>
      <c r="R96">
        <f>0.125+0.25</f>
        <v>0.375</v>
      </c>
      <c r="S96">
        <v>0</v>
      </c>
      <c r="T96">
        <v>0</v>
      </c>
      <c r="U96">
        <v>0</v>
      </c>
      <c r="V96">
        <f>0.5+0.5+1+0.5</f>
        <v>2.5</v>
      </c>
      <c r="W96">
        <v>0</v>
      </c>
      <c r="X96">
        <v>0</v>
      </c>
      <c r="Y96">
        <v>0</v>
      </c>
      <c r="Z96">
        <v>0.125</v>
      </c>
      <c r="AA96">
        <v>0</v>
      </c>
      <c r="AB96">
        <v>0.25</v>
      </c>
      <c r="AC96">
        <f>0.25+0.125+1</f>
        <v>1.375</v>
      </c>
      <c r="AD96">
        <v>0.25</v>
      </c>
      <c r="AE96">
        <v>0.125</v>
      </c>
      <c r="AF96">
        <v>0</v>
      </c>
      <c r="AG96">
        <v>0</v>
      </c>
      <c r="AH96">
        <v>0.5</v>
      </c>
      <c r="AI96">
        <v>0</v>
      </c>
      <c r="AJ96">
        <v>0.5</v>
      </c>
      <c r="AK96">
        <f>1+0.25</f>
        <v>1.25</v>
      </c>
      <c r="AL96">
        <v>0.25</v>
      </c>
      <c r="AM96">
        <v>0</v>
      </c>
      <c r="AN96">
        <v>0</v>
      </c>
      <c r="AO96">
        <f>0.5+0.125</f>
        <v>0.625</v>
      </c>
      <c r="AP96">
        <v>0</v>
      </c>
      <c r="AQ96">
        <v>0.25</v>
      </c>
      <c r="AR96">
        <v>0</v>
      </c>
      <c r="AS96">
        <v>0</v>
      </c>
      <c r="AT96">
        <v>0.125</v>
      </c>
      <c r="AU96">
        <v>1</v>
      </c>
      <c r="AV96">
        <v>0</v>
      </c>
      <c r="AW96">
        <v>0.5</v>
      </c>
      <c r="AX96">
        <v>0</v>
      </c>
      <c r="AY96">
        <v>0.125</v>
      </c>
      <c r="AZ96">
        <v>0</v>
      </c>
      <c r="BA96">
        <f>0.125+1+0.5</f>
        <v>1.625</v>
      </c>
      <c r="BB96">
        <v>0</v>
      </c>
      <c r="BC96">
        <f>0.125+1+0.5</f>
        <v>1.625</v>
      </c>
      <c r="BD96">
        <v>0</v>
      </c>
      <c r="BE96">
        <f>0.125+0.5</f>
        <v>0.625</v>
      </c>
      <c r="BF96">
        <v>0</v>
      </c>
      <c r="BG96">
        <f>0.125+0.5+0.5</f>
        <v>1.125</v>
      </c>
      <c r="BH96">
        <v>0</v>
      </c>
      <c r="BI96">
        <f>0.125+1+0.5</f>
        <v>1.625</v>
      </c>
      <c r="BJ96">
        <f>1+0.125+0.25</f>
        <v>1.375</v>
      </c>
      <c r="BK96">
        <v>1</v>
      </c>
      <c r="BL96">
        <v>0</v>
      </c>
      <c r="BM96">
        <v>0</v>
      </c>
      <c r="BN96">
        <v>1</v>
      </c>
      <c r="BO96">
        <v>-0.5</v>
      </c>
      <c r="BP96">
        <v>0.125</v>
      </c>
      <c r="BQ96">
        <v>0.5</v>
      </c>
      <c r="BR96">
        <v>1.75</v>
      </c>
      <c r="BS96">
        <f>0.125+1+0.5</f>
        <v>1.625</v>
      </c>
      <c r="BT96">
        <f>0.125+0.25+1+0.25</f>
        <v>1.625</v>
      </c>
      <c r="BU96">
        <v>0.125</v>
      </c>
      <c r="BV96">
        <v>0</v>
      </c>
      <c r="BW96">
        <v>2</v>
      </c>
      <c r="BX96">
        <v>0.125</v>
      </c>
      <c r="BY96">
        <v>0.125</v>
      </c>
      <c r="BZ96">
        <v>0</v>
      </c>
      <c r="CA96">
        <v>0.5</v>
      </c>
      <c r="CB96">
        <v>0</v>
      </c>
      <c r="CC96">
        <v>0.5</v>
      </c>
      <c r="CD96">
        <f>0.125+1+0.5</f>
        <v>1.625</v>
      </c>
      <c r="CE96">
        <v>0</v>
      </c>
      <c r="CF96">
        <v>1.75</v>
      </c>
      <c r="CG96">
        <v>0.5</v>
      </c>
      <c r="CH96">
        <v>0.5</v>
      </c>
      <c r="CI96">
        <v>0.5</v>
      </c>
      <c r="CJ96">
        <f>0.125+1+0.5</f>
        <v>1.625</v>
      </c>
      <c r="CK96">
        <f>-0.5+0.125+1+0.5</f>
        <v>1.125</v>
      </c>
      <c r="CL96">
        <v>0</v>
      </c>
      <c r="CM96">
        <f>0.125+1+0.5</f>
        <v>1.625</v>
      </c>
      <c r="CN96">
        <v>0</v>
      </c>
      <c r="CO96">
        <v>0.5</v>
      </c>
      <c r="CP96">
        <f>0.125+1+0.5</f>
        <v>1.625</v>
      </c>
      <c r="CQ96">
        <f>0.125+1+0.5</f>
        <v>1.625</v>
      </c>
      <c r="CR96">
        <v>0.125</v>
      </c>
      <c r="CS96">
        <f>1+0.25+0.5</f>
        <v>1.75</v>
      </c>
      <c r="CT96">
        <v>0</v>
      </c>
      <c r="CU96">
        <v>0.5</v>
      </c>
      <c r="CV96">
        <v>0.5</v>
      </c>
      <c r="CW96">
        <f>0.5+0.125+1+0.5</f>
        <v>2.125</v>
      </c>
      <c r="CX96">
        <v>0.25</v>
      </c>
      <c r="CY96">
        <v>0</v>
      </c>
      <c r="CZ96">
        <v>2</v>
      </c>
      <c r="DA96">
        <f>0.125+0.5</f>
        <v>0.625</v>
      </c>
      <c r="DB96">
        <v>0.125</v>
      </c>
      <c r="DC96">
        <v>0</v>
      </c>
      <c r="DD96">
        <v>0</v>
      </c>
      <c r="DE96">
        <v>0</v>
      </c>
      <c r="DF96">
        <v>0.25</v>
      </c>
      <c r="DG96">
        <v>0.125</v>
      </c>
      <c r="DH96">
        <v>0</v>
      </c>
      <c r="DI96">
        <v>0.25</v>
      </c>
      <c r="DJ96">
        <v>2</v>
      </c>
      <c r="DK96">
        <v>1.5</v>
      </c>
      <c r="DL96">
        <f>0.125+1+0.5</f>
        <v>1.625</v>
      </c>
      <c r="DM96">
        <v>0.25</v>
      </c>
      <c r="DN96">
        <v>0</v>
      </c>
      <c r="DO96">
        <f>0.125+1+0.25</f>
        <v>1.375</v>
      </c>
      <c r="DP96">
        <v>1.75</v>
      </c>
      <c r="DQ96">
        <v>0.125</v>
      </c>
      <c r="DR96">
        <v>0.5</v>
      </c>
      <c r="DS96">
        <v>0</v>
      </c>
      <c r="DT96">
        <v>0</v>
      </c>
      <c r="DU96">
        <v>2</v>
      </c>
      <c r="DV96">
        <v>2</v>
      </c>
      <c r="DW96">
        <v>2</v>
      </c>
      <c r="DX96">
        <v>0.125</v>
      </c>
      <c r="DY96">
        <v>1.125</v>
      </c>
      <c r="DZ96">
        <v>0.5</v>
      </c>
      <c r="EA96">
        <v>1.125</v>
      </c>
      <c r="EB96">
        <v>0.5</v>
      </c>
      <c r="EC96">
        <f>0.125+0.5</f>
        <v>0.625</v>
      </c>
      <c r="ED96">
        <v>0.875</v>
      </c>
      <c r="EE96">
        <f>0.125+1+0.5</f>
        <v>1.625</v>
      </c>
      <c r="EF96">
        <v>0</v>
      </c>
      <c r="EG96">
        <v>0.75</v>
      </c>
      <c r="EH96">
        <v>2</v>
      </c>
      <c r="EI96">
        <f>0.125+0.5</f>
        <v>0.625</v>
      </c>
      <c r="EJ96">
        <v>2</v>
      </c>
      <c r="EK96">
        <v>3.5</v>
      </c>
      <c r="EL96">
        <v>1.5</v>
      </c>
      <c r="EM96">
        <v>0</v>
      </c>
      <c r="EN96">
        <v>1.125</v>
      </c>
      <c r="EO96">
        <v>0</v>
      </c>
      <c r="EP96">
        <v>0</v>
      </c>
      <c r="EQ96">
        <v>2</v>
      </c>
      <c r="ER96">
        <v>0.125</v>
      </c>
      <c r="ES96">
        <v>0.75</v>
      </c>
      <c r="ET96">
        <v>0.5</v>
      </c>
      <c r="EU96">
        <f>0.125+0.5+1+0.5+0.5</f>
        <v>2.625</v>
      </c>
      <c r="EV96">
        <v>1</v>
      </c>
      <c r="EW96">
        <f>0.25+0.125+0.5+0.25+0.25+0.5</f>
        <v>1.875</v>
      </c>
      <c r="EX96">
        <v>0</v>
      </c>
      <c r="EY96">
        <v>0</v>
      </c>
      <c r="EZ96">
        <v>0.25</v>
      </c>
      <c r="FA96">
        <v>2</v>
      </c>
      <c r="FB96">
        <v>1.5</v>
      </c>
      <c r="FC96">
        <v>2</v>
      </c>
      <c r="FD96">
        <v>0.25</v>
      </c>
      <c r="FE96">
        <v>2</v>
      </c>
      <c r="FF96">
        <v>0</v>
      </c>
      <c r="FG96">
        <v>0</v>
      </c>
      <c r="FH96">
        <v>0.5</v>
      </c>
      <c r="FI96">
        <f>0.125+0.125+1+0.5+0.5</f>
        <v>2.25</v>
      </c>
      <c r="FJ96">
        <v>0</v>
      </c>
      <c r="FK96">
        <v>0</v>
      </c>
      <c r="FL96">
        <f>0.125+1+0.5</f>
        <v>1.625</v>
      </c>
      <c r="FM96">
        <v>0</v>
      </c>
      <c r="FN96">
        <v>0</v>
      </c>
      <c r="FO96">
        <v>0</v>
      </c>
      <c r="FP96">
        <v>1</v>
      </c>
      <c r="FQ96">
        <f>0.125+1+0.5</f>
        <v>1.625</v>
      </c>
      <c r="FR96">
        <v>1</v>
      </c>
      <c r="FS96">
        <f>0.125+0.125</f>
        <v>0.25</v>
      </c>
      <c r="FT96">
        <v>0.5</v>
      </c>
      <c r="FU96">
        <v>1.125</v>
      </c>
      <c r="FV96">
        <v>0</v>
      </c>
      <c r="FW96">
        <v>2</v>
      </c>
      <c r="FX96">
        <v>0.125</v>
      </c>
      <c r="FY96">
        <v>0</v>
      </c>
      <c r="FZ96">
        <v>0</v>
      </c>
      <c r="GA96">
        <f>0.125+1+0.5</f>
        <v>1.625</v>
      </c>
      <c r="GB96">
        <v>3.5</v>
      </c>
      <c r="GC96">
        <v>1.125</v>
      </c>
      <c r="GD96">
        <v>0</v>
      </c>
      <c r="GE96">
        <v>0.125</v>
      </c>
      <c r="GF96">
        <v>0.25</v>
      </c>
      <c r="GG96">
        <v>0</v>
      </c>
      <c r="GH96">
        <v>0.125</v>
      </c>
      <c r="GI96">
        <v>0.25</v>
      </c>
      <c r="GJ96">
        <v>0.125</v>
      </c>
      <c r="GK96">
        <v>0.125</v>
      </c>
      <c r="GL96">
        <v>1.125</v>
      </c>
      <c r="GM96">
        <f>0.125+1+0.5</f>
        <v>1.625</v>
      </c>
      <c r="GN96">
        <f>0.125+0.25+0.5</f>
        <v>0.875</v>
      </c>
      <c r="GO96">
        <v>0.25</v>
      </c>
      <c r="GP96">
        <v>0.125</v>
      </c>
      <c r="GQ96">
        <v>0</v>
      </c>
      <c r="GR96">
        <v>0</v>
      </c>
      <c r="GS96">
        <v>0</v>
      </c>
      <c r="GT96">
        <v>0.25</v>
      </c>
      <c r="GU96">
        <v>0.125</v>
      </c>
      <c r="GV96">
        <v>0.75</v>
      </c>
      <c r="GW96">
        <v>0.5</v>
      </c>
      <c r="GX96">
        <f>0.125+0.25</f>
        <v>0.375</v>
      </c>
      <c r="GY96">
        <v>1.125</v>
      </c>
      <c r="GZ96">
        <v>0</v>
      </c>
      <c r="HA96">
        <v>1.5</v>
      </c>
      <c r="HB96">
        <v>2.25</v>
      </c>
      <c r="HC96">
        <f>0.125+0.5</f>
        <v>0.625</v>
      </c>
    </row>
    <row r="97" spans="3:211" x14ac:dyDescent="0.25">
      <c r="C97" s="4" t="s">
        <v>3</v>
      </c>
      <c r="G97" t="s">
        <v>1048</v>
      </c>
      <c r="H97">
        <v>0.125</v>
      </c>
      <c r="I97">
        <v>0.125</v>
      </c>
      <c r="J97">
        <v>0.125</v>
      </c>
      <c r="K97">
        <v>0</v>
      </c>
      <c r="L97">
        <v>0.125</v>
      </c>
      <c r="M97">
        <v>0.25</v>
      </c>
      <c r="N97">
        <v>0.125</v>
      </c>
      <c r="O97">
        <v>0.125</v>
      </c>
      <c r="P97">
        <v>0</v>
      </c>
      <c r="Q97">
        <v>0</v>
      </c>
      <c r="R97">
        <v>0.125</v>
      </c>
      <c r="S97">
        <v>0</v>
      </c>
      <c r="T97">
        <v>0</v>
      </c>
      <c r="U97">
        <v>0.25</v>
      </c>
      <c r="V97">
        <f>0.25+0.125</f>
        <v>0.375</v>
      </c>
      <c r="W97">
        <v>0</v>
      </c>
      <c r="X97">
        <v>0</v>
      </c>
      <c r="Y97">
        <v>0</v>
      </c>
      <c r="Z97">
        <v>0</v>
      </c>
      <c r="AA97">
        <v>0</v>
      </c>
      <c r="AB97">
        <v>0.25</v>
      </c>
      <c r="AC97">
        <v>0.25</v>
      </c>
      <c r="AD97">
        <v>0.125</v>
      </c>
      <c r="AE97">
        <v>0</v>
      </c>
      <c r="AF97">
        <v>0</v>
      </c>
      <c r="AG97">
        <v>0</v>
      </c>
      <c r="AH97">
        <v>0.125</v>
      </c>
      <c r="AI97">
        <v>0</v>
      </c>
      <c r="AJ97">
        <v>0</v>
      </c>
      <c r="AK97">
        <v>0.125</v>
      </c>
      <c r="AL97">
        <v>0</v>
      </c>
      <c r="AM97">
        <v>0</v>
      </c>
      <c r="AN97">
        <v>0</v>
      </c>
      <c r="AO97">
        <f>0.25+0.125+0.125</f>
        <v>0.5</v>
      </c>
      <c r="AP97">
        <v>0</v>
      </c>
      <c r="AQ97">
        <v>0</v>
      </c>
      <c r="AR97">
        <v>0</v>
      </c>
      <c r="AS97">
        <v>0</v>
      </c>
      <c r="AT97">
        <v>0.125</v>
      </c>
      <c r="AU97">
        <f>0.25+0.25</f>
        <v>0.5</v>
      </c>
      <c r="AV97">
        <v>0</v>
      </c>
      <c r="AW97">
        <v>0.125</v>
      </c>
      <c r="AX97">
        <v>0</v>
      </c>
      <c r="AY97">
        <v>0.75</v>
      </c>
      <c r="AZ97">
        <f>0.25+0.125</f>
        <v>0.375</v>
      </c>
      <c r="BA97">
        <v>0.25</v>
      </c>
      <c r="BB97">
        <f>0.125+0.25</f>
        <v>0.375</v>
      </c>
      <c r="BC97">
        <v>0.25</v>
      </c>
      <c r="BD97">
        <v>0</v>
      </c>
      <c r="BE97">
        <v>0</v>
      </c>
      <c r="BF97">
        <v>0</v>
      </c>
      <c r="BG97">
        <v>0.125</v>
      </c>
      <c r="BH97">
        <v>0.125</v>
      </c>
      <c r="BI97">
        <v>1</v>
      </c>
      <c r="BJ97">
        <v>2</v>
      </c>
      <c r="BK97">
        <v>0</v>
      </c>
      <c r="BL97">
        <v>0</v>
      </c>
      <c r="BM97">
        <v>0.125</v>
      </c>
      <c r="BN97">
        <f>-0.25+0.25+0.75+0.25</f>
        <v>1</v>
      </c>
      <c r="BO97">
        <v>-0.25</v>
      </c>
      <c r="BP97">
        <v>0.25</v>
      </c>
      <c r="BQ97">
        <v>0</v>
      </c>
      <c r="BR97">
        <v>0.125</v>
      </c>
      <c r="BS97">
        <v>0.125</v>
      </c>
      <c r="BT97">
        <f>0.125+0.25+0.125</f>
        <v>0.5</v>
      </c>
      <c r="BU97">
        <v>0</v>
      </c>
      <c r="BV97">
        <f>0.125+0.25</f>
        <v>0.375</v>
      </c>
      <c r="BW97">
        <v>0.25</v>
      </c>
      <c r="BX97">
        <v>0.125</v>
      </c>
      <c r="BY97">
        <v>0</v>
      </c>
      <c r="BZ97">
        <v>0</v>
      </c>
      <c r="CA97">
        <f>0.25+0.125</f>
        <v>0.375</v>
      </c>
      <c r="CB97">
        <v>0</v>
      </c>
      <c r="CC97">
        <v>0</v>
      </c>
      <c r="CD97">
        <v>0.25</v>
      </c>
      <c r="CE97">
        <v>0</v>
      </c>
      <c r="CF97">
        <f>0.125+0.125+0.125</f>
        <v>0.375</v>
      </c>
      <c r="CG97">
        <v>0</v>
      </c>
      <c r="CH97">
        <v>0</v>
      </c>
      <c r="CI97">
        <v>0</v>
      </c>
      <c r="CJ97">
        <v>0.25</v>
      </c>
      <c r="CK97">
        <v>0.5</v>
      </c>
      <c r="CL97">
        <v>0</v>
      </c>
      <c r="CM97">
        <v>2</v>
      </c>
      <c r="CN97">
        <v>0</v>
      </c>
      <c r="CO97">
        <v>0.125</v>
      </c>
      <c r="CP97">
        <v>0.25</v>
      </c>
      <c r="CQ97">
        <v>0</v>
      </c>
      <c r="CR97">
        <v>0</v>
      </c>
      <c r="CS97">
        <f>0.125+0.25+0.125</f>
        <v>0.5</v>
      </c>
      <c r="CT97">
        <v>0.125</v>
      </c>
      <c r="CU97">
        <v>0.125</v>
      </c>
      <c r="CV97">
        <v>0</v>
      </c>
      <c r="CW97">
        <v>0.25</v>
      </c>
      <c r="CX97">
        <v>0.125</v>
      </c>
      <c r="CY97">
        <v>0</v>
      </c>
      <c r="CZ97">
        <f>0.25+0.125</f>
        <v>0.375</v>
      </c>
      <c r="DA97">
        <v>0</v>
      </c>
      <c r="DB97">
        <v>0</v>
      </c>
      <c r="DC97">
        <v>0</v>
      </c>
      <c r="DD97">
        <v>0.125</v>
      </c>
      <c r="DE97">
        <v>0.125</v>
      </c>
      <c r="DF97">
        <v>0.125</v>
      </c>
      <c r="DG97">
        <v>0</v>
      </c>
      <c r="DH97">
        <v>0.125</v>
      </c>
      <c r="DI97">
        <f>0.5+0.125</f>
        <v>0.625</v>
      </c>
      <c r="DJ97">
        <v>0.5</v>
      </c>
      <c r="DK97">
        <v>2</v>
      </c>
      <c r="DL97">
        <f>0.25+0.125</f>
        <v>0.375</v>
      </c>
      <c r="DM97">
        <v>0</v>
      </c>
      <c r="DN97">
        <v>0.5</v>
      </c>
      <c r="DO97">
        <v>0.25</v>
      </c>
      <c r="DP97">
        <v>0.125</v>
      </c>
      <c r="DQ97">
        <v>0</v>
      </c>
      <c r="DR97">
        <v>0.125</v>
      </c>
      <c r="DS97">
        <v>0.125</v>
      </c>
      <c r="DT97">
        <v>0</v>
      </c>
      <c r="DU97">
        <v>0</v>
      </c>
      <c r="DV97">
        <v>0</v>
      </c>
      <c r="DW97">
        <v>0.125</v>
      </c>
      <c r="DX97">
        <v>0</v>
      </c>
      <c r="DY97">
        <v>0</v>
      </c>
      <c r="DZ97">
        <v>0</v>
      </c>
      <c r="EA97">
        <v>1.75</v>
      </c>
      <c r="EB97">
        <v>0.25</v>
      </c>
      <c r="EC97">
        <f>0.25+0.25</f>
        <v>0.5</v>
      </c>
      <c r="ED97">
        <v>0</v>
      </c>
      <c r="EE97">
        <v>2</v>
      </c>
      <c r="EF97">
        <v>0.5</v>
      </c>
      <c r="EG97">
        <v>0</v>
      </c>
      <c r="EH97">
        <f>0.125+0.25</f>
        <v>0.375</v>
      </c>
      <c r="EI97">
        <v>0</v>
      </c>
      <c r="EJ97">
        <v>0.125</v>
      </c>
      <c r="EK97">
        <f>0.25+0.125</f>
        <v>0.375</v>
      </c>
      <c r="EL97">
        <f>0.125+0.75+0.25+0.125</f>
        <v>1.25</v>
      </c>
      <c r="EM97">
        <v>0</v>
      </c>
      <c r="EN97">
        <v>0.25</v>
      </c>
      <c r="EO97">
        <v>0</v>
      </c>
      <c r="EP97">
        <v>0</v>
      </c>
      <c r="EQ97">
        <v>0.25</v>
      </c>
      <c r="ER97">
        <v>0</v>
      </c>
      <c r="ES97">
        <v>0.5</v>
      </c>
      <c r="ET97">
        <v>0</v>
      </c>
      <c r="EU97">
        <v>0.5</v>
      </c>
      <c r="EV97">
        <v>0</v>
      </c>
      <c r="EW97">
        <f>0.125+0.125+0.125+0.125+0.125+0.25+0.125</f>
        <v>1</v>
      </c>
      <c r="EX97">
        <v>0</v>
      </c>
      <c r="EY97">
        <v>0</v>
      </c>
      <c r="EZ97">
        <v>0</v>
      </c>
      <c r="FA97">
        <f>0.25+0.125</f>
        <v>0.375</v>
      </c>
      <c r="FB97">
        <v>0</v>
      </c>
      <c r="FC97">
        <f>0.125+0.25</f>
        <v>0.375</v>
      </c>
      <c r="FD97">
        <v>0.125</v>
      </c>
      <c r="FE97">
        <v>0.125</v>
      </c>
      <c r="FF97">
        <f>0.25+0.125</f>
        <v>0.375</v>
      </c>
      <c r="FG97">
        <v>0.125</v>
      </c>
      <c r="FH97">
        <v>0</v>
      </c>
      <c r="FI97">
        <f>0.125+0.25+0.125+0.125</f>
        <v>0.625</v>
      </c>
      <c r="FJ97">
        <v>0.5</v>
      </c>
      <c r="FK97">
        <v>0.125</v>
      </c>
      <c r="FL97">
        <v>0.25</v>
      </c>
      <c r="FM97">
        <v>0</v>
      </c>
      <c r="FN97">
        <v>0</v>
      </c>
      <c r="FO97">
        <v>0</v>
      </c>
      <c r="FP97">
        <v>0</v>
      </c>
      <c r="FQ97">
        <v>0.125</v>
      </c>
      <c r="FR97">
        <v>0.25</v>
      </c>
      <c r="FS97">
        <v>0</v>
      </c>
      <c r="FT97">
        <v>0</v>
      </c>
      <c r="FU97">
        <v>0</v>
      </c>
      <c r="FV97">
        <v>0</v>
      </c>
      <c r="FW97">
        <f>0.25+0.125</f>
        <v>0.375</v>
      </c>
      <c r="FX97">
        <f>0.25+0.125</f>
        <v>0.375</v>
      </c>
      <c r="FY97">
        <v>0</v>
      </c>
      <c r="FZ97">
        <v>0</v>
      </c>
      <c r="GA97">
        <v>2</v>
      </c>
      <c r="GB97">
        <v>0.75</v>
      </c>
      <c r="GC97">
        <v>0</v>
      </c>
      <c r="GD97">
        <v>0</v>
      </c>
      <c r="GE97">
        <v>0</v>
      </c>
      <c r="GF97">
        <v>0.125</v>
      </c>
      <c r="GG97">
        <v>0</v>
      </c>
      <c r="GH97">
        <v>0.125</v>
      </c>
      <c r="GI97">
        <v>0.125</v>
      </c>
      <c r="GJ97">
        <v>0</v>
      </c>
      <c r="GK97">
        <v>0</v>
      </c>
      <c r="GL97">
        <v>0</v>
      </c>
      <c r="GM97">
        <v>0</v>
      </c>
      <c r="GN97">
        <v>0.125</v>
      </c>
      <c r="GO97">
        <v>0.25</v>
      </c>
      <c r="GP97">
        <v>0</v>
      </c>
      <c r="GQ97">
        <v>0</v>
      </c>
      <c r="GR97">
        <v>0.25</v>
      </c>
      <c r="GS97">
        <v>0.125</v>
      </c>
      <c r="GT97">
        <v>0.25</v>
      </c>
      <c r="GU97">
        <v>0</v>
      </c>
      <c r="GV97">
        <v>0.125</v>
      </c>
      <c r="GW97">
        <v>0</v>
      </c>
      <c r="GX97">
        <v>0.5</v>
      </c>
      <c r="GY97">
        <f>0.25+0.125</f>
        <v>0.375</v>
      </c>
      <c r="GZ97">
        <v>0</v>
      </c>
      <c r="HA97">
        <v>0</v>
      </c>
      <c r="HB97">
        <v>0.5</v>
      </c>
      <c r="HC97">
        <v>0</v>
      </c>
    </row>
    <row r="111" spans="3:211" x14ac:dyDescent="0.25">
      <c r="FC111" s="7"/>
    </row>
  </sheetData>
  <autoFilter ref="A1:HC94"/>
  <sortState ref="A2:J112">
    <sortCondition ref="A1"/>
  </sortState>
  <mergeCells count="2">
    <mergeCell ref="G51:G53"/>
    <mergeCell ref="G83:G8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X58"/>
  <sheetViews>
    <sheetView topLeftCell="A24" workbookViewId="0">
      <selection activeCell="A58" sqref="A58"/>
    </sheetView>
  </sheetViews>
  <sheetFormatPr baseColWidth="10" defaultRowHeight="15" x14ac:dyDescent="0.25"/>
  <cols>
    <col min="3" max="159" width="11.42578125" customWidth="1"/>
  </cols>
  <sheetData>
    <row r="1" spans="1:206" s="86" customFormat="1" x14ac:dyDescent="0.25">
      <c r="A1" s="84" t="s">
        <v>132</v>
      </c>
      <c r="B1" s="84" t="s">
        <v>39</v>
      </c>
      <c r="C1" s="85" t="s">
        <v>162</v>
      </c>
      <c r="D1" s="85" t="s">
        <v>163</v>
      </c>
      <c r="E1" s="85" t="s">
        <v>164</v>
      </c>
      <c r="F1" s="85" t="s">
        <v>165</v>
      </c>
      <c r="G1" s="85" t="s">
        <v>166</v>
      </c>
      <c r="H1" s="85" t="s">
        <v>167</v>
      </c>
      <c r="I1" s="85" t="s">
        <v>168</v>
      </c>
      <c r="J1" s="85" t="s">
        <v>169</v>
      </c>
      <c r="K1" s="85" t="s">
        <v>170</v>
      </c>
      <c r="L1" s="85" t="s">
        <v>171</v>
      </c>
      <c r="M1" s="85" t="s">
        <v>172</v>
      </c>
      <c r="N1" s="85" t="s">
        <v>173</v>
      </c>
      <c r="O1" s="85" t="s">
        <v>174</v>
      </c>
      <c r="P1" s="85" t="s">
        <v>175</v>
      </c>
      <c r="Q1" s="85" t="s">
        <v>176</v>
      </c>
      <c r="R1" s="85" t="s">
        <v>177</v>
      </c>
      <c r="S1" s="85" t="s">
        <v>178</v>
      </c>
      <c r="T1" s="85" t="s">
        <v>179</v>
      </c>
      <c r="U1" s="85" t="s">
        <v>180</v>
      </c>
      <c r="V1" s="85" t="s">
        <v>181</v>
      </c>
      <c r="W1" s="85" t="s">
        <v>182</v>
      </c>
      <c r="X1" s="85" t="s">
        <v>183</v>
      </c>
      <c r="Y1" s="85" t="s">
        <v>184</v>
      </c>
      <c r="Z1" s="85" t="s">
        <v>185</v>
      </c>
      <c r="AA1" s="85" t="s">
        <v>186</v>
      </c>
      <c r="AB1" s="85" t="s">
        <v>187</v>
      </c>
      <c r="AC1" s="85" t="s">
        <v>188</v>
      </c>
      <c r="AD1" s="85" t="s">
        <v>189</v>
      </c>
      <c r="AE1" s="85" t="s">
        <v>190</v>
      </c>
      <c r="AF1" s="85" t="s">
        <v>191</v>
      </c>
      <c r="AG1" s="85" t="s">
        <v>192</v>
      </c>
      <c r="AH1" s="85" t="s">
        <v>193</v>
      </c>
      <c r="AI1" s="85" t="s">
        <v>194</v>
      </c>
      <c r="AJ1" s="85" t="s">
        <v>195</v>
      </c>
      <c r="AK1" s="85" t="s">
        <v>196</v>
      </c>
      <c r="AL1" s="85" t="s">
        <v>197</v>
      </c>
      <c r="AM1" s="85" t="s">
        <v>198</v>
      </c>
      <c r="AN1" s="85" t="s">
        <v>199</v>
      </c>
      <c r="AO1" s="85" t="s">
        <v>200</v>
      </c>
      <c r="AP1" s="85" t="s">
        <v>201</v>
      </c>
      <c r="AQ1" s="85" t="s">
        <v>202</v>
      </c>
      <c r="AR1" s="85" t="s">
        <v>203</v>
      </c>
      <c r="AS1" s="85" t="s">
        <v>204</v>
      </c>
      <c r="AT1" s="85" t="s">
        <v>205</v>
      </c>
      <c r="AU1" s="85" t="s">
        <v>206</v>
      </c>
      <c r="AV1" s="85" t="s">
        <v>207</v>
      </c>
      <c r="AW1" s="85" t="s">
        <v>208</v>
      </c>
      <c r="AX1" s="85" t="s">
        <v>209</v>
      </c>
      <c r="AY1" s="85" t="s">
        <v>210</v>
      </c>
      <c r="AZ1" s="85" t="s">
        <v>211</v>
      </c>
      <c r="BA1" s="85" t="s">
        <v>212</v>
      </c>
      <c r="BB1" s="85" t="s">
        <v>213</v>
      </c>
      <c r="BC1" s="85" t="s">
        <v>214</v>
      </c>
      <c r="BD1" s="85" t="s">
        <v>215</v>
      </c>
      <c r="BE1" s="85" t="s">
        <v>216</v>
      </c>
      <c r="BF1" s="85" t="s">
        <v>217</v>
      </c>
      <c r="BG1" s="85" t="s">
        <v>218</v>
      </c>
      <c r="BH1" s="85" t="s">
        <v>219</v>
      </c>
      <c r="BI1" s="85" t="s">
        <v>220</v>
      </c>
      <c r="BJ1" s="85" t="s">
        <v>221</v>
      </c>
      <c r="BK1" s="85" t="s">
        <v>222</v>
      </c>
      <c r="BL1" s="85" t="s">
        <v>223</v>
      </c>
      <c r="BM1" s="85" t="s">
        <v>224</v>
      </c>
      <c r="BN1" s="85" t="s">
        <v>225</v>
      </c>
      <c r="BO1" s="85" t="s">
        <v>226</v>
      </c>
      <c r="BP1" s="85" t="s">
        <v>227</v>
      </c>
      <c r="BQ1" s="85" t="s">
        <v>228</v>
      </c>
      <c r="BR1" s="85" t="s">
        <v>229</v>
      </c>
      <c r="BS1" s="85" t="s">
        <v>230</v>
      </c>
      <c r="BT1" s="85" t="s">
        <v>231</v>
      </c>
      <c r="BU1" s="85" t="s">
        <v>232</v>
      </c>
      <c r="BV1" s="85" t="s">
        <v>233</v>
      </c>
      <c r="BW1" s="85" t="s">
        <v>234</v>
      </c>
      <c r="BX1" s="85" t="s">
        <v>235</v>
      </c>
      <c r="BY1" s="85" t="s">
        <v>236</v>
      </c>
      <c r="BZ1" s="85" t="s">
        <v>237</v>
      </c>
      <c r="CA1" s="85" t="s">
        <v>238</v>
      </c>
      <c r="CB1" s="85" t="s">
        <v>239</v>
      </c>
      <c r="CC1" s="85" t="s">
        <v>240</v>
      </c>
      <c r="CD1" s="85" t="s">
        <v>241</v>
      </c>
      <c r="CE1" s="85" t="s">
        <v>242</v>
      </c>
      <c r="CF1" s="85" t="s">
        <v>243</v>
      </c>
      <c r="CG1" s="85" t="s">
        <v>244</v>
      </c>
      <c r="CH1" s="85" t="s">
        <v>245</v>
      </c>
      <c r="CI1" s="85" t="s">
        <v>246</v>
      </c>
      <c r="CJ1" s="85" t="s">
        <v>247</v>
      </c>
      <c r="CK1" s="85" t="s">
        <v>248</v>
      </c>
      <c r="CL1" s="85" t="s">
        <v>249</v>
      </c>
      <c r="CM1" s="85" t="s">
        <v>250</v>
      </c>
      <c r="CN1" s="85" t="s">
        <v>251</v>
      </c>
      <c r="CO1" s="85" t="s">
        <v>252</v>
      </c>
      <c r="CP1" s="85" t="s">
        <v>253</v>
      </c>
      <c r="CQ1" s="85" t="s">
        <v>254</v>
      </c>
      <c r="CR1" s="85" t="s">
        <v>255</v>
      </c>
      <c r="CS1" s="85" t="s">
        <v>256</v>
      </c>
      <c r="CT1" s="85" t="s">
        <v>257</v>
      </c>
      <c r="CU1" s="85" t="s">
        <v>258</v>
      </c>
      <c r="CV1" s="85" t="s">
        <v>259</v>
      </c>
      <c r="CW1" s="85" t="s">
        <v>260</v>
      </c>
      <c r="CX1" s="85" t="s">
        <v>261</v>
      </c>
      <c r="CY1" s="85" t="s">
        <v>262</v>
      </c>
      <c r="CZ1" s="85" t="s">
        <v>263</v>
      </c>
      <c r="DA1" s="85" t="s">
        <v>264</v>
      </c>
      <c r="DB1" s="85" t="s">
        <v>265</v>
      </c>
      <c r="DC1" s="85" t="s">
        <v>266</v>
      </c>
      <c r="DD1" s="85" t="s">
        <v>267</v>
      </c>
      <c r="DE1" s="85" t="s">
        <v>268</v>
      </c>
      <c r="DF1" s="85" t="s">
        <v>269</v>
      </c>
      <c r="DG1" s="85" t="s">
        <v>270</v>
      </c>
      <c r="DH1" s="85" t="s">
        <v>271</v>
      </c>
      <c r="DI1" s="85" t="s">
        <v>272</v>
      </c>
      <c r="DJ1" s="85" t="s">
        <v>273</v>
      </c>
      <c r="DK1" s="85" t="s">
        <v>274</v>
      </c>
      <c r="DL1" s="85" t="s">
        <v>275</v>
      </c>
      <c r="DM1" s="85" t="s">
        <v>276</v>
      </c>
      <c r="DN1" s="85" t="s">
        <v>277</v>
      </c>
      <c r="DO1" s="85" t="s">
        <v>278</v>
      </c>
      <c r="DP1" s="85" t="s">
        <v>279</v>
      </c>
      <c r="DQ1" s="85" t="s">
        <v>280</v>
      </c>
      <c r="DR1" s="85" t="s">
        <v>281</v>
      </c>
      <c r="DS1" s="85" t="s">
        <v>282</v>
      </c>
      <c r="DT1" s="85" t="s">
        <v>283</v>
      </c>
      <c r="DU1" s="85" t="s">
        <v>284</v>
      </c>
      <c r="DV1" s="85" t="s">
        <v>285</v>
      </c>
      <c r="DW1" s="85" t="s">
        <v>286</v>
      </c>
      <c r="DX1" s="85" t="s">
        <v>287</v>
      </c>
      <c r="DY1" s="85" t="s">
        <v>288</v>
      </c>
      <c r="DZ1" s="85" t="s">
        <v>289</v>
      </c>
      <c r="EA1" s="85" t="s">
        <v>290</v>
      </c>
      <c r="EB1" s="85" t="s">
        <v>291</v>
      </c>
      <c r="EC1" s="85" t="s">
        <v>292</v>
      </c>
      <c r="ED1" s="85" t="s">
        <v>293</v>
      </c>
      <c r="EE1" s="85" t="s">
        <v>294</v>
      </c>
      <c r="EF1" s="85" t="s">
        <v>295</v>
      </c>
      <c r="EG1" s="85" t="s">
        <v>296</v>
      </c>
      <c r="EH1" s="85" t="s">
        <v>297</v>
      </c>
      <c r="EI1" s="85" t="s">
        <v>298</v>
      </c>
      <c r="EJ1" s="85" t="s">
        <v>299</v>
      </c>
      <c r="EK1" s="85" t="s">
        <v>300</v>
      </c>
      <c r="EL1" s="85" t="s">
        <v>301</v>
      </c>
      <c r="EM1" s="85" t="s">
        <v>302</v>
      </c>
      <c r="EN1" s="85" t="s">
        <v>303</v>
      </c>
      <c r="EO1" s="85" t="s">
        <v>304</v>
      </c>
      <c r="EP1" s="85" t="s">
        <v>305</v>
      </c>
      <c r="EQ1" s="85" t="s">
        <v>306</v>
      </c>
      <c r="ER1" s="85" t="s">
        <v>307</v>
      </c>
      <c r="ES1" s="85" t="s">
        <v>308</v>
      </c>
      <c r="ET1" s="85" t="s">
        <v>309</v>
      </c>
      <c r="EU1" s="85" t="s">
        <v>310</v>
      </c>
      <c r="EV1" s="85" t="s">
        <v>311</v>
      </c>
      <c r="EW1" s="85" t="s">
        <v>312</v>
      </c>
      <c r="EX1" s="85" t="s">
        <v>313</v>
      </c>
      <c r="EY1" s="85" t="s">
        <v>314</v>
      </c>
      <c r="EZ1" s="85" t="s">
        <v>315</v>
      </c>
      <c r="FA1" s="85" t="s">
        <v>316</v>
      </c>
      <c r="FB1" s="85" t="s">
        <v>317</v>
      </c>
      <c r="FC1" s="85" t="s">
        <v>318</v>
      </c>
      <c r="FD1" s="85" t="s">
        <v>319</v>
      </c>
      <c r="FE1" s="85" t="s">
        <v>320</v>
      </c>
      <c r="FF1" s="85" t="s">
        <v>321</v>
      </c>
      <c r="FG1" s="85" t="s">
        <v>322</v>
      </c>
      <c r="FH1" s="85" t="s">
        <v>323</v>
      </c>
      <c r="FI1" s="85" t="s">
        <v>324</v>
      </c>
      <c r="FJ1" s="85" t="s">
        <v>325</v>
      </c>
      <c r="FK1" s="85" t="s">
        <v>326</v>
      </c>
      <c r="FL1" s="85" t="s">
        <v>327</v>
      </c>
      <c r="FM1" s="85" t="s">
        <v>328</v>
      </c>
      <c r="FN1" s="85" t="s">
        <v>329</v>
      </c>
      <c r="FO1" s="85" t="s">
        <v>330</v>
      </c>
      <c r="FP1" s="85" t="s">
        <v>331</v>
      </c>
      <c r="FQ1" s="85" t="s">
        <v>332</v>
      </c>
      <c r="FR1" s="85" t="s">
        <v>333</v>
      </c>
      <c r="FS1" s="85" t="s">
        <v>334</v>
      </c>
      <c r="FT1" s="85" t="s">
        <v>335</v>
      </c>
      <c r="FU1" s="85" t="s">
        <v>336</v>
      </c>
      <c r="FV1" s="85" t="s">
        <v>337</v>
      </c>
      <c r="FW1" s="85" t="s">
        <v>338</v>
      </c>
      <c r="FX1" s="85" t="s">
        <v>339</v>
      </c>
      <c r="FY1" s="85" t="s">
        <v>340</v>
      </c>
      <c r="FZ1" s="85" t="s">
        <v>341</v>
      </c>
      <c r="GA1" s="85" t="s">
        <v>342</v>
      </c>
      <c r="GB1" s="85" t="s">
        <v>343</v>
      </c>
      <c r="GC1" s="85" t="s">
        <v>344</v>
      </c>
      <c r="GD1" s="85" t="s">
        <v>345</v>
      </c>
      <c r="GE1" s="85" t="s">
        <v>346</v>
      </c>
      <c r="GF1" s="85" t="s">
        <v>347</v>
      </c>
      <c r="GG1" s="85" t="s">
        <v>348</v>
      </c>
      <c r="GH1" s="85" t="s">
        <v>349</v>
      </c>
      <c r="GI1" s="85" t="s">
        <v>350</v>
      </c>
      <c r="GJ1" s="85" t="s">
        <v>351</v>
      </c>
      <c r="GK1" s="85" t="s">
        <v>352</v>
      </c>
      <c r="GL1" s="85" t="s">
        <v>353</v>
      </c>
      <c r="GM1" s="85" t="s">
        <v>354</v>
      </c>
      <c r="GN1" s="85" t="s">
        <v>355</v>
      </c>
      <c r="GO1" s="85" t="s">
        <v>356</v>
      </c>
      <c r="GP1" s="85" t="s">
        <v>357</v>
      </c>
      <c r="GQ1" s="85" t="s">
        <v>358</v>
      </c>
      <c r="GR1" s="85" t="s">
        <v>359</v>
      </c>
      <c r="GS1" s="85" t="s">
        <v>360</v>
      </c>
      <c r="GT1" s="85" t="s">
        <v>361</v>
      </c>
      <c r="GU1" s="85" t="s">
        <v>362</v>
      </c>
      <c r="GV1" s="85" t="s">
        <v>363</v>
      </c>
      <c r="GW1" s="85" t="s">
        <v>364</v>
      </c>
      <c r="GX1" s="85" t="s">
        <v>365</v>
      </c>
    </row>
    <row r="2" spans="1:206" ht="15.75" x14ac:dyDescent="0.25">
      <c r="A2" s="6" t="s">
        <v>62</v>
      </c>
      <c r="B2" s="6" t="s">
        <v>63</v>
      </c>
      <c r="I2" t="s">
        <v>366</v>
      </c>
      <c r="AF2" t="s">
        <v>367</v>
      </c>
      <c r="BE2" t="s">
        <v>368</v>
      </c>
      <c r="CN2" t="s">
        <v>366</v>
      </c>
      <c r="DM2" t="s">
        <v>368</v>
      </c>
      <c r="DP2" t="s">
        <v>366</v>
      </c>
      <c r="DR2" t="s">
        <v>366</v>
      </c>
      <c r="DY2" t="s">
        <v>367</v>
      </c>
      <c r="EG2" t="s">
        <v>368</v>
      </c>
      <c r="EW2" t="s">
        <v>367</v>
      </c>
      <c r="EZ2" t="s">
        <v>366</v>
      </c>
      <c r="FP2" t="s">
        <v>366</v>
      </c>
      <c r="FW2" t="s">
        <v>366</v>
      </c>
      <c r="GG2" t="s">
        <v>367</v>
      </c>
    </row>
    <row r="3" spans="1:206" ht="15.75" x14ac:dyDescent="0.25">
      <c r="A3" s="9" t="s">
        <v>104</v>
      </c>
      <c r="B3" s="9" t="s">
        <v>105</v>
      </c>
      <c r="ER3" t="s">
        <v>369</v>
      </c>
    </row>
    <row r="4" spans="1:206" ht="15.75" x14ac:dyDescent="0.25">
      <c r="A4" s="6" t="s">
        <v>5</v>
      </c>
      <c r="B4" s="6" t="s">
        <v>6</v>
      </c>
      <c r="W4" t="s">
        <v>370</v>
      </c>
      <c r="X4" t="s">
        <v>990</v>
      </c>
      <c r="AF4" t="s">
        <v>371</v>
      </c>
      <c r="AJ4" t="s">
        <v>991</v>
      </c>
      <c r="AW4" t="s">
        <v>372</v>
      </c>
      <c r="BI4" t="s">
        <v>373</v>
      </c>
      <c r="BV4" t="s">
        <v>374</v>
      </c>
      <c r="CA4" t="s">
        <v>375</v>
      </c>
      <c r="CN4" t="s">
        <v>372</v>
      </c>
      <c r="CR4" t="s">
        <v>376</v>
      </c>
      <c r="DA4" t="s">
        <v>377</v>
      </c>
      <c r="EF4" t="s">
        <v>378</v>
      </c>
      <c r="ER4" t="s">
        <v>379</v>
      </c>
      <c r="FM4" t="s">
        <v>380</v>
      </c>
      <c r="FR4" t="s">
        <v>992</v>
      </c>
      <c r="GW4" t="s">
        <v>381</v>
      </c>
    </row>
    <row r="5" spans="1:206" ht="15.75" x14ac:dyDescent="0.25">
      <c r="A5" s="6" t="s">
        <v>7</v>
      </c>
      <c r="B5" s="6" t="s">
        <v>8</v>
      </c>
      <c r="E5" t="s">
        <v>382</v>
      </c>
      <c r="AS5" t="s">
        <v>383</v>
      </c>
      <c r="BA5" t="s">
        <v>382</v>
      </c>
      <c r="BH5" t="s">
        <v>384</v>
      </c>
      <c r="BO5" t="s">
        <v>382</v>
      </c>
      <c r="CB5" t="s">
        <v>382</v>
      </c>
      <c r="CD5" t="s">
        <v>382</v>
      </c>
      <c r="CI5" t="s">
        <v>385</v>
      </c>
      <c r="CJ5" t="s">
        <v>386</v>
      </c>
      <c r="CS5" t="s">
        <v>387</v>
      </c>
      <c r="DF5" t="s">
        <v>384</v>
      </c>
      <c r="DL5" t="s">
        <v>388</v>
      </c>
      <c r="DP5" t="s">
        <v>389</v>
      </c>
      <c r="DY5" t="s">
        <v>390</v>
      </c>
      <c r="EA5" t="s">
        <v>391</v>
      </c>
      <c r="EB5" t="s">
        <v>392</v>
      </c>
      <c r="EM5" t="s">
        <v>393</v>
      </c>
      <c r="EQ5" t="s">
        <v>384</v>
      </c>
      <c r="GP5" t="s">
        <v>386</v>
      </c>
    </row>
    <row r="6" spans="1:206" ht="15.75" x14ac:dyDescent="0.25">
      <c r="A6" s="6" t="s">
        <v>9</v>
      </c>
      <c r="B6" s="6" t="s">
        <v>10</v>
      </c>
      <c r="I6" t="s">
        <v>394</v>
      </c>
      <c r="V6" t="s">
        <v>394</v>
      </c>
      <c r="AH6" t="s">
        <v>395</v>
      </c>
      <c r="BB6" t="s">
        <v>394</v>
      </c>
      <c r="BJ6" t="s">
        <v>396</v>
      </c>
      <c r="BL6" t="s">
        <v>397</v>
      </c>
      <c r="CF6" t="s">
        <v>993</v>
      </c>
      <c r="CL6" t="s">
        <v>398</v>
      </c>
      <c r="CU6" t="s">
        <v>394</v>
      </c>
      <c r="DE6" t="s">
        <v>394</v>
      </c>
      <c r="DV6" t="s">
        <v>399</v>
      </c>
      <c r="DW6" t="s">
        <v>394</v>
      </c>
      <c r="EA6" t="s">
        <v>394</v>
      </c>
      <c r="EB6" t="s">
        <v>994</v>
      </c>
      <c r="EO6" t="s">
        <v>995</v>
      </c>
      <c r="ER6" t="s">
        <v>400</v>
      </c>
      <c r="ET6" t="s">
        <v>401</v>
      </c>
      <c r="EV6" t="s">
        <v>394</v>
      </c>
      <c r="EW6" t="s">
        <v>402</v>
      </c>
      <c r="EY6" t="s">
        <v>394</v>
      </c>
      <c r="EZ6" t="s">
        <v>394</v>
      </c>
      <c r="FG6" t="s">
        <v>394</v>
      </c>
      <c r="FI6" t="s">
        <v>394</v>
      </c>
      <c r="GL6" t="s">
        <v>403</v>
      </c>
      <c r="GN6" t="s">
        <v>394</v>
      </c>
      <c r="GS6" t="s">
        <v>404</v>
      </c>
    </row>
    <row r="7" spans="1:206" ht="15.75" x14ac:dyDescent="0.25">
      <c r="A7" s="6" t="s">
        <v>11</v>
      </c>
      <c r="B7" s="6" t="s">
        <v>12</v>
      </c>
      <c r="BI7" t="s">
        <v>405</v>
      </c>
      <c r="CK7" t="s">
        <v>406</v>
      </c>
      <c r="CQ7" t="s">
        <v>407</v>
      </c>
      <c r="DM7" t="s">
        <v>996</v>
      </c>
      <c r="ER7" t="s">
        <v>408</v>
      </c>
    </row>
    <row r="8" spans="1:206" ht="15.75" x14ac:dyDescent="0.25">
      <c r="A8" s="6" t="s">
        <v>13</v>
      </c>
      <c r="B8" s="6" t="s">
        <v>14</v>
      </c>
      <c r="N8" t="s">
        <v>409</v>
      </c>
      <c r="P8" t="s">
        <v>410</v>
      </c>
      <c r="AB8" t="s">
        <v>409</v>
      </c>
      <c r="AE8" t="s">
        <v>411</v>
      </c>
      <c r="BB8" t="s">
        <v>412</v>
      </c>
      <c r="BE8" t="s">
        <v>410</v>
      </c>
      <c r="BS8" t="s">
        <v>409</v>
      </c>
      <c r="CB8" t="s">
        <v>409</v>
      </c>
      <c r="CD8" t="s">
        <v>409</v>
      </c>
      <c r="DP8" t="s">
        <v>413</v>
      </c>
      <c r="DR8" t="s">
        <v>413</v>
      </c>
      <c r="DT8" t="s">
        <v>409</v>
      </c>
      <c r="ED8" t="s">
        <v>414</v>
      </c>
      <c r="EZ8" t="s">
        <v>415</v>
      </c>
      <c r="FK8" t="s">
        <v>409</v>
      </c>
      <c r="FM8" t="s">
        <v>411</v>
      </c>
      <c r="FO8" t="s">
        <v>409</v>
      </c>
      <c r="GB8" t="s">
        <v>409</v>
      </c>
    </row>
    <row r="9" spans="1:206" ht="15.75" x14ac:dyDescent="0.25">
      <c r="A9" s="6" t="s">
        <v>15</v>
      </c>
      <c r="B9" s="6" t="s">
        <v>106</v>
      </c>
      <c r="E9" t="s">
        <v>416</v>
      </c>
      <c r="H9" t="s">
        <v>417</v>
      </c>
      <c r="M9" t="s">
        <v>418</v>
      </c>
      <c r="AS9" t="s">
        <v>419</v>
      </c>
      <c r="BI9" t="s">
        <v>420</v>
      </c>
      <c r="BL9" t="s">
        <v>421</v>
      </c>
      <c r="CS9" t="s">
        <v>422</v>
      </c>
      <c r="CW9" t="s">
        <v>423</v>
      </c>
      <c r="ER9" t="s">
        <v>424</v>
      </c>
      <c r="FF9" t="s">
        <v>425</v>
      </c>
      <c r="GN9" t="s">
        <v>426</v>
      </c>
      <c r="GQ9" t="s">
        <v>427</v>
      </c>
      <c r="GS9" t="s">
        <v>417</v>
      </c>
    </row>
    <row r="10" spans="1:206" ht="15.75" x14ac:dyDescent="0.25">
      <c r="A10" s="6" t="s">
        <v>107</v>
      </c>
      <c r="B10" s="6" t="s">
        <v>42</v>
      </c>
      <c r="C10" t="s">
        <v>428</v>
      </c>
      <c r="G10" t="s">
        <v>429</v>
      </c>
      <c r="I10" t="s">
        <v>430</v>
      </c>
      <c r="V10" t="s">
        <v>431</v>
      </c>
      <c r="Z10" t="s">
        <v>432</v>
      </c>
      <c r="AG10" t="s">
        <v>433</v>
      </c>
      <c r="AH10" t="s">
        <v>434</v>
      </c>
      <c r="AN10" t="s">
        <v>433</v>
      </c>
      <c r="AO10" t="s">
        <v>435</v>
      </c>
      <c r="AQ10" t="s">
        <v>436</v>
      </c>
      <c r="AV10" t="s">
        <v>437</v>
      </c>
      <c r="AW10" t="s">
        <v>433</v>
      </c>
      <c r="AX10" t="s">
        <v>437</v>
      </c>
      <c r="BI10" t="s">
        <v>438</v>
      </c>
      <c r="BJ10" t="s">
        <v>439</v>
      </c>
      <c r="BL10" t="s">
        <v>997</v>
      </c>
      <c r="BM10" t="s">
        <v>440</v>
      </c>
      <c r="BN10" t="s">
        <v>441</v>
      </c>
      <c r="BY10" t="s">
        <v>437</v>
      </c>
      <c r="CA10" t="s">
        <v>433</v>
      </c>
      <c r="CE10" t="s">
        <v>437</v>
      </c>
      <c r="CF10" t="s">
        <v>437</v>
      </c>
      <c r="CH10" t="s">
        <v>442</v>
      </c>
      <c r="CK10" t="s">
        <v>437</v>
      </c>
      <c r="CL10" t="s">
        <v>437</v>
      </c>
      <c r="DE10" t="s">
        <v>443</v>
      </c>
      <c r="DP10" t="s">
        <v>444</v>
      </c>
      <c r="DR10" t="s">
        <v>444</v>
      </c>
      <c r="DS10" t="s">
        <v>445</v>
      </c>
      <c r="DV10" t="s">
        <v>446</v>
      </c>
      <c r="DW10" t="s">
        <v>447</v>
      </c>
      <c r="DZ10" t="s">
        <v>446</v>
      </c>
      <c r="EC10" t="s">
        <v>433</v>
      </c>
      <c r="EE10" t="s">
        <v>448</v>
      </c>
      <c r="EO10" t="s">
        <v>449</v>
      </c>
      <c r="EP10" t="s">
        <v>450</v>
      </c>
      <c r="EV10" t="s">
        <v>451</v>
      </c>
      <c r="EZ10" t="s">
        <v>452</v>
      </c>
      <c r="FF10" t="s">
        <v>453</v>
      </c>
      <c r="FI10" t="s">
        <v>454</v>
      </c>
      <c r="FJ10" t="s">
        <v>436</v>
      </c>
      <c r="FV10" t="s">
        <v>442</v>
      </c>
      <c r="GG10" t="s">
        <v>455</v>
      </c>
      <c r="GL10" t="s">
        <v>436</v>
      </c>
      <c r="GS10" t="s">
        <v>456</v>
      </c>
      <c r="GT10" t="s">
        <v>457</v>
      </c>
      <c r="GW10" t="s">
        <v>437</v>
      </c>
    </row>
    <row r="11" spans="1:206" ht="15.75" x14ac:dyDescent="0.25">
      <c r="A11" s="9" t="s">
        <v>108</v>
      </c>
      <c r="B11" s="9" t="s">
        <v>109</v>
      </c>
      <c r="BK11" t="s">
        <v>458</v>
      </c>
      <c r="EN11" t="s">
        <v>459</v>
      </c>
    </row>
    <row r="12" spans="1:206" ht="15.75" x14ac:dyDescent="0.25">
      <c r="A12" s="9" t="s">
        <v>110</v>
      </c>
      <c r="B12" s="9" t="s">
        <v>111</v>
      </c>
      <c r="AY12" t="s">
        <v>460</v>
      </c>
      <c r="BK12" t="s">
        <v>461</v>
      </c>
      <c r="BX12" t="s">
        <v>461</v>
      </c>
      <c r="CN12" t="s">
        <v>462</v>
      </c>
      <c r="CP12" t="s">
        <v>463</v>
      </c>
      <c r="CT12" t="s">
        <v>461</v>
      </c>
      <c r="DY12" t="s">
        <v>464</v>
      </c>
      <c r="EH12" t="s">
        <v>461</v>
      </c>
      <c r="EJ12" t="s">
        <v>465</v>
      </c>
      <c r="ER12" t="s">
        <v>466</v>
      </c>
      <c r="EW12" t="s">
        <v>461</v>
      </c>
      <c r="EX12" t="s">
        <v>467</v>
      </c>
    </row>
    <row r="13" spans="1:206" ht="15.75" x14ac:dyDescent="0.25">
      <c r="A13" s="6" t="s">
        <v>43</v>
      </c>
      <c r="B13" s="6" t="s">
        <v>44</v>
      </c>
      <c r="DB13" t="s">
        <v>468</v>
      </c>
      <c r="DM13" t="s">
        <v>998</v>
      </c>
    </row>
    <row r="14" spans="1:206" ht="15.75" x14ac:dyDescent="0.25">
      <c r="A14" s="6" t="s">
        <v>45</v>
      </c>
      <c r="B14" s="6" t="s">
        <v>46</v>
      </c>
      <c r="C14" t="s">
        <v>469</v>
      </c>
      <c r="E14" t="s">
        <v>470</v>
      </c>
      <c r="I14" t="s">
        <v>471</v>
      </c>
      <c r="M14" t="s">
        <v>472</v>
      </c>
      <c r="U14" t="s">
        <v>473</v>
      </c>
      <c r="Z14" t="s">
        <v>474</v>
      </c>
      <c r="AJ14" t="s">
        <v>475</v>
      </c>
      <c r="AO14" t="s">
        <v>473</v>
      </c>
      <c r="AT14" t="s">
        <v>476</v>
      </c>
      <c r="BE14" t="s">
        <v>477</v>
      </c>
      <c r="BK14" t="s">
        <v>478</v>
      </c>
      <c r="BM14" t="s">
        <v>479</v>
      </c>
      <c r="BP14" t="s">
        <v>473</v>
      </c>
      <c r="BS14" t="s">
        <v>480</v>
      </c>
      <c r="BT14" t="s">
        <v>476</v>
      </c>
      <c r="CM14" t="s">
        <v>472</v>
      </c>
      <c r="CR14" t="s">
        <v>473</v>
      </c>
      <c r="CV14" t="s">
        <v>476</v>
      </c>
      <c r="DS14" t="s">
        <v>470</v>
      </c>
      <c r="DT14" t="s">
        <v>481</v>
      </c>
      <c r="DY14" t="s">
        <v>482</v>
      </c>
      <c r="ED14" t="s">
        <v>483</v>
      </c>
      <c r="EI14" t="s">
        <v>476</v>
      </c>
      <c r="EL14" t="s">
        <v>476</v>
      </c>
      <c r="EM14" t="s">
        <v>484</v>
      </c>
      <c r="EP14" t="s">
        <v>476</v>
      </c>
      <c r="EZ14" t="s">
        <v>485</v>
      </c>
      <c r="FD14" t="s">
        <v>486</v>
      </c>
      <c r="FG14" t="s">
        <v>487</v>
      </c>
      <c r="FS14" t="s">
        <v>488</v>
      </c>
      <c r="FX14" t="s">
        <v>489</v>
      </c>
      <c r="FZ14" t="s">
        <v>470</v>
      </c>
      <c r="GC14" t="s">
        <v>490</v>
      </c>
      <c r="GE14" t="s">
        <v>491</v>
      </c>
      <c r="GF14" t="s">
        <v>492</v>
      </c>
      <c r="GK14" t="s">
        <v>473</v>
      </c>
      <c r="GP14" t="s">
        <v>493</v>
      </c>
      <c r="GT14" t="s">
        <v>494</v>
      </c>
    </row>
    <row r="15" spans="1:206" ht="15.75" x14ac:dyDescent="0.25">
      <c r="A15" s="6" t="s">
        <v>47</v>
      </c>
      <c r="B15" s="6" t="s">
        <v>48</v>
      </c>
      <c r="BO15" t="s">
        <v>495</v>
      </c>
      <c r="DJ15" t="s">
        <v>999</v>
      </c>
      <c r="FN15" t="s">
        <v>496</v>
      </c>
      <c r="GI15" t="s">
        <v>497</v>
      </c>
      <c r="GX15" t="s">
        <v>498</v>
      </c>
    </row>
    <row r="16" spans="1:206" ht="15.75" x14ac:dyDescent="0.25">
      <c r="A16" s="6" t="s">
        <v>49</v>
      </c>
      <c r="B16" s="6" t="s">
        <v>50</v>
      </c>
      <c r="C16" t="s">
        <v>499</v>
      </c>
      <c r="F16" t="s">
        <v>500</v>
      </c>
      <c r="G16" t="s">
        <v>499</v>
      </c>
      <c r="H16" t="s">
        <v>501</v>
      </c>
      <c r="J16" t="s">
        <v>502</v>
      </c>
      <c r="K16" t="s">
        <v>503</v>
      </c>
      <c r="O16" t="s">
        <v>504</v>
      </c>
      <c r="U16" t="s">
        <v>505</v>
      </c>
      <c r="Z16" t="s">
        <v>506</v>
      </c>
      <c r="AC16" t="s">
        <v>507</v>
      </c>
      <c r="AH16" t="s">
        <v>508</v>
      </c>
      <c r="AS16" t="s">
        <v>509</v>
      </c>
      <c r="BB16" t="s">
        <v>510</v>
      </c>
      <c r="BH16" t="s">
        <v>511</v>
      </c>
      <c r="BL16" t="s">
        <v>512</v>
      </c>
      <c r="BM16" t="s">
        <v>512</v>
      </c>
      <c r="CY16" t="s">
        <v>513</v>
      </c>
      <c r="DF16" t="s">
        <v>511</v>
      </c>
      <c r="DI16" t="s">
        <v>514</v>
      </c>
      <c r="DM16" t="s">
        <v>502</v>
      </c>
      <c r="DN16" t="s">
        <v>515</v>
      </c>
      <c r="DU16" t="s">
        <v>516</v>
      </c>
      <c r="DW16" t="s">
        <v>508</v>
      </c>
      <c r="DY16" t="s">
        <v>517</v>
      </c>
      <c r="ED16" t="s">
        <v>518</v>
      </c>
      <c r="EG16" t="s">
        <v>519</v>
      </c>
      <c r="EQ16" t="s">
        <v>511</v>
      </c>
      <c r="ER16" t="s">
        <v>520</v>
      </c>
      <c r="FF16" t="s">
        <v>509</v>
      </c>
      <c r="FI16" t="s">
        <v>508</v>
      </c>
      <c r="FJ16" t="s">
        <v>499</v>
      </c>
      <c r="FN16" t="s">
        <v>521</v>
      </c>
      <c r="FR16" t="s">
        <v>509</v>
      </c>
      <c r="GF16" t="s">
        <v>522</v>
      </c>
      <c r="GI16" t="s">
        <v>523</v>
      </c>
      <c r="GL16" t="s">
        <v>524</v>
      </c>
      <c r="GO16" t="s">
        <v>525</v>
      </c>
      <c r="GT16" t="s">
        <v>512</v>
      </c>
      <c r="GV16" t="s">
        <v>512</v>
      </c>
    </row>
    <row r="17" spans="1:206" ht="15.75" x14ac:dyDescent="0.25">
      <c r="A17" s="6" t="s">
        <v>51</v>
      </c>
      <c r="B17" s="6" t="s">
        <v>52</v>
      </c>
      <c r="K17" t="s">
        <v>526</v>
      </c>
      <c r="M17" t="s">
        <v>527</v>
      </c>
      <c r="P17" t="s">
        <v>528</v>
      </c>
      <c r="U17" t="s">
        <v>529</v>
      </c>
      <c r="W17" t="s">
        <v>530</v>
      </c>
      <c r="AC17" t="s">
        <v>530</v>
      </c>
      <c r="AO17" t="s">
        <v>529</v>
      </c>
      <c r="BB17" t="s">
        <v>531</v>
      </c>
      <c r="BC17" t="s">
        <v>530</v>
      </c>
      <c r="BE17" t="s">
        <v>528</v>
      </c>
      <c r="BI17" t="s">
        <v>532</v>
      </c>
      <c r="BP17" t="s">
        <v>529</v>
      </c>
      <c r="CJ17" t="s">
        <v>533</v>
      </c>
      <c r="CR17" t="s">
        <v>529</v>
      </c>
      <c r="DI17" t="s">
        <v>514</v>
      </c>
      <c r="DU17" t="s">
        <v>534</v>
      </c>
      <c r="ED17" t="s">
        <v>535</v>
      </c>
      <c r="EL17" t="s">
        <v>536</v>
      </c>
      <c r="EM17" t="s">
        <v>529</v>
      </c>
      <c r="ER17" t="s">
        <v>537</v>
      </c>
      <c r="ES17" t="s">
        <v>538</v>
      </c>
      <c r="FN17" t="s">
        <v>539</v>
      </c>
      <c r="FX17" t="s">
        <v>540</v>
      </c>
      <c r="FY17" t="s">
        <v>541</v>
      </c>
      <c r="GG17" t="s">
        <v>540</v>
      </c>
      <c r="GK17" t="s">
        <v>529</v>
      </c>
      <c r="GL17" t="s">
        <v>528</v>
      </c>
      <c r="GO17" t="s">
        <v>538</v>
      </c>
      <c r="GP17" t="s">
        <v>542</v>
      </c>
    </row>
    <row r="18" spans="1:206" ht="15.75" x14ac:dyDescent="0.25">
      <c r="A18" s="6" t="s">
        <v>53</v>
      </c>
      <c r="B18" s="6" t="s">
        <v>54</v>
      </c>
      <c r="D18" t="s">
        <v>543</v>
      </c>
      <c r="G18" t="s">
        <v>1000</v>
      </c>
      <c r="I18" t="s">
        <v>544</v>
      </c>
      <c r="X18" t="s">
        <v>545</v>
      </c>
      <c r="AG18" t="s">
        <v>546</v>
      </c>
      <c r="AL18" t="s">
        <v>547</v>
      </c>
      <c r="AV18" t="s">
        <v>548</v>
      </c>
      <c r="AX18" t="s">
        <v>548</v>
      </c>
      <c r="AZ18" t="s">
        <v>1001</v>
      </c>
      <c r="BB18" t="s">
        <v>549</v>
      </c>
      <c r="BD18" t="s">
        <v>548</v>
      </c>
      <c r="BL18" t="s">
        <v>550</v>
      </c>
      <c r="BN18" t="s">
        <v>548</v>
      </c>
      <c r="BO18" t="s">
        <v>1002</v>
      </c>
      <c r="BR18" t="s">
        <v>551</v>
      </c>
      <c r="BY18" t="s">
        <v>548</v>
      </c>
      <c r="CE18" t="s">
        <v>548</v>
      </c>
      <c r="CF18" t="s">
        <v>548</v>
      </c>
      <c r="CH18" t="s">
        <v>551</v>
      </c>
      <c r="CK18" t="s">
        <v>548</v>
      </c>
      <c r="CL18" t="s">
        <v>548</v>
      </c>
      <c r="CU18" t="s">
        <v>1003</v>
      </c>
      <c r="CW18" t="s">
        <v>552</v>
      </c>
      <c r="DB18" t="s">
        <v>553</v>
      </c>
      <c r="DG18" t="s">
        <v>554</v>
      </c>
      <c r="DH18" t="s">
        <v>1004</v>
      </c>
      <c r="DI18" t="s">
        <v>514</v>
      </c>
      <c r="DL18" t="s">
        <v>543</v>
      </c>
      <c r="DP18" t="s">
        <v>548</v>
      </c>
      <c r="DR18" t="s">
        <v>548</v>
      </c>
      <c r="DV18" t="s">
        <v>548</v>
      </c>
      <c r="DX18" t="s">
        <v>555</v>
      </c>
      <c r="DY18" t="s">
        <v>1005</v>
      </c>
      <c r="DZ18" t="s">
        <v>548</v>
      </c>
      <c r="EB18" t="s">
        <v>556</v>
      </c>
      <c r="EC18" t="s">
        <v>1006</v>
      </c>
      <c r="EN18" t="s">
        <v>557</v>
      </c>
      <c r="ER18" t="s">
        <v>558</v>
      </c>
      <c r="EU18" t="s">
        <v>1007</v>
      </c>
      <c r="EV18" t="s">
        <v>559</v>
      </c>
      <c r="EZ18" t="s">
        <v>544</v>
      </c>
      <c r="FD18" t="s">
        <v>560</v>
      </c>
      <c r="FL18" t="s">
        <v>548</v>
      </c>
      <c r="FN18" t="s">
        <v>561</v>
      </c>
      <c r="FP18" t="s">
        <v>562</v>
      </c>
      <c r="FV18" t="s">
        <v>548</v>
      </c>
      <c r="GG18" t="s">
        <v>563</v>
      </c>
      <c r="GH18" t="s">
        <v>548</v>
      </c>
      <c r="GI18" t="s">
        <v>564</v>
      </c>
      <c r="GS18" t="s">
        <v>565</v>
      </c>
      <c r="GW18" t="s">
        <v>548</v>
      </c>
    </row>
    <row r="19" spans="1:206" ht="15.75" x14ac:dyDescent="0.25">
      <c r="A19" s="6" t="s">
        <v>16</v>
      </c>
      <c r="B19" s="6" t="s">
        <v>17</v>
      </c>
      <c r="CF19" t="s">
        <v>1008</v>
      </c>
      <c r="DD19" t="s">
        <v>1009</v>
      </c>
      <c r="DI19" t="s">
        <v>514</v>
      </c>
      <c r="DX19" t="s">
        <v>566</v>
      </c>
      <c r="EA19" t="s">
        <v>1010</v>
      </c>
      <c r="EB19" t="s">
        <v>567</v>
      </c>
      <c r="EN19" t="s">
        <v>568</v>
      </c>
      <c r="FE19" t="s">
        <v>1011</v>
      </c>
      <c r="GS19" t="s">
        <v>569</v>
      </c>
    </row>
    <row r="20" spans="1:206" ht="15.75" x14ac:dyDescent="0.25">
      <c r="A20" s="6" t="s">
        <v>18</v>
      </c>
      <c r="B20" s="6" t="s">
        <v>112</v>
      </c>
      <c r="H20" t="s">
        <v>570</v>
      </c>
      <c r="M20" t="s">
        <v>571</v>
      </c>
      <c r="N20" t="s">
        <v>572</v>
      </c>
      <c r="AB20" t="s">
        <v>572</v>
      </c>
      <c r="AQ20" t="s">
        <v>573</v>
      </c>
      <c r="AS20" t="s">
        <v>574</v>
      </c>
      <c r="AV20" t="s">
        <v>575</v>
      </c>
      <c r="AX20" t="s">
        <v>575</v>
      </c>
      <c r="BD20" t="s">
        <v>575</v>
      </c>
      <c r="BH20" t="s">
        <v>576</v>
      </c>
      <c r="BK20" t="s">
        <v>577</v>
      </c>
      <c r="BN20" t="s">
        <v>575</v>
      </c>
      <c r="BS20" t="s">
        <v>572</v>
      </c>
      <c r="BX20" t="s">
        <v>577</v>
      </c>
      <c r="BY20" t="s">
        <v>575</v>
      </c>
      <c r="CE20" t="s">
        <v>575</v>
      </c>
      <c r="CF20" t="s">
        <v>575</v>
      </c>
      <c r="CK20" t="s">
        <v>575</v>
      </c>
      <c r="CL20" t="s">
        <v>575</v>
      </c>
      <c r="DC20" t="s">
        <v>578</v>
      </c>
      <c r="DL20" t="s">
        <v>579</v>
      </c>
      <c r="DP20" t="s">
        <v>575</v>
      </c>
      <c r="DR20" t="s">
        <v>575</v>
      </c>
      <c r="DV20" t="s">
        <v>575</v>
      </c>
      <c r="DX20" t="s">
        <v>580</v>
      </c>
      <c r="DZ20" t="s">
        <v>575</v>
      </c>
      <c r="EF20" t="s">
        <v>578</v>
      </c>
      <c r="EG20" t="s">
        <v>581</v>
      </c>
      <c r="EH20" t="s">
        <v>577</v>
      </c>
      <c r="ER20" t="s">
        <v>582</v>
      </c>
      <c r="EW20" t="s">
        <v>577</v>
      </c>
      <c r="FC20" t="s">
        <v>583</v>
      </c>
      <c r="FL20" t="s">
        <v>575</v>
      </c>
      <c r="FV20" t="s">
        <v>575</v>
      </c>
      <c r="GB20" t="s">
        <v>572</v>
      </c>
      <c r="GC20" t="s">
        <v>578</v>
      </c>
      <c r="GE20" t="s">
        <v>584</v>
      </c>
      <c r="GH20" t="s">
        <v>575</v>
      </c>
      <c r="GW20" t="s">
        <v>575</v>
      </c>
    </row>
    <row r="21" spans="1:206" ht="15.75" x14ac:dyDescent="0.25">
      <c r="A21" s="6" t="s">
        <v>55</v>
      </c>
      <c r="B21" s="6" t="s">
        <v>56</v>
      </c>
      <c r="Q21" t="s">
        <v>585</v>
      </c>
      <c r="AC21" t="s">
        <v>586</v>
      </c>
      <c r="AR21" t="s">
        <v>587</v>
      </c>
      <c r="AZ21" t="s">
        <v>588</v>
      </c>
      <c r="BB21" t="s">
        <v>589</v>
      </c>
      <c r="BL21" s="92" t="s">
        <v>1051</v>
      </c>
      <c r="BX21" t="s">
        <v>590</v>
      </c>
      <c r="CB21" t="s">
        <v>591</v>
      </c>
      <c r="CD21" t="s">
        <v>591</v>
      </c>
      <c r="CJ21" t="s">
        <v>592</v>
      </c>
      <c r="CP21" t="s">
        <v>593</v>
      </c>
      <c r="CU21" t="s">
        <v>594</v>
      </c>
      <c r="CV21" t="s">
        <v>595</v>
      </c>
      <c r="DK21" t="s">
        <v>596</v>
      </c>
      <c r="DQ21" t="s">
        <v>597</v>
      </c>
      <c r="DU21" t="s">
        <v>598</v>
      </c>
      <c r="EC21" t="s">
        <v>599</v>
      </c>
      <c r="EE21" t="s">
        <v>600</v>
      </c>
      <c r="EF21" t="s">
        <v>601</v>
      </c>
      <c r="EG21" t="s">
        <v>602</v>
      </c>
      <c r="EL21" t="s">
        <v>603</v>
      </c>
      <c r="EN21" t="s">
        <v>604</v>
      </c>
      <c r="EO21" t="s">
        <v>605</v>
      </c>
      <c r="EP21" t="s">
        <v>603</v>
      </c>
      <c r="EQ21" t="s">
        <v>514</v>
      </c>
      <c r="ER21" t="s">
        <v>606</v>
      </c>
      <c r="EW21" t="s">
        <v>607</v>
      </c>
      <c r="FC21" t="s">
        <v>602</v>
      </c>
      <c r="FK21" t="s">
        <v>608</v>
      </c>
      <c r="GI21" t="s">
        <v>609</v>
      </c>
      <c r="GQ21" t="s">
        <v>610</v>
      </c>
      <c r="GV21" t="s">
        <v>611</v>
      </c>
      <c r="GX21" t="s">
        <v>612</v>
      </c>
    </row>
    <row r="22" spans="1:206" ht="15.75" x14ac:dyDescent="0.25">
      <c r="A22" s="6" t="s">
        <v>57</v>
      </c>
      <c r="B22" s="6" t="s">
        <v>58</v>
      </c>
      <c r="C22" t="s">
        <v>613</v>
      </c>
      <c r="D22" t="s">
        <v>613</v>
      </c>
      <c r="E22" t="s">
        <v>613</v>
      </c>
      <c r="F22" t="s">
        <v>613</v>
      </c>
      <c r="G22" t="s">
        <v>613</v>
      </c>
      <c r="H22" t="s">
        <v>613</v>
      </c>
      <c r="I22" t="s">
        <v>613</v>
      </c>
      <c r="J22" t="s">
        <v>613</v>
      </c>
      <c r="K22" t="s">
        <v>613</v>
      </c>
      <c r="L22" t="s">
        <v>613</v>
      </c>
      <c r="M22" t="s">
        <v>613</v>
      </c>
      <c r="N22" t="s">
        <v>613</v>
      </c>
      <c r="O22" t="s">
        <v>613</v>
      </c>
      <c r="P22" t="s">
        <v>613</v>
      </c>
      <c r="Q22" t="s">
        <v>614</v>
      </c>
      <c r="R22" t="s">
        <v>613</v>
      </c>
      <c r="S22" t="s">
        <v>613</v>
      </c>
      <c r="T22" t="s">
        <v>613</v>
      </c>
      <c r="U22" t="s">
        <v>613</v>
      </c>
      <c r="V22" t="s">
        <v>613</v>
      </c>
      <c r="W22" t="s">
        <v>613</v>
      </c>
      <c r="X22" t="s">
        <v>613</v>
      </c>
      <c r="Y22" t="s">
        <v>613</v>
      </c>
      <c r="Z22" t="s">
        <v>613</v>
      </c>
      <c r="AB22" t="s">
        <v>613</v>
      </c>
      <c r="AC22" t="s">
        <v>613</v>
      </c>
      <c r="AD22" t="s">
        <v>613</v>
      </c>
      <c r="AE22" t="s">
        <v>613</v>
      </c>
      <c r="AF22" t="s">
        <v>613</v>
      </c>
      <c r="AG22" t="s">
        <v>613</v>
      </c>
      <c r="AH22" t="s">
        <v>613</v>
      </c>
      <c r="AI22" t="s">
        <v>613</v>
      </c>
      <c r="AJ22" t="s">
        <v>613</v>
      </c>
      <c r="AK22" t="s">
        <v>613</v>
      </c>
      <c r="AL22" t="s">
        <v>613</v>
      </c>
      <c r="AM22" t="s">
        <v>613</v>
      </c>
      <c r="AN22" t="s">
        <v>613</v>
      </c>
      <c r="AO22" t="s">
        <v>613</v>
      </c>
      <c r="AP22" t="s">
        <v>613</v>
      </c>
      <c r="AQ22" t="s">
        <v>613</v>
      </c>
      <c r="AR22" t="s">
        <v>613</v>
      </c>
      <c r="AS22" t="s">
        <v>613</v>
      </c>
      <c r="AT22" t="s">
        <v>613</v>
      </c>
      <c r="AU22" t="s">
        <v>613</v>
      </c>
      <c r="AV22" t="s">
        <v>613</v>
      </c>
      <c r="AW22" t="s">
        <v>613</v>
      </c>
      <c r="AX22" t="s">
        <v>613</v>
      </c>
      <c r="AY22" t="s">
        <v>613</v>
      </c>
      <c r="AZ22" t="s">
        <v>613</v>
      </c>
      <c r="BA22" t="s">
        <v>613</v>
      </c>
      <c r="BB22" t="s">
        <v>613</v>
      </c>
      <c r="BC22" t="s">
        <v>613</v>
      </c>
      <c r="BD22" t="s">
        <v>613</v>
      </c>
      <c r="BE22" t="s">
        <v>613</v>
      </c>
      <c r="BF22" t="s">
        <v>613</v>
      </c>
      <c r="BG22" t="s">
        <v>613</v>
      </c>
      <c r="BH22" t="s">
        <v>613</v>
      </c>
      <c r="BI22" t="s">
        <v>613</v>
      </c>
      <c r="BJ22" t="s">
        <v>613</v>
      </c>
      <c r="BK22" t="s">
        <v>613</v>
      </c>
      <c r="BL22" t="s">
        <v>615</v>
      </c>
      <c r="BM22" t="s">
        <v>613</v>
      </c>
      <c r="BN22" t="s">
        <v>613</v>
      </c>
      <c r="BO22" t="s">
        <v>613</v>
      </c>
      <c r="BP22" t="s">
        <v>613</v>
      </c>
      <c r="BQ22" t="s">
        <v>613</v>
      </c>
      <c r="BR22" t="s">
        <v>613</v>
      </c>
      <c r="BS22" t="s">
        <v>613</v>
      </c>
      <c r="BT22" t="s">
        <v>613</v>
      </c>
      <c r="BU22" t="s">
        <v>613</v>
      </c>
      <c r="BV22" t="s">
        <v>613</v>
      </c>
      <c r="BW22" t="s">
        <v>613</v>
      </c>
      <c r="BX22" t="s">
        <v>613</v>
      </c>
      <c r="BY22" t="s">
        <v>613</v>
      </c>
      <c r="BZ22" t="s">
        <v>613</v>
      </c>
      <c r="CA22" t="s">
        <v>613</v>
      </c>
      <c r="CB22" t="s">
        <v>613</v>
      </c>
      <c r="CC22" t="s">
        <v>613</v>
      </c>
      <c r="CD22" t="s">
        <v>613</v>
      </c>
      <c r="CE22" t="s">
        <v>613</v>
      </c>
      <c r="CF22" t="s">
        <v>613</v>
      </c>
      <c r="CG22" t="s">
        <v>613</v>
      </c>
      <c r="CH22" t="s">
        <v>613</v>
      </c>
      <c r="CI22" t="s">
        <v>613</v>
      </c>
      <c r="CJ22" t="s">
        <v>613</v>
      </c>
      <c r="CK22" t="s">
        <v>613</v>
      </c>
      <c r="CL22" t="s">
        <v>613</v>
      </c>
      <c r="CM22" t="s">
        <v>613</v>
      </c>
      <c r="CN22" t="s">
        <v>616</v>
      </c>
      <c r="CO22" t="s">
        <v>613</v>
      </c>
      <c r="CP22" t="s">
        <v>617</v>
      </c>
      <c r="CQ22" t="s">
        <v>613</v>
      </c>
      <c r="CR22" t="s">
        <v>613</v>
      </c>
      <c r="CS22" t="s">
        <v>613</v>
      </c>
      <c r="CT22" t="s">
        <v>613</v>
      </c>
      <c r="CU22" t="s">
        <v>618</v>
      </c>
      <c r="CV22" t="s">
        <v>613</v>
      </c>
      <c r="CW22" t="s">
        <v>613</v>
      </c>
      <c r="CX22" t="s">
        <v>613</v>
      </c>
      <c r="CY22" t="s">
        <v>613</v>
      </c>
      <c r="CZ22" t="s">
        <v>613</v>
      </c>
      <c r="DA22" t="s">
        <v>613</v>
      </c>
      <c r="DB22" t="s">
        <v>613</v>
      </c>
      <c r="DC22" t="s">
        <v>613</v>
      </c>
      <c r="DD22" t="s">
        <v>613</v>
      </c>
      <c r="DE22" t="s">
        <v>613</v>
      </c>
      <c r="DF22" t="s">
        <v>613</v>
      </c>
      <c r="DG22" t="s">
        <v>613</v>
      </c>
      <c r="DH22" t="s">
        <v>613</v>
      </c>
      <c r="DI22" t="s">
        <v>613</v>
      </c>
      <c r="DJ22" t="s">
        <v>613</v>
      </c>
      <c r="DK22" t="s">
        <v>613</v>
      </c>
      <c r="DL22" t="s">
        <v>613</v>
      </c>
      <c r="DM22" t="s">
        <v>613</v>
      </c>
      <c r="DN22" t="s">
        <v>613</v>
      </c>
      <c r="DO22" t="s">
        <v>613</v>
      </c>
      <c r="DP22" t="s">
        <v>613</v>
      </c>
      <c r="DQ22" t="s">
        <v>613</v>
      </c>
      <c r="DR22" t="s">
        <v>613</v>
      </c>
      <c r="DS22" t="s">
        <v>613</v>
      </c>
      <c r="DT22" t="s">
        <v>613</v>
      </c>
      <c r="DU22" t="s">
        <v>613</v>
      </c>
      <c r="DV22" t="s">
        <v>613</v>
      </c>
      <c r="DW22" t="s">
        <v>613</v>
      </c>
      <c r="DX22" t="s">
        <v>613</v>
      </c>
      <c r="DY22" t="s">
        <v>613</v>
      </c>
      <c r="DZ22" t="s">
        <v>613</v>
      </c>
      <c r="EA22" t="s">
        <v>613</v>
      </c>
      <c r="EB22" t="s">
        <v>613</v>
      </c>
      <c r="EC22" t="s">
        <v>619</v>
      </c>
      <c r="ED22" t="s">
        <v>613</v>
      </c>
      <c r="EE22" t="s">
        <v>620</v>
      </c>
      <c r="EF22" t="s">
        <v>621</v>
      </c>
      <c r="EG22" t="s">
        <v>613</v>
      </c>
      <c r="EH22" t="s">
        <v>613</v>
      </c>
      <c r="EI22" t="s">
        <v>613</v>
      </c>
      <c r="EJ22" t="s">
        <v>613</v>
      </c>
      <c r="EK22" t="s">
        <v>613</v>
      </c>
      <c r="EL22" t="s">
        <v>613</v>
      </c>
      <c r="EM22" t="s">
        <v>613</v>
      </c>
      <c r="EN22" t="s">
        <v>613</v>
      </c>
      <c r="EO22" t="s">
        <v>613</v>
      </c>
      <c r="EP22" t="s">
        <v>613</v>
      </c>
      <c r="EQ22" t="s">
        <v>514</v>
      </c>
      <c r="ER22" t="s">
        <v>613</v>
      </c>
      <c r="ES22" t="s">
        <v>613</v>
      </c>
      <c r="ET22" t="s">
        <v>613</v>
      </c>
      <c r="EU22" t="s">
        <v>613</v>
      </c>
      <c r="EV22" t="s">
        <v>613</v>
      </c>
      <c r="EW22" t="s">
        <v>613</v>
      </c>
      <c r="EX22" t="s">
        <v>613</v>
      </c>
      <c r="EY22" t="s">
        <v>613</v>
      </c>
      <c r="EZ22" t="s">
        <v>613</v>
      </c>
      <c r="FA22" t="s">
        <v>613</v>
      </c>
      <c r="FB22" t="s">
        <v>613</v>
      </c>
      <c r="FC22" t="s">
        <v>613</v>
      </c>
      <c r="FD22" t="s">
        <v>613</v>
      </c>
      <c r="FE22" t="s">
        <v>613</v>
      </c>
      <c r="FF22" t="s">
        <v>613</v>
      </c>
      <c r="FG22" t="s">
        <v>613</v>
      </c>
      <c r="FH22" t="s">
        <v>613</v>
      </c>
      <c r="FI22" t="s">
        <v>613</v>
      </c>
      <c r="FJ22" t="s">
        <v>613</v>
      </c>
      <c r="FK22" t="s">
        <v>613</v>
      </c>
      <c r="FL22" t="s">
        <v>613</v>
      </c>
      <c r="FM22" t="s">
        <v>613</v>
      </c>
      <c r="FN22" t="s">
        <v>613</v>
      </c>
      <c r="FO22" t="s">
        <v>613</v>
      </c>
      <c r="FP22" t="s">
        <v>613</v>
      </c>
      <c r="FQ22" t="s">
        <v>613</v>
      </c>
      <c r="FR22" t="s">
        <v>613</v>
      </c>
      <c r="FS22" t="s">
        <v>613</v>
      </c>
      <c r="FT22" t="s">
        <v>613</v>
      </c>
      <c r="FU22" t="s">
        <v>613</v>
      </c>
      <c r="FV22" t="s">
        <v>613</v>
      </c>
      <c r="FW22" t="s">
        <v>622</v>
      </c>
      <c r="FX22" t="s">
        <v>613</v>
      </c>
      <c r="FY22" t="s">
        <v>613</v>
      </c>
      <c r="FZ22" t="s">
        <v>613</v>
      </c>
      <c r="GA22" t="s">
        <v>613</v>
      </c>
      <c r="GB22" t="s">
        <v>613</v>
      </c>
      <c r="GC22" t="s">
        <v>613</v>
      </c>
      <c r="GD22" t="s">
        <v>613</v>
      </c>
      <c r="GE22" t="s">
        <v>613</v>
      </c>
      <c r="GF22" t="s">
        <v>613</v>
      </c>
      <c r="GG22" t="s">
        <v>613</v>
      </c>
      <c r="GH22" t="s">
        <v>613</v>
      </c>
      <c r="GI22" t="s">
        <v>613</v>
      </c>
      <c r="GJ22" t="s">
        <v>613</v>
      </c>
      <c r="GK22" t="s">
        <v>613</v>
      </c>
      <c r="GL22" t="s">
        <v>613</v>
      </c>
      <c r="GM22" t="s">
        <v>613</v>
      </c>
      <c r="GN22" t="s">
        <v>613</v>
      </c>
      <c r="GO22" t="s">
        <v>613</v>
      </c>
      <c r="GP22" t="s">
        <v>613</v>
      </c>
      <c r="GQ22" t="s">
        <v>613</v>
      </c>
      <c r="GR22" t="s">
        <v>613</v>
      </c>
      <c r="GS22" t="s">
        <v>613</v>
      </c>
      <c r="GT22" t="s">
        <v>613</v>
      </c>
      <c r="GU22" t="s">
        <v>613</v>
      </c>
      <c r="GV22" t="s">
        <v>613</v>
      </c>
      <c r="GW22" t="s">
        <v>613</v>
      </c>
      <c r="GX22" t="s">
        <v>613</v>
      </c>
    </row>
    <row r="23" spans="1:206" ht="15.75" x14ac:dyDescent="0.25">
      <c r="A23" s="6" t="s">
        <v>82</v>
      </c>
      <c r="B23" s="6" t="s">
        <v>85</v>
      </c>
      <c r="F23" t="s">
        <v>623</v>
      </c>
      <c r="T23" t="s">
        <v>624</v>
      </c>
      <c r="W23" t="s">
        <v>625</v>
      </c>
      <c r="BC23" t="s">
        <v>625</v>
      </c>
      <c r="BS23" t="s">
        <v>626</v>
      </c>
      <c r="CJ23" t="s">
        <v>627</v>
      </c>
      <c r="CN23" t="s">
        <v>628</v>
      </c>
      <c r="CU23" t="s">
        <v>629</v>
      </c>
      <c r="DE23" t="s">
        <v>629</v>
      </c>
      <c r="EQ23" t="s">
        <v>514</v>
      </c>
      <c r="EV23" t="s">
        <v>629</v>
      </c>
      <c r="EY23" t="s">
        <v>629</v>
      </c>
      <c r="FJ23" t="s">
        <v>624</v>
      </c>
    </row>
    <row r="24" spans="1:206" ht="15.75" x14ac:dyDescent="0.25">
      <c r="A24" s="6" t="s">
        <v>83</v>
      </c>
      <c r="B24" s="6" t="s">
        <v>86</v>
      </c>
      <c r="AE24" t="s">
        <v>630</v>
      </c>
      <c r="AG24" t="s">
        <v>631</v>
      </c>
      <c r="AS24" t="s">
        <v>632</v>
      </c>
      <c r="BG24" t="s">
        <v>633</v>
      </c>
      <c r="DC24" t="s">
        <v>634</v>
      </c>
      <c r="DT24" t="s">
        <v>630</v>
      </c>
      <c r="DX24" t="s">
        <v>635</v>
      </c>
      <c r="DY24" t="s">
        <v>636</v>
      </c>
      <c r="EB24" t="s">
        <v>637</v>
      </c>
      <c r="EC24" t="s">
        <v>638</v>
      </c>
      <c r="EQ24" t="s">
        <v>514</v>
      </c>
      <c r="ER24" t="s">
        <v>639</v>
      </c>
      <c r="FM24" t="s">
        <v>630</v>
      </c>
      <c r="FR24" t="s">
        <v>640</v>
      </c>
      <c r="GA24" t="s">
        <v>641</v>
      </c>
      <c r="GD24" t="s">
        <v>641</v>
      </c>
      <c r="GI24" t="s">
        <v>630</v>
      </c>
    </row>
    <row r="25" spans="1:206" ht="15.75" x14ac:dyDescent="0.25">
      <c r="A25" s="6" t="s">
        <v>84</v>
      </c>
      <c r="B25" s="6" t="s">
        <v>87</v>
      </c>
      <c r="D25" t="s">
        <v>642</v>
      </c>
      <c r="L25" t="s">
        <v>643</v>
      </c>
      <c r="AC25" t="s">
        <v>644</v>
      </c>
      <c r="AK25" t="s">
        <v>645</v>
      </c>
      <c r="AS25" t="s">
        <v>646</v>
      </c>
      <c r="BA25" t="s">
        <v>647</v>
      </c>
      <c r="BC25" t="s">
        <v>648</v>
      </c>
      <c r="CJ25" t="s">
        <v>649</v>
      </c>
      <c r="CM25" t="s">
        <v>650</v>
      </c>
      <c r="DC25" t="s">
        <v>642</v>
      </c>
      <c r="DK25" t="s">
        <v>645</v>
      </c>
      <c r="DN25" t="s">
        <v>651</v>
      </c>
      <c r="DP25" t="s">
        <v>652</v>
      </c>
      <c r="DT25" t="s">
        <v>653</v>
      </c>
      <c r="ED25" t="s">
        <v>654</v>
      </c>
      <c r="EF25" t="s">
        <v>642</v>
      </c>
      <c r="EJ25" t="s">
        <v>655</v>
      </c>
      <c r="EQ25" t="s">
        <v>514</v>
      </c>
      <c r="ER25" t="s">
        <v>656</v>
      </c>
      <c r="FZ25" t="s">
        <v>657</v>
      </c>
      <c r="GC25" t="s">
        <v>658</v>
      </c>
      <c r="GM25" t="s">
        <v>651</v>
      </c>
      <c r="GR25" t="s">
        <v>659</v>
      </c>
    </row>
    <row r="26" spans="1:206" ht="15.75" x14ac:dyDescent="0.25">
      <c r="A26" s="6" t="s">
        <v>19</v>
      </c>
      <c r="B26" s="6" t="s">
        <v>113</v>
      </c>
      <c r="C26" t="s">
        <v>660</v>
      </c>
      <c r="AJ26" t="s">
        <v>661</v>
      </c>
      <c r="BQ26" t="s">
        <v>662</v>
      </c>
      <c r="BS26" t="s">
        <v>663</v>
      </c>
      <c r="BV26" t="s">
        <v>664</v>
      </c>
      <c r="CL26" t="s">
        <v>665</v>
      </c>
      <c r="EC26" t="s">
        <v>666</v>
      </c>
      <c r="ER26" t="s">
        <v>667</v>
      </c>
      <c r="FD26" t="s">
        <v>668</v>
      </c>
      <c r="GN26" t="s">
        <v>669</v>
      </c>
      <c r="GT26" t="s">
        <v>670</v>
      </c>
    </row>
    <row r="27" spans="1:206" ht="15.75" x14ac:dyDescent="0.25">
      <c r="A27" s="6" t="s">
        <v>64</v>
      </c>
      <c r="B27" s="6" t="s">
        <v>65</v>
      </c>
      <c r="C27" t="s">
        <v>671</v>
      </c>
      <c r="G27" t="s">
        <v>671</v>
      </c>
      <c r="I27" t="s">
        <v>671</v>
      </c>
      <c r="Q27" t="s">
        <v>671</v>
      </c>
      <c r="X27" t="s">
        <v>672</v>
      </c>
      <c r="AP27" t="s">
        <v>672</v>
      </c>
      <c r="AV27" t="s">
        <v>673</v>
      </c>
      <c r="AX27" t="s">
        <v>673</v>
      </c>
      <c r="BD27" t="s">
        <v>673</v>
      </c>
      <c r="BF27" t="s">
        <v>674</v>
      </c>
      <c r="BI27" t="s">
        <v>671</v>
      </c>
      <c r="BM27" t="s">
        <v>671</v>
      </c>
      <c r="BN27" t="s">
        <v>673</v>
      </c>
      <c r="BO27" t="s">
        <v>671</v>
      </c>
      <c r="BR27" t="s">
        <v>673</v>
      </c>
      <c r="BY27" t="s">
        <v>673</v>
      </c>
      <c r="CA27" t="s">
        <v>675</v>
      </c>
      <c r="CE27" t="s">
        <v>673</v>
      </c>
      <c r="CF27" t="s">
        <v>673</v>
      </c>
      <c r="CH27" t="s">
        <v>671</v>
      </c>
      <c r="CK27" t="s">
        <v>673</v>
      </c>
      <c r="CL27" t="s">
        <v>673</v>
      </c>
      <c r="CR27" t="s">
        <v>671</v>
      </c>
      <c r="CU27" t="s">
        <v>671</v>
      </c>
      <c r="DE27" t="s">
        <v>671</v>
      </c>
      <c r="DF27" t="s">
        <v>671</v>
      </c>
      <c r="DG27" t="s">
        <v>671</v>
      </c>
      <c r="DJ27" t="s">
        <v>672</v>
      </c>
      <c r="DK27" t="s">
        <v>671</v>
      </c>
      <c r="DP27" t="s">
        <v>671</v>
      </c>
      <c r="DQ27" t="s">
        <v>671</v>
      </c>
      <c r="DR27" t="s">
        <v>671</v>
      </c>
      <c r="DT27" t="s">
        <v>672</v>
      </c>
      <c r="DV27" t="s">
        <v>673</v>
      </c>
      <c r="DZ27" t="s">
        <v>673</v>
      </c>
      <c r="EB27" t="s">
        <v>676</v>
      </c>
      <c r="EC27" t="s">
        <v>671</v>
      </c>
      <c r="EE27" t="s">
        <v>671</v>
      </c>
      <c r="EF27" t="s">
        <v>671</v>
      </c>
      <c r="EI27" t="s">
        <v>671</v>
      </c>
      <c r="EL27" t="s">
        <v>671</v>
      </c>
      <c r="EP27" t="s">
        <v>671</v>
      </c>
      <c r="EQ27" t="s">
        <v>672</v>
      </c>
      <c r="EV27" t="s">
        <v>671</v>
      </c>
      <c r="EX27" t="s">
        <v>671</v>
      </c>
      <c r="EZ27" t="s">
        <v>671</v>
      </c>
      <c r="FD27" t="s">
        <v>673</v>
      </c>
      <c r="FG27" t="s">
        <v>671</v>
      </c>
      <c r="FL27" t="s">
        <v>673</v>
      </c>
      <c r="FR27" t="s">
        <v>671</v>
      </c>
      <c r="FV27" t="s">
        <v>673</v>
      </c>
      <c r="FW27" t="s">
        <v>671</v>
      </c>
      <c r="FX27" t="s">
        <v>672</v>
      </c>
      <c r="GH27" t="s">
        <v>673</v>
      </c>
      <c r="GT27" t="s">
        <v>671</v>
      </c>
      <c r="GV27" t="s">
        <v>671</v>
      </c>
      <c r="GW27" t="s">
        <v>673</v>
      </c>
    </row>
    <row r="28" spans="1:206" ht="15.75" x14ac:dyDescent="0.25">
      <c r="A28" s="6" t="s">
        <v>20</v>
      </c>
      <c r="B28" s="6" t="s">
        <v>21</v>
      </c>
      <c r="Q28" t="s">
        <v>677</v>
      </c>
      <c r="BE28" t="s">
        <v>1012</v>
      </c>
      <c r="BO28" t="s">
        <v>678</v>
      </c>
      <c r="BR28" s="92" t="s">
        <v>1052</v>
      </c>
      <c r="CS28" t="s">
        <v>679</v>
      </c>
      <c r="CU28" t="s">
        <v>1013</v>
      </c>
      <c r="DF28" t="s">
        <v>1014</v>
      </c>
      <c r="DK28" t="s">
        <v>680</v>
      </c>
      <c r="EC28" t="s">
        <v>1015</v>
      </c>
      <c r="EL28" t="s">
        <v>681</v>
      </c>
      <c r="EP28" t="s">
        <v>681</v>
      </c>
      <c r="ER28" t="s">
        <v>682</v>
      </c>
      <c r="EV28" t="s">
        <v>1016</v>
      </c>
      <c r="EX28" t="s">
        <v>679</v>
      </c>
      <c r="FD28" s="92" t="s">
        <v>1053</v>
      </c>
      <c r="FW28" t="s">
        <v>1017</v>
      </c>
      <c r="GA28" t="s">
        <v>679</v>
      </c>
      <c r="GD28" t="s">
        <v>679</v>
      </c>
      <c r="GJ28" t="s">
        <v>679</v>
      </c>
      <c r="GQ28" t="s">
        <v>683</v>
      </c>
    </row>
    <row r="29" spans="1:206" ht="15.75" x14ac:dyDescent="0.25">
      <c r="A29" s="6" t="s">
        <v>22</v>
      </c>
      <c r="B29" s="6" t="s">
        <v>23</v>
      </c>
      <c r="D29" t="s">
        <v>684</v>
      </c>
      <c r="H29" t="s">
        <v>685</v>
      </c>
      <c r="M29" t="s">
        <v>686</v>
      </c>
      <c r="Y29" t="s">
        <v>685</v>
      </c>
      <c r="CU29" t="s">
        <v>685</v>
      </c>
      <c r="DD29" t="s">
        <v>687</v>
      </c>
      <c r="DE29" t="s">
        <v>688</v>
      </c>
      <c r="DJ29" t="s">
        <v>685</v>
      </c>
      <c r="DW29" t="s">
        <v>689</v>
      </c>
      <c r="ER29" t="s">
        <v>690</v>
      </c>
      <c r="EV29" t="s">
        <v>685</v>
      </c>
      <c r="EX29" t="s">
        <v>689</v>
      </c>
      <c r="EY29" t="s">
        <v>685</v>
      </c>
      <c r="GO29" t="s">
        <v>691</v>
      </c>
      <c r="GS29" t="s">
        <v>685</v>
      </c>
    </row>
    <row r="30" spans="1:206" ht="15.75" x14ac:dyDescent="0.25">
      <c r="A30" s="6" t="s">
        <v>24</v>
      </c>
      <c r="B30" s="6" t="s">
        <v>114</v>
      </c>
      <c r="AP30" t="s">
        <v>692</v>
      </c>
      <c r="AU30" t="s">
        <v>692</v>
      </c>
      <c r="CN30" t="s">
        <v>692</v>
      </c>
      <c r="DG30" t="s">
        <v>692</v>
      </c>
      <c r="EB30" t="s">
        <v>693</v>
      </c>
      <c r="ER30" t="s">
        <v>694</v>
      </c>
      <c r="FA30" t="s">
        <v>692</v>
      </c>
      <c r="FS30" t="s">
        <v>692</v>
      </c>
      <c r="FT30" t="s">
        <v>695</v>
      </c>
    </row>
    <row r="31" spans="1:206" ht="15.75" x14ac:dyDescent="0.25">
      <c r="A31" s="6" t="s">
        <v>25</v>
      </c>
      <c r="B31" s="6" t="s">
        <v>115</v>
      </c>
      <c r="AF31" t="s">
        <v>696</v>
      </c>
      <c r="BO31" t="s">
        <v>697</v>
      </c>
      <c r="BR31" t="s">
        <v>696</v>
      </c>
      <c r="CA31" t="s">
        <v>696</v>
      </c>
      <c r="CG31" t="s">
        <v>698</v>
      </c>
      <c r="CH31" t="s">
        <v>696</v>
      </c>
      <c r="EB31" t="s">
        <v>699</v>
      </c>
      <c r="ER31" t="s">
        <v>700</v>
      </c>
      <c r="ET31" t="s">
        <v>701</v>
      </c>
      <c r="GN31" t="s">
        <v>702</v>
      </c>
    </row>
    <row r="32" spans="1:206" ht="15.75" x14ac:dyDescent="0.25">
      <c r="A32" s="6" t="s">
        <v>26</v>
      </c>
      <c r="B32" s="6" t="s">
        <v>27</v>
      </c>
      <c r="E32" t="s">
        <v>703</v>
      </c>
      <c r="J32" t="s">
        <v>704</v>
      </c>
      <c r="P32" t="s">
        <v>705</v>
      </c>
      <c r="AC32" t="s">
        <v>706</v>
      </c>
      <c r="AJ32" t="s">
        <v>707</v>
      </c>
      <c r="AO32" t="s">
        <v>708</v>
      </c>
      <c r="AP32" t="s">
        <v>709</v>
      </c>
      <c r="AR32" t="s">
        <v>704</v>
      </c>
      <c r="AU32" t="s">
        <v>709</v>
      </c>
      <c r="BE32" t="s">
        <v>705</v>
      </c>
      <c r="BH32" t="s">
        <v>705</v>
      </c>
      <c r="BM32" t="s">
        <v>710</v>
      </c>
      <c r="CA32" t="s">
        <v>711</v>
      </c>
      <c r="CN32" t="s">
        <v>712</v>
      </c>
      <c r="CP32" t="s">
        <v>713</v>
      </c>
      <c r="DC32" t="s">
        <v>714</v>
      </c>
      <c r="DG32" t="s">
        <v>715</v>
      </c>
      <c r="DM32" t="s">
        <v>704</v>
      </c>
      <c r="DN32" t="s">
        <v>713</v>
      </c>
      <c r="DX32" t="s">
        <v>716</v>
      </c>
      <c r="EE32" t="s">
        <v>717</v>
      </c>
      <c r="EF32" t="s">
        <v>714</v>
      </c>
      <c r="EG32" t="s">
        <v>718</v>
      </c>
      <c r="EI32" t="s">
        <v>719</v>
      </c>
      <c r="EO32" t="s">
        <v>720</v>
      </c>
      <c r="EP32" t="s">
        <v>719</v>
      </c>
      <c r="ER32" t="s">
        <v>721</v>
      </c>
      <c r="FA32" t="s">
        <v>709</v>
      </c>
      <c r="FB32" t="s">
        <v>704</v>
      </c>
      <c r="FD32" t="s">
        <v>722</v>
      </c>
      <c r="FG32" t="s">
        <v>723</v>
      </c>
      <c r="FL32" t="s">
        <v>724</v>
      </c>
      <c r="FR32" t="s">
        <v>704</v>
      </c>
      <c r="FW32" t="s">
        <v>725</v>
      </c>
      <c r="GC32" t="s">
        <v>704</v>
      </c>
      <c r="GT32" t="s">
        <v>704</v>
      </c>
    </row>
    <row r="33" spans="1:206" ht="15.75" x14ac:dyDescent="0.25">
      <c r="A33" s="6" t="s">
        <v>28</v>
      </c>
      <c r="B33" s="6" t="s">
        <v>29</v>
      </c>
      <c r="AH33" t="s">
        <v>726</v>
      </c>
      <c r="AV33" t="s">
        <v>727</v>
      </c>
      <c r="AX33" t="s">
        <v>727</v>
      </c>
      <c r="BB33" t="s">
        <v>728</v>
      </c>
      <c r="BD33" t="s">
        <v>727</v>
      </c>
      <c r="BH33" t="s">
        <v>729</v>
      </c>
      <c r="BI33" t="s">
        <v>730</v>
      </c>
      <c r="BS33" t="s">
        <v>731</v>
      </c>
      <c r="BY33" t="s">
        <v>727</v>
      </c>
      <c r="CE33" t="s">
        <v>727</v>
      </c>
      <c r="CF33" t="s">
        <v>727</v>
      </c>
      <c r="CJ33" t="s">
        <v>732</v>
      </c>
      <c r="CK33" t="s">
        <v>727</v>
      </c>
      <c r="CL33" t="s">
        <v>727</v>
      </c>
      <c r="DE33" t="s">
        <v>733</v>
      </c>
      <c r="DM33" t="s">
        <v>733</v>
      </c>
      <c r="DT33" t="s">
        <v>734</v>
      </c>
      <c r="DW33" t="s">
        <v>726</v>
      </c>
      <c r="DX33" t="s">
        <v>729</v>
      </c>
      <c r="ED33" t="s">
        <v>735</v>
      </c>
      <c r="FI33" t="s">
        <v>726</v>
      </c>
      <c r="FJ33" t="s">
        <v>736</v>
      </c>
      <c r="GQ33" t="s">
        <v>737</v>
      </c>
      <c r="GW33" t="s">
        <v>727</v>
      </c>
    </row>
    <row r="34" spans="1:206" ht="15.75" x14ac:dyDescent="0.25">
      <c r="A34" s="6" t="s">
        <v>30</v>
      </c>
      <c r="B34" s="6" t="s">
        <v>31</v>
      </c>
      <c r="AT34" t="s">
        <v>738</v>
      </c>
      <c r="BD34" t="s">
        <v>739</v>
      </c>
      <c r="BI34" t="s">
        <v>740</v>
      </c>
      <c r="BT34" t="s">
        <v>738</v>
      </c>
      <c r="CV34" t="s">
        <v>738</v>
      </c>
      <c r="DB34" t="s">
        <v>738</v>
      </c>
      <c r="EG34" t="s">
        <v>741</v>
      </c>
      <c r="EL34" t="s">
        <v>738</v>
      </c>
      <c r="EX34" t="s">
        <v>742</v>
      </c>
    </row>
    <row r="35" spans="1:206" ht="15.75" x14ac:dyDescent="0.25">
      <c r="A35" s="6" t="s">
        <v>60</v>
      </c>
      <c r="B35" s="6" t="s">
        <v>61</v>
      </c>
      <c r="DM35" t="s">
        <v>743</v>
      </c>
      <c r="DQ35" t="s">
        <v>744</v>
      </c>
      <c r="DY35" t="s">
        <v>745</v>
      </c>
      <c r="ED35" t="s">
        <v>746</v>
      </c>
      <c r="EO35" t="s">
        <v>747</v>
      </c>
      <c r="GE35" t="s">
        <v>748</v>
      </c>
      <c r="GS35" t="s">
        <v>749</v>
      </c>
    </row>
    <row r="36" spans="1:206" ht="15.75" x14ac:dyDescent="0.25">
      <c r="A36" s="6" t="s">
        <v>32</v>
      </c>
      <c r="B36" s="6" t="s">
        <v>116</v>
      </c>
      <c r="AW36" t="s">
        <v>750</v>
      </c>
      <c r="BI36" t="s">
        <v>751</v>
      </c>
      <c r="BK36" t="s">
        <v>752</v>
      </c>
      <c r="BO36" t="s">
        <v>753</v>
      </c>
      <c r="BQ36" t="s">
        <v>754</v>
      </c>
      <c r="EG36" t="s">
        <v>755</v>
      </c>
      <c r="ER36" t="s">
        <v>756</v>
      </c>
      <c r="FS36" t="s">
        <v>757</v>
      </c>
      <c r="FW36" t="s">
        <v>758</v>
      </c>
      <c r="GM36" t="s">
        <v>759</v>
      </c>
    </row>
    <row r="37" spans="1:206" ht="15.75" x14ac:dyDescent="0.25">
      <c r="A37" s="6" t="s">
        <v>33</v>
      </c>
      <c r="B37" s="6" t="s">
        <v>34</v>
      </c>
      <c r="G37" t="s">
        <v>760</v>
      </c>
      <c r="H37" t="s">
        <v>761</v>
      </c>
      <c r="I37" t="s">
        <v>762</v>
      </c>
      <c r="P37" t="s">
        <v>763</v>
      </c>
      <c r="Q37" t="s">
        <v>764</v>
      </c>
      <c r="W37" t="s">
        <v>765</v>
      </c>
      <c r="AJ37" t="s">
        <v>766</v>
      </c>
      <c r="AP37" t="s">
        <v>767</v>
      </c>
      <c r="AU37" t="s">
        <v>766</v>
      </c>
      <c r="BB37" t="s">
        <v>768</v>
      </c>
      <c r="BC37" t="s">
        <v>765</v>
      </c>
      <c r="BE37" t="s">
        <v>763</v>
      </c>
      <c r="BN37" t="s">
        <v>769</v>
      </c>
      <c r="BO37" t="s">
        <v>770</v>
      </c>
      <c r="CA37" t="s">
        <v>771</v>
      </c>
      <c r="CJ37" t="s">
        <v>772</v>
      </c>
      <c r="CN37" t="s">
        <v>766</v>
      </c>
      <c r="CO37" t="s">
        <v>773</v>
      </c>
      <c r="CY37" t="s">
        <v>774</v>
      </c>
      <c r="CZ37" t="s">
        <v>766</v>
      </c>
      <c r="DF37" t="s">
        <v>775</v>
      </c>
      <c r="DG37" t="s">
        <v>766</v>
      </c>
      <c r="DJ37" t="s">
        <v>776</v>
      </c>
      <c r="DP37" t="s">
        <v>777</v>
      </c>
      <c r="DR37" t="s">
        <v>777</v>
      </c>
      <c r="DZ37" t="s">
        <v>778</v>
      </c>
      <c r="EC37" t="s">
        <v>779</v>
      </c>
      <c r="EG37" t="s">
        <v>780</v>
      </c>
      <c r="ER37" t="s">
        <v>781</v>
      </c>
      <c r="EZ37" t="s">
        <v>762</v>
      </c>
      <c r="FA37" t="s">
        <v>766</v>
      </c>
      <c r="FD37" t="s">
        <v>782</v>
      </c>
      <c r="FF37" t="s">
        <v>783</v>
      </c>
      <c r="FS37" t="s">
        <v>766</v>
      </c>
      <c r="GI37" t="s">
        <v>784</v>
      </c>
      <c r="GJ37" t="s">
        <v>782</v>
      </c>
      <c r="GO37" t="s">
        <v>498</v>
      </c>
      <c r="GS37" t="s">
        <v>761</v>
      </c>
    </row>
    <row r="38" spans="1:206" ht="15.75" x14ac:dyDescent="0.25">
      <c r="A38" s="6" t="s">
        <v>90</v>
      </c>
      <c r="B38" s="6" t="s">
        <v>93</v>
      </c>
      <c r="O38" t="s">
        <v>785</v>
      </c>
      <c r="T38" t="s">
        <v>786</v>
      </c>
      <c r="CG38" t="s">
        <v>787</v>
      </c>
      <c r="CQ38" t="s">
        <v>788</v>
      </c>
      <c r="DN38" t="s">
        <v>789</v>
      </c>
      <c r="DS38" t="s">
        <v>790</v>
      </c>
      <c r="DX38" t="s">
        <v>791</v>
      </c>
      <c r="EG38" t="s">
        <v>792</v>
      </c>
      <c r="EN38" t="s">
        <v>793</v>
      </c>
      <c r="ER38" t="s">
        <v>794</v>
      </c>
      <c r="ES38" t="s">
        <v>795</v>
      </c>
      <c r="FN38" t="s">
        <v>796</v>
      </c>
      <c r="GL38" t="s">
        <v>797</v>
      </c>
    </row>
    <row r="39" spans="1:206" ht="15.75" x14ac:dyDescent="0.25">
      <c r="A39" s="6" t="s">
        <v>89</v>
      </c>
      <c r="B39" s="6" t="s">
        <v>92</v>
      </c>
      <c r="C39" t="s">
        <v>798</v>
      </c>
      <c r="G39" t="s">
        <v>798</v>
      </c>
      <c r="H39" t="s">
        <v>799</v>
      </c>
      <c r="W39" t="s">
        <v>800</v>
      </c>
      <c r="AL39" t="s">
        <v>801</v>
      </c>
      <c r="BC39" t="s">
        <v>800</v>
      </c>
      <c r="BI39" t="s">
        <v>802</v>
      </c>
      <c r="BK39" t="s">
        <v>798</v>
      </c>
      <c r="BX39" t="s">
        <v>798</v>
      </c>
      <c r="CG39" t="s">
        <v>803</v>
      </c>
      <c r="CT39" t="s">
        <v>798</v>
      </c>
      <c r="CY39" t="s">
        <v>804</v>
      </c>
      <c r="DB39" t="s">
        <v>805</v>
      </c>
      <c r="DT39" t="s">
        <v>806</v>
      </c>
      <c r="DU39" t="s">
        <v>807</v>
      </c>
      <c r="ED39" t="s">
        <v>808</v>
      </c>
      <c r="EG39" t="s">
        <v>809</v>
      </c>
      <c r="EH39" t="s">
        <v>798</v>
      </c>
      <c r="EJ39" t="s">
        <v>810</v>
      </c>
      <c r="EN39" t="s">
        <v>810</v>
      </c>
      <c r="ER39" t="s">
        <v>811</v>
      </c>
      <c r="ES39" t="s">
        <v>812</v>
      </c>
      <c r="EW39" t="s">
        <v>798</v>
      </c>
      <c r="EX39" t="s">
        <v>813</v>
      </c>
      <c r="FC39" t="s">
        <v>809</v>
      </c>
      <c r="FD39" t="s">
        <v>814</v>
      </c>
      <c r="FO39" t="s">
        <v>815</v>
      </c>
      <c r="FX39" t="s">
        <v>816</v>
      </c>
      <c r="GL39" t="s">
        <v>817</v>
      </c>
      <c r="GS39" t="s">
        <v>818</v>
      </c>
      <c r="GU39" t="s">
        <v>819</v>
      </c>
    </row>
    <row r="40" spans="1:206" ht="15.75" x14ac:dyDescent="0.25">
      <c r="A40" s="6" t="s">
        <v>88</v>
      </c>
      <c r="B40" s="6" t="s">
        <v>91</v>
      </c>
      <c r="E40" t="s">
        <v>820</v>
      </c>
      <c r="H40" t="s">
        <v>821</v>
      </c>
      <c r="Y40" t="s">
        <v>822</v>
      </c>
      <c r="AE40" t="s">
        <v>823</v>
      </c>
      <c r="AV40" t="s">
        <v>824</v>
      </c>
      <c r="AX40" t="s">
        <v>824</v>
      </c>
      <c r="BD40" t="s">
        <v>824</v>
      </c>
      <c r="BF40" t="s">
        <v>825</v>
      </c>
      <c r="BN40" t="s">
        <v>824</v>
      </c>
      <c r="BY40" t="s">
        <v>824</v>
      </c>
      <c r="CE40" t="s">
        <v>824</v>
      </c>
      <c r="CF40" t="s">
        <v>824</v>
      </c>
      <c r="CK40" t="s">
        <v>824</v>
      </c>
      <c r="CL40" t="s">
        <v>824</v>
      </c>
      <c r="CM40" t="s">
        <v>826</v>
      </c>
      <c r="CU40" t="s">
        <v>822</v>
      </c>
      <c r="DE40" t="s">
        <v>822</v>
      </c>
      <c r="DN40" t="s">
        <v>827</v>
      </c>
      <c r="DP40" t="s">
        <v>824</v>
      </c>
      <c r="DR40" t="s">
        <v>824</v>
      </c>
      <c r="DT40" t="s">
        <v>828</v>
      </c>
      <c r="DV40" t="s">
        <v>824</v>
      </c>
      <c r="DX40" t="s">
        <v>829</v>
      </c>
      <c r="DZ40" t="s">
        <v>824</v>
      </c>
      <c r="EB40" t="s">
        <v>830</v>
      </c>
      <c r="ER40" t="s">
        <v>831</v>
      </c>
      <c r="EV40" t="s">
        <v>822</v>
      </c>
      <c r="EY40" t="s">
        <v>822</v>
      </c>
      <c r="FL40" t="s">
        <v>824</v>
      </c>
      <c r="FM40" t="s">
        <v>823</v>
      </c>
      <c r="FV40" t="s">
        <v>824</v>
      </c>
      <c r="FY40" t="s">
        <v>824</v>
      </c>
      <c r="GE40" t="s">
        <v>832</v>
      </c>
      <c r="GH40" t="s">
        <v>824</v>
      </c>
      <c r="GS40" t="s">
        <v>821</v>
      </c>
      <c r="GU40" t="s">
        <v>821</v>
      </c>
      <c r="GX40" t="s">
        <v>824</v>
      </c>
    </row>
    <row r="41" spans="1:206" ht="15.75" x14ac:dyDescent="0.25">
      <c r="A41" s="6" t="s">
        <v>66</v>
      </c>
      <c r="B41" s="6" t="s">
        <v>67</v>
      </c>
      <c r="AE41" t="s">
        <v>833</v>
      </c>
      <c r="BB41" t="s">
        <v>834</v>
      </c>
      <c r="BF41" t="s">
        <v>1050</v>
      </c>
      <c r="CC41" t="s">
        <v>835</v>
      </c>
      <c r="CQ41" t="s">
        <v>836</v>
      </c>
      <c r="DX41" t="s">
        <v>837</v>
      </c>
      <c r="EB41" t="s">
        <v>838</v>
      </c>
      <c r="ED41" t="s">
        <v>839</v>
      </c>
      <c r="EF41" t="s">
        <v>840</v>
      </c>
      <c r="EO41" t="s">
        <v>841</v>
      </c>
      <c r="ER41" t="s">
        <v>842</v>
      </c>
      <c r="FM41" t="s">
        <v>833</v>
      </c>
      <c r="FO41" t="s">
        <v>843</v>
      </c>
      <c r="GR41" t="s">
        <v>841</v>
      </c>
    </row>
    <row r="42" spans="1:206" ht="15.75" x14ac:dyDescent="0.25">
      <c r="A42" s="6" t="s">
        <v>35</v>
      </c>
      <c r="B42" s="6" t="s">
        <v>117</v>
      </c>
      <c r="E42" t="s">
        <v>844</v>
      </c>
      <c r="AK42" t="s">
        <v>845</v>
      </c>
      <c r="BA42" t="s">
        <v>846</v>
      </c>
      <c r="BL42" t="s">
        <v>847</v>
      </c>
      <c r="BM42" t="s">
        <v>847</v>
      </c>
      <c r="DK42" t="s">
        <v>845</v>
      </c>
      <c r="ED42" t="s">
        <v>848</v>
      </c>
      <c r="ER42" t="s">
        <v>849</v>
      </c>
      <c r="GC42" t="s">
        <v>850</v>
      </c>
      <c r="GT42" t="s">
        <v>847</v>
      </c>
      <c r="GV42" t="s">
        <v>847</v>
      </c>
    </row>
    <row r="43" spans="1:206" ht="15.75" x14ac:dyDescent="0.25">
      <c r="A43" s="6" t="s">
        <v>118</v>
      </c>
      <c r="B43" s="6" t="s">
        <v>119</v>
      </c>
      <c r="H43" t="s">
        <v>851</v>
      </c>
      <c r="W43" t="s">
        <v>852</v>
      </c>
      <c r="BC43" t="s">
        <v>852</v>
      </c>
      <c r="BX43" t="s">
        <v>853</v>
      </c>
      <c r="EQ43" t="s">
        <v>854</v>
      </c>
      <c r="FC43" t="s">
        <v>855</v>
      </c>
      <c r="FZ43" t="s">
        <v>856</v>
      </c>
      <c r="GS43" t="s">
        <v>851</v>
      </c>
    </row>
    <row r="44" spans="1:206" ht="15.75" x14ac:dyDescent="0.25">
      <c r="A44" s="6" t="s">
        <v>120</v>
      </c>
      <c r="B44" s="6" t="s">
        <v>121</v>
      </c>
      <c r="M44" t="s">
        <v>857</v>
      </c>
      <c r="X44" t="s">
        <v>858</v>
      </c>
      <c r="Y44" t="s">
        <v>859</v>
      </c>
      <c r="BA44" t="s">
        <v>860</v>
      </c>
      <c r="BL44" t="s">
        <v>861</v>
      </c>
      <c r="BM44" t="s">
        <v>859</v>
      </c>
      <c r="BQ44" t="s">
        <v>862</v>
      </c>
      <c r="CB44" t="s">
        <v>863</v>
      </c>
      <c r="CD44" t="s">
        <v>863</v>
      </c>
      <c r="CM44" t="s">
        <v>859</v>
      </c>
      <c r="CU44" t="s">
        <v>864</v>
      </c>
      <c r="CY44" t="s">
        <v>865</v>
      </c>
      <c r="DE44" t="s">
        <v>864</v>
      </c>
      <c r="DT44" t="s">
        <v>863</v>
      </c>
      <c r="EN44" t="s">
        <v>866</v>
      </c>
      <c r="ER44" t="s">
        <v>867</v>
      </c>
      <c r="ES44" t="s">
        <v>868</v>
      </c>
      <c r="EV44" t="s">
        <v>864</v>
      </c>
      <c r="EY44" t="s">
        <v>864</v>
      </c>
      <c r="FB44" t="s">
        <v>869</v>
      </c>
      <c r="FQ44" t="s">
        <v>858</v>
      </c>
      <c r="FR44" t="s">
        <v>869</v>
      </c>
      <c r="FY44" t="s">
        <v>870</v>
      </c>
      <c r="GS44" t="s">
        <v>871</v>
      </c>
      <c r="GT44" t="s">
        <v>859</v>
      </c>
      <c r="GV44" t="s">
        <v>859</v>
      </c>
    </row>
    <row r="45" spans="1:206" ht="15.75" x14ac:dyDescent="0.25">
      <c r="A45" s="6" t="s">
        <v>68</v>
      </c>
      <c r="B45" s="6" t="s">
        <v>69</v>
      </c>
      <c r="I45" t="s">
        <v>872</v>
      </c>
      <c r="AV45" t="s">
        <v>873</v>
      </c>
      <c r="AX45" t="s">
        <v>873</v>
      </c>
      <c r="BD45" t="s">
        <v>873</v>
      </c>
      <c r="BM45" t="s">
        <v>872</v>
      </c>
      <c r="BN45" t="s">
        <v>873</v>
      </c>
      <c r="BR45" t="s">
        <v>873</v>
      </c>
      <c r="BY45" t="s">
        <v>873</v>
      </c>
      <c r="CA45" t="s">
        <v>873</v>
      </c>
      <c r="CE45" t="s">
        <v>873</v>
      </c>
      <c r="CF45" t="s">
        <v>873</v>
      </c>
      <c r="CH45" t="s">
        <v>873</v>
      </c>
      <c r="CK45" t="s">
        <v>873</v>
      </c>
      <c r="CL45" t="s">
        <v>873</v>
      </c>
      <c r="CR45" t="s">
        <v>872</v>
      </c>
      <c r="CU45" t="s">
        <v>872</v>
      </c>
      <c r="DE45" t="s">
        <v>872</v>
      </c>
      <c r="DG45" t="s">
        <v>872</v>
      </c>
      <c r="DP45" t="s">
        <v>873</v>
      </c>
      <c r="DR45" t="s">
        <v>873</v>
      </c>
      <c r="DV45" t="s">
        <v>873</v>
      </c>
      <c r="DZ45" t="s">
        <v>873</v>
      </c>
      <c r="EC45" t="s">
        <v>872</v>
      </c>
      <c r="EF45" t="s">
        <v>872</v>
      </c>
      <c r="EV45" t="s">
        <v>872</v>
      </c>
      <c r="EZ45" t="s">
        <v>872</v>
      </c>
      <c r="FD45" t="s">
        <v>872</v>
      </c>
      <c r="FG45" t="s">
        <v>872</v>
      </c>
      <c r="FL45" t="s">
        <v>873</v>
      </c>
      <c r="FR45" t="s">
        <v>872</v>
      </c>
      <c r="FV45" t="s">
        <v>873</v>
      </c>
      <c r="FW45" t="s">
        <v>872</v>
      </c>
      <c r="GH45" t="s">
        <v>873</v>
      </c>
      <c r="GW45" t="s">
        <v>873</v>
      </c>
    </row>
    <row r="46" spans="1:206" ht="15.75" x14ac:dyDescent="0.25">
      <c r="A46" s="6" t="s">
        <v>70</v>
      </c>
      <c r="B46" s="6" t="s">
        <v>71</v>
      </c>
      <c r="G46" t="s">
        <v>874</v>
      </c>
      <c r="I46" t="s">
        <v>875</v>
      </c>
      <c r="P46" t="s">
        <v>876</v>
      </c>
      <c r="BE46" t="s">
        <v>876</v>
      </c>
      <c r="BF46" t="s">
        <v>877</v>
      </c>
      <c r="BH46" t="s">
        <v>878</v>
      </c>
      <c r="CJ46" t="s">
        <v>879</v>
      </c>
      <c r="CZ46" t="s">
        <v>880</v>
      </c>
      <c r="DF46" t="s">
        <v>878</v>
      </c>
      <c r="EL46" t="s">
        <v>881</v>
      </c>
      <c r="EO46" t="s">
        <v>877</v>
      </c>
      <c r="EP46" t="s">
        <v>881</v>
      </c>
      <c r="EQ46" t="s">
        <v>878</v>
      </c>
      <c r="EX46" t="s">
        <v>882</v>
      </c>
      <c r="EZ46" t="s">
        <v>875</v>
      </c>
      <c r="FX46" t="s">
        <v>883</v>
      </c>
      <c r="GA46" t="s">
        <v>877</v>
      </c>
      <c r="GF46" t="s">
        <v>877</v>
      </c>
      <c r="GN46" t="s">
        <v>884</v>
      </c>
      <c r="GR46" t="s">
        <v>877</v>
      </c>
    </row>
    <row r="47" spans="1:206" ht="15.75" x14ac:dyDescent="0.25">
      <c r="A47" s="6" t="s">
        <v>36</v>
      </c>
      <c r="B47" s="6" t="s">
        <v>122</v>
      </c>
      <c r="D47" t="s">
        <v>885</v>
      </c>
      <c r="F47" t="s">
        <v>886</v>
      </c>
      <c r="AF47" t="s">
        <v>887</v>
      </c>
      <c r="AQ47" t="s">
        <v>888</v>
      </c>
      <c r="AV47" t="s">
        <v>889</v>
      </c>
      <c r="AW47" t="s">
        <v>887</v>
      </c>
      <c r="AX47" t="s">
        <v>889</v>
      </c>
      <c r="BD47" t="s">
        <v>889</v>
      </c>
      <c r="BN47" t="s">
        <v>889</v>
      </c>
      <c r="BO47" t="s">
        <v>890</v>
      </c>
      <c r="BR47" t="s">
        <v>887</v>
      </c>
      <c r="BW47" t="s">
        <v>891</v>
      </c>
      <c r="BY47" t="s">
        <v>889</v>
      </c>
      <c r="BZ47" t="s">
        <v>887</v>
      </c>
      <c r="CA47" t="s">
        <v>887</v>
      </c>
      <c r="CE47" t="s">
        <v>889</v>
      </c>
      <c r="CF47" t="s">
        <v>889</v>
      </c>
      <c r="CH47" t="s">
        <v>887</v>
      </c>
      <c r="CK47" t="s">
        <v>889</v>
      </c>
      <c r="CL47" t="s">
        <v>889</v>
      </c>
      <c r="CW47" t="s">
        <v>887</v>
      </c>
      <c r="DI47" t="s">
        <v>887</v>
      </c>
      <c r="DO47" t="s">
        <v>887</v>
      </c>
      <c r="DP47" t="s">
        <v>889</v>
      </c>
      <c r="DR47" t="s">
        <v>889</v>
      </c>
      <c r="DV47" t="s">
        <v>889</v>
      </c>
      <c r="DZ47" t="s">
        <v>889</v>
      </c>
      <c r="ER47" t="s">
        <v>892</v>
      </c>
      <c r="FC47" t="s">
        <v>893</v>
      </c>
      <c r="FE47" t="s">
        <v>887</v>
      </c>
      <c r="FK47" t="s">
        <v>888</v>
      </c>
      <c r="FL47" t="s">
        <v>889</v>
      </c>
      <c r="FR47" t="s">
        <v>894</v>
      </c>
      <c r="FU47" t="s">
        <v>887</v>
      </c>
      <c r="FV47" t="s">
        <v>889</v>
      </c>
      <c r="FX47" t="s">
        <v>895</v>
      </c>
      <c r="FY47" t="s">
        <v>896</v>
      </c>
      <c r="GH47" t="s">
        <v>889</v>
      </c>
      <c r="GJ47" t="s">
        <v>897</v>
      </c>
      <c r="GM47" t="s">
        <v>895</v>
      </c>
      <c r="GO47" t="s">
        <v>898</v>
      </c>
      <c r="GQ47" t="s">
        <v>899</v>
      </c>
      <c r="GT47" t="s">
        <v>900</v>
      </c>
      <c r="GU47" t="s">
        <v>901</v>
      </c>
      <c r="GW47" t="s">
        <v>889</v>
      </c>
    </row>
    <row r="48" spans="1:206" ht="15.75" x14ac:dyDescent="0.25">
      <c r="A48" s="9" t="s">
        <v>123</v>
      </c>
      <c r="B48" s="9" t="s">
        <v>124</v>
      </c>
      <c r="J48" t="s">
        <v>902</v>
      </c>
      <c r="Q48" t="s">
        <v>903</v>
      </c>
      <c r="AE48" t="s">
        <v>904</v>
      </c>
      <c r="AS48" t="s">
        <v>905</v>
      </c>
      <c r="AU48" t="s">
        <v>906</v>
      </c>
      <c r="AV48" t="s">
        <v>907</v>
      </c>
      <c r="AX48" t="s">
        <v>907</v>
      </c>
      <c r="BD48" t="s">
        <v>907</v>
      </c>
      <c r="BI48" t="s">
        <v>1018</v>
      </c>
      <c r="BM48" t="s">
        <v>908</v>
      </c>
      <c r="BV48" t="s">
        <v>909</v>
      </c>
      <c r="BY48" t="s">
        <v>907</v>
      </c>
      <c r="CE48" t="s">
        <v>907</v>
      </c>
      <c r="CF48" t="s">
        <v>907</v>
      </c>
      <c r="CK48" t="s">
        <v>907</v>
      </c>
      <c r="CL48" t="s">
        <v>907</v>
      </c>
      <c r="CM48" t="s">
        <v>910</v>
      </c>
      <c r="CN48" t="s">
        <v>906</v>
      </c>
      <c r="CS48" t="s">
        <v>911</v>
      </c>
      <c r="CY48" t="s">
        <v>911</v>
      </c>
      <c r="DE48" t="s">
        <v>912</v>
      </c>
      <c r="DG48" t="s">
        <v>913</v>
      </c>
      <c r="DM48" t="s">
        <v>902</v>
      </c>
      <c r="EC48" t="s">
        <v>914</v>
      </c>
      <c r="EJ48" t="s">
        <v>911</v>
      </c>
      <c r="ER48" t="s">
        <v>913</v>
      </c>
      <c r="EV48" t="s">
        <v>1019</v>
      </c>
      <c r="FL48" t="s">
        <v>915</v>
      </c>
      <c r="FM48" t="s">
        <v>904</v>
      </c>
      <c r="FW48" t="s">
        <v>916</v>
      </c>
      <c r="FY48" t="s">
        <v>917</v>
      </c>
      <c r="FZ48" t="s">
        <v>918</v>
      </c>
      <c r="GE48" t="s">
        <v>911</v>
      </c>
      <c r="GO48" t="s">
        <v>917</v>
      </c>
      <c r="GP48" t="s">
        <v>919</v>
      </c>
      <c r="GS48" t="s">
        <v>920</v>
      </c>
      <c r="GW48" t="s">
        <v>907</v>
      </c>
      <c r="GX48" t="s">
        <v>911</v>
      </c>
    </row>
    <row r="49" spans="1:206" ht="15.75" x14ac:dyDescent="0.25">
      <c r="A49" s="6" t="s">
        <v>125</v>
      </c>
      <c r="B49" s="6" t="s">
        <v>59</v>
      </c>
      <c r="H49" t="s">
        <v>921</v>
      </c>
      <c r="AK49" t="s">
        <v>922</v>
      </c>
      <c r="AM49" t="s">
        <v>923</v>
      </c>
      <c r="AV49" t="s">
        <v>924</v>
      </c>
      <c r="AX49" t="s">
        <v>924</v>
      </c>
      <c r="BD49" t="s">
        <v>924</v>
      </c>
      <c r="BH49" t="s">
        <v>925</v>
      </c>
      <c r="BN49" t="s">
        <v>924</v>
      </c>
      <c r="BO49" t="s">
        <v>921</v>
      </c>
      <c r="BU49" t="s">
        <v>926</v>
      </c>
      <c r="BY49" t="s">
        <v>924</v>
      </c>
      <c r="CE49" t="s">
        <v>924</v>
      </c>
      <c r="CF49" t="s">
        <v>924</v>
      </c>
      <c r="CK49" t="s">
        <v>924</v>
      </c>
      <c r="CL49" t="s">
        <v>924</v>
      </c>
      <c r="CU49" t="s">
        <v>927</v>
      </c>
      <c r="DC49" t="s">
        <v>928</v>
      </c>
      <c r="DE49" t="s">
        <v>927</v>
      </c>
      <c r="DF49" t="s">
        <v>921</v>
      </c>
      <c r="DP49" t="s">
        <v>924</v>
      </c>
      <c r="DR49" t="s">
        <v>924</v>
      </c>
      <c r="DV49" t="s">
        <v>924</v>
      </c>
      <c r="DZ49" t="s">
        <v>924</v>
      </c>
      <c r="EE49" t="s">
        <v>929</v>
      </c>
      <c r="EF49" t="s">
        <v>928</v>
      </c>
      <c r="EG49" t="s">
        <v>930</v>
      </c>
      <c r="EK49" t="s">
        <v>923</v>
      </c>
      <c r="EQ49" t="s">
        <v>921</v>
      </c>
      <c r="ER49" t="s">
        <v>931</v>
      </c>
      <c r="ES49" t="s">
        <v>932</v>
      </c>
      <c r="ET49" t="s">
        <v>923</v>
      </c>
      <c r="EV49" t="s">
        <v>927</v>
      </c>
      <c r="EY49" t="s">
        <v>927</v>
      </c>
      <c r="FB49" t="s">
        <v>933</v>
      </c>
      <c r="FC49" t="s">
        <v>934</v>
      </c>
      <c r="FJ49" t="s">
        <v>924</v>
      </c>
      <c r="FL49" t="s">
        <v>924</v>
      </c>
      <c r="FN49" t="s">
        <v>935</v>
      </c>
      <c r="FR49" t="s">
        <v>933</v>
      </c>
      <c r="FV49" t="s">
        <v>924</v>
      </c>
      <c r="GH49" t="s">
        <v>924</v>
      </c>
      <c r="GP49" t="s">
        <v>936</v>
      </c>
      <c r="GS49" t="s">
        <v>921</v>
      </c>
      <c r="GW49" t="s">
        <v>924</v>
      </c>
    </row>
    <row r="50" spans="1:206" ht="15.75" x14ac:dyDescent="0.25">
      <c r="A50" s="6" t="s">
        <v>37</v>
      </c>
      <c r="B50" s="6" t="s">
        <v>38</v>
      </c>
      <c r="I50" t="s">
        <v>937</v>
      </c>
      <c r="V50" t="s">
        <v>937</v>
      </c>
      <c r="W50" t="s">
        <v>938</v>
      </c>
      <c r="AC50" t="s">
        <v>939</v>
      </c>
      <c r="BC50" t="s">
        <v>938</v>
      </c>
      <c r="CP50" t="s">
        <v>940</v>
      </c>
      <c r="EA50" t="s">
        <v>937</v>
      </c>
      <c r="ER50" t="s">
        <v>941</v>
      </c>
      <c r="EZ50" t="s">
        <v>937</v>
      </c>
      <c r="FG50" t="s">
        <v>937</v>
      </c>
      <c r="FT50" t="s">
        <v>942</v>
      </c>
      <c r="GX50" t="s">
        <v>943</v>
      </c>
    </row>
    <row r="51" spans="1:206" ht="15.75" x14ac:dyDescent="0.25">
      <c r="A51" s="9" t="s">
        <v>126</v>
      </c>
      <c r="B51" s="9" t="s">
        <v>127</v>
      </c>
      <c r="D51" t="s">
        <v>944</v>
      </c>
      <c r="M51" t="s">
        <v>945</v>
      </c>
      <c r="AR51" t="s">
        <v>946</v>
      </c>
      <c r="BA51" t="s">
        <v>947</v>
      </c>
      <c r="CC51" t="s">
        <v>948</v>
      </c>
      <c r="CO51" t="s">
        <v>949</v>
      </c>
      <c r="DE51" t="s">
        <v>950</v>
      </c>
      <c r="DN51" t="s">
        <v>951</v>
      </c>
      <c r="DS51" t="s">
        <v>952</v>
      </c>
      <c r="ER51" t="s">
        <v>953</v>
      </c>
      <c r="FB51" t="s">
        <v>954</v>
      </c>
      <c r="FO51" t="s">
        <v>955</v>
      </c>
      <c r="FR51" t="s">
        <v>954</v>
      </c>
      <c r="GE51" t="s">
        <v>956</v>
      </c>
      <c r="GL51" t="s">
        <v>956</v>
      </c>
      <c r="GN51" t="s">
        <v>957</v>
      </c>
    </row>
    <row r="52" spans="1:206" ht="15.75" x14ac:dyDescent="0.25">
      <c r="A52" s="9" t="s">
        <v>128</v>
      </c>
      <c r="B52" s="9" t="s">
        <v>129</v>
      </c>
      <c r="E52" t="s">
        <v>958</v>
      </c>
      <c r="F52" t="s">
        <v>959</v>
      </c>
      <c r="Z52" t="s">
        <v>960</v>
      </c>
      <c r="AH52" t="s">
        <v>961</v>
      </c>
      <c r="AK52" t="s">
        <v>962</v>
      </c>
      <c r="DA52" t="s">
        <v>963</v>
      </c>
      <c r="DC52" t="s">
        <v>964</v>
      </c>
      <c r="DK52" t="s">
        <v>962</v>
      </c>
      <c r="DL52" t="s">
        <v>965</v>
      </c>
      <c r="DS52" t="s">
        <v>1020</v>
      </c>
      <c r="DU52" t="s">
        <v>959</v>
      </c>
      <c r="DW52" t="s">
        <v>961</v>
      </c>
      <c r="EF52" t="s">
        <v>964</v>
      </c>
      <c r="ER52" t="s">
        <v>966</v>
      </c>
      <c r="FI52" t="s">
        <v>961</v>
      </c>
      <c r="FX52" t="s">
        <v>967</v>
      </c>
      <c r="GE52" t="s">
        <v>968</v>
      </c>
      <c r="GL52" t="s">
        <v>969</v>
      </c>
      <c r="GN52" t="s">
        <v>970</v>
      </c>
      <c r="GS52" t="s">
        <v>970</v>
      </c>
    </row>
    <row r="53" spans="1:206" ht="15.75" x14ac:dyDescent="0.25">
      <c r="A53" s="9" t="s">
        <v>130</v>
      </c>
      <c r="B53" s="9" t="s">
        <v>131</v>
      </c>
      <c r="H53" t="s">
        <v>971</v>
      </c>
      <c r="M53" t="s">
        <v>972</v>
      </c>
      <c r="AE53" t="s">
        <v>973</v>
      </c>
      <c r="AF53" t="s">
        <v>974</v>
      </c>
      <c r="AJ53" t="s">
        <v>975</v>
      </c>
      <c r="AW53" t="s">
        <v>974</v>
      </c>
      <c r="AY53" t="s">
        <v>974</v>
      </c>
      <c r="BL53" t="s">
        <v>976</v>
      </c>
      <c r="BM53" t="s">
        <v>976</v>
      </c>
      <c r="BR53" t="s">
        <v>974</v>
      </c>
      <c r="BZ53" t="s">
        <v>974</v>
      </c>
      <c r="CA53" t="s">
        <v>974</v>
      </c>
      <c r="CH53" t="s">
        <v>974</v>
      </c>
      <c r="CI53" t="s">
        <v>977</v>
      </c>
      <c r="CW53" t="s">
        <v>974</v>
      </c>
      <c r="CY53" t="s">
        <v>978</v>
      </c>
      <c r="DH53" t="s">
        <v>979</v>
      </c>
      <c r="DI53" t="s">
        <v>974</v>
      </c>
      <c r="DO53" t="s">
        <v>974</v>
      </c>
      <c r="DS53" t="s">
        <v>980</v>
      </c>
      <c r="DZ53" t="s">
        <v>981</v>
      </c>
      <c r="ED53" t="s">
        <v>982</v>
      </c>
      <c r="EG53" t="s">
        <v>983</v>
      </c>
      <c r="ER53" t="s">
        <v>984</v>
      </c>
      <c r="FC53" t="s">
        <v>985</v>
      </c>
      <c r="FE53" t="s">
        <v>974</v>
      </c>
      <c r="FM53" t="s">
        <v>973</v>
      </c>
      <c r="FT53" t="s">
        <v>973</v>
      </c>
      <c r="FU53" t="s">
        <v>974</v>
      </c>
      <c r="FX53" t="s">
        <v>986</v>
      </c>
      <c r="GM53" t="s">
        <v>987</v>
      </c>
      <c r="GN53" t="s">
        <v>971</v>
      </c>
      <c r="GP53" t="s">
        <v>988</v>
      </c>
      <c r="GS53" t="s">
        <v>989</v>
      </c>
      <c r="GT53" t="s">
        <v>976</v>
      </c>
      <c r="GV53" t="s">
        <v>976</v>
      </c>
    </row>
    <row r="54" spans="1:206" ht="15.75" x14ac:dyDescent="0.25">
      <c r="A54" s="6" t="s">
        <v>94</v>
      </c>
      <c r="B54" s="6" t="s">
        <v>0</v>
      </c>
      <c r="C54" s="90" t="s">
        <v>1021</v>
      </c>
      <c r="D54" s="91"/>
      <c r="E54" s="91"/>
      <c r="F54" s="91"/>
      <c r="G54" s="91"/>
      <c r="H54" s="91"/>
      <c r="I54" s="87" t="s">
        <v>1022</v>
      </c>
      <c r="J54" s="91"/>
      <c r="K54" s="91"/>
      <c r="L54" s="91"/>
      <c r="M54" s="91"/>
      <c r="N54" s="91"/>
      <c r="O54" s="91"/>
      <c r="P54" s="91"/>
      <c r="Q54" s="91"/>
      <c r="R54" s="91"/>
      <c r="S54" s="91"/>
      <c r="T54" s="91"/>
      <c r="U54" s="91"/>
      <c r="V54" s="91"/>
      <c r="W54" s="91"/>
      <c r="X54" s="91"/>
      <c r="Y54" s="91"/>
      <c r="Z54" s="91"/>
      <c r="AA54" s="91"/>
      <c r="AB54" s="91"/>
      <c r="AC54" s="91"/>
      <c r="AD54" s="91"/>
      <c r="AE54" s="91"/>
      <c r="AF54" s="91"/>
      <c r="AG54" s="91"/>
      <c r="AH54" s="91"/>
      <c r="AI54" s="91"/>
      <c r="AJ54" s="91"/>
      <c r="AK54" s="91"/>
      <c r="AL54" s="91"/>
      <c r="AM54" s="91"/>
      <c r="AN54" s="89"/>
      <c r="AO54" s="91"/>
      <c r="AP54" s="91"/>
      <c r="AQ54" s="91"/>
      <c r="AR54" s="91"/>
      <c r="AS54" s="91"/>
      <c r="AT54" s="91"/>
      <c r="AU54" s="91"/>
      <c r="AV54" s="87" t="s">
        <v>1023</v>
      </c>
      <c r="AW54" s="90"/>
      <c r="AX54" s="87" t="s">
        <v>1023</v>
      </c>
      <c r="AY54" s="90"/>
      <c r="AZ54" s="90"/>
      <c r="BA54" s="90"/>
      <c r="BB54" s="90"/>
      <c r="BC54" s="90"/>
      <c r="BD54" s="87" t="s">
        <v>1023</v>
      </c>
      <c r="BE54" s="87" t="s">
        <v>1024</v>
      </c>
      <c r="BF54" s="90"/>
      <c r="BG54" s="90"/>
      <c r="BH54" s="90"/>
      <c r="BI54" s="90"/>
      <c r="BJ54" s="90"/>
      <c r="BK54" s="90"/>
      <c r="BL54" s="90"/>
      <c r="BM54" s="87" t="s">
        <v>1024</v>
      </c>
      <c r="BN54" s="87" t="s">
        <v>1023</v>
      </c>
      <c r="BO54" s="89" t="s">
        <v>1025</v>
      </c>
      <c r="BP54" s="91"/>
      <c r="BQ54" s="91"/>
      <c r="BR54" s="91"/>
      <c r="BS54" s="91"/>
      <c r="BT54" s="91"/>
      <c r="BU54" s="91"/>
      <c r="BV54" s="91"/>
      <c r="BW54" s="91"/>
      <c r="BX54" s="91"/>
      <c r="BY54" s="87" t="s">
        <v>1023</v>
      </c>
      <c r="BZ54" s="91"/>
      <c r="CA54" s="91"/>
      <c r="CB54" s="91"/>
      <c r="CC54" s="91"/>
      <c r="CD54" s="91"/>
      <c r="CE54" s="88" t="s">
        <v>1023</v>
      </c>
      <c r="CF54" s="88" t="s">
        <v>1023</v>
      </c>
      <c r="CG54" s="90"/>
      <c r="CH54" s="87" t="s">
        <v>1026</v>
      </c>
      <c r="CI54" s="90"/>
      <c r="CJ54" s="90"/>
      <c r="CK54" s="87" t="s">
        <v>1023</v>
      </c>
      <c r="CL54" s="87" t="s">
        <v>1027</v>
      </c>
      <c r="CM54" s="90"/>
      <c r="CN54" s="90"/>
      <c r="CO54" s="90"/>
      <c r="CP54" s="90"/>
      <c r="CQ54" s="90"/>
      <c r="CR54" s="91"/>
      <c r="CS54" s="91"/>
      <c r="CT54" s="91"/>
      <c r="CU54" s="89" t="s">
        <v>1028</v>
      </c>
      <c r="CV54" s="91"/>
      <c r="CW54" s="89" t="s">
        <v>1024</v>
      </c>
      <c r="CX54" s="91"/>
      <c r="CY54" s="91"/>
      <c r="CZ54" s="91"/>
      <c r="DA54" s="91"/>
      <c r="DB54" s="91"/>
      <c r="DC54" s="91"/>
      <c r="DD54" s="91"/>
      <c r="DE54" s="89" t="s">
        <v>1029</v>
      </c>
      <c r="DF54" s="89" t="s">
        <v>1023</v>
      </c>
      <c r="DG54" s="91"/>
      <c r="DH54" s="91"/>
      <c r="DI54" s="91"/>
      <c r="DJ54" s="91"/>
      <c r="DK54" s="91"/>
      <c r="DL54" s="91"/>
      <c r="DM54" s="91"/>
      <c r="DN54" s="91"/>
      <c r="DO54" s="91"/>
      <c r="DP54" s="89" t="s">
        <v>1023</v>
      </c>
      <c r="DQ54" s="91"/>
      <c r="DR54" s="89" t="s">
        <v>1023</v>
      </c>
      <c r="DS54" s="91"/>
      <c r="DT54" s="91"/>
      <c r="DU54" s="91"/>
      <c r="DV54" s="88" t="s">
        <v>1030</v>
      </c>
      <c r="DW54" s="91"/>
      <c r="DX54" s="91"/>
      <c r="DY54" s="91"/>
      <c r="DZ54" s="89" t="s">
        <v>1031</v>
      </c>
      <c r="EA54" s="91"/>
      <c r="EB54" s="91"/>
      <c r="EC54" s="91"/>
      <c r="ED54" s="91"/>
      <c r="EE54" s="91"/>
      <c r="EF54" s="91"/>
      <c r="EG54" s="91"/>
      <c r="EH54" s="91"/>
      <c r="EI54" s="91"/>
      <c r="EJ54" s="91"/>
      <c r="EK54" s="91"/>
      <c r="EL54" s="91"/>
      <c r="EM54" s="91"/>
      <c r="EN54" s="91"/>
      <c r="EO54" s="91"/>
      <c r="EP54" s="91"/>
      <c r="EQ54" s="91"/>
      <c r="ER54" s="91"/>
      <c r="ES54" s="91"/>
      <c r="ET54" s="91"/>
      <c r="EU54" s="91"/>
      <c r="EV54" s="89" t="s">
        <v>1032</v>
      </c>
      <c r="EW54" s="91"/>
      <c r="EX54" s="91"/>
      <c r="EY54" s="91"/>
      <c r="EZ54" s="89" t="s">
        <v>1024</v>
      </c>
      <c r="FA54" s="91"/>
      <c r="FB54" s="91"/>
      <c r="FC54" s="91"/>
      <c r="FD54" s="89" t="s">
        <v>1033</v>
      </c>
      <c r="FE54" s="91"/>
      <c r="FF54" s="91"/>
      <c r="FG54" s="89" t="s">
        <v>1034</v>
      </c>
      <c r="FH54" s="91"/>
      <c r="FI54" s="91"/>
      <c r="FJ54" s="91"/>
      <c r="FK54" s="91"/>
      <c r="FL54" s="89" t="s">
        <v>1023</v>
      </c>
      <c r="FM54" s="91"/>
      <c r="FN54" s="91"/>
      <c r="FO54" s="91"/>
      <c r="FP54" s="89" t="s">
        <v>1035</v>
      </c>
      <c r="FQ54" s="91"/>
      <c r="FR54" s="91"/>
      <c r="FS54" s="91"/>
      <c r="FT54" s="91"/>
      <c r="FU54" s="91"/>
      <c r="FV54" s="89" t="s">
        <v>1036</v>
      </c>
      <c r="FW54" s="91"/>
      <c r="FX54" s="91"/>
      <c r="FY54" s="91"/>
      <c r="FZ54" s="91"/>
      <c r="GA54" s="91"/>
      <c r="GB54" s="91"/>
      <c r="GC54" s="91"/>
      <c r="GD54" s="91"/>
      <c r="GE54" s="91"/>
      <c r="GF54" s="91"/>
      <c r="GG54" s="91"/>
      <c r="GH54" s="89" t="s">
        <v>1023</v>
      </c>
      <c r="GI54" s="91"/>
      <c r="GJ54" s="91"/>
      <c r="GK54" s="91"/>
      <c r="GL54" s="91"/>
      <c r="GM54" s="91"/>
      <c r="GN54" s="91"/>
      <c r="GO54" s="91"/>
      <c r="GP54" s="91"/>
      <c r="GQ54" s="91"/>
      <c r="GR54" s="91"/>
      <c r="GS54" s="91"/>
      <c r="GT54" s="89" t="s">
        <v>1037</v>
      </c>
      <c r="GU54" s="91"/>
      <c r="GV54" s="91"/>
      <c r="GW54" s="89" t="s">
        <v>1023</v>
      </c>
      <c r="GX54" s="91"/>
    </row>
    <row r="55" spans="1:206" ht="15.75" x14ac:dyDescent="0.25">
      <c r="A55" s="6" t="s">
        <v>94</v>
      </c>
      <c r="B55" s="6" t="s">
        <v>1</v>
      </c>
      <c r="C55" s="91"/>
      <c r="D55" s="91"/>
      <c r="E55" s="91"/>
      <c r="F55" s="91"/>
      <c r="G55" s="91"/>
      <c r="H55" s="91"/>
      <c r="I55" s="91"/>
      <c r="J55" s="91"/>
      <c r="K55" s="91"/>
      <c r="L55" s="91"/>
      <c r="M55" s="91"/>
      <c r="N55" s="91"/>
      <c r="O55" s="91"/>
      <c r="P55" s="91"/>
      <c r="Q55" s="91"/>
      <c r="R55" s="91"/>
      <c r="S55" s="91"/>
      <c r="T55" s="91"/>
      <c r="U55" s="91"/>
      <c r="V55" s="91"/>
      <c r="W55" s="91"/>
      <c r="X55" s="91"/>
      <c r="Y55" s="91"/>
      <c r="Z55" s="91"/>
      <c r="AA55" s="91"/>
      <c r="AB55" s="91"/>
      <c r="AC55" s="91"/>
      <c r="AD55" s="91"/>
      <c r="AE55" s="91"/>
      <c r="AF55" s="91"/>
      <c r="AG55" s="91"/>
      <c r="AH55" s="91"/>
      <c r="AI55" s="91"/>
      <c r="AJ55" s="91"/>
      <c r="AK55" s="91"/>
      <c r="AL55" s="91"/>
      <c r="AM55" s="91"/>
      <c r="AN55" s="91"/>
      <c r="AO55" s="91"/>
      <c r="AP55" s="91"/>
      <c r="AQ55" s="91"/>
      <c r="AR55" s="91"/>
      <c r="AS55" s="91"/>
      <c r="AT55" s="91"/>
      <c r="AU55" s="91"/>
      <c r="AV55" s="90"/>
      <c r="AW55" s="90"/>
      <c r="AX55" s="90"/>
      <c r="AY55" s="90"/>
      <c r="AZ55" s="90"/>
      <c r="BA55" s="90"/>
      <c r="BB55" s="90"/>
      <c r="BC55" s="90"/>
      <c r="BD55" s="90"/>
      <c r="BE55" s="87" t="s">
        <v>1038</v>
      </c>
      <c r="BF55" s="90"/>
      <c r="BG55" s="90"/>
      <c r="BH55" s="90"/>
      <c r="BI55" s="90"/>
      <c r="BJ55" s="90"/>
      <c r="BK55" s="90"/>
      <c r="BL55" s="90"/>
      <c r="BM55" s="90"/>
      <c r="BN55" s="90"/>
      <c r="BO55" s="91"/>
      <c r="BP55" s="91"/>
      <c r="BQ55" s="91"/>
      <c r="BR55" s="91"/>
      <c r="BS55" s="91"/>
      <c r="BT55" s="91"/>
      <c r="BU55" s="91"/>
      <c r="BV55" s="91"/>
      <c r="BW55" s="91"/>
      <c r="BX55" s="91"/>
      <c r="BY55" s="91"/>
      <c r="BZ55" s="91"/>
      <c r="CA55" s="91"/>
      <c r="CB55" s="91"/>
      <c r="CC55" s="91"/>
      <c r="CD55" s="91"/>
      <c r="CE55" s="20"/>
      <c r="CF55" s="91"/>
      <c r="CG55" s="91"/>
      <c r="CH55" s="89" t="s">
        <v>1039</v>
      </c>
      <c r="CI55" s="91"/>
      <c r="CJ55" s="91"/>
      <c r="CK55" s="91"/>
      <c r="CL55" s="91"/>
      <c r="CM55" s="91"/>
      <c r="CN55" s="91"/>
      <c r="CO55" s="91"/>
      <c r="CP55" s="91"/>
      <c r="CQ55" s="91"/>
      <c r="CR55" s="91"/>
      <c r="CS55" s="91"/>
      <c r="CT55" s="91"/>
      <c r="CU55" s="91" t="s">
        <v>1056</v>
      </c>
      <c r="CV55" s="91"/>
      <c r="CW55" s="91"/>
      <c r="CX55" s="91"/>
      <c r="CY55" s="91"/>
      <c r="CZ55" s="91"/>
      <c r="DA55" s="91"/>
      <c r="DB55" s="91"/>
      <c r="DC55" s="91"/>
      <c r="DD55" s="91"/>
      <c r="DE55" s="91"/>
      <c r="DF55" s="89" t="s">
        <v>1040</v>
      </c>
      <c r="DG55" s="91"/>
      <c r="DH55" s="91"/>
      <c r="DI55" s="91"/>
      <c r="DJ55" s="91"/>
      <c r="DK55" s="91"/>
      <c r="DL55" s="91"/>
      <c r="DM55" s="91"/>
      <c r="DN55" s="91"/>
      <c r="DO55" s="91"/>
      <c r="DP55" s="91"/>
      <c r="DQ55" s="91"/>
      <c r="DR55" s="91"/>
      <c r="DS55" s="91"/>
      <c r="DT55" s="91"/>
      <c r="DU55" s="91"/>
      <c r="DV55" s="20" t="s">
        <v>1041</v>
      </c>
      <c r="DW55" s="91"/>
      <c r="DX55" s="91"/>
      <c r="DY55" s="91"/>
      <c r="DZ55" s="91" t="s">
        <v>1042</v>
      </c>
      <c r="EA55" s="91"/>
      <c r="EB55" s="91"/>
      <c r="EC55" s="91"/>
      <c r="ED55" s="91"/>
      <c r="EE55" s="91"/>
      <c r="EF55" s="91"/>
      <c r="EG55" s="91"/>
      <c r="EH55" s="91"/>
      <c r="EI55" s="91"/>
      <c r="EJ55" s="91"/>
      <c r="EK55" s="91"/>
      <c r="EL55" s="91"/>
      <c r="EM55" s="91"/>
      <c r="EN55" s="91"/>
      <c r="EO55" s="91"/>
      <c r="EP55" s="91"/>
      <c r="EQ55" s="91"/>
      <c r="ER55" s="91"/>
      <c r="ES55" s="91"/>
      <c r="ET55" s="91"/>
      <c r="EU55" s="91"/>
      <c r="EV55" s="91"/>
      <c r="EW55" s="91"/>
      <c r="EX55" s="91"/>
      <c r="EY55" s="91"/>
      <c r="EZ55" s="91"/>
      <c r="FA55" s="91"/>
      <c r="FB55" s="91"/>
      <c r="FC55" s="91"/>
      <c r="FD55" s="91"/>
      <c r="FE55" s="91"/>
      <c r="FF55" s="91"/>
      <c r="FG55" s="91"/>
      <c r="FH55" s="91"/>
      <c r="FI55" s="91"/>
      <c r="FJ55" s="91"/>
      <c r="FK55" s="91"/>
      <c r="FL55" s="91"/>
      <c r="FM55" s="91"/>
      <c r="FN55" s="91"/>
      <c r="FO55" s="91"/>
      <c r="FP55" s="91"/>
      <c r="FQ55" s="91"/>
      <c r="FR55" s="91"/>
      <c r="FS55" s="91"/>
      <c r="FT55" s="91"/>
      <c r="FU55" s="91"/>
      <c r="FV55" s="89" t="s">
        <v>1043</v>
      </c>
    </row>
    <row r="56" spans="1:206" ht="15.75" x14ac:dyDescent="0.25">
      <c r="A56" s="6" t="s">
        <v>94</v>
      </c>
      <c r="B56" s="6" t="s">
        <v>2</v>
      </c>
      <c r="C56" s="91"/>
      <c r="D56" s="91"/>
      <c r="E56" s="91"/>
      <c r="F56" s="91"/>
      <c r="G56" s="91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91"/>
      <c r="T56" s="91"/>
      <c r="U56" s="91"/>
      <c r="V56" s="91"/>
      <c r="W56" s="91"/>
      <c r="X56" s="91"/>
      <c r="Y56" s="91"/>
      <c r="Z56" s="91"/>
      <c r="AA56" s="91"/>
      <c r="AB56" s="91"/>
      <c r="AC56" s="91"/>
      <c r="AD56" s="91"/>
      <c r="AE56" s="91"/>
      <c r="AF56" s="91"/>
      <c r="AG56" s="91"/>
      <c r="AH56" s="91"/>
      <c r="AI56" s="91"/>
      <c r="AJ56" s="91"/>
      <c r="AK56" s="91"/>
      <c r="AL56" s="91"/>
      <c r="AM56" s="91"/>
      <c r="AN56" s="91"/>
      <c r="AO56" s="91"/>
      <c r="AP56" s="91"/>
      <c r="AQ56" s="91"/>
      <c r="AR56" s="91"/>
      <c r="AS56" s="91"/>
      <c r="AT56" s="91"/>
      <c r="AU56" s="91"/>
      <c r="AV56" s="90"/>
      <c r="AW56" s="90"/>
      <c r="AX56" s="90"/>
      <c r="AY56" s="90"/>
      <c r="AZ56" s="90"/>
      <c r="BA56" s="90"/>
      <c r="BB56" s="90"/>
      <c r="BC56" s="90"/>
      <c r="BD56" s="90"/>
      <c r="BE56" s="87" t="s">
        <v>1038</v>
      </c>
      <c r="BF56" s="90"/>
      <c r="BG56" s="90"/>
      <c r="BH56" s="90"/>
      <c r="BI56" s="90"/>
      <c r="BJ56" s="90"/>
      <c r="BK56" s="90"/>
      <c r="BL56" s="90"/>
      <c r="BM56" s="90"/>
      <c r="BN56" s="90"/>
      <c r="BO56" s="91"/>
      <c r="BP56" s="91"/>
      <c r="BQ56" s="91"/>
      <c r="BR56" s="91"/>
      <c r="BS56" s="91"/>
      <c r="BT56" s="91"/>
      <c r="BU56" s="91"/>
      <c r="BV56" s="91"/>
      <c r="BW56" s="91"/>
      <c r="BX56" s="91"/>
      <c r="BY56" s="91"/>
      <c r="BZ56" s="91"/>
      <c r="CA56" s="91"/>
      <c r="CB56" s="91"/>
      <c r="CC56" s="91"/>
      <c r="CD56" s="91"/>
      <c r="CE56" s="20"/>
      <c r="CF56" s="91"/>
      <c r="CG56" s="91"/>
      <c r="CH56" s="89" t="s">
        <v>1039</v>
      </c>
      <c r="CI56" s="91"/>
      <c r="CJ56" s="91"/>
      <c r="CK56" s="91"/>
      <c r="CL56" s="91"/>
      <c r="CM56" s="91"/>
      <c r="CN56" s="91"/>
      <c r="CO56" s="91"/>
      <c r="CP56" s="91"/>
      <c r="CQ56" s="91"/>
      <c r="CR56" s="91"/>
      <c r="CS56" s="91"/>
      <c r="CT56" s="91"/>
      <c r="CU56" s="91" t="s">
        <v>1056</v>
      </c>
      <c r="CV56" s="91"/>
      <c r="CW56" s="91"/>
      <c r="CX56" s="91"/>
      <c r="CY56" s="91"/>
      <c r="CZ56" s="91"/>
      <c r="DA56" s="91"/>
      <c r="DB56" s="91"/>
      <c r="DC56" s="91"/>
      <c r="DD56" s="91"/>
      <c r="DE56" s="91"/>
      <c r="DF56" s="89" t="s">
        <v>1040</v>
      </c>
      <c r="DG56" s="91"/>
      <c r="DH56" s="91"/>
      <c r="DI56" s="91"/>
      <c r="DJ56" s="91"/>
      <c r="DK56" s="91"/>
      <c r="DL56" s="91"/>
      <c r="DM56" s="91"/>
      <c r="DN56" s="91"/>
      <c r="DO56" s="91"/>
      <c r="DP56" s="91"/>
      <c r="DQ56" s="91"/>
      <c r="DR56" s="91"/>
      <c r="DS56" s="91"/>
      <c r="DT56" s="91"/>
      <c r="DU56" s="91"/>
      <c r="DV56" s="20" t="s">
        <v>1041</v>
      </c>
      <c r="DW56" s="91"/>
      <c r="DX56" s="91"/>
      <c r="DY56" s="91"/>
      <c r="DZ56" s="91" t="s">
        <v>1042</v>
      </c>
      <c r="EA56" s="91"/>
      <c r="EB56" s="91"/>
      <c r="EC56" s="91"/>
      <c r="ED56" s="91"/>
      <c r="EE56" s="91"/>
      <c r="EF56" s="91"/>
      <c r="EG56" s="91"/>
      <c r="EH56" s="91"/>
      <c r="EI56" s="91"/>
      <c r="EJ56" s="91"/>
      <c r="EK56" s="91"/>
      <c r="EL56" s="91"/>
      <c r="EM56" s="91"/>
      <c r="EN56" s="91"/>
      <c r="EO56" s="91"/>
      <c r="EP56" s="91"/>
      <c r="EQ56" s="91"/>
      <c r="ER56" s="91"/>
      <c r="ES56" s="91"/>
      <c r="ET56" s="91"/>
      <c r="EU56" s="91"/>
      <c r="EV56" s="91"/>
      <c r="EW56" s="91"/>
      <c r="EX56" s="91"/>
      <c r="EY56" s="91"/>
      <c r="EZ56" s="91"/>
      <c r="FA56" s="91"/>
      <c r="FB56" s="91"/>
      <c r="FC56" s="91"/>
      <c r="FD56" s="91"/>
      <c r="FE56" s="91"/>
      <c r="FF56" s="91"/>
      <c r="FG56" s="91"/>
      <c r="FH56" s="91"/>
      <c r="FI56" s="91"/>
      <c r="FJ56" s="91"/>
      <c r="FK56" s="91"/>
      <c r="FL56" s="91"/>
      <c r="FM56" s="91"/>
      <c r="FN56" s="91"/>
      <c r="FO56" s="91"/>
      <c r="FP56" s="91"/>
      <c r="FQ56" s="91"/>
      <c r="FR56" s="91"/>
      <c r="FS56" s="91"/>
      <c r="FT56" s="91"/>
      <c r="FU56" s="91"/>
      <c r="FV56" s="89" t="s">
        <v>1043</v>
      </c>
    </row>
    <row r="57" spans="1:206" ht="15.75" x14ac:dyDescent="0.25">
      <c r="A57" s="6" t="s">
        <v>94</v>
      </c>
      <c r="B57" s="6" t="s">
        <v>4</v>
      </c>
      <c r="C57" s="90"/>
      <c r="D57" s="91"/>
      <c r="E57" s="91"/>
      <c r="F57" s="91"/>
      <c r="G57" s="91"/>
      <c r="H57" s="91"/>
      <c r="I57" s="87"/>
      <c r="J57" s="91"/>
      <c r="K57" s="91"/>
      <c r="L57" s="91"/>
      <c r="M57" s="91"/>
      <c r="N57" s="91"/>
      <c r="O57" s="91"/>
      <c r="P57" s="91"/>
      <c r="Q57" s="91"/>
      <c r="R57" s="91"/>
      <c r="S57" s="91"/>
      <c r="T57" s="91"/>
      <c r="U57" s="91"/>
      <c r="V57" s="91"/>
      <c r="W57" s="91"/>
      <c r="X57" s="91"/>
      <c r="Y57" s="91"/>
      <c r="Z57" s="91"/>
      <c r="AA57" s="91"/>
      <c r="AB57" s="91"/>
      <c r="AC57" s="91"/>
      <c r="AD57" s="91"/>
      <c r="AE57" s="91"/>
      <c r="AF57" s="91"/>
      <c r="AG57" s="91"/>
      <c r="AH57" s="91"/>
      <c r="AI57" s="91"/>
      <c r="AJ57" s="91"/>
      <c r="AK57" s="91"/>
      <c r="AL57" s="91"/>
      <c r="AM57" s="91"/>
      <c r="AN57" s="91"/>
      <c r="AO57" s="91"/>
      <c r="AP57" s="91"/>
      <c r="AQ57" s="91"/>
      <c r="AR57" s="91"/>
      <c r="AS57" s="91"/>
      <c r="AT57" s="91"/>
      <c r="AU57" s="91"/>
      <c r="AV57" s="91"/>
      <c r="AW57" s="91"/>
      <c r="AX57" s="91"/>
      <c r="AY57" s="91"/>
      <c r="AZ57" s="91"/>
      <c r="BA57" s="91"/>
      <c r="BB57" s="91"/>
      <c r="BC57" s="91"/>
      <c r="BD57" s="91"/>
      <c r="BE57" s="87"/>
      <c r="BF57" s="91"/>
      <c r="BG57" s="91"/>
      <c r="BH57" s="91"/>
      <c r="BI57" s="91"/>
      <c r="BJ57" s="91"/>
      <c r="BK57" s="91"/>
      <c r="BL57" s="91"/>
      <c r="BM57" s="87"/>
      <c r="BN57" s="91"/>
      <c r="BO57" s="91"/>
      <c r="BP57" s="91"/>
      <c r="BQ57" s="91"/>
      <c r="BR57" s="91"/>
      <c r="BS57" s="91"/>
      <c r="BT57" s="91"/>
      <c r="BU57" s="91"/>
      <c r="BV57" s="91"/>
      <c r="BW57" s="91"/>
      <c r="BX57" s="91"/>
      <c r="BY57" s="91"/>
      <c r="BZ57" s="91"/>
      <c r="CA57" s="91"/>
      <c r="CB57" s="91"/>
      <c r="CC57" s="91"/>
      <c r="CD57" s="91"/>
      <c r="CE57" s="91"/>
      <c r="CF57" s="91"/>
      <c r="CG57" s="91"/>
      <c r="CH57" s="91"/>
      <c r="CI57" s="91"/>
      <c r="CJ57" s="91"/>
      <c r="CK57" s="91"/>
      <c r="CL57" s="91"/>
      <c r="CM57" s="91"/>
      <c r="CN57" s="91"/>
      <c r="CO57" s="91"/>
      <c r="CP57" s="91"/>
      <c r="CQ57" s="91"/>
      <c r="CR57" s="91"/>
      <c r="CS57" s="91"/>
      <c r="CT57" s="91"/>
      <c r="CU57" s="91"/>
      <c r="CV57" s="91"/>
      <c r="CW57" s="89"/>
      <c r="CX57" s="91"/>
      <c r="CY57" s="91"/>
      <c r="CZ57" s="91"/>
      <c r="DA57" s="91"/>
      <c r="DB57" s="91"/>
      <c r="DC57" s="91"/>
      <c r="DD57" s="91"/>
      <c r="DE57" s="91"/>
      <c r="DF57" s="91"/>
      <c r="DG57" s="91"/>
      <c r="DH57" s="91"/>
      <c r="DI57" s="91"/>
      <c r="DJ57" s="91"/>
      <c r="DK57" s="91"/>
      <c r="DL57" s="91"/>
      <c r="DM57" s="91"/>
      <c r="DN57" s="91"/>
      <c r="DO57" s="91"/>
      <c r="DP57" s="91"/>
      <c r="DQ57" s="91"/>
      <c r="DR57" s="91"/>
      <c r="DS57" s="91"/>
      <c r="DT57" s="91"/>
      <c r="DU57" s="91"/>
      <c r="DV57" s="91"/>
      <c r="DW57" s="91"/>
      <c r="DX57" s="91"/>
      <c r="DY57" s="91"/>
      <c r="DZ57" s="91"/>
      <c r="EA57" s="91"/>
      <c r="EB57" s="91"/>
      <c r="EC57" s="91"/>
      <c r="ED57" s="91"/>
      <c r="EE57" s="91"/>
      <c r="EF57" s="91"/>
      <c r="EG57" s="91"/>
      <c r="EH57" s="91"/>
      <c r="EI57" s="91"/>
      <c r="EJ57" s="91"/>
      <c r="EK57" s="91"/>
      <c r="EL57" s="91"/>
      <c r="EM57" s="91"/>
      <c r="EN57" s="91"/>
      <c r="EO57" s="91"/>
      <c r="EP57" s="91"/>
      <c r="EQ57" s="91"/>
      <c r="ER57" s="91"/>
      <c r="ES57" s="91"/>
      <c r="ET57" s="91"/>
      <c r="EU57" s="91"/>
      <c r="EV57" s="91"/>
      <c r="EW57" s="91"/>
      <c r="EX57" s="91"/>
      <c r="EY57" s="91"/>
      <c r="EZ57" s="94" t="s">
        <v>1057</v>
      </c>
      <c r="FA57" s="91"/>
      <c r="FB57" s="91"/>
      <c r="FC57" s="91"/>
      <c r="FD57" s="89"/>
      <c r="FE57" s="91"/>
      <c r="FF57" s="91"/>
      <c r="FG57" s="89"/>
      <c r="FH57" s="91"/>
      <c r="FI57" s="91"/>
      <c r="FJ57" s="91"/>
      <c r="FK57" s="91"/>
      <c r="FL57" s="91"/>
      <c r="FM57" s="91"/>
      <c r="FN57" s="91"/>
      <c r="FO57" s="91"/>
      <c r="FP57" s="89"/>
      <c r="FQ57" s="91"/>
      <c r="FR57" s="91"/>
      <c r="FS57" s="91"/>
      <c r="FT57" s="91"/>
      <c r="FU57" s="91"/>
      <c r="FV57" s="89"/>
      <c r="FW57" s="91"/>
      <c r="FX57" s="91"/>
      <c r="FY57" s="91"/>
      <c r="FZ57" s="91"/>
      <c r="GA57" s="91"/>
      <c r="GB57" s="91"/>
      <c r="GC57" s="91"/>
      <c r="GD57" s="91"/>
      <c r="GE57" s="91"/>
      <c r="GF57" s="91"/>
      <c r="GG57" s="91"/>
      <c r="GH57" s="91"/>
      <c r="GI57" s="91"/>
      <c r="GJ57" s="91"/>
      <c r="GK57" s="91"/>
      <c r="GL57" s="91"/>
      <c r="GM57" s="91"/>
      <c r="GN57" s="91"/>
      <c r="GO57" s="91"/>
      <c r="GP57" s="91"/>
      <c r="GQ57" s="91"/>
      <c r="GR57" s="91"/>
      <c r="GS57" s="91"/>
      <c r="GT57" s="91"/>
      <c r="GU57" s="91"/>
      <c r="GV57" s="91"/>
      <c r="GW57" s="91"/>
      <c r="GX57" s="91"/>
    </row>
    <row r="58" spans="1:206" ht="15.75" x14ac:dyDescent="0.25">
      <c r="A58" s="6" t="s">
        <v>94</v>
      </c>
      <c r="B58" s="6" t="s">
        <v>3</v>
      </c>
      <c r="C58" s="91"/>
      <c r="D58" s="91"/>
      <c r="E58" s="91"/>
      <c r="F58" s="91"/>
      <c r="G58" s="91"/>
      <c r="H58" s="91"/>
      <c r="I58" s="91"/>
      <c r="J58" s="91"/>
      <c r="K58" s="91"/>
      <c r="L58" s="91"/>
      <c r="M58" s="91"/>
      <c r="N58" s="91"/>
      <c r="O58" s="91"/>
      <c r="P58" s="91"/>
      <c r="Q58" s="91"/>
      <c r="R58" s="91"/>
      <c r="S58" s="91"/>
      <c r="T58" s="91"/>
      <c r="U58" s="91"/>
      <c r="V58" s="91"/>
      <c r="W58" s="91"/>
      <c r="X58" s="91"/>
      <c r="Y58" s="91"/>
      <c r="Z58" s="91"/>
      <c r="AA58" s="91"/>
      <c r="AB58" s="91"/>
      <c r="AC58" s="91"/>
      <c r="AD58" s="91"/>
      <c r="AE58" s="91"/>
      <c r="AF58" s="91"/>
      <c r="AG58" s="91"/>
      <c r="AH58" s="91"/>
      <c r="AI58" s="91"/>
      <c r="AJ58" s="91"/>
      <c r="AK58" s="91"/>
      <c r="AL58" s="91"/>
      <c r="AM58" s="91"/>
      <c r="AN58" s="91"/>
      <c r="AO58" s="91"/>
      <c r="AP58" s="91"/>
      <c r="AQ58" s="91"/>
      <c r="AR58" s="91"/>
      <c r="AS58" s="91"/>
      <c r="AT58" s="91"/>
      <c r="AU58" s="91"/>
      <c r="AV58" s="90"/>
      <c r="AW58" s="90"/>
      <c r="AX58" s="90"/>
      <c r="AY58" s="90"/>
      <c r="AZ58" s="90"/>
      <c r="BA58" s="90"/>
      <c r="BB58" s="90"/>
      <c r="BC58" s="90"/>
      <c r="BD58" s="90"/>
      <c r="BE58" s="87" t="s">
        <v>1038</v>
      </c>
      <c r="BF58" s="90"/>
      <c r="BG58" s="90"/>
      <c r="BH58" s="90"/>
      <c r="BI58" s="90"/>
      <c r="BJ58" s="90"/>
      <c r="BK58" s="90"/>
      <c r="BL58" s="90"/>
      <c r="BM58" s="90"/>
      <c r="BN58" s="90"/>
      <c r="BO58" s="91"/>
      <c r="BP58" s="91"/>
      <c r="BQ58" s="91"/>
      <c r="BR58" s="91"/>
      <c r="BS58" s="91"/>
      <c r="BT58" s="91"/>
      <c r="BU58" s="91"/>
      <c r="BV58" s="91"/>
      <c r="BW58" s="91"/>
      <c r="BX58" s="91"/>
      <c r="BY58" s="91"/>
      <c r="BZ58" s="91"/>
      <c r="CA58" s="91"/>
      <c r="CB58" s="91"/>
      <c r="CC58" s="91"/>
      <c r="CD58" s="91"/>
      <c r="CE58" s="20"/>
      <c r="CF58" s="91"/>
      <c r="CG58" s="91"/>
      <c r="CH58" s="89" t="s">
        <v>1039</v>
      </c>
      <c r="CI58" s="91"/>
      <c r="CJ58" s="91"/>
      <c r="CK58" s="91"/>
      <c r="CL58" s="91"/>
      <c r="CM58" s="91"/>
      <c r="CN58" s="91"/>
      <c r="CO58" s="91"/>
      <c r="CP58" s="91"/>
      <c r="CQ58" s="91"/>
      <c r="CR58" s="91"/>
      <c r="CS58" s="91"/>
      <c r="CT58" s="91"/>
      <c r="CU58" s="91" t="s">
        <v>1056</v>
      </c>
      <c r="CV58" s="91"/>
      <c r="CW58" s="91"/>
      <c r="CX58" s="91"/>
      <c r="CY58" s="91"/>
      <c r="CZ58" s="91"/>
      <c r="DA58" s="91"/>
      <c r="DB58" s="91"/>
      <c r="DC58" s="91"/>
      <c r="DD58" s="91"/>
      <c r="DE58" s="91"/>
      <c r="DF58" s="89" t="s">
        <v>1040</v>
      </c>
      <c r="DG58" s="91"/>
      <c r="DH58" s="91"/>
      <c r="DI58" s="91"/>
      <c r="DJ58" s="91"/>
      <c r="DK58" s="91"/>
      <c r="DL58" s="91"/>
      <c r="DM58" s="91"/>
      <c r="DN58" s="91"/>
      <c r="DO58" s="91"/>
      <c r="DP58" s="91"/>
      <c r="DQ58" s="91"/>
      <c r="DR58" s="91"/>
      <c r="DS58" s="91"/>
      <c r="DT58" s="91"/>
      <c r="DU58" s="91"/>
      <c r="DV58" s="20" t="s">
        <v>1041</v>
      </c>
      <c r="DW58" s="91"/>
      <c r="DX58" s="91"/>
      <c r="DY58" s="91"/>
      <c r="DZ58" s="91" t="s">
        <v>1042</v>
      </c>
      <c r="EA58" s="91"/>
      <c r="EB58" s="91"/>
      <c r="EC58" s="91"/>
      <c r="ED58" s="91"/>
      <c r="EE58" s="91"/>
      <c r="EF58" s="91"/>
      <c r="EG58" s="91"/>
      <c r="EH58" s="91"/>
      <c r="EI58" s="91"/>
      <c r="EJ58" s="91"/>
      <c r="EK58" s="91"/>
      <c r="EL58" s="91"/>
      <c r="EM58" s="91"/>
      <c r="EN58" s="91"/>
      <c r="EO58" s="91"/>
      <c r="EP58" s="91"/>
      <c r="EQ58" s="91"/>
      <c r="ER58" s="91"/>
      <c r="ES58" s="91"/>
      <c r="ET58" s="91"/>
      <c r="EU58" s="91"/>
      <c r="EV58" s="91"/>
      <c r="EW58" s="91"/>
      <c r="EX58" s="91"/>
      <c r="EY58" s="91"/>
      <c r="EZ58" s="91"/>
      <c r="FA58" s="91"/>
      <c r="FB58" s="91"/>
      <c r="FC58" s="91"/>
      <c r="FD58" s="91"/>
      <c r="FE58" s="91"/>
      <c r="FF58" s="91"/>
      <c r="FG58" s="91"/>
      <c r="FH58" s="91"/>
      <c r="FI58" s="91"/>
      <c r="FJ58" s="91"/>
      <c r="FK58" s="91"/>
      <c r="FL58" s="91"/>
      <c r="FM58" s="91"/>
      <c r="FN58" s="91"/>
      <c r="FO58" s="91"/>
      <c r="FP58" s="91"/>
      <c r="FQ58" s="91"/>
      <c r="FR58" s="91"/>
      <c r="FS58" s="91"/>
      <c r="FT58" s="91"/>
      <c r="FU58" s="91"/>
      <c r="FV58" s="89" t="s">
        <v>1043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QA111"/>
  <sheetViews>
    <sheetView workbookViewId="0">
      <pane xSplit="7" topLeftCell="FF1" activePane="topRight" state="frozen"/>
      <selection pane="topRight" activeCell="FL54" sqref="FL54"/>
    </sheetView>
  </sheetViews>
  <sheetFormatPr baseColWidth="10" defaultRowHeight="15" x14ac:dyDescent="0.25"/>
  <cols>
    <col min="1" max="1" width="9.140625" customWidth="1"/>
    <col min="2" max="2" width="16" customWidth="1"/>
    <col min="3" max="3" width="5.7109375" customWidth="1"/>
    <col min="4" max="4" width="4.85546875" customWidth="1"/>
    <col min="5" max="5" width="12.7109375" customWidth="1"/>
    <col min="6" max="6" width="15.42578125" customWidth="1"/>
    <col min="7" max="7" width="41.5703125" customWidth="1"/>
    <col min="8" max="24" width="11.42578125" customWidth="1"/>
    <col min="26" max="27" width="11.42578125" customWidth="1"/>
    <col min="34" max="34" width="13.42578125" customWidth="1"/>
    <col min="39" max="39" width="11.140625" customWidth="1"/>
    <col min="41" max="41" width="11.42578125" customWidth="1"/>
    <col min="43" max="43" width="11.42578125" customWidth="1"/>
    <col min="59" max="59" width="11.42578125" customWidth="1"/>
    <col min="63" max="63" width="11.42578125" customWidth="1"/>
    <col min="66" max="66" width="11.42578125" customWidth="1"/>
    <col min="69" max="69" width="17.140625" customWidth="1"/>
    <col min="70" max="70" width="18.140625" customWidth="1"/>
    <col min="81" max="81" width="11.42578125" customWidth="1"/>
    <col min="85" max="85" width="11.42578125" customWidth="1"/>
    <col min="91" max="91" width="11.42578125" customWidth="1"/>
    <col min="95" max="95" width="11.42578125" customWidth="1"/>
    <col min="97" max="97" width="11.42578125" customWidth="1"/>
    <col min="103" max="103" width="11.42578125" customWidth="1"/>
    <col min="104" max="104" width="16.85546875" customWidth="1"/>
    <col min="114" max="114" width="11.42578125" customWidth="1"/>
    <col min="115" max="115" width="18.5703125" customWidth="1"/>
    <col min="128" max="128" width="11.42578125" customWidth="1"/>
    <col min="132" max="135" width="11.42578125" customWidth="1"/>
    <col min="137" max="137" width="18.42578125" customWidth="1"/>
    <col min="138" max="138" width="15.85546875" customWidth="1"/>
    <col min="139" max="141" width="11.42578125" customWidth="1"/>
    <col min="142" max="142" width="23.85546875" customWidth="1"/>
    <col min="153" max="153" width="12.28515625" customWidth="1"/>
    <col min="154" max="154" width="11.42578125" customWidth="1"/>
    <col min="164" max="164" width="13" customWidth="1"/>
    <col min="165" max="165" width="17.85546875" customWidth="1"/>
    <col min="170" max="170" width="11.42578125" customWidth="1"/>
    <col min="175" max="176" width="11.42578125" customWidth="1"/>
    <col min="184" max="184" width="11.42578125" customWidth="1"/>
    <col min="196" max="197" width="11.42578125" customWidth="1"/>
    <col min="200" max="200" width="11.42578125" customWidth="1"/>
    <col min="202" max="202" width="11.42578125" customWidth="1"/>
    <col min="204" max="204" width="16" customWidth="1"/>
    <col min="207" max="207" width="11.42578125" customWidth="1"/>
  </cols>
  <sheetData>
    <row r="1" spans="1:211" x14ac:dyDescent="0.25">
      <c r="A1" s="3" t="s">
        <v>40</v>
      </c>
      <c r="B1" s="3" t="s">
        <v>39</v>
      </c>
      <c r="C1" s="3" t="s">
        <v>103</v>
      </c>
      <c r="D1" s="3" t="s">
        <v>75</v>
      </c>
      <c r="E1" s="3" t="s">
        <v>78</v>
      </c>
      <c r="F1" s="3" t="s">
        <v>72</v>
      </c>
      <c r="G1" s="3" t="s">
        <v>134</v>
      </c>
      <c r="H1" s="3" t="s">
        <v>162</v>
      </c>
      <c r="I1" s="3" t="s">
        <v>163</v>
      </c>
      <c r="J1" s="3" t="s">
        <v>164</v>
      </c>
      <c r="K1" s="3" t="s">
        <v>165</v>
      </c>
      <c r="L1" s="3" t="s">
        <v>166</v>
      </c>
      <c r="M1" s="3" t="s">
        <v>167</v>
      </c>
      <c r="N1" s="3" t="s">
        <v>168</v>
      </c>
      <c r="O1" s="3" t="s">
        <v>169</v>
      </c>
      <c r="P1" s="3" t="s">
        <v>170</v>
      </c>
      <c r="Q1" s="3" t="s">
        <v>171</v>
      </c>
      <c r="R1" s="3" t="s">
        <v>172</v>
      </c>
      <c r="S1" s="3" t="s">
        <v>173</v>
      </c>
      <c r="T1" s="3" t="s">
        <v>174</v>
      </c>
      <c r="U1" s="3" t="s">
        <v>175</v>
      </c>
      <c r="V1" s="3" t="s">
        <v>176</v>
      </c>
      <c r="W1" s="3" t="s">
        <v>177</v>
      </c>
      <c r="X1" s="3" t="s">
        <v>178</v>
      </c>
      <c r="Y1" s="3" t="s">
        <v>179</v>
      </c>
      <c r="Z1" s="3" t="s">
        <v>180</v>
      </c>
      <c r="AA1" s="3" t="s">
        <v>181</v>
      </c>
      <c r="AB1" s="3" t="s">
        <v>182</v>
      </c>
      <c r="AC1" s="3" t="s">
        <v>183</v>
      </c>
      <c r="AD1" s="3" t="s">
        <v>184</v>
      </c>
      <c r="AE1" s="3" t="s">
        <v>185</v>
      </c>
      <c r="AF1" s="3" t="s">
        <v>186</v>
      </c>
      <c r="AG1" s="3" t="s">
        <v>187</v>
      </c>
      <c r="AH1" s="3" t="s">
        <v>188</v>
      </c>
      <c r="AI1" s="3" t="s">
        <v>189</v>
      </c>
      <c r="AJ1" s="3" t="s">
        <v>190</v>
      </c>
      <c r="AK1" s="3" t="s">
        <v>191</v>
      </c>
      <c r="AL1" s="3" t="s">
        <v>192</v>
      </c>
      <c r="AM1" s="3" t="s">
        <v>193</v>
      </c>
      <c r="AN1" s="3" t="s">
        <v>194</v>
      </c>
      <c r="AO1" s="3" t="s">
        <v>195</v>
      </c>
      <c r="AP1" s="3" t="s">
        <v>196</v>
      </c>
      <c r="AQ1" s="3" t="s">
        <v>197</v>
      </c>
      <c r="AR1" s="3" t="s">
        <v>198</v>
      </c>
      <c r="AS1" s="3" t="s">
        <v>199</v>
      </c>
      <c r="AT1" s="3" t="s">
        <v>200</v>
      </c>
      <c r="AU1" s="3" t="s">
        <v>201</v>
      </c>
      <c r="AV1" s="3" t="s">
        <v>202</v>
      </c>
      <c r="AW1" s="3" t="s">
        <v>203</v>
      </c>
      <c r="AX1" s="3" t="s">
        <v>204</v>
      </c>
      <c r="AY1" s="3" t="s">
        <v>205</v>
      </c>
      <c r="AZ1" s="3" t="s">
        <v>206</v>
      </c>
      <c r="BA1" s="3" t="s">
        <v>207</v>
      </c>
      <c r="BB1" s="3" t="s">
        <v>208</v>
      </c>
      <c r="BC1" s="3" t="s">
        <v>209</v>
      </c>
      <c r="BD1" s="3" t="s">
        <v>210</v>
      </c>
      <c r="BE1" s="3" t="s">
        <v>211</v>
      </c>
      <c r="BF1" s="3" t="s">
        <v>212</v>
      </c>
      <c r="BG1" s="3" t="s">
        <v>213</v>
      </c>
      <c r="BH1" s="3" t="s">
        <v>214</v>
      </c>
      <c r="BI1" s="3" t="s">
        <v>215</v>
      </c>
      <c r="BJ1" s="3" t="s">
        <v>216</v>
      </c>
      <c r="BK1" s="3" t="s">
        <v>217</v>
      </c>
      <c r="BL1" s="3" t="s">
        <v>218</v>
      </c>
      <c r="BM1" s="3" t="s">
        <v>219</v>
      </c>
      <c r="BN1" s="3" t="s">
        <v>220</v>
      </c>
      <c r="BO1" s="3" t="s">
        <v>221</v>
      </c>
      <c r="BP1" s="3" t="s">
        <v>222</v>
      </c>
      <c r="BQ1" s="3" t="s">
        <v>223</v>
      </c>
      <c r="BR1" s="3" t="s">
        <v>224</v>
      </c>
      <c r="BS1" s="3" t="s">
        <v>225</v>
      </c>
      <c r="BT1" s="3" t="s">
        <v>226</v>
      </c>
      <c r="BU1" s="3" t="s">
        <v>227</v>
      </c>
      <c r="BV1" s="3" t="s">
        <v>228</v>
      </c>
      <c r="BW1" s="3" t="s">
        <v>229</v>
      </c>
      <c r="BX1" s="3" t="s">
        <v>230</v>
      </c>
      <c r="BY1" s="3" t="s">
        <v>231</v>
      </c>
      <c r="BZ1" s="3" t="s">
        <v>232</v>
      </c>
      <c r="CA1" s="3" t="s">
        <v>233</v>
      </c>
      <c r="CB1" s="3" t="s">
        <v>234</v>
      </c>
      <c r="CC1" s="3" t="s">
        <v>235</v>
      </c>
      <c r="CD1" s="3" t="s">
        <v>236</v>
      </c>
      <c r="CE1" s="3" t="s">
        <v>237</v>
      </c>
      <c r="CF1" s="3" t="s">
        <v>238</v>
      </c>
      <c r="CG1" s="3" t="s">
        <v>239</v>
      </c>
      <c r="CH1" s="3" t="s">
        <v>240</v>
      </c>
      <c r="CI1" s="3" t="s">
        <v>241</v>
      </c>
      <c r="CJ1" s="3" t="s">
        <v>242</v>
      </c>
      <c r="CK1" s="3" t="s">
        <v>243</v>
      </c>
      <c r="CL1" s="3" t="s">
        <v>244</v>
      </c>
      <c r="CM1" s="3" t="s">
        <v>245</v>
      </c>
      <c r="CN1" s="3" t="s">
        <v>246</v>
      </c>
      <c r="CO1" s="3" t="s">
        <v>247</v>
      </c>
      <c r="CP1" s="3" t="s">
        <v>248</v>
      </c>
      <c r="CQ1" s="3" t="s">
        <v>249</v>
      </c>
      <c r="CR1" s="3" t="s">
        <v>250</v>
      </c>
      <c r="CS1" s="3" t="s">
        <v>251</v>
      </c>
      <c r="CT1" s="3" t="s">
        <v>252</v>
      </c>
      <c r="CU1" s="3" t="s">
        <v>253</v>
      </c>
      <c r="CV1" s="3" t="s">
        <v>254</v>
      </c>
      <c r="CW1" s="3" t="s">
        <v>255</v>
      </c>
      <c r="CX1" s="3" t="s">
        <v>256</v>
      </c>
      <c r="CY1" s="3" t="s">
        <v>257</v>
      </c>
      <c r="CZ1" s="3" t="s">
        <v>258</v>
      </c>
      <c r="DA1" s="3" t="s">
        <v>259</v>
      </c>
      <c r="DB1" s="3" t="s">
        <v>260</v>
      </c>
      <c r="DC1" s="3" t="s">
        <v>261</v>
      </c>
      <c r="DD1" s="3" t="s">
        <v>262</v>
      </c>
      <c r="DE1" s="3" t="s">
        <v>263</v>
      </c>
      <c r="DF1" s="3" t="s">
        <v>264</v>
      </c>
      <c r="DG1" s="3" t="s">
        <v>265</v>
      </c>
      <c r="DH1" s="3" t="s">
        <v>266</v>
      </c>
      <c r="DI1" s="3" t="s">
        <v>267</v>
      </c>
      <c r="DJ1" s="3" t="s">
        <v>268</v>
      </c>
      <c r="DK1" s="3" t="s">
        <v>269</v>
      </c>
      <c r="DL1" s="3" t="s">
        <v>270</v>
      </c>
      <c r="DM1" s="3" t="s">
        <v>271</v>
      </c>
      <c r="DN1" s="3" t="s">
        <v>272</v>
      </c>
      <c r="DO1" s="3" t="s">
        <v>273</v>
      </c>
      <c r="DP1" s="3" t="s">
        <v>274</v>
      </c>
      <c r="DQ1" s="3" t="s">
        <v>275</v>
      </c>
      <c r="DR1" s="3" t="s">
        <v>276</v>
      </c>
      <c r="DS1" s="3" t="s">
        <v>277</v>
      </c>
      <c r="DT1" s="3" t="s">
        <v>278</v>
      </c>
      <c r="DU1" s="3" t="s">
        <v>279</v>
      </c>
      <c r="DV1" s="3" t="s">
        <v>280</v>
      </c>
      <c r="DW1" s="3" t="s">
        <v>281</v>
      </c>
      <c r="DX1" s="3" t="s">
        <v>282</v>
      </c>
      <c r="DY1" s="3" t="s">
        <v>283</v>
      </c>
      <c r="DZ1" s="3" t="s">
        <v>284</v>
      </c>
      <c r="EA1" s="3" t="s">
        <v>285</v>
      </c>
      <c r="EB1" s="3" t="s">
        <v>286</v>
      </c>
      <c r="EC1" s="3" t="s">
        <v>287</v>
      </c>
      <c r="ED1" s="3" t="s">
        <v>288</v>
      </c>
      <c r="EE1" s="3" t="s">
        <v>289</v>
      </c>
      <c r="EF1" s="3" t="s">
        <v>290</v>
      </c>
      <c r="EG1" s="3" t="s">
        <v>291</v>
      </c>
      <c r="EH1" s="3" t="s">
        <v>292</v>
      </c>
      <c r="EI1" s="3" t="s">
        <v>293</v>
      </c>
      <c r="EJ1" s="3" t="s">
        <v>294</v>
      </c>
      <c r="EK1" s="3" t="s">
        <v>295</v>
      </c>
      <c r="EL1" s="3" t="s">
        <v>296</v>
      </c>
      <c r="EM1" s="3" t="s">
        <v>297</v>
      </c>
      <c r="EN1" s="3" t="s">
        <v>298</v>
      </c>
      <c r="EO1" s="3" t="s">
        <v>299</v>
      </c>
      <c r="EP1" s="3" t="s">
        <v>300</v>
      </c>
      <c r="EQ1" s="3" t="s">
        <v>301</v>
      </c>
      <c r="ER1" s="3" t="s">
        <v>302</v>
      </c>
      <c r="ES1" s="3" t="s">
        <v>303</v>
      </c>
      <c r="ET1" s="3" t="s">
        <v>304</v>
      </c>
      <c r="EU1" s="3" t="s">
        <v>305</v>
      </c>
      <c r="EV1" s="3" t="s">
        <v>306</v>
      </c>
      <c r="EW1" s="3" t="s">
        <v>307</v>
      </c>
      <c r="EX1" s="3" t="s">
        <v>308</v>
      </c>
      <c r="EY1" s="3" t="s">
        <v>309</v>
      </c>
      <c r="EZ1" s="3" t="s">
        <v>310</v>
      </c>
      <c r="FA1" s="3" t="s">
        <v>311</v>
      </c>
      <c r="FB1" s="3" t="s">
        <v>312</v>
      </c>
      <c r="FC1" s="3" t="s">
        <v>313</v>
      </c>
      <c r="FD1" s="3" t="s">
        <v>314</v>
      </c>
      <c r="FE1" s="3" t="s">
        <v>315</v>
      </c>
      <c r="FF1" s="3" t="s">
        <v>316</v>
      </c>
      <c r="FG1" s="3" t="s">
        <v>317</v>
      </c>
      <c r="FH1" s="3" t="s">
        <v>318</v>
      </c>
      <c r="FI1" s="3" t="s">
        <v>319</v>
      </c>
      <c r="FJ1" s="3" t="s">
        <v>320</v>
      </c>
      <c r="FK1" s="3" t="s">
        <v>321</v>
      </c>
      <c r="FL1" s="3" t="s">
        <v>322</v>
      </c>
      <c r="FM1" s="3" t="s">
        <v>323</v>
      </c>
      <c r="FN1" s="3" t="s">
        <v>324</v>
      </c>
      <c r="FO1" s="3" t="s">
        <v>325</v>
      </c>
      <c r="FP1" s="3" t="s">
        <v>326</v>
      </c>
      <c r="FQ1" s="3" t="s">
        <v>327</v>
      </c>
      <c r="FR1" s="3" t="s">
        <v>328</v>
      </c>
      <c r="FS1" s="3" t="s">
        <v>329</v>
      </c>
      <c r="FT1" s="3" t="s">
        <v>330</v>
      </c>
      <c r="FU1" s="3" t="s">
        <v>331</v>
      </c>
      <c r="FV1" s="3" t="s">
        <v>332</v>
      </c>
      <c r="FW1" s="3" t="s">
        <v>333</v>
      </c>
      <c r="FX1" s="3" t="s">
        <v>334</v>
      </c>
      <c r="FY1" s="3" t="s">
        <v>335</v>
      </c>
      <c r="FZ1" s="3" t="s">
        <v>336</v>
      </c>
      <c r="GA1" s="3" t="s">
        <v>337</v>
      </c>
      <c r="GB1" s="3" t="s">
        <v>338</v>
      </c>
      <c r="GC1" s="3" t="s">
        <v>339</v>
      </c>
      <c r="GD1" s="3" t="s">
        <v>340</v>
      </c>
      <c r="GE1" s="3" t="s">
        <v>341</v>
      </c>
      <c r="GF1" s="3" t="s">
        <v>342</v>
      </c>
      <c r="GG1" s="3" t="s">
        <v>343</v>
      </c>
      <c r="GH1" s="3" t="s">
        <v>344</v>
      </c>
      <c r="GI1" s="3" t="s">
        <v>345</v>
      </c>
      <c r="GJ1" s="3" t="s">
        <v>346</v>
      </c>
      <c r="GK1" s="3" t="s">
        <v>347</v>
      </c>
      <c r="GL1" s="3" t="s">
        <v>348</v>
      </c>
      <c r="GM1" s="3" t="s">
        <v>349</v>
      </c>
      <c r="GN1" s="3" t="s">
        <v>350</v>
      </c>
      <c r="GO1" s="3" t="s">
        <v>351</v>
      </c>
      <c r="GP1" s="3" t="s">
        <v>352</v>
      </c>
      <c r="GQ1" s="3" t="s">
        <v>353</v>
      </c>
      <c r="GR1" s="3" t="s">
        <v>354</v>
      </c>
      <c r="GS1" s="3" t="s">
        <v>355</v>
      </c>
      <c r="GT1" s="3" t="s">
        <v>356</v>
      </c>
      <c r="GU1" s="3" t="s">
        <v>357</v>
      </c>
      <c r="GV1" s="3" t="s">
        <v>358</v>
      </c>
      <c r="GW1" s="3" t="s">
        <v>359</v>
      </c>
      <c r="GX1" s="3" t="s">
        <v>360</v>
      </c>
      <c r="GY1" s="3" t="s">
        <v>361</v>
      </c>
      <c r="GZ1" s="3" t="s">
        <v>362</v>
      </c>
      <c r="HA1" s="3" t="s">
        <v>363</v>
      </c>
      <c r="HB1" s="3" t="s">
        <v>364</v>
      </c>
      <c r="HC1" s="3" t="s">
        <v>365</v>
      </c>
    </row>
    <row r="2" spans="1:211" s="8" customFormat="1" ht="15" hidden="1" customHeight="1" x14ac:dyDescent="0.25">
      <c r="A2" s="7" t="s">
        <v>94</v>
      </c>
      <c r="B2" s="7" t="s">
        <v>95</v>
      </c>
      <c r="C2" s="8" t="s">
        <v>0</v>
      </c>
      <c r="D2" s="7" t="s">
        <v>76</v>
      </c>
      <c r="E2" s="7">
        <v>1</v>
      </c>
      <c r="F2" s="7"/>
      <c r="G2" s="7"/>
      <c r="H2" s="8" t="str">
        <f>VC!C54</f>
        <v>aac(6')-Ic</v>
      </c>
      <c r="I2" s="8">
        <f>VC!D54</f>
        <v>0</v>
      </c>
      <c r="J2" s="8">
        <f>VC!E54</f>
        <v>0</v>
      </c>
      <c r="K2" s="8">
        <f>VC!F54</f>
        <v>0</v>
      </c>
      <c r="L2" s="8">
        <f>VC!G54</f>
        <v>0</v>
      </c>
      <c r="M2" s="8">
        <f>VC!H54</f>
        <v>0</v>
      </c>
      <c r="N2" s="8" t="str">
        <f>VC!I54</f>
        <v>aac(3)-Ib</v>
      </c>
      <c r="O2" s="8">
        <f>VC!J54</f>
        <v>0</v>
      </c>
      <c r="P2" s="8">
        <f>VC!K54</f>
        <v>0</v>
      </c>
      <c r="Q2" s="8">
        <f>VC!L54</f>
        <v>0</v>
      </c>
      <c r="R2" s="8">
        <f>VC!M54</f>
        <v>0</v>
      </c>
      <c r="S2" s="8">
        <f>VC!N54</f>
        <v>0</v>
      </c>
      <c r="T2" s="8">
        <f>VC!O54</f>
        <v>0</v>
      </c>
      <c r="U2" s="8">
        <f>VC!P54</f>
        <v>0</v>
      </c>
      <c r="V2" s="8">
        <f>VC!Q54</f>
        <v>0</v>
      </c>
      <c r="W2" s="8">
        <f>VC!R54</f>
        <v>0</v>
      </c>
      <c r="X2" s="8">
        <f>VC!S54</f>
        <v>0</v>
      </c>
      <c r="Y2" s="8">
        <f>VC!T54</f>
        <v>0</v>
      </c>
      <c r="Z2" s="8">
        <f>VC!U54</f>
        <v>0</v>
      </c>
      <c r="AA2" s="8">
        <f>VC!V54</f>
        <v>0</v>
      </c>
      <c r="AB2" s="8">
        <f>VC!W54</f>
        <v>0</v>
      </c>
      <c r="AC2" s="8">
        <f>VC!X54</f>
        <v>0</v>
      </c>
      <c r="AD2" s="8">
        <f>VC!Y54</f>
        <v>0</v>
      </c>
      <c r="AE2" s="8">
        <f>VC!Z54</f>
        <v>0</v>
      </c>
      <c r="AF2" s="8">
        <f>VC!AA54</f>
        <v>0</v>
      </c>
      <c r="AG2" s="8">
        <f>VC!AB54</f>
        <v>0</v>
      </c>
      <c r="AH2" s="8">
        <f>VC!AC54</f>
        <v>0</v>
      </c>
      <c r="AI2" s="8">
        <f>VC!AD54</f>
        <v>0</v>
      </c>
      <c r="AJ2" s="8">
        <f>VC!AE54</f>
        <v>0</v>
      </c>
      <c r="AK2" s="8">
        <f>VC!AF54</f>
        <v>0</v>
      </c>
      <c r="AL2" s="8">
        <f>VC!AG54</f>
        <v>0</v>
      </c>
      <c r="AM2" s="8">
        <f>VC!AH54</f>
        <v>0</v>
      </c>
      <c r="AN2" s="8">
        <f>VC!AI54</f>
        <v>0</v>
      </c>
      <c r="AO2" s="8">
        <f>VC!AJ54</f>
        <v>0</v>
      </c>
      <c r="AP2" s="8">
        <f>VC!AK54</f>
        <v>0</v>
      </c>
      <c r="AQ2" s="8">
        <f>VC!AL54</f>
        <v>0</v>
      </c>
      <c r="AR2" s="8">
        <f>VC!AM54</f>
        <v>0</v>
      </c>
      <c r="AS2" s="8">
        <f>VC!AN54</f>
        <v>0</v>
      </c>
      <c r="AT2" s="8">
        <f>VC!AO54</f>
        <v>0</v>
      </c>
      <c r="AU2" s="8">
        <f>VC!AP54</f>
        <v>0</v>
      </c>
      <c r="AV2" s="8">
        <f>VC!AQ54</f>
        <v>0</v>
      </c>
      <c r="AW2" s="8">
        <f>VC!AR54</f>
        <v>0</v>
      </c>
      <c r="AX2" s="8">
        <f>VC!AS54</f>
        <v>0</v>
      </c>
      <c r="AY2" s="8">
        <f>VC!AT54</f>
        <v>0</v>
      </c>
      <c r="AZ2" s="8">
        <f>VC!AU54</f>
        <v>0</v>
      </c>
      <c r="BA2" s="8" t="str">
        <f>VC!AV54</f>
        <v>aadB</v>
      </c>
      <c r="BB2" s="8">
        <f>VC!AW54</f>
        <v>0</v>
      </c>
      <c r="BC2" s="8" t="str">
        <f>VC!AX54</f>
        <v>aadB</v>
      </c>
      <c r="BD2" s="8">
        <f>VC!AY54</f>
        <v>0</v>
      </c>
      <c r="BE2" s="8">
        <f>VC!AZ54</f>
        <v>0</v>
      </c>
      <c r="BF2" s="8">
        <f>VC!BA54</f>
        <v>0</v>
      </c>
      <c r="BG2" s="8">
        <f>VC!BB54</f>
        <v>0</v>
      </c>
      <c r="BH2" s="8">
        <f>VC!BC54</f>
        <v>0</v>
      </c>
      <c r="BI2" s="8" t="str">
        <f>VC!BD54</f>
        <v>aadB</v>
      </c>
      <c r="BJ2" s="8" t="str">
        <f>VC!BE54</f>
        <v>aacA4</v>
      </c>
      <c r="BK2" s="8">
        <f>VC!BF54</f>
        <v>0</v>
      </c>
      <c r="BL2" s="8">
        <f>VC!BG54</f>
        <v>0</v>
      </c>
      <c r="BM2" s="8">
        <f>VC!BH54</f>
        <v>0</v>
      </c>
      <c r="BN2" s="8">
        <f>VC!BI54</f>
        <v>0</v>
      </c>
      <c r="BO2" s="8">
        <f>VC!BJ54</f>
        <v>0</v>
      </c>
      <c r="BP2" s="8">
        <f>VC!BK54</f>
        <v>0</v>
      </c>
      <c r="BQ2" s="8">
        <f>VC!BL54</f>
        <v>0</v>
      </c>
      <c r="BR2" s="8" t="str">
        <f>VC!BM54</f>
        <v>aacA4</v>
      </c>
      <c r="BS2" s="8" t="str">
        <f>VC!BN54</f>
        <v>aadB</v>
      </c>
      <c r="BT2" s="8" t="str">
        <f>VC!BO54</f>
        <v>aac(3)-I</v>
      </c>
      <c r="BU2" s="8">
        <f>VC!BP54</f>
        <v>0</v>
      </c>
      <c r="BV2" s="8">
        <f>VC!BQ54</f>
        <v>0</v>
      </c>
      <c r="BW2" s="8">
        <f>VC!BR54</f>
        <v>0</v>
      </c>
      <c r="BX2" s="8">
        <f>VC!BS54</f>
        <v>0</v>
      </c>
      <c r="BY2" s="8">
        <f>VC!BT54</f>
        <v>0</v>
      </c>
      <c r="BZ2" s="8">
        <f>VC!BU54</f>
        <v>0</v>
      </c>
      <c r="CA2" s="8">
        <f>VC!BV54</f>
        <v>0</v>
      </c>
      <c r="CB2" s="8">
        <f>VC!BW54</f>
        <v>0</v>
      </c>
      <c r="CC2" s="8">
        <f>VC!BX54</f>
        <v>0</v>
      </c>
      <c r="CD2" s="8" t="str">
        <f>VC!BY54</f>
        <v>aadB</v>
      </c>
      <c r="CE2" s="8">
        <f>VC!BZ54</f>
        <v>0</v>
      </c>
      <c r="CF2" s="8">
        <f>VC!CA54</f>
        <v>0</v>
      </c>
      <c r="CG2" s="8">
        <f>VC!CB54</f>
        <v>0</v>
      </c>
      <c r="CH2" s="8">
        <f>VC!CC54</f>
        <v>0</v>
      </c>
      <c r="CI2" s="8">
        <f>VC!CD54</f>
        <v>0</v>
      </c>
      <c r="CJ2" s="8" t="str">
        <f>VC!CE54</f>
        <v>aadB</v>
      </c>
      <c r="CK2" s="8" t="str">
        <f>VC!CF54</f>
        <v>aadB</v>
      </c>
      <c r="CL2" s="8">
        <f>VC!CG54</f>
        <v>0</v>
      </c>
      <c r="CM2" s="8" t="str">
        <f>VC!CH54</f>
        <v>aac(3)-I, aph(3')-XV, aadA1</v>
      </c>
      <c r="CN2" s="8">
        <f>VC!CI54</f>
        <v>0</v>
      </c>
      <c r="CO2" s="8">
        <f>VC!CJ54</f>
        <v>0</v>
      </c>
      <c r="CP2" s="8" t="str">
        <f>VC!CK54</f>
        <v>aadB</v>
      </c>
      <c r="CQ2" s="8" t="str">
        <f>VC!CL54</f>
        <v>aac(3)-I, aadB</v>
      </c>
      <c r="CR2" s="8">
        <f>VC!CM54</f>
        <v>0</v>
      </c>
      <c r="CS2" s="8">
        <f>VC!CN54</f>
        <v>0</v>
      </c>
      <c r="CT2" s="8">
        <f>VC!CO54</f>
        <v>0</v>
      </c>
      <c r="CU2" s="8">
        <f>VC!CP54</f>
        <v>0</v>
      </c>
      <c r="CV2" s="8">
        <f>VC!CQ54</f>
        <v>0</v>
      </c>
      <c r="CW2" s="8">
        <f>VC!CR54</f>
        <v>0</v>
      </c>
      <c r="CX2" s="8">
        <f>VC!CS54</f>
        <v>0</v>
      </c>
      <c r="CY2" s="8">
        <f>VC!CT54</f>
        <v>0</v>
      </c>
      <c r="CZ2" s="8" t="str">
        <f>VC!CU54</f>
        <v>aadB4, aadA6</v>
      </c>
      <c r="DA2" s="8">
        <f>VC!CV54</f>
        <v>0</v>
      </c>
      <c r="DB2" s="8" t="str">
        <f>VC!CW54</f>
        <v>aacA4</v>
      </c>
      <c r="DC2" s="8">
        <f>VC!CX54</f>
        <v>0</v>
      </c>
      <c r="DD2" s="8">
        <f>VC!CY54</f>
        <v>0</v>
      </c>
      <c r="DE2" s="8">
        <f>VC!CZ54</f>
        <v>0</v>
      </c>
      <c r="DF2" s="8">
        <f>VC!DA54</f>
        <v>0</v>
      </c>
      <c r="DG2" s="8">
        <f>VC!DB54</f>
        <v>0</v>
      </c>
      <c r="DH2" s="8">
        <f>VC!DC54</f>
        <v>0</v>
      </c>
      <c r="DI2" s="8">
        <f>VC!DD54</f>
        <v>0</v>
      </c>
      <c r="DJ2" s="8" t="str">
        <f>VC!DE54</f>
        <v>aac(3)-Ia, aadA1, aadA6</v>
      </c>
      <c r="DK2" s="8" t="str">
        <f>VC!DF54</f>
        <v>aadB</v>
      </c>
      <c r="DL2" s="8">
        <f>VC!DG54</f>
        <v>0</v>
      </c>
      <c r="DM2" s="8">
        <f>VC!DH54</f>
        <v>0</v>
      </c>
      <c r="DN2" s="8">
        <f>VC!DI54</f>
        <v>0</v>
      </c>
      <c r="DO2" s="8">
        <f>VC!DJ54</f>
        <v>0</v>
      </c>
      <c r="DP2" s="8">
        <f>VC!DK54</f>
        <v>0</v>
      </c>
      <c r="DQ2" s="8">
        <f>VC!DL54</f>
        <v>0</v>
      </c>
      <c r="DR2" s="8">
        <f>VC!DM54</f>
        <v>0</v>
      </c>
      <c r="DS2" s="8">
        <f>VC!DN54</f>
        <v>0</v>
      </c>
      <c r="DT2" s="8">
        <f>VC!DO54</f>
        <v>0</v>
      </c>
      <c r="DU2" s="8" t="str">
        <f>VC!DP54</f>
        <v>aadB</v>
      </c>
      <c r="DV2" s="8">
        <f>VC!DQ54</f>
        <v>0</v>
      </c>
      <c r="DW2" s="8" t="str">
        <f>VC!DR54</f>
        <v>aadB</v>
      </c>
      <c r="DX2" s="8">
        <f>VC!DS54</f>
        <v>0</v>
      </c>
      <c r="DY2" s="8">
        <f>VC!DT54</f>
        <v>0</v>
      </c>
      <c r="DZ2" s="8">
        <f>VC!DU54</f>
        <v>0</v>
      </c>
      <c r="EA2" s="8" t="str">
        <f>VC!DV54</f>
        <v>aac(3)-Ia, aph(3')-Via, aadB</v>
      </c>
      <c r="EB2" s="8">
        <f>VC!DW54</f>
        <v>0</v>
      </c>
      <c r="EC2" s="8">
        <f>VC!DX54</f>
        <v>0</v>
      </c>
      <c r="ED2" s="8">
        <f>VC!DY54</f>
        <v>0</v>
      </c>
      <c r="EE2" s="8" t="str">
        <f>VC!DZ54</f>
        <v>aadB, aph(3')-VIa, aadA13, aacA4</v>
      </c>
      <c r="EF2" s="8">
        <f>VC!EA54</f>
        <v>0</v>
      </c>
      <c r="EG2" s="8">
        <f>VC!EB54</f>
        <v>0</v>
      </c>
      <c r="EH2" s="8">
        <f>VC!EC54</f>
        <v>0</v>
      </c>
      <c r="EI2" s="8">
        <f>VC!ED54</f>
        <v>0</v>
      </c>
      <c r="EJ2" s="8">
        <f>VC!EE54</f>
        <v>0</v>
      </c>
      <c r="EK2" s="8">
        <f>VC!EF54</f>
        <v>0</v>
      </c>
      <c r="EL2" s="8">
        <f>VC!EG54</f>
        <v>0</v>
      </c>
      <c r="EM2" s="8">
        <f>VC!EH54</f>
        <v>0</v>
      </c>
      <c r="EN2" s="8">
        <f>VC!EI54</f>
        <v>0</v>
      </c>
      <c r="EO2" s="8">
        <f>VC!EJ54</f>
        <v>0</v>
      </c>
      <c r="EP2" s="8">
        <f>VC!EK54</f>
        <v>0</v>
      </c>
      <c r="EQ2" s="8">
        <f>VC!EL54</f>
        <v>0</v>
      </c>
      <c r="ER2" s="8">
        <f>VC!EM54</f>
        <v>0</v>
      </c>
      <c r="ES2" s="8">
        <f>VC!EN54</f>
        <v>0</v>
      </c>
      <c r="ET2" s="8">
        <f>VC!EO54</f>
        <v>0</v>
      </c>
      <c r="EU2" s="8">
        <f>VC!EP54</f>
        <v>0</v>
      </c>
      <c r="EV2" s="8">
        <f>VC!EQ54</f>
        <v>0</v>
      </c>
      <c r="EW2" s="8">
        <f>VC!ER54</f>
        <v>0</v>
      </c>
      <c r="EX2" s="8">
        <f>VC!ES54</f>
        <v>0</v>
      </c>
      <c r="EY2" s="8">
        <f>VC!ET54</f>
        <v>0</v>
      </c>
      <c r="EZ2" s="8">
        <f>VC!EU54</f>
        <v>0</v>
      </c>
      <c r="FA2" s="8" t="str">
        <f>VC!EV54</f>
        <v>aadA6</v>
      </c>
      <c r="FB2" s="8">
        <f>VC!EW54</f>
        <v>0</v>
      </c>
      <c r="FC2" s="8">
        <f>VC!EX54</f>
        <v>0</v>
      </c>
      <c r="FD2" s="8">
        <f>VC!EY54</f>
        <v>0</v>
      </c>
      <c r="FE2" s="8" t="str">
        <f>VC!EZ54</f>
        <v>aacA4</v>
      </c>
      <c r="FF2" s="8">
        <f>VC!FA54</f>
        <v>0</v>
      </c>
      <c r="FG2" s="8">
        <f>VC!FB54</f>
        <v>0</v>
      </c>
      <c r="FH2" s="8">
        <f>VC!FC54</f>
        <v>0</v>
      </c>
      <c r="FI2" s="8" t="str">
        <f>VC!FD54</f>
        <v>aacA4, aadA1</v>
      </c>
      <c r="FJ2" s="8">
        <f>VC!FE54</f>
        <v>0</v>
      </c>
      <c r="FK2" s="8">
        <f>VC!FF54</f>
        <v>0</v>
      </c>
      <c r="FL2" s="8" t="str">
        <f>VC!FG54</f>
        <v>aacA4, aadB</v>
      </c>
      <c r="FM2" s="8">
        <f>VC!FH54</f>
        <v>0</v>
      </c>
      <c r="FN2" s="8">
        <f>VC!FI54</f>
        <v>0</v>
      </c>
      <c r="FO2" s="8">
        <f>VC!FJ54</f>
        <v>0</v>
      </c>
      <c r="FP2" s="8">
        <f>VC!FK54</f>
        <v>0</v>
      </c>
      <c r="FQ2" s="8" t="str">
        <f>VC!FL54</f>
        <v>aadB</v>
      </c>
      <c r="FR2" s="8">
        <f>VC!FM54</f>
        <v>0</v>
      </c>
      <c r="FS2" s="8">
        <f>VC!FN54</f>
        <v>0</v>
      </c>
      <c r="FT2" s="8">
        <f>VC!FO54</f>
        <v>0</v>
      </c>
      <c r="FU2" s="8" t="str">
        <f>VC!FP54</f>
        <v>aacA4, aadA1, aadA6</v>
      </c>
      <c r="FV2" s="8">
        <f>VC!FQ54</f>
        <v>0</v>
      </c>
      <c r="FW2" s="8">
        <f>VC!FR54</f>
        <v>0</v>
      </c>
      <c r="FX2" s="8">
        <f>VC!FS54</f>
        <v>0</v>
      </c>
      <c r="FY2" s="8">
        <f>VC!FT54</f>
        <v>0</v>
      </c>
      <c r="FZ2" s="8">
        <f>VC!FU54</f>
        <v>0</v>
      </c>
      <c r="GA2" s="8" t="str">
        <f>VC!FV54</f>
        <v>aadB, aacA4</v>
      </c>
      <c r="GB2" s="8">
        <f>VC!FW54</f>
        <v>0</v>
      </c>
      <c r="GC2" s="8">
        <f>VC!FX54</f>
        <v>0</v>
      </c>
      <c r="GD2" s="8">
        <f>VC!FY54</f>
        <v>0</v>
      </c>
      <c r="GE2" s="8">
        <f>VC!FZ54</f>
        <v>0</v>
      </c>
      <c r="GF2" s="8">
        <f>VC!GA54</f>
        <v>0</v>
      </c>
      <c r="GG2" s="8">
        <f>VC!GB54</f>
        <v>0</v>
      </c>
      <c r="GH2" s="8">
        <f>VC!GC54</f>
        <v>0</v>
      </c>
      <c r="GI2" s="8">
        <f>VC!GD54</f>
        <v>0</v>
      </c>
      <c r="GJ2" s="8">
        <f>VC!GE54</f>
        <v>0</v>
      </c>
      <c r="GK2" s="8">
        <f>VC!GF54</f>
        <v>0</v>
      </c>
      <c r="GL2" s="8">
        <f>VC!GG54</f>
        <v>0</v>
      </c>
      <c r="GM2" s="8" t="str">
        <f>VC!GH54</f>
        <v>aadB</v>
      </c>
      <c r="GN2" s="8">
        <f>VC!GI54</f>
        <v>0</v>
      </c>
      <c r="GO2" s="8">
        <f>VC!GJ54</f>
        <v>0</v>
      </c>
      <c r="GP2" s="8">
        <f>VC!GK54</f>
        <v>0</v>
      </c>
      <c r="GQ2" s="8">
        <f>VC!GL54</f>
        <v>0</v>
      </c>
      <c r="GR2" s="8">
        <f>VC!GM54</f>
        <v>0</v>
      </c>
      <c r="GS2" s="8">
        <f>VC!GN54</f>
        <v>0</v>
      </c>
      <c r="GT2" s="8">
        <f>VC!GO54</f>
        <v>0</v>
      </c>
      <c r="GU2" s="8">
        <f>VC!GP54</f>
        <v>0</v>
      </c>
      <c r="GV2" s="8">
        <f>VC!GQ54</f>
        <v>0</v>
      </c>
      <c r="GW2" s="8">
        <f>VC!GR54</f>
        <v>0</v>
      </c>
      <c r="GX2" s="8">
        <f>VC!GS54</f>
        <v>0</v>
      </c>
      <c r="GY2" s="8" t="str">
        <f>VC!GT54</f>
        <v>aacA4; aadA2</v>
      </c>
      <c r="GZ2" s="8">
        <f>VC!GU54</f>
        <v>0</v>
      </c>
      <c r="HA2" s="8">
        <f>VC!GV54</f>
        <v>0</v>
      </c>
      <c r="HB2" s="8" t="str">
        <f>VC!GW54</f>
        <v>aadB</v>
      </c>
      <c r="HC2" s="8">
        <f>VC!GX54</f>
        <v>0</v>
      </c>
    </row>
    <row r="3" spans="1:211" s="10" customFormat="1" ht="15" customHeight="1" thickBot="1" x14ac:dyDescent="0.3">
      <c r="A3" s="10" t="s">
        <v>94</v>
      </c>
      <c r="B3" s="10" t="s">
        <v>97</v>
      </c>
      <c r="C3" s="11" t="s">
        <v>1</v>
      </c>
      <c r="D3" s="10" t="s">
        <v>76</v>
      </c>
      <c r="E3" s="10" t="s">
        <v>1147</v>
      </c>
      <c r="H3" s="10">
        <f>VC!C55</f>
        <v>0</v>
      </c>
      <c r="I3" s="10">
        <f>VC!D55</f>
        <v>0</v>
      </c>
      <c r="J3" s="10">
        <f>VC!E55</f>
        <v>0</v>
      </c>
      <c r="K3" s="10">
        <f>VC!F55</f>
        <v>0</v>
      </c>
      <c r="L3" s="10">
        <f>VC!G55</f>
        <v>0</v>
      </c>
      <c r="M3" s="10">
        <f>VC!H55</f>
        <v>0</v>
      </c>
      <c r="N3" s="10">
        <f>VC!I55</f>
        <v>0</v>
      </c>
      <c r="O3" s="10">
        <f>VC!J55</f>
        <v>0</v>
      </c>
      <c r="P3" s="10">
        <f>VC!K55</f>
        <v>0</v>
      </c>
      <c r="Q3" s="10">
        <f>VC!L55</f>
        <v>0</v>
      </c>
      <c r="R3" s="10">
        <f>VC!M55</f>
        <v>0</v>
      </c>
      <c r="S3" s="10">
        <f>VC!N55</f>
        <v>0</v>
      </c>
      <c r="T3" s="10">
        <f>VC!O55</f>
        <v>0</v>
      </c>
      <c r="U3" s="10">
        <f>VC!P55</f>
        <v>0</v>
      </c>
      <c r="V3" s="10">
        <f>VC!Q55</f>
        <v>0</v>
      </c>
      <c r="W3" s="10">
        <f>VC!R55</f>
        <v>0</v>
      </c>
      <c r="X3" s="10">
        <f>VC!S55</f>
        <v>0</v>
      </c>
      <c r="Y3" s="10">
        <f>VC!T55</f>
        <v>0</v>
      </c>
      <c r="Z3" s="10">
        <f>VC!U55</f>
        <v>0</v>
      </c>
      <c r="AA3" s="10">
        <f>VC!V55</f>
        <v>0</v>
      </c>
      <c r="AB3" s="10">
        <f>VC!W55</f>
        <v>0</v>
      </c>
      <c r="AC3" s="10">
        <f>VC!X55</f>
        <v>0</v>
      </c>
      <c r="AD3" s="10">
        <f>VC!Y55</f>
        <v>0</v>
      </c>
      <c r="AE3" s="10">
        <f>VC!Z55</f>
        <v>0</v>
      </c>
      <c r="AF3" s="10">
        <f>VC!AA55</f>
        <v>0</v>
      </c>
      <c r="AG3" s="10">
        <f>VC!AB55</f>
        <v>0</v>
      </c>
      <c r="AH3" s="10">
        <f>VC!AC55</f>
        <v>0</v>
      </c>
      <c r="AI3" s="10">
        <f>VC!AD55</f>
        <v>0</v>
      </c>
      <c r="AJ3" s="10">
        <f>VC!AE55</f>
        <v>0</v>
      </c>
      <c r="AK3" s="10">
        <f>VC!AF55</f>
        <v>0</v>
      </c>
      <c r="AL3" s="10">
        <f>VC!AG55</f>
        <v>0</v>
      </c>
      <c r="AM3" s="10">
        <f>VC!AH55</f>
        <v>0</v>
      </c>
      <c r="AN3" s="10">
        <f>VC!AI55</f>
        <v>0</v>
      </c>
      <c r="AO3" s="10">
        <f>VC!AJ55</f>
        <v>0</v>
      </c>
      <c r="AP3" s="10">
        <f>VC!AK55</f>
        <v>0</v>
      </c>
      <c r="AQ3" s="10">
        <f>VC!AL55</f>
        <v>0</v>
      </c>
      <c r="AR3" s="10">
        <f>VC!AM55</f>
        <v>0</v>
      </c>
      <c r="AS3" s="10">
        <f>VC!AN55</f>
        <v>0</v>
      </c>
      <c r="AT3" s="10">
        <f>VC!AO55</f>
        <v>0</v>
      </c>
      <c r="AU3" s="10">
        <f>VC!AP55</f>
        <v>0</v>
      </c>
      <c r="AV3" s="10">
        <f>VC!AQ55</f>
        <v>0</v>
      </c>
      <c r="AW3" s="10">
        <f>VC!AR55</f>
        <v>0</v>
      </c>
      <c r="AX3" s="10">
        <f>VC!AS55</f>
        <v>0</v>
      </c>
      <c r="AY3" s="10">
        <f>VC!AT55</f>
        <v>0</v>
      </c>
      <c r="AZ3" s="10">
        <f>VC!AU55</f>
        <v>0</v>
      </c>
      <c r="BA3" s="10">
        <f>VC!AV55</f>
        <v>0</v>
      </c>
      <c r="BB3" s="10">
        <f>VC!AW55</f>
        <v>0</v>
      </c>
      <c r="BC3" s="10">
        <f>VC!AX55</f>
        <v>0</v>
      </c>
      <c r="BD3" s="10">
        <f>VC!AY55</f>
        <v>0</v>
      </c>
      <c r="BE3" s="10">
        <f>VC!AZ55</f>
        <v>0</v>
      </c>
      <c r="BF3" s="10">
        <f>VC!BA55</f>
        <v>0</v>
      </c>
      <c r="BG3" s="10">
        <f>VC!BB55</f>
        <v>0</v>
      </c>
      <c r="BH3" s="10">
        <f>VC!BC55</f>
        <v>0</v>
      </c>
      <c r="BI3" s="10">
        <f>VC!BD55</f>
        <v>0</v>
      </c>
      <c r="BJ3" s="10" t="str">
        <f>VC!BE55</f>
        <v>blaOXA-15</v>
      </c>
      <c r="BK3" s="10">
        <f>VC!BF55</f>
        <v>0</v>
      </c>
      <c r="BL3" s="10">
        <f>VC!BG55</f>
        <v>0</v>
      </c>
      <c r="BM3" s="10">
        <f>VC!BH55</f>
        <v>0</v>
      </c>
      <c r="BN3" s="10">
        <f>VC!BI55</f>
        <v>0</v>
      </c>
      <c r="BO3" s="10">
        <f>VC!BJ55</f>
        <v>0</v>
      </c>
      <c r="BP3" s="10">
        <f>VC!BK55</f>
        <v>0</v>
      </c>
      <c r="BQ3" s="10">
        <f>VC!BL55</f>
        <v>0</v>
      </c>
      <c r="BR3" s="10">
        <f>VC!BM55</f>
        <v>0</v>
      </c>
      <c r="BS3" s="10">
        <f>VC!BN55</f>
        <v>0</v>
      </c>
      <c r="BT3" s="10">
        <f>VC!BO55</f>
        <v>0</v>
      </c>
      <c r="BU3" s="10">
        <f>VC!BP55</f>
        <v>0</v>
      </c>
      <c r="BV3" s="10">
        <f>VC!BQ55</f>
        <v>0</v>
      </c>
      <c r="BW3" s="10">
        <f>VC!BR55</f>
        <v>0</v>
      </c>
      <c r="BX3" s="10">
        <f>VC!BS55</f>
        <v>0</v>
      </c>
      <c r="BY3" s="10">
        <f>VC!BT55</f>
        <v>0</v>
      </c>
      <c r="BZ3" s="10">
        <f>VC!BU55</f>
        <v>0</v>
      </c>
      <c r="CA3" s="10">
        <f>VC!BV55</f>
        <v>0</v>
      </c>
      <c r="CB3" s="10">
        <f>VC!BW55</f>
        <v>0</v>
      </c>
      <c r="CC3" s="10">
        <f>VC!BX55</f>
        <v>0</v>
      </c>
      <c r="CD3" s="10">
        <f>VC!BY55</f>
        <v>0</v>
      </c>
      <c r="CE3" s="10">
        <f>VC!BZ55</f>
        <v>0</v>
      </c>
      <c r="CF3" s="10">
        <f>VC!CA55</f>
        <v>0</v>
      </c>
      <c r="CG3" s="10">
        <f>VC!CB55</f>
        <v>0</v>
      </c>
      <c r="CH3" s="10">
        <f>VC!CC55</f>
        <v>0</v>
      </c>
      <c r="CI3" s="10">
        <f>VC!CD55</f>
        <v>0</v>
      </c>
      <c r="CJ3" s="10">
        <f>VC!CE55</f>
        <v>0</v>
      </c>
      <c r="CK3" s="10">
        <f>VC!CF55</f>
        <v>0</v>
      </c>
      <c r="CL3" s="10">
        <f>VC!CG55</f>
        <v>0</v>
      </c>
      <c r="CM3" s="10" t="str">
        <f>VC!CH55</f>
        <v>blaVIM-1</v>
      </c>
      <c r="CN3" s="10">
        <f>VC!CI55</f>
        <v>0</v>
      </c>
      <c r="CO3" s="10">
        <f>VC!CJ55</f>
        <v>0</v>
      </c>
      <c r="CP3" s="10">
        <f>VC!CK55</f>
        <v>0</v>
      </c>
      <c r="CQ3" s="10">
        <f>VC!CL55</f>
        <v>0</v>
      </c>
      <c r="CR3" s="10">
        <f>VC!CM55</f>
        <v>0</v>
      </c>
      <c r="CS3" s="10">
        <f>VC!CN55</f>
        <v>0</v>
      </c>
      <c r="CT3" s="10">
        <f>VC!CO55</f>
        <v>0</v>
      </c>
      <c r="CU3" s="10">
        <f>VC!CP55</f>
        <v>0</v>
      </c>
      <c r="CV3" s="10">
        <f>VC!CQ55</f>
        <v>0</v>
      </c>
      <c r="CW3" s="10">
        <f>VC!CR55</f>
        <v>0</v>
      </c>
      <c r="CX3" s="10">
        <f>VC!CS55</f>
        <v>0</v>
      </c>
      <c r="CY3" s="10">
        <f>VC!CT55</f>
        <v>0</v>
      </c>
      <c r="CZ3" s="10" t="str">
        <f>VC!CU55</f>
        <v>OXA-2</v>
      </c>
      <c r="DA3" s="10">
        <f>VC!CV55</f>
        <v>0</v>
      </c>
      <c r="DB3" s="10">
        <f>VC!CW55</f>
        <v>0</v>
      </c>
      <c r="DC3" s="10">
        <f>VC!CX55</f>
        <v>0</v>
      </c>
      <c r="DD3" s="10">
        <f>VC!CY55</f>
        <v>0</v>
      </c>
      <c r="DE3" s="10">
        <f>VC!CZ55</f>
        <v>0</v>
      </c>
      <c r="DF3" s="10">
        <f>VC!DA55</f>
        <v>0</v>
      </c>
      <c r="DG3" s="10">
        <f>VC!DB55</f>
        <v>0</v>
      </c>
      <c r="DH3" s="10">
        <f>VC!DC55</f>
        <v>0</v>
      </c>
      <c r="DI3" s="10">
        <f>VC!DD55</f>
        <v>0</v>
      </c>
      <c r="DJ3" s="10">
        <f>VC!DE55</f>
        <v>0</v>
      </c>
      <c r="DK3" s="10" t="str">
        <f>VC!DF55</f>
        <v>blaIMP-1 (K41E)</v>
      </c>
      <c r="DL3" s="10">
        <f>VC!DG55</f>
        <v>0</v>
      </c>
      <c r="DM3" s="10">
        <f>VC!DH55</f>
        <v>0</v>
      </c>
      <c r="DN3" s="10">
        <f>VC!DI55</f>
        <v>0</v>
      </c>
      <c r="DO3" s="10">
        <f>VC!DJ55</f>
        <v>0</v>
      </c>
      <c r="DP3" s="10">
        <f>VC!DK55</f>
        <v>0</v>
      </c>
      <c r="DQ3" s="10">
        <f>VC!DL55</f>
        <v>0</v>
      </c>
      <c r="DR3" s="10">
        <f>VC!DM55</f>
        <v>0</v>
      </c>
      <c r="DS3" s="10">
        <f>VC!DN55</f>
        <v>0</v>
      </c>
      <c r="DT3" s="10">
        <f>VC!DO55</f>
        <v>0</v>
      </c>
      <c r="DU3" s="10">
        <f>VC!DP55</f>
        <v>0</v>
      </c>
      <c r="DV3" s="10">
        <f>VC!DQ55</f>
        <v>0</v>
      </c>
      <c r="DW3" s="10">
        <f>VC!DR55</f>
        <v>0</v>
      </c>
      <c r="DX3" s="10">
        <f>VC!DS55</f>
        <v>0</v>
      </c>
      <c r="DY3" s="10">
        <f>VC!DT55</f>
        <v>0</v>
      </c>
      <c r="DZ3" s="10">
        <f>VC!DU55</f>
        <v>0</v>
      </c>
      <c r="EA3" s="10" t="str">
        <f>VC!DV55</f>
        <v>blaVIM-20</v>
      </c>
      <c r="EB3" s="10">
        <f>VC!DW55</f>
        <v>0</v>
      </c>
      <c r="EC3" s="10">
        <f>VC!DX55</f>
        <v>0</v>
      </c>
      <c r="ED3" s="10">
        <f>VC!DY55</f>
        <v>0</v>
      </c>
      <c r="EE3" s="10" t="str">
        <f>VC!DZ55</f>
        <v>blaVIM-20, blaOXA-210</v>
      </c>
      <c r="EF3" s="10">
        <f>VC!EA55</f>
        <v>0</v>
      </c>
      <c r="EG3" s="10">
        <f>VC!EB55</f>
        <v>0</v>
      </c>
      <c r="EH3" s="10">
        <f>VC!EC55</f>
        <v>0</v>
      </c>
      <c r="EI3" s="10">
        <f>VC!ED55</f>
        <v>0</v>
      </c>
      <c r="EJ3" s="10">
        <f>VC!EE55</f>
        <v>0</v>
      </c>
      <c r="EK3" s="10">
        <f>VC!EF55</f>
        <v>0</v>
      </c>
      <c r="EL3" s="10">
        <f>VC!EG55</f>
        <v>0</v>
      </c>
      <c r="EM3" s="10">
        <f>VC!EH55</f>
        <v>0</v>
      </c>
      <c r="EN3" s="10">
        <f>VC!EI55</f>
        <v>0</v>
      </c>
      <c r="EO3" s="10">
        <f>VC!EJ55</f>
        <v>0</v>
      </c>
      <c r="EP3" s="10">
        <f>VC!EK55</f>
        <v>0</v>
      </c>
      <c r="EQ3" s="10">
        <f>VC!EL55</f>
        <v>0</v>
      </c>
      <c r="ER3" s="10">
        <f>VC!EM55</f>
        <v>0</v>
      </c>
      <c r="ES3" s="10">
        <f>VC!EN55</f>
        <v>0</v>
      </c>
      <c r="ET3" s="10">
        <f>VC!EO55</f>
        <v>0</v>
      </c>
      <c r="EU3" s="10">
        <f>VC!EP55</f>
        <v>0</v>
      </c>
      <c r="EV3" s="10">
        <f>VC!EQ55</f>
        <v>0</v>
      </c>
      <c r="EW3" s="10">
        <f>VC!ER55</f>
        <v>0</v>
      </c>
      <c r="EX3" s="10">
        <f>VC!ES55</f>
        <v>0</v>
      </c>
      <c r="EY3" s="10">
        <f>VC!ET55</f>
        <v>0</v>
      </c>
      <c r="EZ3" s="10">
        <f>VC!EU55</f>
        <v>0</v>
      </c>
      <c r="FA3" s="10">
        <f>VC!EV55</f>
        <v>0</v>
      </c>
      <c r="FB3" s="10">
        <f>VC!EW55</f>
        <v>0</v>
      </c>
      <c r="FC3" s="10">
        <f>VC!EX55</f>
        <v>0</v>
      </c>
      <c r="FD3" s="10">
        <f>VC!EY55</f>
        <v>0</v>
      </c>
      <c r="FE3" s="10">
        <f>VC!EZ55</f>
        <v>0</v>
      </c>
      <c r="FF3" s="10">
        <f>VC!FA55</f>
        <v>0</v>
      </c>
      <c r="FG3" s="10">
        <f>VC!FB55</f>
        <v>0</v>
      </c>
      <c r="FH3" s="10">
        <f>VC!FC55</f>
        <v>0</v>
      </c>
      <c r="FI3" s="10">
        <f>VC!FD55</f>
        <v>0</v>
      </c>
      <c r="FJ3" s="10">
        <f>VC!FE55</f>
        <v>0</v>
      </c>
      <c r="FK3" s="10">
        <f>VC!FF55</f>
        <v>0</v>
      </c>
      <c r="FL3" s="10">
        <f>VC!FG55</f>
        <v>0</v>
      </c>
      <c r="FM3" s="10">
        <f>VC!FH55</f>
        <v>0</v>
      </c>
      <c r="FN3" s="10">
        <f>VC!FI55</f>
        <v>0</v>
      </c>
      <c r="FO3" s="10">
        <f>VC!FJ55</f>
        <v>0</v>
      </c>
      <c r="FP3" s="10">
        <f>VC!FK55</f>
        <v>0</v>
      </c>
      <c r="FQ3" s="10">
        <f>VC!FL55</f>
        <v>0</v>
      </c>
      <c r="FR3" s="10">
        <f>VC!FM55</f>
        <v>0</v>
      </c>
      <c r="FS3" s="10">
        <f>VC!FN55</f>
        <v>0</v>
      </c>
      <c r="FT3" s="10">
        <f>VC!FO55</f>
        <v>0</v>
      </c>
      <c r="FU3" s="10">
        <f>VC!FP55</f>
        <v>0</v>
      </c>
      <c r="FV3" s="10">
        <f>VC!FQ55</f>
        <v>0</v>
      </c>
      <c r="FW3" s="10">
        <f>VC!FR55</f>
        <v>0</v>
      </c>
      <c r="FX3" s="10">
        <f>VC!FS55</f>
        <v>0</v>
      </c>
      <c r="FY3" s="10">
        <f>VC!FT55</f>
        <v>0</v>
      </c>
      <c r="FZ3" s="10">
        <f>VC!FU55</f>
        <v>0</v>
      </c>
      <c r="GA3" s="10" t="str">
        <f>VC!FV55</f>
        <v>blaGES-5</v>
      </c>
      <c r="GB3" s="10">
        <f>VC!FW55</f>
        <v>0</v>
      </c>
      <c r="GC3" s="10">
        <f>VC!FX55</f>
        <v>0</v>
      </c>
      <c r="GD3" s="10">
        <f>VC!FY55</f>
        <v>0</v>
      </c>
      <c r="GE3" s="10">
        <f>VC!FZ55</f>
        <v>0</v>
      </c>
      <c r="GF3" s="10">
        <f>VC!GA55</f>
        <v>0</v>
      </c>
      <c r="GG3" s="10">
        <f>VC!GB55</f>
        <v>0</v>
      </c>
      <c r="GH3" s="10">
        <f>VC!GC55</f>
        <v>0</v>
      </c>
      <c r="GI3" s="10">
        <f>VC!GD55</f>
        <v>0</v>
      </c>
      <c r="GJ3" s="10">
        <f>VC!GE55</f>
        <v>0</v>
      </c>
      <c r="GK3" s="10">
        <f>VC!GF55</f>
        <v>0</v>
      </c>
      <c r="GL3" s="10">
        <f>VC!GG55</f>
        <v>0</v>
      </c>
      <c r="GM3" s="10">
        <f>VC!GH55</f>
        <v>0</v>
      </c>
      <c r="GN3" s="10">
        <f>VC!GI55</f>
        <v>0</v>
      </c>
      <c r="GO3" s="10">
        <f>VC!GJ55</f>
        <v>0</v>
      </c>
      <c r="GP3" s="10">
        <f>VC!GK55</f>
        <v>0</v>
      </c>
      <c r="GQ3" s="10">
        <f>VC!GL55</f>
        <v>0</v>
      </c>
      <c r="GR3" s="10">
        <f>VC!GM55</f>
        <v>0</v>
      </c>
      <c r="GS3" s="10">
        <f>VC!GN55</f>
        <v>0</v>
      </c>
      <c r="GT3" s="10">
        <f>VC!GO55</f>
        <v>0</v>
      </c>
      <c r="GU3" s="10">
        <f>VC!GP55</f>
        <v>0</v>
      </c>
      <c r="GV3" s="10">
        <f>VC!GQ55</f>
        <v>0</v>
      </c>
      <c r="GW3" s="10">
        <f>VC!GR55</f>
        <v>0</v>
      </c>
      <c r="GX3" s="10">
        <f>VC!GS55</f>
        <v>0</v>
      </c>
      <c r="GY3" s="10">
        <f>VC!GT55</f>
        <v>0</v>
      </c>
      <c r="GZ3" s="10">
        <f>VC!GU55</f>
        <v>0</v>
      </c>
      <c r="HA3" s="10">
        <f>VC!GV55</f>
        <v>0</v>
      </c>
      <c r="HB3" s="10">
        <f>VC!GW55</f>
        <v>0</v>
      </c>
      <c r="HC3" s="10">
        <f>VC!GX55</f>
        <v>0</v>
      </c>
    </row>
    <row r="4" spans="1:211" s="7" customFormat="1" ht="15.75" hidden="1" customHeight="1" x14ac:dyDescent="0.25">
      <c r="A4" s="7" t="s">
        <v>94</v>
      </c>
      <c r="B4" s="7" t="s">
        <v>100</v>
      </c>
      <c r="C4" s="8" t="s">
        <v>2</v>
      </c>
      <c r="D4" s="7" t="s">
        <v>76</v>
      </c>
      <c r="E4" s="7">
        <v>2</v>
      </c>
      <c r="H4" s="7">
        <f>VC!C56</f>
        <v>0</v>
      </c>
      <c r="I4" s="7">
        <f>VC!D56</f>
        <v>0</v>
      </c>
      <c r="J4" s="7">
        <f>VC!E56</f>
        <v>0</v>
      </c>
      <c r="K4" s="7">
        <f>VC!F56</f>
        <v>0</v>
      </c>
      <c r="L4" s="7">
        <f>VC!G56</f>
        <v>0</v>
      </c>
      <c r="M4" s="7">
        <f>VC!H56</f>
        <v>0</v>
      </c>
      <c r="N4" s="7">
        <f>VC!I56</f>
        <v>0</v>
      </c>
      <c r="O4" s="7">
        <f>VC!J56</f>
        <v>0</v>
      </c>
      <c r="P4" s="7">
        <f>VC!K56</f>
        <v>0</v>
      </c>
      <c r="Q4" s="7">
        <f>VC!L56</f>
        <v>0</v>
      </c>
      <c r="R4" s="7">
        <f>VC!M56</f>
        <v>0</v>
      </c>
      <c r="S4" s="7">
        <f>VC!N56</f>
        <v>0</v>
      </c>
      <c r="T4" s="7">
        <f>VC!O56</f>
        <v>0</v>
      </c>
      <c r="U4" s="7">
        <f>VC!P56</f>
        <v>0</v>
      </c>
      <c r="V4" s="7">
        <f>VC!Q56</f>
        <v>0</v>
      </c>
      <c r="W4" s="7">
        <f>VC!R56</f>
        <v>0</v>
      </c>
      <c r="X4" s="7">
        <f>VC!S56</f>
        <v>0</v>
      </c>
      <c r="Y4" s="7">
        <f>VC!T56</f>
        <v>0</v>
      </c>
      <c r="Z4" s="7">
        <f>VC!U56</f>
        <v>0</v>
      </c>
      <c r="AA4" s="7">
        <f>VC!V56</f>
        <v>0</v>
      </c>
      <c r="AB4" s="7">
        <f>VC!W56</f>
        <v>0</v>
      </c>
      <c r="AC4" s="7">
        <f>VC!X56</f>
        <v>0</v>
      </c>
      <c r="AD4" s="7">
        <f>VC!Y56</f>
        <v>0</v>
      </c>
      <c r="AE4" s="7">
        <f>VC!Z56</f>
        <v>0</v>
      </c>
      <c r="AF4" s="7">
        <f>VC!AA56</f>
        <v>0</v>
      </c>
      <c r="AG4" s="7">
        <f>VC!AB56</f>
        <v>0</v>
      </c>
      <c r="AH4" s="7">
        <f>VC!AC56</f>
        <v>0</v>
      </c>
      <c r="AI4" s="7">
        <f>VC!AD56</f>
        <v>0</v>
      </c>
      <c r="AJ4" s="7">
        <f>VC!AE56</f>
        <v>0</v>
      </c>
      <c r="AK4" s="7">
        <f>VC!AF56</f>
        <v>0</v>
      </c>
      <c r="AL4" s="7">
        <f>VC!AG56</f>
        <v>0</v>
      </c>
      <c r="AM4" s="7">
        <f>VC!AH56</f>
        <v>0</v>
      </c>
      <c r="AN4" s="7">
        <f>VC!AI56</f>
        <v>0</v>
      </c>
      <c r="AO4" s="7">
        <f>VC!AJ56</f>
        <v>0</v>
      </c>
      <c r="AP4" s="7">
        <f>VC!AK56</f>
        <v>0</v>
      </c>
      <c r="AQ4" s="7">
        <f>VC!AL56</f>
        <v>0</v>
      </c>
      <c r="AR4" s="7">
        <f>VC!AM56</f>
        <v>0</v>
      </c>
      <c r="AS4" s="7">
        <f>VC!AN56</f>
        <v>0</v>
      </c>
      <c r="AT4" s="7">
        <f>VC!AO56</f>
        <v>0</v>
      </c>
      <c r="AU4" s="7">
        <f>VC!AP56</f>
        <v>0</v>
      </c>
      <c r="AV4" s="7">
        <f>VC!AQ56</f>
        <v>0</v>
      </c>
      <c r="AW4" s="7">
        <f>VC!AR56</f>
        <v>0</v>
      </c>
      <c r="AX4" s="7">
        <f>VC!AS56</f>
        <v>0</v>
      </c>
      <c r="AY4" s="7">
        <f>VC!AT56</f>
        <v>0</v>
      </c>
      <c r="AZ4" s="7">
        <f>VC!AU56</f>
        <v>0</v>
      </c>
      <c r="BA4" s="7">
        <f>VC!AV56</f>
        <v>0</v>
      </c>
      <c r="BB4" s="7">
        <f>VC!AW56</f>
        <v>0</v>
      </c>
      <c r="BC4" s="7">
        <f>VC!AX56</f>
        <v>0</v>
      </c>
      <c r="BD4" s="7">
        <f>VC!AY56</f>
        <v>0</v>
      </c>
      <c r="BE4" s="7">
        <f>VC!AZ56</f>
        <v>0</v>
      </c>
      <c r="BF4" s="7">
        <f>VC!BA56</f>
        <v>0</v>
      </c>
      <c r="BG4" s="7">
        <f>VC!BB56</f>
        <v>0</v>
      </c>
      <c r="BH4" s="7">
        <f>VC!BC56</f>
        <v>0</v>
      </c>
      <c r="BI4" s="7">
        <f>VC!BD56</f>
        <v>0</v>
      </c>
      <c r="BJ4" s="7" t="str">
        <f>VC!BE56</f>
        <v>blaOXA-15</v>
      </c>
      <c r="BK4" s="7">
        <f>VC!BF56</f>
        <v>0</v>
      </c>
      <c r="BL4" s="7">
        <f>VC!BG56</f>
        <v>0</v>
      </c>
      <c r="BM4" s="7">
        <f>VC!BH56</f>
        <v>0</v>
      </c>
      <c r="BN4" s="7">
        <f>VC!BI56</f>
        <v>0</v>
      </c>
      <c r="BO4" s="7">
        <f>VC!BJ56</f>
        <v>0</v>
      </c>
      <c r="BP4" s="7">
        <f>VC!BK56</f>
        <v>0</v>
      </c>
      <c r="BQ4" s="7">
        <f>VC!BL56</f>
        <v>0</v>
      </c>
      <c r="BR4" s="7">
        <f>VC!BM56</f>
        <v>0</v>
      </c>
      <c r="BS4" s="7">
        <f>VC!BN56</f>
        <v>0</v>
      </c>
      <c r="BT4" s="7">
        <f>VC!BO56</f>
        <v>0</v>
      </c>
      <c r="BU4" s="7">
        <f>VC!BP56</f>
        <v>0</v>
      </c>
      <c r="BV4" s="7">
        <f>VC!BQ56</f>
        <v>0</v>
      </c>
      <c r="BW4" s="7">
        <f>VC!BR56</f>
        <v>0</v>
      </c>
      <c r="BX4" s="7">
        <f>VC!BS56</f>
        <v>0</v>
      </c>
      <c r="BY4" s="7">
        <f>VC!BT56</f>
        <v>0</v>
      </c>
      <c r="BZ4" s="7">
        <f>VC!BU56</f>
        <v>0</v>
      </c>
      <c r="CA4" s="7">
        <f>VC!BV56</f>
        <v>0</v>
      </c>
      <c r="CB4" s="7">
        <f>VC!BW56</f>
        <v>0</v>
      </c>
      <c r="CC4" s="7">
        <f>VC!BX56</f>
        <v>0</v>
      </c>
      <c r="CD4" s="7">
        <f>VC!BY56</f>
        <v>0</v>
      </c>
      <c r="CE4" s="7">
        <f>VC!BZ56</f>
        <v>0</v>
      </c>
      <c r="CF4" s="7">
        <f>VC!CA56</f>
        <v>0</v>
      </c>
      <c r="CG4" s="7">
        <f>VC!CB56</f>
        <v>0</v>
      </c>
      <c r="CH4" s="7">
        <f>VC!CC56</f>
        <v>0</v>
      </c>
      <c r="CI4" s="7">
        <f>VC!CD56</f>
        <v>0</v>
      </c>
      <c r="CJ4" s="7">
        <f>VC!CE56</f>
        <v>0</v>
      </c>
      <c r="CK4" s="7">
        <f>VC!CF56</f>
        <v>0</v>
      </c>
      <c r="CL4" s="7">
        <f>VC!CG56</f>
        <v>0</v>
      </c>
      <c r="CM4" s="7" t="str">
        <f>VC!CH56</f>
        <v>blaVIM-1</v>
      </c>
      <c r="CN4" s="7">
        <f>VC!CI56</f>
        <v>0</v>
      </c>
      <c r="CO4" s="7">
        <f>VC!CJ56</f>
        <v>0</v>
      </c>
      <c r="CP4" s="7">
        <f>VC!CK56</f>
        <v>0</v>
      </c>
      <c r="CQ4" s="7">
        <f>VC!CL56</f>
        <v>0</v>
      </c>
      <c r="CR4" s="7">
        <f>VC!CM56</f>
        <v>0</v>
      </c>
      <c r="CS4" s="7">
        <f>VC!CN56</f>
        <v>0</v>
      </c>
      <c r="CT4" s="7">
        <f>VC!CO56</f>
        <v>0</v>
      </c>
      <c r="CU4" s="7">
        <f>VC!CP56</f>
        <v>0</v>
      </c>
      <c r="CV4" s="7">
        <f>VC!CQ56</f>
        <v>0</v>
      </c>
      <c r="CW4" s="7">
        <f>VC!CR56</f>
        <v>0</v>
      </c>
      <c r="CX4" s="7">
        <f>VC!CS56</f>
        <v>0</v>
      </c>
      <c r="CY4" s="7">
        <f>VC!CT56</f>
        <v>0</v>
      </c>
      <c r="CZ4" s="7" t="str">
        <f>VC!CU56</f>
        <v>OXA-2</v>
      </c>
      <c r="DA4" s="7">
        <f>VC!CV56</f>
        <v>0</v>
      </c>
      <c r="DB4" s="7">
        <f>VC!CW56</f>
        <v>0</v>
      </c>
      <c r="DC4" s="7">
        <f>VC!CX56</f>
        <v>0</v>
      </c>
      <c r="DD4" s="7">
        <f>VC!CY56</f>
        <v>0</v>
      </c>
      <c r="DE4" s="7">
        <f>VC!CZ56</f>
        <v>0</v>
      </c>
      <c r="DF4" s="7">
        <f>VC!DA56</f>
        <v>0</v>
      </c>
      <c r="DG4" s="7">
        <f>VC!DB56</f>
        <v>0</v>
      </c>
      <c r="DH4" s="7">
        <f>VC!DC56</f>
        <v>0</v>
      </c>
      <c r="DI4" s="7">
        <f>VC!DD56</f>
        <v>0</v>
      </c>
      <c r="DJ4" s="7">
        <f>VC!DE56</f>
        <v>0</v>
      </c>
      <c r="DK4" s="7" t="str">
        <f>VC!DF56</f>
        <v>blaIMP-1 (K41E)</v>
      </c>
      <c r="DL4" s="7">
        <f>VC!DG56</f>
        <v>0</v>
      </c>
      <c r="DM4" s="7">
        <f>VC!DH56</f>
        <v>0</v>
      </c>
      <c r="DN4" s="7">
        <f>VC!DI56</f>
        <v>0</v>
      </c>
      <c r="DO4" s="7">
        <f>VC!DJ56</f>
        <v>0</v>
      </c>
      <c r="DP4" s="7">
        <f>VC!DK56</f>
        <v>0</v>
      </c>
      <c r="DQ4" s="7">
        <f>VC!DL56</f>
        <v>0</v>
      </c>
      <c r="DR4" s="7">
        <f>VC!DM56</f>
        <v>0</v>
      </c>
      <c r="DS4" s="7">
        <f>VC!DN56</f>
        <v>0</v>
      </c>
      <c r="DT4" s="7">
        <f>VC!DO56</f>
        <v>0</v>
      </c>
      <c r="DU4" s="7">
        <f>VC!DP56</f>
        <v>0</v>
      </c>
      <c r="DV4" s="7">
        <f>VC!DQ56</f>
        <v>0</v>
      </c>
      <c r="DW4" s="7">
        <f>VC!DR56</f>
        <v>0</v>
      </c>
      <c r="DX4" s="7">
        <f>VC!DS56</f>
        <v>0</v>
      </c>
      <c r="DY4" s="7">
        <f>VC!DT56</f>
        <v>0</v>
      </c>
      <c r="DZ4" s="7">
        <f>VC!DU56</f>
        <v>0</v>
      </c>
      <c r="EA4" s="7" t="str">
        <f>VC!DV56</f>
        <v>blaVIM-20</v>
      </c>
      <c r="EB4" s="7">
        <f>VC!DW56</f>
        <v>0</v>
      </c>
      <c r="EC4" s="7">
        <f>VC!DX56</f>
        <v>0</v>
      </c>
      <c r="ED4" s="7">
        <f>VC!DY56</f>
        <v>0</v>
      </c>
      <c r="EE4" s="7" t="str">
        <f>VC!DZ56</f>
        <v>blaVIM-20, blaOXA-210</v>
      </c>
      <c r="EF4" s="7">
        <f>VC!EA56</f>
        <v>0</v>
      </c>
      <c r="EG4" s="7">
        <f>VC!EB56</f>
        <v>0</v>
      </c>
      <c r="EH4" s="7">
        <f>VC!EC56</f>
        <v>0</v>
      </c>
      <c r="EI4" s="7">
        <f>VC!ED56</f>
        <v>0</v>
      </c>
      <c r="EJ4" s="7">
        <f>VC!EE56</f>
        <v>0</v>
      </c>
      <c r="EK4" s="7">
        <f>VC!EF56</f>
        <v>0</v>
      </c>
      <c r="EL4" s="7">
        <f>VC!EG56</f>
        <v>0</v>
      </c>
      <c r="EM4" s="7">
        <f>VC!EH56</f>
        <v>0</v>
      </c>
      <c r="EN4" s="7">
        <f>VC!EI56</f>
        <v>0</v>
      </c>
      <c r="EO4" s="7">
        <f>VC!EJ56</f>
        <v>0</v>
      </c>
      <c r="EP4" s="7">
        <f>VC!EK56</f>
        <v>0</v>
      </c>
      <c r="EQ4" s="7">
        <f>VC!EL56</f>
        <v>0</v>
      </c>
      <c r="ER4" s="7">
        <f>VC!EM56</f>
        <v>0</v>
      </c>
      <c r="ES4" s="7">
        <f>VC!EN56</f>
        <v>0</v>
      </c>
      <c r="ET4" s="7">
        <f>VC!EO56</f>
        <v>0</v>
      </c>
      <c r="EU4" s="7">
        <f>VC!EP56</f>
        <v>0</v>
      </c>
      <c r="EV4" s="7">
        <f>VC!EQ56</f>
        <v>0</v>
      </c>
      <c r="EW4" s="7">
        <f>VC!ER56</f>
        <v>0</v>
      </c>
      <c r="EX4" s="7">
        <f>VC!ES56</f>
        <v>0</v>
      </c>
      <c r="EY4" s="7">
        <f>VC!ET56</f>
        <v>0</v>
      </c>
      <c r="EZ4" s="7">
        <f>VC!EU56</f>
        <v>0</v>
      </c>
      <c r="FA4" s="7">
        <f>VC!EV56</f>
        <v>0</v>
      </c>
      <c r="FB4" s="7">
        <f>VC!EW56</f>
        <v>0</v>
      </c>
      <c r="FC4" s="7">
        <f>VC!EX56</f>
        <v>0</v>
      </c>
      <c r="FD4" s="7">
        <f>VC!EY56</f>
        <v>0</v>
      </c>
      <c r="FE4" s="7">
        <f>VC!EZ56</f>
        <v>0</v>
      </c>
      <c r="FF4" s="7">
        <f>VC!FA56</f>
        <v>0</v>
      </c>
      <c r="FG4" s="7">
        <f>VC!FB56</f>
        <v>0</v>
      </c>
      <c r="FH4" s="7">
        <f>VC!FC56</f>
        <v>0</v>
      </c>
      <c r="FI4" s="7">
        <f>VC!FD56</f>
        <v>0</v>
      </c>
      <c r="FJ4" s="7">
        <f>VC!FE56</f>
        <v>0</v>
      </c>
      <c r="FK4" s="7">
        <f>VC!FF56</f>
        <v>0</v>
      </c>
      <c r="FL4" s="7">
        <f>VC!FG56</f>
        <v>0</v>
      </c>
      <c r="FM4" s="7">
        <f>VC!FH56</f>
        <v>0</v>
      </c>
      <c r="FN4" s="7">
        <f>VC!FI56</f>
        <v>0</v>
      </c>
      <c r="FO4" s="7">
        <f>VC!FJ56</f>
        <v>0</v>
      </c>
      <c r="FP4" s="7">
        <f>VC!FK56</f>
        <v>0</v>
      </c>
      <c r="FQ4" s="7">
        <f>VC!FL56</f>
        <v>0</v>
      </c>
      <c r="FR4" s="7">
        <f>VC!FM56</f>
        <v>0</v>
      </c>
      <c r="FS4" s="7">
        <f>VC!FN56</f>
        <v>0</v>
      </c>
      <c r="FT4" s="7">
        <f>VC!FO56</f>
        <v>0</v>
      </c>
      <c r="FU4" s="7">
        <f>VC!FP56</f>
        <v>0</v>
      </c>
      <c r="FV4" s="7">
        <f>VC!FQ56</f>
        <v>0</v>
      </c>
      <c r="FW4" s="7">
        <f>VC!FR56</f>
        <v>0</v>
      </c>
      <c r="FX4" s="7">
        <f>VC!FS56</f>
        <v>0</v>
      </c>
      <c r="FY4" s="7">
        <f>VC!FT56</f>
        <v>0</v>
      </c>
      <c r="FZ4" s="7">
        <f>VC!FU56</f>
        <v>0</v>
      </c>
      <c r="GA4" s="7" t="str">
        <f>VC!FV56</f>
        <v>blaGES-5</v>
      </c>
      <c r="GB4" s="7">
        <f>VC!FW56</f>
        <v>0</v>
      </c>
      <c r="GC4" s="7">
        <f>VC!FX56</f>
        <v>0</v>
      </c>
      <c r="GD4" s="7">
        <f>VC!FY56</f>
        <v>0</v>
      </c>
      <c r="GE4" s="7">
        <f>VC!FZ56</f>
        <v>0</v>
      </c>
      <c r="GF4" s="7">
        <f>VC!GA56</f>
        <v>0</v>
      </c>
      <c r="GG4" s="7">
        <f>VC!GB56</f>
        <v>0</v>
      </c>
      <c r="GH4" s="7">
        <f>VC!GC56</f>
        <v>0</v>
      </c>
      <c r="GI4" s="7">
        <f>VC!GD56</f>
        <v>0</v>
      </c>
      <c r="GJ4" s="7">
        <f>VC!GE56</f>
        <v>0</v>
      </c>
      <c r="GK4" s="7">
        <f>VC!GF56</f>
        <v>0</v>
      </c>
      <c r="GL4" s="7">
        <f>VC!GG56</f>
        <v>0</v>
      </c>
      <c r="GM4" s="7">
        <f>VC!GH56</f>
        <v>0</v>
      </c>
      <c r="GN4" s="7">
        <f>VC!GI56</f>
        <v>0</v>
      </c>
      <c r="GO4" s="7">
        <f>VC!GJ56</f>
        <v>0</v>
      </c>
      <c r="GP4" s="7">
        <f>VC!GK56</f>
        <v>0</v>
      </c>
      <c r="GQ4" s="7">
        <f>VC!GL56</f>
        <v>0</v>
      </c>
      <c r="GR4" s="7">
        <f>VC!GM56</f>
        <v>0</v>
      </c>
      <c r="GS4" s="7">
        <f>VC!GN56</f>
        <v>0</v>
      </c>
      <c r="GT4" s="7">
        <f>VC!GO56</f>
        <v>0</v>
      </c>
      <c r="GU4" s="7">
        <f>VC!GP56</f>
        <v>0</v>
      </c>
      <c r="GV4" s="7">
        <f>VC!GQ56</f>
        <v>0</v>
      </c>
      <c r="GW4" s="7">
        <f>VC!GR56</f>
        <v>0</v>
      </c>
      <c r="GX4" s="7">
        <f>VC!GS56</f>
        <v>0</v>
      </c>
      <c r="GY4" s="7">
        <f>VC!GT56</f>
        <v>0</v>
      </c>
      <c r="GZ4" s="7">
        <f>VC!GU56</f>
        <v>0</v>
      </c>
      <c r="HA4" s="7">
        <f>VC!GV56</f>
        <v>0</v>
      </c>
      <c r="HB4" s="7">
        <f>VC!GW56</f>
        <v>0</v>
      </c>
      <c r="HC4" s="7">
        <f>VC!GX56</f>
        <v>0</v>
      </c>
    </row>
    <row r="5" spans="1:211" s="7" customFormat="1" ht="15.75" hidden="1" customHeight="1" x14ac:dyDescent="0.25">
      <c r="A5" s="7" t="s">
        <v>94</v>
      </c>
      <c r="B5" s="7" t="s">
        <v>101</v>
      </c>
      <c r="C5" s="8" t="s">
        <v>2</v>
      </c>
      <c r="D5" s="7" t="s">
        <v>76</v>
      </c>
      <c r="E5" s="7">
        <v>0.5</v>
      </c>
      <c r="H5" s="7">
        <f>VC!C56</f>
        <v>0</v>
      </c>
      <c r="I5" s="7">
        <f>VC!D56</f>
        <v>0</v>
      </c>
      <c r="J5" s="7">
        <f>VC!E56</f>
        <v>0</v>
      </c>
      <c r="K5" s="7">
        <f>VC!F56</f>
        <v>0</v>
      </c>
      <c r="L5" s="7">
        <f>VC!G56</f>
        <v>0</v>
      </c>
      <c r="M5" s="7">
        <f>VC!H56</f>
        <v>0</v>
      </c>
      <c r="N5" s="7">
        <f>VC!I56</f>
        <v>0</v>
      </c>
      <c r="O5" s="7">
        <f>VC!J56</f>
        <v>0</v>
      </c>
      <c r="P5" s="7">
        <f>VC!K56</f>
        <v>0</v>
      </c>
      <c r="Q5" s="7">
        <f>VC!L56</f>
        <v>0</v>
      </c>
      <c r="R5" s="7">
        <f>VC!M56</f>
        <v>0</v>
      </c>
      <c r="S5" s="7">
        <f>VC!N56</f>
        <v>0</v>
      </c>
      <c r="T5" s="7">
        <f>VC!O56</f>
        <v>0</v>
      </c>
      <c r="U5" s="7">
        <f>VC!P56</f>
        <v>0</v>
      </c>
      <c r="V5" s="7">
        <f>VC!Q56</f>
        <v>0</v>
      </c>
      <c r="W5" s="7">
        <f>VC!R56</f>
        <v>0</v>
      </c>
      <c r="X5" s="7">
        <f>VC!S56</f>
        <v>0</v>
      </c>
      <c r="Y5" s="7">
        <f>VC!T56</f>
        <v>0</v>
      </c>
      <c r="Z5" s="7">
        <f>VC!U56</f>
        <v>0</v>
      </c>
      <c r="AA5" s="7">
        <f>VC!V56</f>
        <v>0</v>
      </c>
      <c r="AB5" s="7">
        <f>VC!W56</f>
        <v>0</v>
      </c>
      <c r="AC5" s="7">
        <f>VC!X56</f>
        <v>0</v>
      </c>
      <c r="AD5" s="7">
        <f>VC!Y56</f>
        <v>0</v>
      </c>
      <c r="AE5" s="7">
        <f>VC!Z56</f>
        <v>0</v>
      </c>
      <c r="AF5" s="7">
        <f>VC!AA56</f>
        <v>0</v>
      </c>
      <c r="AG5" s="7">
        <f>VC!AB56</f>
        <v>0</v>
      </c>
      <c r="AH5" s="7">
        <f>VC!AC56</f>
        <v>0</v>
      </c>
      <c r="AI5" s="7">
        <f>VC!AD56</f>
        <v>0</v>
      </c>
      <c r="AJ5" s="7">
        <f>VC!AE56</f>
        <v>0</v>
      </c>
      <c r="AK5" s="7">
        <f>VC!AF56</f>
        <v>0</v>
      </c>
      <c r="AL5" s="7">
        <f>VC!AG56</f>
        <v>0</v>
      </c>
      <c r="AM5" s="7">
        <f>VC!AH56</f>
        <v>0</v>
      </c>
      <c r="AN5" s="7">
        <f>VC!AI56</f>
        <v>0</v>
      </c>
      <c r="AO5" s="7">
        <f>VC!AJ56</f>
        <v>0</v>
      </c>
      <c r="AP5" s="7">
        <f>VC!AK56</f>
        <v>0</v>
      </c>
      <c r="AQ5" s="7">
        <f>VC!AL56</f>
        <v>0</v>
      </c>
      <c r="AR5" s="7">
        <f>VC!AM56</f>
        <v>0</v>
      </c>
      <c r="AS5" s="7">
        <f>VC!AN56</f>
        <v>0</v>
      </c>
      <c r="AT5" s="7">
        <f>VC!AO56</f>
        <v>0</v>
      </c>
      <c r="AU5" s="7">
        <f>VC!AP56</f>
        <v>0</v>
      </c>
      <c r="AV5" s="7">
        <f>VC!AQ56</f>
        <v>0</v>
      </c>
      <c r="AW5" s="7">
        <f>VC!AR56</f>
        <v>0</v>
      </c>
      <c r="AX5" s="7">
        <f>VC!AS56</f>
        <v>0</v>
      </c>
      <c r="AY5" s="7">
        <f>VC!AT56</f>
        <v>0</v>
      </c>
      <c r="AZ5" s="7">
        <f>VC!AU56</f>
        <v>0</v>
      </c>
      <c r="BA5" s="7">
        <f>VC!AV56</f>
        <v>0</v>
      </c>
      <c r="BB5" s="7">
        <f>VC!AW56</f>
        <v>0</v>
      </c>
      <c r="BC5" s="7">
        <f>VC!AX56</f>
        <v>0</v>
      </c>
      <c r="BD5" s="7">
        <f>VC!AY56</f>
        <v>0</v>
      </c>
      <c r="BE5" s="7">
        <f>VC!AZ56</f>
        <v>0</v>
      </c>
      <c r="BF5" s="7">
        <f>VC!BA56</f>
        <v>0</v>
      </c>
      <c r="BG5" s="7">
        <f>VC!BB56</f>
        <v>0</v>
      </c>
      <c r="BH5" s="7">
        <f>VC!BC56</f>
        <v>0</v>
      </c>
      <c r="BI5" s="7">
        <f>VC!BD56</f>
        <v>0</v>
      </c>
      <c r="BJ5" s="7" t="str">
        <f>VC!BE56</f>
        <v>blaOXA-15</v>
      </c>
      <c r="BK5" s="7">
        <f>VC!BF56</f>
        <v>0</v>
      </c>
      <c r="BL5" s="7">
        <f>VC!BG56</f>
        <v>0</v>
      </c>
      <c r="BM5" s="7">
        <f>VC!BH56</f>
        <v>0</v>
      </c>
      <c r="BN5" s="7">
        <f>VC!BI56</f>
        <v>0</v>
      </c>
      <c r="BO5" s="7">
        <f>VC!BJ56</f>
        <v>0</v>
      </c>
      <c r="BP5" s="7">
        <f>VC!BK56</f>
        <v>0</v>
      </c>
      <c r="BQ5" s="7">
        <f>VC!BL56</f>
        <v>0</v>
      </c>
      <c r="BR5" s="7">
        <f>VC!BM56</f>
        <v>0</v>
      </c>
      <c r="BS5" s="7">
        <f>VC!BN56</f>
        <v>0</v>
      </c>
      <c r="BT5" s="7">
        <f>VC!BO56</f>
        <v>0</v>
      </c>
      <c r="BU5" s="7">
        <f>VC!BP56</f>
        <v>0</v>
      </c>
      <c r="BV5" s="7">
        <f>VC!BQ56</f>
        <v>0</v>
      </c>
      <c r="BW5" s="7">
        <f>VC!BR56</f>
        <v>0</v>
      </c>
      <c r="BX5" s="7">
        <f>VC!BS56</f>
        <v>0</v>
      </c>
      <c r="BY5" s="7">
        <f>VC!BT56</f>
        <v>0</v>
      </c>
      <c r="BZ5" s="7">
        <f>VC!BU56</f>
        <v>0</v>
      </c>
      <c r="CA5" s="7">
        <f>VC!BV56</f>
        <v>0</v>
      </c>
      <c r="CB5" s="7">
        <f>VC!BW56</f>
        <v>0</v>
      </c>
      <c r="CC5" s="7">
        <f>VC!BX56</f>
        <v>0</v>
      </c>
      <c r="CD5" s="7">
        <f>VC!BY56</f>
        <v>0</v>
      </c>
      <c r="CE5" s="7">
        <f>VC!BZ56</f>
        <v>0</v>
      </c>
      <c r="CF5" s="7">
        <f>VC!CA56</f>
        <v>0</v>
      </c>
      <c r="CG5" s="7">
        <f>VC!CB56</f>
        <v>0</v>
      </c>
      <c r="CH5" s="7">
        <f>VC!CC56</f>
        <v>0</v>
      </c>
      <c r="CI5" s="7">
        <f>VC!CD56</f>
        <v>0</v>
      </c>
      <c r="CJ5" s="7">
        <f>VC!CE56</f>
        <v>0</v>
      </c>
      <c r="CK5" s="7">
        <f>VC!CF56</f>
        <v>0</v>
      </c>
      <c r="CL5" s="7">
        <f>VC!CG56</f>
        <v>0</v>
      </c>
      <c r="CM5" s="7" t="str">
        <f>VC!CH56</f>
        <v>blaVIM-1</v>
      </c>
      <c r="CN5" s="7">
        <f>VC!CI56</f>
        <v>0</v>
      </c>
      <c r="CO5" s="7">
        <f>VC!CJ56</f>
        <v>0</v>
      </c>
      <c r="CP5" s="7">
        <f>VC!CK56</f>
        <v>0</v>
      </c>
      <c r="CQ5" s="7">
        <f>VC!CL56</f>
        <v>0</v>
      </c>
      <c r="CR5" s="7">
        <f>VC!CM56</f>
        <v>0</v>
      </c>
      <c r="CS5" s="7">
        <f>VC!CN56</f>
        <v>0</v>
      </c>
      <c r="CT5" s="7">
        <f>VC!CO56</f>
        <v>0</v>
      </c>
      <c r="CU5" s="7">
        <f>VC!CP56</f>
        <v>0</v>
      </c>
      <c r="CV5" s="7">
        <f>VC!CQ56</f>
        <v>0</v>
      </c>
      <c r="CW5" s="7">
        <f>VC!CR56</f>
        <v>0</v>
      </c>
      <c r="CX5" s="7">
        <f>VC!CS56</f>
        <v>0</v>
      </c>
      <c r="CY5" s="7">
        <f>VC!CT56</f>
        <v>0</v>
      </c>
      <c r="CZ5" s="7" t="str">
        <f>VC!CU56</f>
        <v>OXA-2</v>
      </c>
      <c r="DA5" s="7">
        <f>VC!CV56</f>
        <v>0</v>
      </c>
      <c r="DB5" s="7">
        <f>VC!CW56</f>
        <v>0</v>
      </c>
      <c r="DC5" s="7">
        <f>VC!CX56</f>
        <v>0</v>
      </c>
      <c r="DD5" s="7">
        <f>VC!CY56</f>
        <v>0</v>
      </c>
      <c r="DE5" s="7">
        <f>VC!CZ56</f>
        <v>0</v>
      </c>
      <c r="DF5" s="7">
        <f>VC!DA56</f>
        <v>0</v>
      </c>
      <c r="DG5" s="7">
        <f>VC!DB56</f>
        <v>0</v>
      </c>
      <c r="DH5" s="7">
        <f>VC!DC56</f>
        <v>0</v>
      </c>
      <c r="DI5" s="7">
        <f>VC!DD56</f>
        <v>0</v>
      </c>
      <c r="DJ5" s="7">
        <f>VC!DE56</f>
        <v>0</v>
      </c>
      <c r="DK5" s="7" t="str">
        <f>VC!DF56</f>
        <v>blaIMP-1 (K41E)</v>
      </c>
      <c r="DL5" s="7">
        <f>VC!DG56</f>
        <v>0</v>
      </c>
      <c r="DM5" s="7">
        <f>VC!DH56</f>
        <v>0</v>
      </c>
      <c r="DN5" s="7">
        <f>VC!DI56</f>
        <v>0</v>
      </c>
      <c r="DO5" s="7">
        <f>VC!DJ56</f>
        <v>0</v>
      </c>
      <c r="DP5" s="7">
        <f>VC!DK56</f>
        <v>0</v>
      </c>
      <c r="DQ5" s="7">
        <f>VC!DL56</f>
        <v>0</v>
      </c>
      <c r="DR5" s="7">
        <f>VC!DM56</f>
        <v>0</v>
      </c>
      <c r="DS5" s="7">
        <f>VC!DN56</f>
        <v>0</v>
      </c>
      <c r="DT5" s="7">
        <f>VC!DO56</f>
        <v>0</v>
      </c>
      <c r="DU5" s="7">
        <f>VC!DP56</f>
        <v>0</v>
      </c>
      <c r="DV5" s="7">
        <f>VC!DQ56</f>
        <v>0</v>
      </c>
      <c r="DW5" s="7">
        <f>VC!DR56</f>
        <v>0</v>
      </c>
      <c r="DX5" s="7">
        <f>VC!DS56</f>
        <v>0</v>
      </c>
      <c r="DY5" s="7">
        <f>VC!DT56</f>
        <v>0</v>
      </c>
      <c r="DZ5" s="7">
        <f>VC!DU56</f>
        <v>0</v>
      </c>
      <c r="EA5" s="7" t="str">
        <f>VC!DV56</f>
        <v>blaVIM-20</v>
      </c>
      <c r="EB5" s="7">
        <f>VC!DW56</f>
        <v>0</v>
      </c>
      <c r="EC5" s="7">
        <f>VC!DX56</f>
        <v>0</v>
      </c>
      <c r="ED5" s="7">
        <f>VC!DY56</f>
        <v>0</v>
      </c>
      <c r="EE5" s="7" t="str">
        <f>VC!DZ56</f>
        <v>blaVIM-20, blaOXA-210</v>
      </c>
      <c r="EF5" s="7">
        <f>VC!EA56</f>
        <v>0</v>
      </c>
      <c r="EG5" s="7">
        <f>VC!EB56</f>
        <v>0</v>
      </c>
      <c r="EH5" s="7">
        <f>VC!EC56</f>
        <v>0</v>
      </c>
      <c r="EI5" s="7">
        <f>VC!ED56</f>
        <v>0</v>
      </c>
      <c r="EJ5" s="7">
        <f>VC!EE56</f>
        <v>0</v>
      </c>
      <c r="EK5" s="7">
        <f>VC!EF56</f>
        <v>0</v>
      </c>
      <c r="EL5" s="7">
        <f>VC!EG56</f>
        <v>0</v>
      </c>
      <c r="EM5" s="7">
        <f>VC!EH56</f>
        <v>0</v>
      </c>
      <c r="EN5" s="7">
        <f>VC!EI56</f>
        <v>0</v>
      </c>
      <c r="EO5" s="7">
        <f>VC!EJ56</f>
        <v>0</v>
      </c>
      <c r="EP5" s="7">
        <f>VC!EK56</f>
        <v>0</v>
      </c>
      <c r="EQ5" s="7">
        <f>VC!EL56</f>
        <v>0</v>
      </c>
      <c r="ER5" s="7">
        <f>VC!EM56</f>
        <v>0</v>
      </c>
      <c r="ES5" s="7">
        <f>VC!EN56</f>
        <v>0</v>
      </c>
      <c r="ET5" s="7">
        <f>VC!EO56</f>
        <v>0</v>
      </c>
      <c r="EU5" s="7">
        <f>VC!EP56</f>
        <v>0</v>
      </c>
      <c r="EV5" s="7">
        <f>VC!EQ56</f>
        <v>0</v>
      </c>
      <c r="EW5" s="7">
        <f>VC!ER56</f>
        <v>0</v>
      </c>
      <c r="EX5" s="7">
        <f>VC!ES56</f>
        <v>0</v>
      </c>
      <c r="EY5" s="7">
        <f>VC!ET56</f>
        <v>0</v>
      </c>
      <c r="EZ5" s="7">
        <f>VC!EU56</f>
        <v>0</v>
      </c>
      <c r="FA5" s="7">
        <f>VC!EV56</f>
        <v>0</v>
      </c>
      <c r="FB5" s="7">
        <f>VC!EW56</f>
        <v>0</v>
      </c>
      <c r="FC5" s="7">
        <f>VC!EX56</f>
        <v>0</v>
      </c>
      <c r="FD5" s="7">
        <f>VC!EY56</f>
        <v>0</v>
      </c>
      <c r="FE5" s="7">
        <f>VC!EZ56</f>
        <v>0</v>
      </c>
      <c r="FF5" s="7">
        <f>VC!FA56</f>
        <v>0</v>
      </c>
      <c r="FG5" s="7">
        <f>VC!FB56</f>
        <v>0</v>
      </c>
      <c r="FH5" s="7">
        <f>VC!FC56</f>
        <v>0</v>
      </c>
      <c r="FI5" s="7">
        <f>VC!FD56</f>
        <v>0</v>
      </c>
      <c r="FJ5" s="7">
        <f>VC!FE56</f>
        <v>0</v>
      </c>
      <c r="FK5" s="7">
        <f>VC!FF56</f>
        <v>0</v>
      </c>
      <c r="FL5" s="7">
        <f>VC!FG56</f>
        <v>0</v>
      </c>
      <c r="FM5" s="7">
        <f>VC!FH56</f>
        <v>0</v>
      </c>
      <c r="FN5" s="7">
        <f>VC!FI56</f>
        <v>0</v>
      </c>
      <c r="FO5" s="7">
        <f>VC!FJ56</f>
        <v>0</v>
      </c>
      <c r="FP5" s="7">
        <f>VC!FK56</f>
        <v>0</v>
      </c>
      <c r="FQ5" s="7">
        <f>VC!FL56</f>
        <v>0</v>
      </c>
      <c r="FR5" s="7">
        <f>VC!FM56</f>
        <v>0</v>
      </c>
      <c r="FS5" s="7">
        <f>VC!FN56</f>
        <v>0</v>
      </c>
      <c r="FT5" s="7">
        <f>VC!FO56</f>
        <v>0</v>
      </c>
      <c r="FU5" s="7">
        <f>VC!FP56</f>
        <v>0</v>
      </c>
      <c r="FV5" s="7">
        <f>VC!FQ56</f>
        <v>0</v>
      </c>
      <c r="FW5" s="7">
        <f>VC!FR56</f>
        <v>0</v>
      </c>
      <c r="FX5" s="7">
        <f>VC!FS56</f>
        <v>0</v>
      </c>
      <c r="FY5" s="7">
        <f>VC!FT56</f>
        <v>0</v>
      </c>
      <c r="FZ5" s="7">
        <f>VC!FU56</f>
        <v>0</v>
      </c>
      <c r="GA5" s="7" t="str">
        <f>VC!FV56</f>
        <v>blaGES-5</v>
      </c>
      <c r="GB5" s="7">
        <f>VC!FW56</f>
        <v>0</v>
      </c>
      <c r="GC5" s="7">
        <f>VC!FX56</f>
        <v>0</v>
      </c>
      <c r="GD5" s="7">
        <f>VC!FY56</f>
        <v>0</v>
      </c>
      <c r="GE5" s="7">
        <f>VC!FZ56</f>
        <v>0</v>
      </c>
      <c r="GF5" s="7">
        <f>VC!GA56</f>
        <v>0</v>
      </c>
      <c r="GG5" s="7">
        <f>VC!GB56</f>
        <v>0</v>
      </c>
      <c r="GH5" s="7">
        <f>VC!GC56</f>
        <v>0</v>
      </c>
      <c r="GI5" s="7">
        <f>VC!GD56</f>
        <v>0</v>
      </c>
      <c r="GJ5" s="7">
        <f>VC!GE56</f>
        <v>0</v>
      </c>
      <c r="GK5" s="7">
        <f>VC!GF56</f>
        <v>0</v>
      </c>
      <c r="GL5" s="7">
        <f>VC!GG56</f>
        <v>0</v>
      </c>
      <c r="GM5" s="7">
        <f>VC!GH56</f>
        <v>0</v>
      </c>
      <c r="GN5" s="7">
        <f>VC!GI56</f>
        <v>0</v>
      </c>
      <c r="GO5" s="7">
        <f>VC!GJ56</f>
        <v>0</v>
      </c>
      <c r="GP5" s="7">
        <f>VC!GK56</f>
        <v>0</v>
      </c>
      <c r="GQ5" s="7">
        <f>VC!GL56</f>
        <v>0</v>
      </c>
      <c r="GR5" s="7">
        <f>VC!GM56</f>
        <v>0</v>
      </c>
      <c r="GS5" s="7">
        <f>VC!GN56</f>
        <v>0</v>
      </c>
      <c r="GT5" s="7">
        <f>VC!GO56</f>
        <v>0</v>
      </c>
      <c r="GU5" s="7">
        <f>VC!GP56</f>
        <v>0</v>
      </c>
      <c r="GV5" s="7">
        <f>VC!GQ56</f>
        <v>0</v>
      </c>
      <c r="GW5" s="7">
        <f>VC!GR56</f>
        <v>0</v>
      </c>
      <c r="GX5" s="7">
        <f>VC!GS56</f>
        <v>0</v>
      </c>
      <c r="GY5" s="7">
        <f>VC!GT56</f>
        <v>0</v>
      </c>
      <c r="GZ5" s="7">
        <f>VC!GU56</f>
        <v>0</v>
      </c>
      <c r="HA5" s="7">
        <f>VC!GV56</f>
        <v>0</v>
      </c>
      <c r="HB5" s="7">
        <f>VC!GW56</f>
        <v>0</v>
      </c>
      <c r="HC5" s="7">
        <f>VC!GX56</f>
        <v>0</v>
      </c>
    </row>
    <row r="6" spans="1:211" s="10" customFormat="1" ht="15" hidden="1" customHeight="1" x14ac:dyDescent="0.25">
      <c r="A6" s="10" t="s">
        <v>94</v>
      </c>
      <c r="B6" s="10" t="s">
        <v>96</v>
      </c>
      <c r="C6" s="11" t="s">
        <v>4</v>
      </c>
      <c r="D6" s="10" t="s">
        <v>76</v>
      </c>
      <c r="E6" s="10">
        <v>1</v>
      </c>
      <c r="H6" s="10">
        <f>VC!C57</f>
        <v>0</v>
      </c>
      <c r="I6" s="10">
        <f>VC!D57</f>
        <v>0</v>
      </c>
      <c r="J6" s="10">
        <f>VC!E57</f>
        <v>0</v>
      </c>
      <c r="K6" s="10">
        <f>VC!F57</f>
        <v>0</v>
      </c>
      <c r="L6" s="10">
        <f>VC!G57</f>
        <v>0</v>
      </c>
      <c r="M6" s="10">
        <f>VC!H57</f>
        <v>0</v>
      </c>
      <c r="N6" s="10">
        <f>VC!I57</f>
        <v>0</v>
      </c>
      <c r="O6" s="10">
        <f>VC!J57</f>
        <v>0</v>
      </c>
      <c r="P6" s="10">
        <f>VC!K57</f>
        <v>0</v>
      </c>
      <c r="Q6" s="10">
        <f>VC!L57</f>
        <v>0</v>
      </c>
      <c r="R6" s="10">
        <f>VC!M57</f>
        <v>0</v>
      </c>
      <c r="S6" s="10">
        <f>VC!N57</f>
        <v>0</v>
      </c>
      <c r="T6" s="10">
        <f>VC!O57</f>
        <v>0</v>
      </c>
      <c r="U6" s="10">
        <f>VC!P57</f>
        <v>0</v>
      </c>
      <c r="V6" s="10">
        <f>VC!Q57</f>
        <v>0</v>
      </c>
      <c r="W6" s="10">
        <f>VC!R57</f>
        <v>0</v>
      </c>
      <c r="X6" s="10">
        <f>VC!S57</f>
        <v>0</v>
      </c>
      <c r="Y6" s="10">
        <f>VC!T57</f>
        <v>0</v>
      </c>
      <c r="Z6" s="10">
        <f>VC!U57</f>
        <v>0</v>
      </c>
      <c r="AA6" s="10">
        <f>VC!V57</f>
        <v>0</v>
      </c>
      <c r="AB6" s="10">
        <f>VC!W57</f>
        <v>0</v>
      </c>
      <c r="AC6" s="10">
        <f>VC!X57</f>
        <v>0</v>
      </c>
      <c r="AD6" s="10">
        <f>VC!Y57</f>
        <v>0</v>
      </c>
      <c r="AE6" s="10">
        <f>VC!Z57</f>
        <v>0</v>
      </c>
      <c r="AF6" s="10">
        <f>VC!AA57</f>
        <v>0</v>
      </c>
      <c r="AG6" s="10">
        <f>VC!AB57</f>
        <v>0</v>
      </c>
      <c r="AH6" s="10">
        <f>VC!AC57</f>
        <v>0</v>
      </c>
      <c r="AI6" s="10">
        <f>VC!AD57</f>
        <v>0</v>
      </c>
      <c r="AJ6" s="10">
        <f>VC!AE57</f>
        <v>0</v>
      </c>
      <c r="AK6" s="10">
        <f>VC!AF57</f>
        <v>0</v>
      </c>
      <c r="AL6" s="10">
        <f>VC!AG57</f>
        <v>0</v>
      </c>
      <c r="AM6" s="10">
        <f>VC!AH57</f>
        <v>0</v>
      </c>
      <c r="AN6" s="10">
        <f>VC!AI57</f>
        <v>0</v>
      </c>
      <c r="AO6" s="10">
        <f>VC!AJ57</f>
        <v>0</v>
      </c>
      <c r="AP6" s="10">
        <f>VC!AK57</f>
        <v>0</v>
      </c>
      <c r="AQ6" s="10">
        <f>VC!AL57</f>
        <v>0</v>
      </c>
      <c r="AR6" s="10">
        <f>VC!AM57</f>
        <v>0</v>
      </c>
      <c r="AS6" s="10">
        <f>VC!AN57</f>
        <v>0</v>
      </c>
      <c r="AT6" s="10">
        <f>VC!AO57</f>
        <v>0</v>
      </c>
      <c r="AU6" s="10">
        <f>VC!AP57</f>
        <v>0</v>
      </c>
      <c r="AV6" s="10">
        <f>VC!AQ57</f>
        <v>0</v>
      </c>
      <c r="AW6" s="10">
        <f>VC!AR57</f>
        <v>0</v>
      </c>
      <c r="AX6" s="10">
        <f>VC!AS57</f>
        <v>0</v>
      </c>
      <c r="AY6" s="10">
        <f>VC!AT57</f>
        <v>0</v>
      </c>
      <c r="AZ6" s="10">
        <f>VC!AU57</f>
        <v>0</v>
      </c>
      <c r="BA6" s="10">
        <f>VC!AV57</f>
        <v>0</v>
      </c>
      <c r="BB6" s="10">
        <f>VC!AW57</f>
        <v>0</v>
      </c>
      <c r="BC6" s="10">
        <f>VC!AX57</f>
        <v>0</v>
      </c>
      <c r="BD6" s="10">
        <f>VC!AY57</f>
        <v>0</v>
      </c>
      <c r="BE6" s="10">
        <f>VC!AZ57</f>
        <v>0</v>
      </c>
      <c r="BF6" s="10">
        <f>VC!BA57</f>
        <v>0</v>
      </c>
      <c r="BG6" s="10">
        <f>VC!BB57</f>
        <v>0</v>
      </c>
      <c r="BH6" s="10">
        <f>VC!BC57</f>
        <v>0</v>
      </c>
      <c r="BI6" s="10">
        <f>VC!BD57</f>
        <v>0</v>
      </c>
      <c r="BJ6" s="10">
        <f>VC!BE57</f>
        <v>0</v>
      </c>
      <c r="BK6" s="10">
        <f>VC!BF57</f>
        <v>0</v>
      </c>
      <c r="BL6" s="10">
        <f>VC!BG57</f>
        <v>0</v>
      </c>
      <c r="BM6" s="10">
        <f>VC!BH57</f>
        <v>0</v>
      </c>
      <c r="BN6" s="10">
        <f>VC!BI57</f>
        <v>0</v>
      </c>
      <c r="BO6" s="10">
        <f>VC!BJ57</f>
        <v>0</v>
      </c>
      <c r="BP6" s="10">
        <f>VC!BK57</f>
        <v>0</v>
      </c>
      <c r="BQ6" s="10">
        <f>VC!BL57</f>
        <v>0</v>
      </c>
      <c r="BR6" s="10">
        <f>VC!BM57</f>
        <v>0</v>
      </c>
      <c r="BS6" s="10">
        <f>VC!BN57</f>
        <v>0</v>
      </c>
      <c r="BT6" s="10">
        <f>VC!BO57</f>
        <v>0</v>
      </c>
      <c r="BU6" s="10">
        <f>VC!BP57</f>
        <v>0</v>
      </c>
      <c r="BV6" s="10">
        <f>VC!BQ57</f>
        <v>0</v>
      </c>
      <c r="BW6" s="10">
        <f>VC!BR57</f>
        <v>0</v>
      </c>
      <c r="BX6" s="10">
        <f>VC!BS57</f>
        <v>0</v>
      </c>
      <c r="BY6" s="10">
        <f>VC!BT57</f>
        <v>0</v>
      </c>
      <c r="BZ6" s="10">
        <f>VC!BU57</f>
        <v>0</v>
      </c>
      <c r="CA6" s="10">
        <f>VC!BV57</f>
        <v>0</v>
      </c>
      <c r="CB6" s="10">
        <f>VC!BW57</f>
        <v>0</v>
      </c>
      <c r="CC6" s="10">
        <f>VC!BX57</f>
        <v>0</v>
      </c>
      <c r="CD6" s="10">
        <f>VC!BY57</f>
        <v>0</v>
      </c>
      <c r="CE6" s="10">
        <f>VC!BZ57</f>
        <v>0</v>
      </c>
      <c r="CF6" s="10">
        <f>VC!CA57</f>
        <v>0</v>
      </c>
      <c r="CG6" s="10">
        <f>VC!CB57</f>
        <v>0</v>
      </c>
      <c r="CH6" s="10">
        <f>VC!CC57</f>
        <v>0</v>
      </c>
      <c r="CI6" s="10">
        <f>VC!CD57</f>
        <v>0</v>
      </c>
      <c r="CJ6" s="10">
        <f>VC!CE57</f>
        <v>0</v>
      </c>
      <c r="CK6" s="10">
        <f>VC!CF57</f>
        <v>0</v>
      </c>
      <c r="CL6" s="10">
        <f>VC!CG57</f>
        <v>0</v>
      </c>
      <c r="CM6" s="10">
        <f>VC!CH57</f>
        <v>0</v>
      </c>
      <c r="CN6" s="10">
        <f>VC!CI57</f>
        <v>0</v>
      </c>
      <c r="CO6" s="10">
        <f>VC!CJ57</f>
        <v>0</v>
      </c>
      <c r="CP6" s="10">
        <f>VC!CK57</f>
        <v>0</v>
      </c>
      <c r="CQ6" s="10">
        <f>VC!CL57</f>
        <v>0</v>
      </c>
      <c r="CR6" s="10">
        <f>VC!CM57</f>
        <v>0</v>
      </c>
      <c r="CS6" s="10">
        <f>VC!CN57</f>
        <v>0</v>
      </c>
      <c r="CT6" s="10">
        <f>VC!CO57</f>
        <v>0</v>
      </c>
      <c r="CU6" s="10">
        <f>VC!CP57</f>
        <v>0</v>
      </c>
      <c r="CV6" s="10">
        <f>VC!CQ57</f>
        <v>0</v>
      </c>
      <c r="CW6" s="10">
        <f>VC!CR57</f>
        <v>0</v>
      </c>
      <c r="CX6" s="10">
        <f>VC!CS57</f>
        <v>0</v>
      </c>
      <c r="CY6" s="10">
        <f>VC!CT57</f>
        <v>0</v>
      </c>
      <c r="CZ6" s="10">
        <f>VC!CU57</f>
        <v>0</v>
      </c>
      <c r="DA6" s="10">
        <f>VC!CV57</f>
        <v>0</v>
      </c>
      <c r="DB6" s="10">
        <f>VC!CW57</f>
        <v>0</v>
      </c>
      <c r="DC6" s="10">
        <f>VC!CX57</f>
        <v>0</v>
      </c>
      <c r="DD6" s="10">
        <f>VC!CY57</f>
        <v>0</v>
      </c>
      <c r="DE6" s="10">
        <f>VC!CZ57</f>
        <v>0</v>
      </c>
      <c r="DF6" s="10">
        <f>VC!DA57</f>
        <v>0</v>
      </c>
      <c r="DG6" s="10">
        <f>VC!DB57</f>
        <v>0</v>
      </c>
      <c r="DH6" s="10">
        <f>VC!DC57</f>
        <v>0</v>
      </c>
      <c r="DI6" s="10">
        <f>VC!DD57</f>
        <v>0</v>
      </c>
      <c r="DJ6" s="10">
        <f>VC!DE57</f>
        <v>0</v>
      </c>
      <c r="DK6" s="10">
        <f>VC!DF57</f>
        <v>0</v>
      </c>
      <c r="DL6" s="10">
        <f>VC!DG57</f>
        <v>0</v>
      </c>
      <c r="DM6" s="10">
        <f>VC!DH57</f>
        <v>0</v>
      </c>
      <c r="DN6" s="10">
        <f>VC!DI57</f>
        <v>0</v>
      </c>
      <c r="DO6" s="10">
        <f>VC!DJ57</f>
        <v>0</v>
      </c>
      <c r="DP6" s="10">
        <f>VC!DK57</f>
        <v>0</v>
      </c>
      <c r="DQ6" s="10">
        <f>VC!DL57</f>
        <v>0</v>
      </c>
      <c r="DR6" s="10">
        <f>VC!DM57</f>
        <v>0</v>
      </c>
      <c r="DS6" s="10">
        <f>VC!DN57</f>
        <v>0</v>
      </c>
      <c r="DT6" s="10">
        <f>VC!DO57</f>
        <v>0</v>
      </c>
      <c r="DU6" s="10">
        <f>VC!DP57</f>
        <v>0</v>
      </c>
      <c r="DV6" s="10">
        <f>VC!DQ57</f>
        <v>0</v>
      </c>
      <c r="DW6" s="10">
        <f>VC!DR57</f>
        <v>0</v>
      </c>
      <c r="DX6" s="10">
        <f>VC!DS57</f>
        <v>0</v>
      </c>
      <c r="DY6" s="10">
        <f>VC!DT57</f>
        <v>0</v>
      </c>
      <c r="DZ6" s="10">
        <f>VC!DU57</f>
        <v>0</v>
      </c>
      <c r="EA6" s="10">
        <f>VC!DV57</f>
        <v>0</v>
      </c>
      <c r="EB6" s="10">
        <f>VC!DW57</f>
        <v>0</v>
      </c>
      <c r="EC6" s="10">
        <f>VC!DX57</f>
        <v>0</v>
      </c>
      <c r="ED6" s="10">
        <f>VC!DY57</f>
        <v>0</v>
      </c>
      <c r="EE6" s="10">
        <f>VC!DZ57</f>
        <v>0</v>
      </c>
      <c r="EF6" s="10">
        <f>VC!EA57</f>
        <v>0</v>
      </c>
      <c r="EG6" s="10">
        <f>VC!EB57</f>
        <v>0</v>
      </c>
      <c r="EH6" s="10">
        <f>VC!EC57</f>
        <v>0</v>
      </c>
      <c r="EI6" s="10">
        <f>VC!ED57</f>
        <v>0</v>
      </c>
      <c r="EJ6" s="10">
        <f>VC!EE57</f>
        <v>0</v>
      </c>
      <c r="EK6" s="10">
        <f>VC!EF57</f>
        <v>0</v>
      </c>
      <c r="EL6" s="10">
        <f>VC!EG57</f>
        <v>0</v>
      </c>
      <c r="EM6" s="10">
        <f>VC!EH57</f>
        <v>0</v>
      </c>
      <c r="EN6" s="10">
        <f>VC!EI57</f>
        <v>0</v>
      </c>
      <c r="EO6" s="10">
        <f>VC!EJ57</f>
        <v>0</v>
      </c>
      <c r="EP6" s="10">
        <f>VC!EK57</f>
        <v>0</v>
      </c>
      <c r="EQ6" s="10">
        <f>VC!EL57</f>
        <v>0</v>
      </c>
      <c r="ER6" s="10">
        <f>VC!EM57</f>
        <v>0</v>
      </c>
      <c r="ES6" s="10">
        <f>VC!EN57</f>
        <v>0</v>
      </c>
      <c r="ET6" s="10">
        <f>VC!EO57</f>
        <v>0</v>
      </c>
      <c r="EU6" s="10">
        <f>VC!EP57</f>
        <v>0</v>
      </c>
      <c r="EV6" s="10">
        <f>VC!EQ57</f>
        <v>0</v>
      </c>
      <c r="EW6" s="10">
        <f>VC!ER57</f>
        <v>0</v>
      </c>
      <c r="EX6" s="10">
        <f>VC!ES57</f>
        <v>0</v>
      </c>
      <c r="EY6" s="10">
        <f>VC!ET57</f>
        <v>0</v>
      </c>
      <c r="EZ6" s="10">
        <f>VC!EU57</f>
        <v>0</v>
      </c>
      <c r="FA6" s="10">
        <f>VC!EV57</f>
        <v>0</v>
      </c>
      <c r="FB6" s="10">
        <f>VC!EW57</f>
        <v>0</v>
      </c>
      <c r="FC6" s="10">
        <f>VC!EX57</f>
        <v>0</v>
      </c>
      <c r="FD6" s="10">
        <f>VC!EY57</f>
        <v>0</v>
      </c>
      <c r="FF6" s="10">
        <f>VC!FA57</f>
        <v>0</v>
      </c>
      <c r="FG6" s="10">
        <f>VC!FB57</f>
        <v>0</v>
      </c>
      <c r="FH6" s="10">
        <f>VC!FC57</f>
        <v>0</v>
      </c>
      <c r="FI6" s="10">
        <f>VC!FD57</f>
        <v>0</v>
      </c>
      <c r="FJ6" s="10">
        <f>VC!FE57</f>
        <v>0</v>
      </c>
      <c r="FK6" s="10">
        <f>VC!FF57</f>
        <v>0</v>
      </c>
      <c r="FL6" s="10">
        <f>VC!FG57</f>
        <v>0</v>
      </c>
      <c r="FM6" s="10">
        <f>VC!FH57</f>
        <v>0</v>
      </c>
      <c r="FN6" s="10">
        <f>VC!FI57</f>
        <v>0</v>
      </c>
      <c r="FO6" s="10">
        <f>VC!FJ57</f>
        <v>0</v>
      </c>
      <c r="FP6" s="10">
        <f>VC!FK57</f>
        <v>0</v>
      </c>
      <c r="FQ6" s="10">
        <f>VC!FL57</f>
        <v>0</v>
      </c>
      <c r="FR6" s="10">
        <f>VC!FM57</f>
        <v>0</v>
      </c>
      <c r="FS6" s="10">
        <f>VC!FN57</f>
        <v>0</v>
      </c>
      <c r="FT6" s="10">
        <f>VC!FO57</f>
        <v>0</v>
      </c>
      <c r="FU6" s="10">
        <f>VC!FP57</f>
        <v>0</v>
      </c>
      <c r="FV6" s="10">
        <f>VC!FQ57</f>
        <v>0</v>
      </c>
      <c r="FW6" s="10">
        <f>VC!FR57</f>
        <v>0</v>
      </c>
      <c r="FX6" s="10">
        <f>VC!FS57</f>
        <v>0</v>
      </c>
      <c r="FY6" s="10">
        <f>VC!FT57</f>
        <v>0</v>
      </c>
      <c r="FZ6" s="10">
        <f>VC!FU57</f>
        <v>0</v>
      </c>
      <c r="GA6" s="10">
        <f>VC!FV57</f>
        <v>0</v>
      </c>
      <c r="GB6" s="10">
        <f>VC!FW57</f>
        <v>0</v>
      </c>
      <c r="GC6" s="10">
        <f>VC!FX57</f>
        <v>0</v>
      </c>
      <c r="GD6" s="10">
        <f>VC!FY57</f>
        <v>0</v>
      </c>
      <c r="GE6" s="10">
        <f>VC!FZ57</f>
        <v>0</v>
      </c>
      <c r="GF6" s="10">
        <f>VC!GA57</f>
        <v>0</v>
      </c>
      <c r="GG6" s="10">
        <f>VC!GB57</f>
        <v>0</v>
      </c>
      <c r="GH6" s="10">
        <f>VC!GC57</f>
        <v>0</v>
      </c>
      <c r="GI6" s="10">
        <f>VC!GD57</f>
        <v>0</v>
      </c>
      <c r="GJ6" s="10">
        <f>VC!GE57</f>
        <v>0</v>
      </c>
      <c r="GK6" s="10">
        <f>VC!GF57</f>
        <v>0</v>
      </c>
      <c r="GL6" s="10">
        <f>VC!GG57</f>
        <v>0</v>
      </c>
      <c r="GM6" s="10">
        <f>VC!GH57</f>
        <v>0</v>
      </c>
      <c r="GN6" s="10">
        <f>VC!GI57</f>
        <v>0</v>
      </c>
      <c r="GO6" s="10">
        <f>VC!GJ57</f>
        <v>0</v>
      </c>
      <c r="GP6" s="10">
        <f>VC!GK57</f>
        <v>0</v>
      </c>
      <c r="GQ6" s="10">
        <f>VC!GL57</f>
        <v>0</v>
      </c>
      <c r="GR6" s="10">
        <f>VC!GM57</f>
        <v>0</v>
      </c>
      <c r="GS6" s="10">
        <f>VC!GN57</f>
        <v>0</v>
      </c>
      <c r="GT6" s="10">
        <f>VC!GO57</f>
        <v>0</v>
      </c>
      <c r="GU6" s="10">
        <f>VC!GP57</f>
        <v>0</v>
      </c>
      <c r="GV6" s="10">
        <f>VC!GQ57</f>
        <v>0</v>
      </c>
      <c r="GW6" s="10">
        <f>VC!GR57</f>
        <v>0</v>
      </c>
      <c r="GX6" s="10">
        <f>VC!GS57</f>
        <v>0</v>
      </c>
      <c r="GY6" s="10">
        <f>VC!GT57</f>
        <v>0</v>
      </c>
      <c r="GZ6" s="10">
        <f>VC!GU57</f>
        <v>0</v>
      </c>
      <c r="HA6" s="10">
        <f>VC!GV57</f>
        <v>0</v>
      </c>
      <c r="HB6" s="10">
        <f>VC!GW57</f>
        <v>0</v>
      </c>
      <c r="HC6" s="10">
        <f>VC!GX57</f>
        <v>0</v>
      </c>
    </row>
    <row r="7" spans="1:211" s="7" customFormat="1" ht="15.75" hidden="1" customHeight="1" x14ac:dyDescent="0.25">
      <c r="A7" s="7" t="s">
        <v>94</v>
      </c>
      <c r="B7" s="7" t="s">
        <v>102</v>
      </c>
      <c r="C7" s="8" t="s">
        <v>3</v>
      </c>
      <c r="D7" s="7" t="s">
        <v>76</v>
      </c>
      <c r="E7" s="7" t="s">
        <v>1148</v>
      </c>
      <c r="H7" s="7">
        <f>VC!C58</f>
        <v>0</v>
      </c>
      <c r="I7" s="7">
        <f>VC!D58</f>
        <v>0</v>
      </c>
      <c r="J7" s="7">
        <f>VC!E58</f>
        <v>0</v>
      </c>
      <c r="K7" s="7">
        <f>VC!F58</f>
        <v>0</v>
      </c>
      <c r="L7" s="7">
        <f>VC!G58</f>
        <v>0</v>
      </c>
      <c r="M7" s="7">
        <f>VC!H58</f>
        <v>0</v>
      </c>
      <c r="N7" s="7">
        <f>VC!I58</f>
        <v>0</v>
      </c>
      <c r="O7" s="7">
        <f>VC!J58</f>
        <v>0</v>
      </c>
      <c r="P7" s="7">
        <f>VC!K58</f>
        <v>0</v>
      </c>
      <c r="Q7" s="7">
        <f>VC!L58</f>
        <v>0</v>
      </c>
      <c r="R7" s="7">
        <f>VC!M58</f>
        <v>0</v>
      </c>
      <c r="S7" s="7">
        <f>VC!N58</f>
        <v>0</v>
      </c>
      <c r="T7" s="7">
        <f>VC!O58</f>
        <v>0</v>
      </c>
      <c r="U7" s="7">
        <f>VC!P58</f>
        <v>0</v>
      </c>
      <c r="V7" s="7">
        <f>VC!Q58</f>
        <v>0</v>
      </c>
      <c r="W7" s="7">
        <f>VC!R58</f>
        <v>0</v>
      </c>
      <c r="X7" s="7">
        <f>VC!S58</f>
        <v>0</v>
      </c>
      <c r="Y7" s="7">
        <f>VC!T58</f>
        <v>0</v>
      </c>
      <c r="Z7" s="7">
        <f>VC!U58</f>
        <v>0</v>
      </c>
      <c r="AA7" s="7">
        <f>VC!V58</f>
        <v>0</v>
      </c>
      <c r="AB7" s="7">
        <f>VC!W58</f>
        <v>0</v>
      </c>
      <c r="AC7" s="7">
        <f>VC!X58</f>
        <v>0</v>
      </c>
      <c r="AD7" s="7">
        <f>VC!Y58</f>
        <v>0</v>
      </c>
      <c r="AE7" s="7">
        <f>VC!Z58</f>
        <v>0</v>
      </c>
      <c r="AF7" s="7">
        <f>VC!AA58</f>
        <v>0</v>
      </c>
      <c r="AG7" s="7">
        <f>VC!AB58</f>
        <v>0</v>
      </c>
      <c r="AH7" s="7">
        <f>VC!AC58</f>
        <v>0</v>
      </c>
      <c r="AI7" s="7">
        <f>VC!AD58</f>
        <v>0</v>
      </c>
      <c r="AJ7" s="7">
        <f>VC!AE58</f>
        <v>0</v>
      </c>
      <c r="AK7" s="7">
        <f>VC!AF58</f>
        <v>0</v>
      </c>
      <c r="AL7" s="7">
        <f>VC!AG58</f>
        <v>0</v>
      </c>
      <c r="AM7" s="7">
        <f>VC!AH58</f>
        <v>0</v>
      </c>
      <c r="AN7" s="7">
        <f>VC!AI58</f>
        <v>0</v>
      </c>
      <c r="AO7" s="7">
        <f>VC!AJ58</f>
        <v>0</v>
      </c>
      <c r="AP7" s="7">
        <f>VC!AK58</f>
        <v>0</v>
      </c>
      <c r="AQ7" s="7">
        <f>VC!AL58</f>
        <v>0</v>
      </c>
      <c r="AR7" s="7">
        <f>VC!AM58</f>
        <v>0</v>
      </c>
      <c r="AS7" s="7">
        <f>VC!AN58</f>
        <v>0</v>
      </c>
      <c r="AT7" s="7">
        <f>VC!AO58</f>
        <v>0</v>
      </c>
      <c r="AU7" s="7">
        <f>VC!AP58</f>
        <v>0</v>
      </c>
      <c r="AV7" s="7">
        <f>VC!AQ58</f>
        <v>0</v>
      </c>
      <c r="AW7" s="7">
        <f>VC!AR58</f>
        <v>0</v>
      </c>
      <c r="AX7" s="7">
        <f>VC!AS58</f>
        <v>0</v>
      </c>
      <c r="AY7" s="7">
        <f>VC!AT58</f>
        <v>0</v>
      </c>
      <c r="AZ7" s="7">
        <f>VC!AU58</f>
        <v>0</v>
      </c>
      <c r="BA7" s="7">
        <f>VC!AV58</f>
        <v>0</v>
      </c>
      <c r="BB7" s="7">
        <f>VC!AW58</f>
        <v>0</v>
      </c>
      <c r="BC7" s="7">
        <f>VC!AX58</f>
        <v>0</v>
      </c>
      <c r="BD7" s="7">
        <f>VC!AY58</f>
        <v>0</v>
      </c>
      <c r="BE7" s="7">
        <f>VC!AZ58</f>
        <v>0</v>
      </c>
      <c r="BF7" s="7">
        <f>VC!BA58</f>
        <v>0</v>
      </c>
      <c r="BG7" s="7">
        <f>VC!BB58</f>
        <v>0</v>
      </c>
      <c r="BH7" s="7">
        <f>VC!BC58</f>
        <v>0</v>
      </c>
      <c r="BI7" s="7">
        <f>VC!BD58</f>
        <v>0</v>
      </c>
      <c r="BJ7" s="7" t="str">
        <f>VC!BE58</f>
        <v>blaOXA-15</v>
      </c>
      <c r="BK7" s="7">
        <f>VC!BF58</f>
        <v>0</v>
      </c>
      <c r="BL7" s="7">
        <f>VC!BG58</f>
        <v>0</v>
      </c>
      <c r="BM7" s="7">
        <f>VC!BH58</f>
        <v>0</v>
      </c>
      <c r="BN7" s="7">
        <f>VC!BI58</f>
        <v>0</v>
      </c>
      <c r="BO7" s="7">
        <f>VC!BJ58</f>
        <v>0</v>
      </c>
      <c r="BP7" s="7">
        <f>VC!BK58</f>
        <v>0</v>
      </c>
      <c r="BQ7" s="7">
        <f>VC!BL58</f>
        <v>0</v>
      </c>
      <c r="BR7" s="7">
        <f>VC!BM58</f>
        <v>0</v>
      </c>
      <c r="BS7" s="7">
        <f>VC!BN58</f>
        <v>0</v>
      </c>
      <c r="BT7" s="7">
        <f>VC!BO58</f>
        <v>0</v>
      </c>
      <c r="BU7" s="7">
        <f>VC!BP58</f>
        <v>0</v>
      </c>
      <c r="BV7" s="7">
        <f>VC!BQ58</f>
        <v>0</v>
      </c>
      <c r="BW7" s="7">
        <f>VC!BR58</f>
        <v>0</v>
      </c>
      <c r="BX7" s="7">
        <f>VC!BS58</f>
        <v>0</v>
      </c>
      <c r="BY7" s="7">
        <f>VC!BT58</f>
        <v>0</v>
      </c>
      <c r="BZ7" s="7">
        <f>VC!BU58</f>
        <v>0</v>
      </c>
      <c r="CA7" s="7">
        <f>VC!BV58</f>
        <v>0</v>
      </c>
      <c r="CB7" s="7">
        <f>VC!BW58</f>
        <v>0</v>
      </c>
      <c r="CC7" s="7">
        <f>VC!BX58</f>
        <v>0</v>
      </c>
      <c r="CD7" s="7">
        <f>VC!BY58</f>
        <v>0</v>
      </c>
      <c r="CE7" s="7">
        <f>VC!BZ58</f>
        <v>0</v>
      </c>
      <c r="CF7" s="7">
        <f>VC!CA58</f>
        <v>0</v>
      </c>
      <c r="CG7" s="7">
        <f>VC!CB58</f>
        <v>0</v>
      </c>
      <c r="CH7" s="7">
        <f>VC!CC58</f>
        <v>0</v>
      </c>
      <c r="CI7" s="7">
        <f>VC!CD58</f>
        <v>0</v>
      </c>
      <c r="CJ7" s="7">
        <f>VC!CE58</f>
        <v>0</v>
      </c>
      <c r="CK7" s="7">
        <f>VC!CF58</f>
        <v>0</v>
      </c>
      <c r="CL7" s="7">
        <f>VC!CG58</f>
        <v>0</v>
      </c>
      <c r="CM7" s="7" t="str">
        <f>VC!CH58</f>
        <v>blaVIM-1</v>
      </c>
      <c r="CN7" s="7">
        <f>VC!CI58</f>
        <v>0</v>
      </c>
      <c r="CO7" s="7">
        <f>VC!CJ58</f>
        <v>0</v>
      </c>
      <c r="CP7" s="7">
        <f>VC!CK58</f>
        <v>0</v>
      </c>
      <c r="CQ7" s="7">
        <f>VC!CL58</f>
        <v>0</v>
      </c>
      <c r="CR7" s="7">
        <f>VC!CM58</f>
        <v>0</v>
      </c>
      <c r="CS7" s="7">
        <f>VC!CN58</f>
        <v>0</v>
      </c>
      <c r="CT7" s="7">
        <f>VC!CO58</f>
        <v>0</v>
      </c>
      <c r="CU7" s="7">
        <f>VC!CP58</f>
        <v>0</v>
      </c>
      <c r="CV7" s="7">
        <f>VC!CQ58</f>
        <v>0</v>
      </c>
      <c r="CW7" s="7">
        <f>VC!CR58</f>
        <v>0</v>
      </c>
      <c r="CX7" s="7">
        <f>VC!CS58</f>
        <v>0</v>
      </c>
      <c r="CY7" s="7">
        <f>VC!CT58</f>
        <v>0</v>
      </c>
      <c r="CZ7" s="7" t="str">
        <f>VC!CU58</f>
        <v>OXA-2</v>
      </c>
      <c r="DA7" s="7">
        <f>VC!CV58</f>
        <v>0</v>
      </c>
      <c r="DB7" s="7">
        <f>VC!CW58</f>
        <v>0</v>
      </c>
      <c r="DC7" s="7">
        <f>VC!CX58</f>
        <v>0</v>
      </c>
      <c r="DD7" s="7">
        <f>VC!CY58</f>
        <v>0</v>
      </c>
      <c r="DE7" s="7">
        <f>VC!CZ58</f>
        <v>0</v>
      </c>
      <c r="DF7" s="7">
        <f>VC!DA58</f>
        <v>0</v>
      </c>
      <c r="DG7" s="7">
        <f>VC!DB58</f>
        <v>0</v>
      </c>
      <c r="DH7" s="7">
        <f>VC!DC58</f>
        <v>0</v>
      </c>
      <c r="DI7" s="7">
        <f>VC!DD58</f>
        <v>0</v>
      </c>
      <c r="DJ7" s="7">
        <f>VC!DE58</f>
        <v>0</v>
      </c>
      <c r="DK7" s="7" t="str">
        <f>VC!DF58</f>
        <v>blaIMP-1 (K41E)</v>
      </c>
      <c r="DL7" s="7">
        <f>VC!DG58</f>
        <v>0</v>
      </c>
      <c r="DM7" s="7">
        <f>VC!DH58</f>
        <v>0</v>
      </c>
      <c r="DN7" s="7">
        <f>VC!DI58</f>
        <v>0</v>
      </c>
      <c r="DO7" s="7">
        <f>VC!DJ58</f>
        <v>0</v>
      </c>
      <c r="DP7" s="7">
        <f>VC!DK58</f>
        <v>0</v>
      </c>
      <c r="DQ7" s="7">
        <f>VC!DL58</f>
        <v>0</v>
      </c>
      <c r="DR7" s="7">
        <f>VC!DM58</f>
        <v>0</v>
      </c>
      <c r="DS7" s="7">
        <f>VC!DN58</f>
        <v>0</v>
      </c>
      <c r="DT7" s="7">
        <f>VC!DO58</f>
        <v>0</v>
      </c>
      <c r="DU7" s="7">
        <f>VC!DP58</f>
        <v>0</v>
      </c>
      <c r="DV7" s="7">
        <f>VC!DQ58</f>
        <v>0</v>
      </c>
      <c r="DW7" s="7">
        <f>VC!DR58</f>
        <v>0</v>
      </c>
      <c r="DX7" s="7">
        <f>VC!DS58</f>
        <v>0</v>
      </c>
      <c r="DY7" s="7">
        <f>VC!DT58</f>
        <v>0</v>
      </c>
      <c r="DZ7" s="7">
        <f>VC!DU58</f>
        <v>0</v>
      </c>
      <c r="EA7" s="7" t="str">
        <f>VC!DV58</f>
        <v>blaVIM-20</v>
      </c>
      <c r="EB7" s="7">
        <f>VC!DW58</f>
        <v>0</v>
      </c>
      <c r="EC7" s="7">
        <f>VC!DX58</f>
        <v>0</v>
      </c>
      <c r="ED7" s="7">
        <f>VC!DY58</f>
        <v>0</v>
      </c>
      <c r="EE7" s="7" t="str">
        <f>VC!DZ58</f>
        <v>blaVIM-20, blaOXA-210</v>
      </c>
      <c r="EF7" s="7">
        <f>VC!EA58</f>
        <v>0</v>
      </c>
      <c r="EG7" s="7">
        <f>VC!EB58</f>
        <v>0</v>
      </c>
      <c r="EH7" s="7">
        <f>VC!EC58</f>
        <v>0</v>
      </c>
      <c r="EI7" s="7">
        <f>VC!ED58</f>
        <v>0</v>
      </c>
      <c r="EJ7" s="7">
        <f>VC!EE58</f>
        <v>0</v>
      </c>
      <c r="EK7" s="7">
        <f>VC!EF58</f>
        <v>0</v>
      </c>
      <c r="EL7" s="7">
        <f>VC!EG58</f>
        <v>0</v>
      </c>
      <c r="EM7" s="7">
        <f>VC!EH58</f>
        <v>0</v>
      </c>
      <c r="EN7" s="7">
        <f>VC!EI58</f>
        <v>0</v>
      </c>
      <c r="EO7" s="7">
        <f>VC!EJ58</f>
        <v>0</v>
      </c>
      <c r="EP7" s="7">
        <f>VC!EK58</f>
        <v>0</v>
      </c>
      <c r="EQ7" s="7">
        <f>VC!EL58</f>
        <v>0</v>
      </c>
      <c r="ER7" s="7">
        <f>VC!EM58</f>
        <v>0</v>
      </c>
      <c r="ES7" s="7">
        <f>VC!EN58</f>
        <v>0</v>
      </c>
      <c r="ET7" s="7">
        <f>VC!EO58</f>
        <v>0</v>
      </c>
      <c r="EU7" s="7">
        <f>VC!EP58</f>
        <v>0</v>
      </c>
      <c r="EV7" s="7">
        <f>VC!EQ58</f>
        <v>0</v>
      </c>
      <c r="EW7" s="7">
        <f>VC!ER58</f>
        <v>0</v>
      </c>
      <c r="EX7" s="7">
        <f>VC!ES58</f>
        <v>0</v>
      </c>
      <c r="EY7" s="7">
        <f>VC!ET58</f>
        <v>0</v>
      </c>
      <c r="EZ7" s="7">
        <f>VC!EU58</f>
        <v>0</v>
      </c>
      <c r="FA7" s="7">
        <f>VC!EV58</f>
        <v>0</v>
      </c>
      <c r="FB7" s="7">
        <f>VC!EW58</f>
        <v>0</v>
      </c>
      <c r="FC7" s="7">
        <f>VC!EX58</f>
        <v>0</v>
      </c>
      <c r="FD7" s="7">
        <f>VC!EY58</f>
        <v>0</v>
      </c>
      <c r="FE7" s="7">
        <f>VC!EZ58</f>
        <v>0</v>
      </c>
      <c r="FF7" s="7">
        <f>VC!FA58</f>
        <v>0</v>
      </c>
      <c r="FG7" s="7">
        <f>VC!FB58</f>
        <v>0</v>
      </c>
      <c r="FH7" s="7">
        <f>VC!FC58</f>
        <v>0</v>
      </c>
      <c r="FI7" s="7">
        <f>VC!FD58</f>
        <v>0</v>
      </c>
      <c r="FJ7" s="7">
        <f>VC!FE58</f>
        <v>0</v>
      </c>
      <c r="FK7" s="7">
        <f>VC!FF58</f>
        <v>0</v>
      </c>
      <c r="FL7" s="7">
        <f>VC!FG58</f>
        <v>0</v>
      </c>
      <c r="FM7" s="7">
        <f>VC!FH58</f>
        <v>0</v>
      </c>
      <c r="FN7" s="7">
        <f>VC!FI58</f>
        <v>0</v>
      </c>
      <c r="FO7" s="7">
        <f>VC!FJ58</f>
        <v>0</v>
      </c>
      <c r="FP7" s="7">
        <f>VC!FK58</f>
        <v>0</v>
      </c>
      <c r="FQ7" s="7">
        <f>VC!FL58</f>
        <v>0</v>
      </c>
      <c r="FR7" s="7">
        <f>VC!FM58</f>
        <v>0</v>
      </c>
      <c r="FS7" s="7">
        <f>VC!FN58</f>
        <v>0</v>
      </c>
      <c r="FT7" s="7">
        <f>VC!FO58</f>
        <v>0</v>
      </c>
      <c r="FU7" s="7">
        <f>VC!FP58</f>
        <v>0</v>
      </c>
      <c r="FV7" s="7">
        <f>VC!FQ58</f>
        <v>0</v>
      </c>
      <c r="FW7" s="7">
        <f>VC!FR58</f>
        <v>0</v>
      </c>
      <c r="FX7" s="7">
        <f>VC!FS58</f>
        <v>0</v>
      </c>
      <c r="FY7" s="7">
        <f>VC!FT58</f>
        <v>0</v>
      </c>
      <c r="FZ7" s="7">
        <f>VC!FU58</f>
        <v>0</v>
      </c>
      <c r="GA7" s="7" t="str">
        <f>VC!FV58</f>
        <v>blaGES-5</v>
      </c>
      <c r="GB7" s="7">
        <f>VC!FW58</f>
        <v>0</v>
      </c>
      <c r="GC7" s="7">
        <f>VC!FX58</f>
        <v>0</v>
      </c>
      <c r="GD7" s="7">
        <f>VC!FY58</f>
        <v>0</v>
      </c>
      <c r="GE7" s="7">
        <f>VC!FZ58</f>
        <v>0</v>
      </c>
      <c r="GF7" s="7">
        <f>VC!GA58</f>
        <v>0</v>
      </c>
      <c r="GG7" s="7">
        <f>VC!GB58</f>
        <v>0</v>
      </c>
      <c r="GH7" s="7">
        <f>VC!GC58</f>
        <v>0</v>
      </c>
      <c r="GI7" s="7">
        <f>VC!GD58</f>
        <v>0</v>
      </c>
      <c r="GJ7" s="7">
        <f>VC!GE58</f>
        <v>0</v>
      </c>
      <c r="GK7" s="7">
        <f>VC!GF58</f>
        <v>0</v>
      </c>
      <c r="GL7" s="7">
        <f>VC!GG58</f>
        <v>0</v>
      </c>
      <c r="GM7" s="7">
        <f>VC!GH58</f>
        <v>0</v>
      </c>
      <c r="GN7" s="7">
        <f>VC!GI58</f>
        <v>0</v>
      </c>
      <c r="GO7" s="7">
        <f>VC!GJ58</f>
        <v>0</v>
      </c>
      <c r="GP7" s="7">
        <f>VC!GK58</f>
        <v>0</v>
      </c>
      <c r="GQ7" s="7">
        <f>VC!GL58</f>
        <v>0</v>
      </c>
      <c r="GR7" s="7">
        <f>VC!GM58</f>
        <v>0</v>
      </c>
      <c r="GS7" s="7">
        <f>VC!GN58</f>
        <v>0</v>
      </c>
      <c r="GT7" s="7">
        <f>VC!GO58</f>
        <v>0</v>
      </c>
      <c r="GU7" s="7">
        <f>VC!GP58</f>
        <v>0</v>
      </c>
      <c r="GV7" s="7">
        <f>VC!GQ58</f>
        <v>0</v>
      </c>
      <c r="GW7" s="7">
        <f>VC!GR58</f>
        <v>0</v>
      </c>
      <c r="GX7" s="7">
        <f>VC!GS58</f>
        <v>0</v>
      </c>
      <c r="GY7" s="7">
        <f>VC!GT58</f>
        <v>0</v>
      </c>
      <c r="GZ7" s="7">
        <f>VC!GU58</f>
        <v>0</v>
      </c>
      <c r="HA7" s="7">
        <f>VC!GV58</f>
        <v>0</v>
      </c>
      <c r="HB7" s="7">
        <f>VC!GW58</f>
        <v>0</v>
      </c>
      <c r="HC7" s="7">
        <f>VC!GX58</f>
        <v>0</v>
      </c>
    </row>
    <row r="8" spans="1:211" s="1" customFormat="1" ht="15.75" hidden="1" customHeight="1" thickBot="1" x14ac:dyDescent="0.3">
      <c r="A8" s="1" t="s">
        <v>62</v>
      </c>
      <c r="B8" s="1" t="s">
        <v>63</v>
      </c>
      <c r="C8" s="4" t="s">
        <v>4</v>
      </c>
      <c r="D8" s="5" t="s">
        <v>76</v>
      </c>
      <c r="E8" s="95">
        <v>1</v>
      </c>
      <c r="F8" s="1" t="s">
        <v>73</v>
      </c>
      <c r="G8" s="1" t="s">
        <v>135</v>
      </c>
      <c r="H8" s="1">
        <f>VC_NEW!C2</f>
        <v>0</v>
      </c>
      <c r="I8" s="1">
        <f>VC_NEW!D2</f>
        <v>0</v>
      </c>
      <c r="J8" s="1">
        <f>VC_NEW!E2</f>
        <v>0</v>
      </c>
      <c r="K8" s="1">
        <f>VC_NEW!F2</f>
        <v>0</v>
      </c>
      <c r="L8" s="1">
        <f>VC_NEW!G2</f>
        <v>0</v>
      </c>
      <c r="M8" s="1">
        <f>VC_NEW!H2</f>
        <v>0</v>
      </c>
      <c r="N8" s="1" t="str">
        <f>VC_NEW!I2</f>
        <v>E468D</v>
      </c>
      <c r="O8" s="1">
        <f>VC_NEW!J2</f>
        <v>0</v>
      </c>
      <c r="P8" s="1">
        <f>VC_NEW!K2</f>
        <v>0</v>
      </c>
      <c r="Q8" s="1">
        <f>VC_NEW!L2</f>
        <v>0</v>
      </c>
      <c r="R8" s="1">
        <f>VC_NEW!M2</f>
        <v>0</v>
      </c>
      <c r="S8" s="1">
        <f>VC_NEW!N2</f>
        <v>0</v>
      </c>
      <c r="T8" s="1">
        <f>VC_NEW!O2</f>
        <v>0</v>
      </c>
      <c r="U8" s="1">
        <f>VC_NEW!P2</f>
        <v>0</v>
      </c>
      <c r="V8" s="1">
        <f>VC_NEW!Q2</f>
        <v>0</v>
      </c>
      <c r="W8" s="1">
        <f>VC_NEW!R2</f>
        <v>0</v>
      </c>
      <c r="X8" s="1">
        <f>VC_NEW!S2</f>
        <v>0</v>
      </c>
      <c r="Y8" s="1">
        <f>VC_NEW!T2</f>
        <v>0</v>
      </c>
      <c r="Z8" s="1">
        <f>VC_NEW!U2</f>
        <v>0</v>
      </c>
      <c r="AA8" s="1">
        <f>VC_NEW!V2</f>
        <v>0</v>
      </c>
      <c r="AB8" s="1">
        <f>VC_NEW!W2</f>
        <v>0</v>
      </c>
      <c r="AC8" s="1">
        <f>VC_NEW!X2</f>
        <v>0</v>
      </c>
      <c r="AD8" s="1">
        <f>VC_NEW!Y2</f>
        <v>0</v>
      </c>
      <c r="AE8" s="1">
        <f>VC_NEW!Z2</f>
        <v>0</v>
      </c>
      <c r="AF8" s="1">
        <f>VC_NEW!AA2</f>
        <v>0</v>
      </c>
      <c r="AG8" s="1">
        <f>VC_NEW!AB2</f>
        <v>0</v>
      </c>
      <c r="AH8" s="1">
        <f>VC_NEW!AC2</f>
        <v>0</v>
      </c>
      <c r="AI8" s="1">
        <f>VC_NEW!AD2</f>
        <v>0</v>
      </c>
      <c r="AJ8" s="1">
        <f>VC_NEW!AE2</f>
        <v>0</v>
      </c>
      <c r="AK8" s="1" t="str">
        <f>VC_NEW!AF2</f>
        <v>S466F</v>
      </c>
      <c r="AL8" s="1">
        <f>VC_NEW!AG2</f>
        <v>0</v>
      </c>
      <c r="AM8" s="1">
        <f>VC_NEW!AH2</f>
        <v>0</v>
      </c>
      <c r="AN8" s="1">
        <f>VC_NEW!AI2</f>
        <v>0</v>
      </c>
      <c r="AO8" s="1">
        <f>VC_NEW!AJ2</f>
        <v>0</v>
      </c>
      <c r="AP8" s="1">
        <f>VC_NEW!AK2</f>
        <v>0</v>
      </c>
      <c r="AQ8" s="1">
        <f>VC_NEW!AL2</f>
        <v>0</v>
      </c>
      <c r="AR8" s="1">
        <f>VC_NEW!AM2</f>
        <v>0</v>
      </c>
      <c r="AS8" s="1">
        <f>VC_NEW!AN2</f>
        <v>0</v>
      </c>
      <c r="AT8" s="1">
        <f>VC_NEW!AO2</f>
        <v>0</v>
      </c>
      <c r="AU8" s="1">
        <f>VC_NEW!AP2</f>
        <v>0</v>
      </c>
      <c r="AV8" s="1">
        <f>VC_NEW!AQ2</f>
        <v>0</v>
      </c>
      <c r="AW8" s="1">
        <f>VC_NEW!AR2</f>
        <v>0</v>
      </c>
      <c r="AX8" s="1">
        <f>VC_NEW!AS2</f>
        <v>0</v>
      </c>
      <c r="AY8" s="1">
        <f>VC_NEW!AT2</f>
        <v>0</v>
      </c>
      <c r="AZ8" s="1">
        <f>VC_NEW!AU2</f>
        <v>0</v>
      </c>
      <c r="BA8" s="1">
        <f>VC_NEW!AV2</f>
        <v>0</v>
      </c>
      <c r="BB8" s="1">
        <f>VC_NEW!AW2</f>
        <v>0</v>
      </c>
      <c r="BC8" s="1">
        <f>VC_NEW!AX2</f>
        <v>0</v>
      </c>
      <c r="BD8" s="1">
        <f>VC_NEW!AY2</f>
        <v>0</v>
      </c>
      <c r="BE8" s="1">
        <f>VC_NEW!AZ2</f>
        <v>0</v>
      </c>
      <c r="BF8" s="1">
        <f>VC_NEW!BA2</f>
        <v>0</v>
      </c>
      <c r="BG8" s="1">
        <f>VC_NEW!BB2</f>
        <v>0</v>
      </c>
      <c r="BH8" s="1">
        <f>VC_NEW!BC2</f>
        <v>0</v>
      </c>
      <c r="BI8" s="1">
        <f>VC_NEW!BD2</f>
        <v>0</v>
      </c>
      <c r="BJ8" s="1" t="str">
        <f>VC_NEW!BE2</f>
        <v>S466Y</v>
      </c>
      <c r="BK8" s="1">
        <f>VC_NEW!BF2</f>
        <v>0</v>
      </c>
      <c r="BL8" s="1">
        <f>VC_NEW!BG2</f>
        <v>0</v>
      </c>
      <c r="BM8" s="1">
        <f>VC_NEW!BH2</f>
        <v>0</v>
      </c>
      <c r="BN8" s="1">
        <f>VC_NEW!BI2</f>
        <v>0</v>
      </c>
      <c r="BO8" s="1">
        <f>VC_NEW!BJ2</f>
        <v>0</v>
      </c>
      <c r="BP8" s="1">
        <f>VC_NEW!BK2</f>
        <v>0</v>
      </c>
      <c r="BQ8" s="1">
        <f>VC_NEW!BL2</f>
        <v>0</v>
      </c>
      <c r="BR8" s="1">
        <f>VC_NEW!BM2</f>
        <v>0</v>
      </c>
      <c r="BS8" s="1">
        <f>VC_NEW!BN2</f>
        <v>0</v>
      </c>
      <c r="BT8" s="1">
        <f>VC_NEW!BO2</f>
        <v>0</v>
      </c>
      <c r="BU8" s="1">
        <f>VC_NEW!BP2</f>
        <v>0</v>
      </c>
      <c r="BV8" s="1">
        <f>VC_NEW!BQ2</f>
        <v>0</v>
      </c>
      <c r="BW8" s="1">
        <f>VC_NEW!BR2</f>
        <v>0</v>
      </c>
      <c r="BX8" s="1">
        <f>VC_NEW!BS2</f>
        <v>0</v>
      </c>
      <c r="BY8" s="1">
        <f>VC_NEW!BT2</f>
        <v>0</v>
      </c>
      <c r="BZ8" s="1">
        <f>VC_NEW!BU2</f>
        <v>0</v>
      </c>
      <c r="CA8" s="1">
        <f>VC_NEW!BV2</f>
        <v>0</v>
      </c>
      <c r="CB8" s="1">
        <f>VC_NEW!BW2</f>
        <v>0</v>
      </c>
      <c r="CC8" s="1">
        <f>VC_NEW!BX2</f>
        <v>0</v>
      </c>
      <c r="CD8" s="1">
        <f>VC_NEW!BY2</f>
        <v>0</v>
      </c>
      <c r="CE8" s="1">
        <f>VC_NEW!BZ2</f>
        <v>0</v>
      </c>
      <c r="CF8" s="1">
        <f>VC_NEW!CA2</f>
        <v>0</v>
      </c>
      <c r="CG8" s="1">
        <f>VC_NEW!CB2</f>
        <v>0</v>
      </c>
      <c r="CH8" s="1">
        <f>VC_NEW!CC2</f>
        <v>0</v>
      </c>
      <c r="CI8" s="1">
        <f>VC_NEW!CD2</f>
        <v>0</v>
      </c>
      <c r="CJ8" s="1">
        <f>VC_NEW!CE2</f>
        <v>0</v>
      </c>
      <c r="CK8" s="1">
        <f>VC_NEW!CF2</f>
        <v>0</v>
      </c>
      <c r="CL8" s="1">
        <f>VC_NEW!CG2</f>
        <v>0</v>
      </c>
      <c r="CM8" s="1">
        <f>VC_NEW!CH2</f>
        <v>0</v>
      </c>
      <c r="CN8" s="1">
        <f>VC_NEW!CI2</f>
        <v>0</v>
      </c>
      <c r="CO8" s="1">
        <f>VC_NEW!CJ2</f>
        <v>0</v>
      </c>
      <c r="CP8" s="1">
        <f>VC_NEW!CK2</f>
        <v>0</v>
      </c>
      <c r="CQ8" s="1">
        <f>VC_NEW!CL2</f>
        <v>0</v>
      </c>
      <c r="CR8" s="1">
        <f>VC_NEW!CM2</f>
        <v>0</v>
      </c>
      <c r="CS8" s="1" t="str">
        <f>VC_NEW!CN2</f>
        <v>E468D</v>
      </c>
      <c r="CT8" s="1">
        <f>VC_NEW!CO2</f>
        <v>0</v>
      </c>
      <c r="CU8" s="1">
        <f>VC_NEW!CP2</f>
        <v>0</v>
      </c>
      <c r="CV8" s="1">
        <f>VC_NEW!CQ2</f>
        <v>0</v>
      </c>
      <c r="CW8" s="1">
        <f>VC_NEW!CR2</f>
        <v>0</v>
      </c>
      <c r="CX8" s="1">
        <f>VC_NEW!CS2</f>
        <v>0</v>
      </c>
      <c r="CY8" s="1">
        <f>VC_NEW!CT2</f>
        <v>0</v>
      </c>
      <c r="CZ8" s="1">
        <f>VC_NEW!CU2</f>
        <v>0</v>
      </c>
      <c r="DA8" s="1">
        <f>VC_NEW!CV2</f>
        <v>0</v>
      </c>
      <c r="DB8" s="1">
        <f>VC_NEW!CW2</f>
        <v>0</v>
      </c>
      <c r="DC8" s="1">
        <f>VC_NEW!CX2</f>
        <v>0</v>
      </c>
      <c r="DD8" s="1">
        <f>VC_NEW!CY2</f>
        <v>0</v>
      </c>
      <c r="DE8" s="1">
        <f>VC_NEW!CZ2</f>
        <v>0</v>
      </c>
      <c r="DF8" s="1">
        <f>VC_NEW!DA2</f>
        <v>0</v>
      </c>
      <c r="DG8" s="1">
        <f>VC_NEW!DB2</f>
        <v>0</v>
      </c>
      <c r="DH8" s="1">
        <f>VC_NEW!DC2</f>
        <v>0</v>
      </c>
      <c r="DI8" s="1">
        <f>VC_NEW!DD2</f>
        <v>0</v>
      </c>
      <c r="DJ8" s="1">
        <f>VC_NEW!DE2</f>
        <v>0</v>
      </c>
      <c r="DK8" s="1">
        <f>VC_NEW!DF2</f>
        <v>0</v>
      </c>
      <c r="DL8" s="1">
        <f>VC_NEW!DG2</f>
        <v>0</v>
      </c>
      <c r="DM8" s="1">
        <f>VC_NEW!DH2</f>
        <v>0</v>
      </c>
      <c r="DN8" s="1">
        <f>VC_NEW!DI2</f>
        <v>0</v>
      </c>
      <c r="DO8" s="1">
        <f>VC_NEW!DJ2</f>
        <v>0</v>
      </c>
      <c r="DP8" s="1">
        <f>VC_NEW!DK2</f>
        <v>0</v>
      </c>
      <c r="DQ8" s="1">
        <f>VC_NEW!DL2</f>
        <v>0</v>
      </c>
      <c r="DR8" s="1" t="str">
        <f>VC_NEW!DM2</f>
        <v>S466Y</v>
      </c>
      <c r="DS8" s="1">
        <f>VC_NEW!DN2</f>
        <v>0</v>
      </c>
      <c r="DT8" s="1">
        <f>VC_NEW!DO2</f>
        <v>0</v>
      </c>
      <c r="DU8" s="1" t="str">
        <f>VC_NEW!DP2</f>
        <v>E468D</v>
      </c>
      <c r="DV8" s="1">
        <f>VC_NEW!DQ2</f>
        <v>0</v>
      </c>
      <c r="DW8" s="1" t="str">
        <f>VC_NEW!DR2</f>
        <v>E468D</v>
      </c>
      <c r="DX8" s="1">
        <f>VC_NEW!DS2</f>
        <v>0</v>
      </c>
      <c r="DY8" s="1">
        <f>VC_NEW!DT2</f>
        <v>0</v>
      </c>
      <c r="DZ8" s="1">
        <f>VC_NEW!DU2</f>
        <v>0</v>
      </c>
      <c r="EA8" s="1">
        <f>VC_NEW!DV2</f>
        <v>0</v>
      </c>
      <c r="EB8" s="1">
        <f>VC_NEW!DW2</f>
        <v>0</v>
      </c>
      <c r="EC8" s="1">
        <f>VC_NEW!DX2</f>
        <v>0</v>
      </c>
      <c r="ED8" s="1" t="str">
        <f>VC_NEW!DY2</f>
        <v>S466F</v>
      </c>
      <c r="EE8" s="1">
        <f>VC_NEW!DZ2</f>
        <v>0</v>
      </c>
      <c r="EF8" s="1">
        <f>VC_NEW!EA2</f>
        <v>0</v>
      </c>
      <c r="EG8" s="1">
        <f>VC_NEW!EB2</f>
        <v>0</v>
      </c>
      <c r="EH8" s="1">
        <f>VC_NEW!EC2</f>
        <v>0</v>
      </c>
      <c r="EI8" s="1">
        <f>VC_NEW!ED2</f>
        <v>0</v>
      </c>
      <c r="EJ8" s="1">
        <f>VC_NEW!EE2</f>
        <v>0</v>
      </c>
      <c r="EK8" s="1">
        <f>VC_NEW!EF2</f>
        <v>0</v>
      </c>
      <c r="EL8" s="1" t="str">
        <f>VC_NEW!EG2</f>
        <v>S466Y</v>
      </c>
      <c r="EM8" s="1">
        <f>VC_NEW!EH2</f>
        <v>0</v>
      </c>
      <c r="EN8" s="1">
        <f>VC_NEW!EI2</f>
        <v>0</v>
      </c>
      <c r="EO8" s="1">
        <f>VC_NEW!EJ2</f>
        <v>0</v>
      </c>
      <c r="EP8" s="1">
        <f>VC_NEW!EK2</f>
        <v>0</v>
      </c>
      <c r="EQ8" s="1">
        <f>VC_NEW!EL2</f>
        <v>0</v>
      </c>
      <c r="ER8" s="1">
        <f>VC_NEW!EM2</f>
        <v>0</v>
      </c>
      <c r="ES8" s="1">
        <f>VC_NEW!EN2</f>
        <v>0</v>
      </c>
      <c r="ET8" s="1">
        <f>VC_NEW!EO2</f>
        <v>0</v>
      </c>
      <c r="EU8" s="1">
        <f>VC_NEW!EP2</f>
        <v>0</v>
      </c>
      <c r="EV8" s="1">
        <f>VC_NEW!EQ2</f>
        <v>0</v>
      </c>
      <c r="EW8" s="1">
        <f>VC_NEW!ER2</f>
        <v>0</v>
      </c>
      <c r="EX8" s="1">
        <f>VC_NEW!ES2</f>
        <v>0</v>
      </c>
      <c r="EY8" s="1">
        <f>VC_NEW!ET2</f>
        <v>0</v>
      </c>
      <c r="EZ8" s="1">
        <f>VC_NEW!EU2</f>
        <v>0</v>
      </c>
      <c r="FA8" s="1">
        <f>VC_NEW!EV2</f>
        <v>0</v>
      </c>
      <c r="FB8" s="1" t="str">
        <f>VC_NEW!EW2</f>
        <v>S466F</v>
      </c>
      <c r="FC8" s="1">
        <f>VC_NEW!EX2</f>
        <v>0</v>
      </c>
      <c r="FD8" s="1">
        <f>VC_NEW!EY2</f>
        <v>0</v>
      </c>
      <c r="FE8" s="1" t="str">
        <f>VC_NEW!EZ2</f>
        <v>E468D</v>
      </c>
      <c r="FF8" s="1">
        <f>VC_NEW!FA2</f>
        <v>0</v>
      </c>
      <c r="FG8" s="1">
        <f>VC_NEW!FB2</f>
        <v>0</v>
      </c>
      <c r="FH8" s="1">
        <f>VC_NEW!FC2</f>
        <v>0</v>
      </c>
      <c r="FI8" s="1">
        <f>VC_NEW!FD2</f>
        <v>0</v>
      </c>
      <c r="FJ8" s="1">
        <f>VC_NEW!FE2</f>
        <v>0</v>
      </c>
      <c r="FK8" s="1">
        <f>VC_NEW!FF2</f>
        <v>0</v>
      </c>
      <c r="FL8" s="1">
        <f>VC_NEW!FG2</f>
        <v>0</v>
      </c>
      <c r="FM8" s="1">
        <f>VC_NEW!FH2</f>
        <v>0</v>
      </c>
      <c r="FN8" s="1">
        <f>VC_NEW!FI2</f>
        <v>0</v>
      </c>
      <c r="FO8" s="1">
        <f>VC_NEW!FJ2</f>
        <v>0</v>
      </c>
      <c r="FP8" s="1">
        <f>VC_NEW!FK2</f>
        <v>0</v>
      </c>
      <c r="FQ8" s="1">
        <f>VC_NEW!FL2</f>
        <v>0</v>
      </c>
      <c r="FR8" s="1">
        <f>VC_NEW!FM2</f>
        <v>0</v>
      </c>
      <c r="FS8" s="1">
        <f>VC_NEW!FN2</f>
        <v>0</v>
      </c>
      <c r="FT8" s="1">
        <f>VC_NEW!FO2</f>
        <v>0</v>
      </c>
      <c r="FU8" s="1" t="str">
        <f>VC_NEW!FP2</f>
        <v>E468D</v>
      </c>
      <c r="FV8" s="1">
        <f>VC_NEW!FQ2</f>
        <v>0</v>
      </c>
      <c r="FW8" s="1">
        <f>VC_NEW!FR2</f>
        <v>0</v>
      </c>
      <c r="FX8" s="1">
        <f>VC_NEW!FS2</f>
        <v>0</v>
      </c>
      <c r="FY8" s="1">
        <f>VC_NEW!FT2</f>
        <v>0</v>
      </c>
      <c r="FZ8" s="1">
        <f>VC_NEW!FU2</f>
        <v>0</v>
      </c>
      <c r="GA8" s="1">
        <f>VC_NEW!FV2</f>
        <v>0</v>
      </c>
      <c r="GB8" s="1" t="str">
        <f>VC_NEW!FW2</f>
        <v>E468D</v>
      </c>
      <c r="GC8" s="1">
        <f>VC_NEW!FX2</f>
        <v>0</v>
      </c>
      <c r="GD8" s="1">
        <f>VC_NEW!FY2</f>
        <v>0</v>
      </c>
      <c r="GE8" s="1">
        <f>VC_NEW!FZ2</f>
        <v>0</v>
      </c>
      <c r="GF8" s="1">
        <f>VC_NEW!GA2</f>
        <v>0</v>
      </c>
      <c r="GG8" s="1">
        <f>VC_NEW!GB2</f>
        <v>0</v>
      </c>
      <c r="GH8" s="1">
        <f>VC_NEW!GC2</f>
        <v>0</v>
      </c>
      <c r="GI8" s="1">
        <f>VC_NEW!GD2</f>
        <v>0</v>
      </c>
      <c r="GJ8" s="1">
        <f>VC_NEW!GE2</f>
        <v>0</v>
      </c>
      <c r="GK8" s="1">
        <f>VC_NEW!GF2</f>
        <v>0</v>
      </c>
      <c r="GL8" s="1" t="str">
        <f>VC_NEW!GG2</f>
        <v>S466F</v>
      </c>
      <c r="GM8" s="1">
        <f>VC_NEW!GH2</f>
        <v>0</v>
      </c>
      <c r="GN8" s="1">
        <f>VC_NEW!GI2</f>
        <v>0</v>
      </c>
      <c r="GO8" s="1">
        <f>VC_NEW!GJ2</f>
        <v>0</v>
      </c>
      <c r="GP8" s="1">
        <f>VC_NEW!GK2</f>
        <v>0</v>
      </c>
      <c r="GQ8" s="1">
        <f>VC_NEW!GL2</f>
        <v>0</v>
      </c>
      <c r="GR8" s="1">
        <f>VC_NEW!GM2</f>
        <v>0</v>
      </c>
      <c r="GS8" s="1">
        <f>VC_NEW!GN2</f>
        <v>0</v>
      </c>
      <c r="GT8" s="1">
        <f>VC_NEW!GO2</f>
        <v>0</v>
      </c>
      <c r="GU8" s="1">
        <f>VC_NEW!GP2</f>
        <v>0</v>
      </c>
      <c r="GV8" s="1">
        <f>VC_NEW!GQ2</f>
        <v>0</v>
      </c>
      <c r="GW8" s="1">
        <f>VC_NEW!GR2</f>
        <v>0</v>
      </c>
      <c r="GX8" s="1">
        <f>VC_NEW!GS2</f>
        <v>0</v>
      </c>
      <c r="GY8" s="1">
        <f>VC_NEW!GT2</f>
        <v>0</v>
      </c>
      <c r="GZ8" s="1">
        <f>VC_NEW!GU2</f>
        <v>0</v>
      </c>
      <c r="HA8" s="1">
        <f>VC_NEW!GV2</f>
        <v>0</v>
      </c>
      <c r="HB8" s="1">
        <f>VC_NEW!GW2</f>
        <v>0</v>
      </c>
      <c r="HC8" s="1">
        <f>VC_NEW!GX2</f>
        <v>0</v>
      </c>
    </row>
    <row r="9" spans="1:211" s="7" customFormat="1" ht="15" customHeight="1" thickBot="1" x14ac:dyDescent="0.3">
      <c r="A9" s="32" t="s">
        <v>5</v>
      </c>
      <c r="B9" s="33" t="s">
        <v>6</v>
      </c>
      <c r="C9" s="34" t="s">
        <v>1</v>
      </c>
      <c r="D9" s="33" t="s">
        <v>76</v>
      </c>
      <c r="E9" s="37" t="s">
        <v>138</v>
      </c>
      <c r="F9" s="33" t="s">
        <v>74</v>
      </c>
      <c r="G9" s="35" t="s">
        <v>136</v>
      </c>
      <c r="H9" s="7">
        <f>VC_NEW!C4</f>
        <v>0</v>
      </c>
      <c r="I9" s="7">
        <f>VC_NEW!D4</f>
        <v>0</v>
      </c>
      <c r="J9" s="7">
        <f>VC_NEW!E4</f>
        <v>0</v>
      </c>
      <c r="K9" s="7">
        <f>VC_NEW!F4</f>
        <v>0</v>
      </c>
      <c r="L9" s="7">
        <f>VC_NEW!G4</f>
        <v>0</v>
      </c>
      <c r="M9" s="7">
        <f>VC_NEW!H4</f>
        <v>0</v>
      </c>
      <c r="N9" s="7">
        <f>VC_NEW!I4</f>
        <v>0</v>
      </c>
      <c r="O9" s="7">
        <f>VC_NEW!J4</f>
        <v>0</v>
      </c>
      <c r="P9" s="7">
        <f>VC_NEW!K4</f>
        <v>0</v>
      </c>
      <c r="Q9" s="7">
        <f>VC_NEW!L4</f>
        <v>0</v>
      </c>
      <c r="R9" s="7">
        <f>VC_NEW!M4</f>
        <v>0</v>
      </c>
      <c r="S9" s="7">
        <f>VC_NEW!N4</f>
        <v>0</v>
      </c>
      <c r="T9" s="7">
        <f>VC_NEW!O4</f>
        <v>0</v>
      </c>
      <c r="U9" s="7">
        <f>VC_NEW!P4</f>
        <v>0</v>
      </c>
      <c r="V9" s="7">
        <f>VC_NEW!Q4</f>
        <v>0</v>
      </c>
      <c r="W9" s="7">
        <f>VC_NEW!R4</f>
        <v>0</v>
      </c>
      <c r="X9" s="7">
        <f>VC_NEW!S4</f>
        <v>0</v>
      </c>
      <c r="Y9" s="7">
        <f>VC_NEW!T4</f>
        <v>0</v>
      </c>
      <c r="Z9" s="7">
        <f>VC_NEW!U4</f>
        <v>0</v>
      </c>
      <c r="AA9" s="7">
        <f>VC_NEW!V4</f>
        <v>0</v>
      </c>
      <c r="AB9" s="7" t="str">
        <f>VC_NEW!W4</f>
        <v>S92N</v>
      </c>
      <c r="AC9" s="7" t="str">
        <f>VC_NEW!X4</f>
        <v>aa11∆4</v>
      </c>
      <c r="AD9" s="7">
        <f>VC_NEW!Y4</f>
        <v>0</v>
      </c>
      <c r="AE9" s="7">
        <f>VC_NEW!Z4</f>
        <v>0</v>
      </c>
      <c r="AF9" s="7">
        <f>VC_NEW!AA4</f>
        <v>0</v>
      </c>
      <c r="AG9" s="7">
        <f>VC_NEW!AB4</f>
        <v>0</v>
      </c>
      <c r="AH9" s="7">
        <f>VC_NEW!AC4</f>
        <v>0</v>
      </c>
      <c r="AI9" s="7">
        <f>VC_NEW!AD4</f>
        <v>0</v>
      </c>
      <c r="AJ9" s="7">
        <f>VC_NEW!AE4</f>
        <v>0</v>
      </c>
      <c r="AK9" s="7" t="str">
        <f>VC_NEW!AF4</f>
        <v>L102P</v>
      </c>
      <c r="AL9" s="7">
        <f>VC_NEW!AG4</f>
        <v>0</v>
      </c>
      <c r="AM9" s="7">
        <f>VC_NEW!AH4</f>
        <v>0</v>
      </c>
      <c r="AN9" s="7">
        <f>VC_NEW!AI4</f>
        <v>0</v>
      </c>
      <c r="AO9" s="7" t="str">
        <f>VC_NEW!AJ4</f>
        <v>nt402∆11</v>
      </c>
      <c r="AP9" s="7">
        <f>VC_NEW!AK4</f>
        <v>0</v>
      </c>
      <c r="AQ9" s="7">
        <f>VC_NEW!AL4</f>
        <v>0</v>
      </c>
      <c r="AR9" s="7">
        <f>VC_NEW!AM4</f>
        <v>0</v>
      </c>
      <c r="AS9" s="7">
        <f>VC_NEW!AN4</f>
        <v>0</v>
      </c>
      <c r="AT9" s="7">
        <f>VC_NEW!AO4</f>
        <v>0</v>
      </c>
      <c r="AU9" s="7">
        <f>VC_NEW!AP4</f>
        <v>0</v>
      </c>
      <c r="AV9" s="7">
        <f>VC_NEW!AQ4</f>
        <v>0</v>
      </c>
      <c r="AW9" s="7">
        <f>VC_NEW!AR4</f>
        <v>0</v>
      </c>
      <c r="AX9" s="7">
        <f>VC_NEW!AS4</f>
        <v>0</v>
      </c>
      <c r="AY9" s="7">
        <f>VC_NEW!AT4</f>
        <v>0</v>
      </c>
      <c r="AZ9" s="7">
        <f>VC_NEW!AU4</f>
        <v>0</v>
      </c>
      <c r="BA9" s="7">
        <f>VC_NEW!AV4</f>
        <v>0</v>
      </c>
      <c r="BB9" s="7" t="str">
        <f>VC_NEW!AW4</f>
        <v>L95F</v>
      </c>
      <c r="BC9" s="7">
        <f>VC_NEW!AX4</f>
        <v>0</v>
      </c>
      <c r="BD9" s="7">
        <f>VC_NEW!AY4</f>
        <v>0</v>
      </c>
      <c r="BE9" s="7">
        <f>VC_NEW!AZ4</f>
        <v>0</v>
      </c>
      <c r="BF9" s="7">
        <f>VC_NEW!BA4</f>
        <v>0</v>
      </c>
      <c r="BG9" s="7">
        <f>VC_NEW!BB4</f>
        <v>0</v>
      </c>
      <c r="BH9" s="7">
        <f>VC_NEW!BC4</f>
        <v>0</v>
      </c>
      <c r="BI9" s="7">
        <f>VC_NEW!BD4</f>
        <v>0</v>
      </c>
      <c r="BJ9" s="7">
        <f>VC_NEW!BE4</f>
        <v>0</v>
      </c>
      <c r="BK9" s="7">
        <f>VC_NEW!BF4</f>
        <v>0</v>
      </c>
      <c r="BL9" s="7">
        <f>VC_NEW!BG4</f>
        <v>0</v>
      </c>
      <c r="BM9" s="7">
        <f>VC_NEW!BH4</f>
        <v>0</v>
      </c>
      <c r="BN9" s="7" t="str">
        <f>VC_NEW!BI4</f>
        <v>nt81InsT</v>
      </c>
      <c r="BO9" s="7">
        <f>VC_NEW!BJ4</f>
        <v>0</v>
      </c>
      <c r="BP9" s="7">
        <f>VC_NEW!BK4</f>
        <v>0</v>
      </c>
      <c r="BQ9" s="7">
        <f>VC_NEW!BL4</f>
        <v>0</v>
      </c>
      <c r="BR9" s="7">
        <f>VC_NEW!BM4</f>
        <v>0</v>
      </c>
      <c r="BS9" s="7">
        <f>VC_NEW!BN4</f>
        <v>0</v>
      </c>
      <c r="BT9" s="7">
        <f>VC_NEW!BO4</f>
        <v>0</v>
      </c>
      <c r="BU9" s="7">
        <f>VC_NEW!BP4</f>
        <v>0</v>
      </c>
      <c r="BV9" s="7">
        <f>VC_NEW!BQ4</f>
        <v>0</v>
      </c>
      <c r="BW9" s="7">
        <f>VC_NEW!BR4</f>
        <v>0</v>
      </c>
      <c r="BX9" s="7">
        <f>VC_NEW!BS4</f>
        <v>0</v>
      </c>
      <c r="BY9" s="7">
        <f>VC_NEW!BT4</f>
        <v>0</v>
      </c>
      <c r="BZ9" s="7">
        <f>VC_NEW!BU4</f>
        <v>0</v>
      </c>
      <c r="CA9" s="7" t="str">
        <f>VC_NEW!BV4</f>
        <v>nt266InsG</v>
      </c>
      <c r="CB9" s="7">
        <f>VC_NEW!BW4</f>
        <v>0</v>
      </c>
      <c r="CC9" s="7">
        <f>VC_NEW!BX4</f>
        <v>0</v>
      </c>
      <c r="CD9" s="7">
        <f>VC_NEW!BY4</f>
        <v>0</v>
      </c>
      <c r="CE9" s="7">
        <f>VC_NEW!BZ4</f>
        <v>0</v>
      </c>
      <c r="CF9" s="7" t="str">
        <f>VC_NEW!CA4</f>
        <v>R73L</v>
      </c>
      <c r="CG9" s="7">
        <f>VC_NEW!CB4</f>
        <v>0</v>
      </c>
      <c r="CH9" s="7">
        <f>VC_NEW!CC4</f>
        <v>0</v>
      </c>
      <c r="CI9" s="7">
        <f>VC_NEW!CD4</f>
        <v>0</v>
      </c>
      <c r="CJ9" s="7">
        <f>VC_NEW!CE4</f>
        <v>0</v>
      </c>
      <c r="CK9" s="7">
        <f>VC_NEW!CF4</f>
        <v>0</v>
      </c>
      <c r="CL9" s="7">
        <f>VC_NEW!CG4</f>
        <v>0</v>
      </c>
      <c r="CM9" s="7">
        <f>VC_NEW!CH4</f>
        <v>0</v>
      </c>
      <c r="CN9" s="7">
        <f>VC_NEW!CI4</f>
        <v>0</v>
      </c>
      <c r="CO9" s="7">
        <f>VC_NEW!CJ4</f>
        <v>0</v>
      </c>
      <c r="CP9" s="7">
        <f>VC_NEW!CK4</f>
        <v>0</v>
      </c>
      <c r="CQ9" s="7">
        <f>VC_NEW!CL4</f>
        <v>0</v>
      </c>
      <c r="CR9" s="7">
        <f>VC_NEW!CM4</f>
        <v>0</v>
      </c>
      <c r="CS9" s="7" t="str">
        <f>VC_NEW!CN4</f>
        <v>L95F</v>
      </c>
      <c r="CT9" s="7">
        <f>VC_NEW!CO4</f>
        <v>0</v>
      </c>
      <c r="CU9" s="7">
        <f>VC_NEW!CP4</f>
        <v>0</v>
      </c>
      <c r="CV9" s="7">
        <f>VC_NEW!CQ4</f>
        <v>0</v>
      </c>
      <c r="CW9" s="7" t="str">
        <f>VC_NEW!CR4</f>
        <v>nt161InsC</v>
      </c>
      <c r="CX9" s="7">
        <f>VC_NEW!CS4</f>
        <v>0</v>
      </c>
      <c r="CY9" s="7">
        <f>VC_NEW!CT4</f>
        <v>0</v>
      </c>
      <c r="CZ9" s="7">
        <f>VC_NEW!CU4</f>
        <v>0</v>
      </c>
      <c r="DA9" s="7">
        <f>VC_NEW!CV4</f>
        <v>0</v>
      </c>
      <c r="DB9" s="7">
        <f>VC_NEW!CW4</f>
        <v>0</v>
      </c>
      <c r="DC9" s="7">
        <f>VC_NEW!CX4</f>
        <v>0</v>
      </c>
      <c r="DD9" s="7">
        <f>VC_NEW!CY4</f>
        <v>0</v>
      </c>
      <c r="DE9" s="7">
        <f>VC_NEW!CZ4</f>
        <v>0</v>
      </c>
      <c r="DF9" s="7" t="str">
        <f>VC_NEW!DA4</f>
        <v>R82H</v>
      </c>
      <c r="DG9" s="7">
        <f>VC_NEW!DB4</f>
        <v>0</v>
      </c>
      <c r="DH9" s="7">
        <f>VC_NEW!DC4</f>
        <v>0</v>
      </c>
      <c r="DI9" s="7">
        <f>VC_NEW!DD4</f>
        <v>0</v>
      </c>
      <c r="DJ9" s="7">
        <f>VC_NEW!DE4</f>
        <v>0</v>
      </c>
      <c r="DK9" s="7">
        <f>VC_NEW!DF4</f>
        <v>0</v>
      </c>
      <c r="DL9" s="7">
        <f>VC_NEW!DG4</f>
        <v>0</v>
      </c>
      <c r="DM9" s="7">
        <f>VC_NEW!DH4</f>
        <v>0</v>
      </c>
      <c r="DN9" s="7">
        <f>VC_NEW!DI4</f>
        <v>0</v>
      </c>
      <c r="DO9" s="7">
        <f>VC_NEW!DJ4</f>
        <v>0</v>
      </c>
      <c r="DP9" s="7">
        <f>VC_NEW!DK4</f>
        <v>0</v>
      </c>
      <c r="DQ9" s="7">
        <f>VC_NEW!DL4</f>
        <v>0</v>
      </c>
      <c r="DR9" s="7">
        <f>VC_NEW!DM4</f>
        <v>0</v>
      </c>
      <c r="DS9" s="7">
        <f>VC_NEW!DN4</f>
        <v>0</v>
      </c>
      <c r="DT9" s="7">
        <f>VC_NEW!DO4</f>
        <v>0</v>
      </c>
      <c r="DU9" s="7">
        <f>VC_NEW!DP4</f>
        <v>0</v>
      </c>
      <c r="DV9" s="7">
        <f>VC_NEW!DQ4</f>
        <v>0</v>
      </c>
      <c r="DW9" s="7">
        <f>VC_NEW!DR4</f>
        <v>0</v>
      </c>
      <c r="DX9" s="7">
        <f>VC_NEW!DS4</f>
        <v>0</v>
      </c>
      <c r="DY9" s="7">
        <f>VC_NEW!DT4</f>
        <v>0</v>
      </c>
      <c r="DZ9" s="7">
        <f>VC_NEW!DU4</f>
        <v>0</v>
      </c>
      <c r="EA9" s="7">
        <f>VC_NEW!DV4</f>
        <v>0</v>
      </c>
      <c r="EB9" s="7">
        <f>VC_NEW!DW4</f>
        <v>0</v>
      </c>
      <c r="EC9" s="7">
        <f>VC_NEW!DX4</f>
        <v>0</v>
      </c>
      <c r="ED9" s="7">
        <f>VC_NEW!DY4</f>
        <v>0</v>
      </c>
      <c r="EE9" s="7">
        <f>VC_NEW!DZ4</f>
        <v>0</v>
      </c>
      <c r="EF9" s="7">
        <f>VC_NEW!EA4</f>
        <v>0</v>
      </c>
      <c r="EG9" s="7">
        <f>VC_NEW!EB4</f>
        <v>0</v>
      </c>
      <c r="EH9" s="7">
        <f>VC_NEW!EC4</f>
        <v>0</v>
      </c>
      <c r="EI9" s="7">
        <f>VC_NEW!ED4</f>
        <v>0</v>
      </c>
      <c r="EJ9" s="7">
        <f>VC_NEW!EE4</f>
        <v>0</v>
      </c>
      <c r="EK9" s="7" t="str">
        <f>VC_NEW!EF4</f>
        <v>nt217∆1</v>
      </c>
      <c r="EL9" s="7">
        <f>VC_NEW!EG4</f>
        <v>0</v>
      </c>
      <c r="EM9" s="7">
        <f>VC_NEW!EH4</f>
        <v>0</v>
      </c>
      <c r="EN9" s="7">
        <f>VC_NEW!EI4</f>
        <v>0</v>
      </c>
      <c r="EO9" s="7">
        <f>VC_NEW!EJ4</f>
        <v>0</v>
      </c>
      <c r="EP9" s="7">
        <f>VC_NEW!EK4</f>
        <v>0</v>
      </c>
      <c r="EQ9" s="7">
        <f>VC_NEW!EL4</f>
        <v>0</v>
      </c>
      <c r="ER9" s="7">
        <f>VC_NEW!EM4</f>
        <v>0</v>
      </c>
      <c r="ES9" s="7">
        <f>VC_NEW!EN4</f>
        <v>0</v>
      </c>
      <c r="ET9" s="7">
        <f>VC_NEW!EO4</f>
        <v>0</v>
      </c>
      <c r="EU9" s="7">
        <f>VC_NEW!EP4</f>
        <v>0</v>
      </c>
      <c r="EV9" s="7">
        <f>VC_NEW!EQ4</f>
        <v>0</v>
      </c>
      <c r="EW9" s="7" t="str">
        <f>VC_NEW!ER4</f>
        <v>N79S</v>
      </c>
      <c r="EX9" s="7">
        <f>VC_NEW!ES4</f>
        <v>0</v>
      </c>
      <c r="EY9" s="7">
        <f>VC_NEW!ET4</f>
        <v>0</v>
      </c>
      <c r="EZ9" s="7">
        <f>VC_NEW!EU4</f>
        <v>0</v>
      </c>
      <c r="FA9" s="7">
        <f>VC_NEW!EV4</f>
        <v>0</v>
      </c>
      <c r="FB9" s="7">
        <f>VC_NEW!EW4</f>
        <v>0</v>
      </c>
      <c r="FC9" s="7">
        <f>VC_NEW!EX4</f>
        <v>0</v>
      </c>
      <c r="FD9" s="7">
        <f>VC_NEW!EY4</f>
        <v>0</v>
      </c>
      <c r="FE9" s="7">
        <f>VC_NEW!EZ4</f>
        <v>0</v>
      </c>
      <c r="FF9" s="7">
        <f>VC_NEW!FA4</f>
        <v>0</v>
      </c>
      <c r="FG9" s="7">
        <f>VC_NEW!FB4</f>
        <v>0</v>
      </c>
      <c r="FH9" s="7">
        <f>VC_NEW!FC4</f>
        <v>0</v>
      </c>
      <c r="FI9" s="7">
        <f>VC_NEW!FD4</f>
        <v>0</v>
      </c>
      <c r="FJ9" s="7">
        <f>VC_NEW!FE4</f>
        <v>0</v>
      </c>
      <c r="FK9" s="7">
        <f>VC_NEW!FF4</f>
        <v>0</v>
      </c>
      <c r="FL9" s="7">
        <f>VC_NEW!FG4</f>
        <v>0</v>
      </c>
      <c r="FM9" s="7">
        <f>VC_NEW!FH4</f>
        <v>0</v>
      </c>
      <c r="FN9" s="7">
        <f>VC_NEW!FI4</f>
        <v>0</v>
      </c>
      <c r="FO9" s="7">
        <f>VC_NEW!FJ4</f>
        <v>0</v>
      </c>
      <c r="FP9" s="7">
        <f>VC_NEW!FK4</f>
        <v>0</v>
      </c>
      <c r="FQ9" s="7">
        <f>VC_NEW!FL4</f>
        <v>0</v>
      </c>
      <c r="FR9" s="7" t="str">
        <f>VC_NEW!FM4</f>
        <v>Q49X</v>
      </c>
      <c r="FS9" s="7">
        <f>VC_NEW!FN4</f>
        <v>0</v>
      </c>
      <c r="FT9" s="7">
        <f>VC_NEW!FO4</f>
        <v>0</v>
      </c>
      <c r="FU9" s="7">
        <f>VC_NEW!FP4</f>
        <v>0</v>
      </c>
      <c r="FV9" s="7">
        <f>VC_NEW!FQ4</f>
        <v>0</v>
      </c>
      <c r="FW9" s="7" t="str">
        <f>VC_NEW!FR4</f>
        <v>aa90∆4</v>
      </c>
      <c r="FX9" s="7">
        <f>VC_NEW!FS4</f>
        <v>0</v>
      </c>
      <c r="FY9" s="7">
        <f>VC_NEW!FT4</f>
        <v>0</v>
      </c>
      <c r="FZ9" s="7">
        <f>VC_NEW!FU4</f>
        <v>0</v>
      </c>
      <c r="GA9" s="7">
        <f>VC_NEW!FV4</f>
        <v>0</v>
      </c>
      <c r="GB9" s="7">
        <f>VC_NEW!FW4</f>
        <v>0</v>
      </c>
      <c r="GC9" s="7">
        <f>VC_NEW!FX4</f>
        <v>0</v>
      </c>
      <c r="GD9" s="7">
        <f>VC_NEW!FY4</f>
        <v>0</v>
      </c>
      <c r="GE9" s="7">
        <f>VC_NEW!FZ4</f>
        <v>0</v>
      </c>
      <c r="GF9" s="7">
        <f>VC_NEW!GA4</f>
        <v>0</v>
      </c>
      <c r="GG9" s="7">
        <f>VC_NEW!GB4</f>
        <v>0</v>
      </c>
      <c r="GH9" s="7">
        <f>VC_NEW!GC4</f>
        <v>0</v>
      </c>
      <c r="GI9" s="7">
        <f>VC_NEW!GD4</f>
        <v>0</v>
      </c>
      <c r="GJ9" s="7">
        <f>VC_NEW!GE4</f>
        <v>0</v>
      </c>
      <c r="GK9" s="7">
        <f>VC_NEW!GF4</f>
        <v>0</v>
      </c>
      <c r="GL9" s="7">
        <f>VC_NEW!GG4</f>
        <v>0</v>
      </c>
      <c r="GM9" s="7">
        <f>VC_NEW!GH4</f>
        <v>0</v>
      </c>
      <c r="GN9" s="7">
        <f>VC_NEW!GI4</f>
        <v>0</v>
      </c>
      <c r="GO9" s="7">
        <f>VC_NEW!GJ4</f>
        <v>0</v>
      </c>
      <c r="GP9" s="7">
        <f>VC_NEW!GK4</f>
        <v>0</v>
      </c>
      <c r="GQ9" s="7">
        <f>VC_NEW!GL4</f>
        <v>0</v>
      </c>
      <c r="GR9" s="7">
        <f>VC_NEW!GM4</f>
        <v>0</v>
      </c>
      <c r="GS9" s="7">
        <f>VC_NEW!GN4</f>
        <v>0</v>
      </c>
      <c r="GT9" s="7">
        <f>VC_NEW!GO4</f>
        <v>0</v>
      </c>
      <c r="GU9" s="7">
        <f>VC_NEW!GP4</f>
        <v>0</v>
      </c>
      <c r="GV9" s="7">
        <f>VC_NEW!GQ4</f>
        <v>0</v>
      </c>
      <c r="GW9" s="7">
        <f>VC_NEW!GR4</f>
        <v>0</v>
      </c>
      <c r="GX9" s="7">
        <f>VC_NEW!GS4</f>
        <v>0</v>
      </c>
      <c r="GY9" s="7">
        <f>VC_NEW!GT4</f>
        <v>0</v>
      </c>
      <c r="GZ9" s="7">
        <f>VC_NEW!GU4</f>
        <v>0</v>
      </c>
      <c r="HA9" s="7">
        <f>VC_NEW!GV4</f>
        <v>0</v>
      </c>
      <c r="HB9" s="7" t="str">
        <f>VC_NEW!GW4</f>
        <v>nt492InsACCC</v>
      </c>
      <c r="HC9" s="7">
        <f>VC_NEW!GX4</f>
        <v>0</v>
      </c>
    </row>
    <row r="10" spans="1:211" s="7" customFormat="1" ht="15.75" hidden="1" customHeight="1" x14ac:dyDescent="0.25">
      <c r="A10" s="36" t="s">
        <v>5</v>
      </c>
      <c r="B10" s="37" t="s">
        <v>6</v>
      </c>
      <c r="C10" s="38" t="s">
        <v>2</v>
      </c>
      <c r="D10" s="37" t="s">
        <v>76</v>
      </c>
      <c r="E10" s="37" t="s">
        <v>138</v>
      </c>
      <c r="F10" s="37" t="s">
        <v>74</v>
      </c>
      <c r="G10" s="39" t="s">
        <v>136</v>
      </c>
      <c r="H10" s="7">
        <f>VC_NEW!C4</f>
        <v>0</v>
      </c>
      <c r="I10" s="7">
        <f>VC_NEW!D4</f>
        <v>0</v>
      </c>
      <c r="J10" s="7">
        <f>VC_NEW!E4</f>
        <v>0</v>
      </c>
      <c r="K10" s="7">
        <f>VC_NEW!F4</f>
        <v>0</v>
      </c>
      <c r="L10" s="7">
        <f>VC_NEW!G4</f>
        <v>0</v>
      </c>
      <c r="M10" s="7">
        <f>VC_NEW!H4</f>
        <v>0</v>
      </c>
      <c r="N10" s="7">
        <f>VC_NEW!I4</f>
        <v>0</v>
      </c>
      <c r="O10" s="7">
        <f>VC_NEW!J4</f>
        <v>0</v>
      </c>
      <c r="P10" s="7">
        <f>VC_NEW!K4</f>
        <v>0</v>
      </c>
      <c r="Q10" s="7">
        <f>VC_NEW!L4</f>
        <v>0</v>
      </c>
      <c r="R10" s="7">
        <f>VC_NEW!M4</f>
        <v>0</v>
      </c>
      <c r="S10" s="7">
        <f>VC_NEW!N4</f>
        <v>0</v>
      </c>
      <c r="T10" s="7">
        <f>VC_NEW!O4</f>
        <v>0</v>
      </c>
      <c r="U10" s="7">
        <f>VC_NEW!P4</f>
        <v>0</v>
      </c>
      <c r="V10" s="7">
        <f>VC_NEW!Q4</f>
        <v>0</v>
      </c>
      <c r="W10" s="7">
        <f>VC_NEW!R4</f>
        <v>0</v>
      </c>
      <c r="X10" s="7">
        <f>VC_NEW!S4</f>
        <v>0</v>
      </c>
      <c r="Y10" s="7">
        <f>VC_NEW!T4</f>
        <v>0</v>
      </c>
      <c r="Z10" s="7">
        <f>VC_NEW!U4</f>
        <v>0</v>
      </c>
      <c r="AA10" s="7">
        <f>VC_NEW!V4</f>
        <v>0</v>
      </c>
      <c r="AB10" s="7" t="str">
        <f>VC_NEW!W4</f>
        <v>S92N</v>
      </c>
      <c r="AC10" s="7" t="str">
        <f>VC_NEW!X4</f>
        <v>aa11∆4</v>
      </c>
      <c r="AD10" s="7">
        <f>VC_NEW!Y4</f>
        <v>0</v>
      </c>
      <c r="AE10" s="7">
        <f>VC_NEW!Z4</f>
        <v>0</v>
      </c>
      <c r="AF10" s="7">
        <f>VC_NEW!AA4</f>
        <v>0</v>
      </c>
      <c r="AG10" s="7">
        <f>VC_NEW!AB4</f>
        <v>0</v>
      </c>
      <c r="AH10" s="7">
        <f>VC_NEW!AC4</f>
        <v>0</v>
      </c>
      <c r="AI10" s="7">
        <f>VC_NEW!AD4</f>
        <v>0</v>
      </c>
      <c r="AJ10" s="7">
        <f>VC_NEW!AE4</f>
        <v>0</v>
      </c>
      <c r="AK10" s="7" t="str">
        <f>VC_NEW!AF4</f>
        <v>L102P</v>
      </c>
      <c r="AL10" s="7">
        <f>VC_NEW!AG4</f>
        <v>0</v>
      </c>
      <c r="AM10" s="7">
        <f>VC_NEW!AH4</f>
        <v>0</v>
      </c>
      <c r="AN10" s="7">
        <f>VC_NEW!AI4</f>
        <v>0</v>
      </c>
      <c r="AO10" s="7" t="str">
        <f>VC_NEW!AJ4</f>
        <v>nt402∆11</v>
      </c>
      <c r="AP10" s="7">
        <f>VC_NEW!AK4</f>
        <v>0</v>
      </c>
      <c r="AQ10" s="7">
        <f>VC_NEW!AL4</f>
        <v>0</v>
      </c>
      <c r="AR10" s="7">
        <f>VC_NEW!AM4</f>
        <v>0</v>
      </c>
      <c r="AS10" s="7">
        <f>VC_NEW!AN4</f>
        <v>0</v>
      </c>
      <c r="AT10" s="7">
        <f>VC_NEW!AO4</f>
        <v>0</v>
      </c>
      <c r="AU10" s="7">
        <f>VC_NEW!AP4</f>
        <v>0</v>
      </c>
      <c r="AV10" s="7">
        <f>VC_NEW!AQ4</f>
        <v>0</v>
      </c>
      <c r="AW10" s="7">
        <f>VC_NEW!AR4</f>
        <v>0</v>
      </c>
      <c r="AX10" s="7">
        <f>VC_NEW!AS4</f>
        <v>0</v>
      </c>
      <c r="AY10" s="7">
        <f>VC_NEW!AT4</f>
        <v>0</v>
      </c>
      <c r="AZ10" s="7">
        <f>VC_NEW!AU4</f>
        <v>0</v>
      </c>
      <c r="BA10" s="7">
        <f>VC_NEW!AV4</f>
        <v>0</v>
      </c>
      <c r="BB10" s="7" t="str">
        <f>VC_NEW!AW4</f>
        <v>L95F</v>
      </c>
      <c r="BC10" s="7">
        <f>VC_NEW!AX4</f>
        <v>0</v>
      </c>
      <c r="BD10" s="7">
        <f>VC_NEW!AY4</f>
        <v>0</v>
      </c>
      <c r="BE10" s="7">
        <f>VC_NEW!AZ4</f>
        <v>0</v>
      </c>
      <c r="BF10" s="7">
        <f>VC_NEW!BA4</f>
        <v>0</v>
      </c>
      <c r="BG10" s="7">
        <f>VC_NEW!BB4</f>
        <v>0</v>
      </c>
      <c r="BH10" s="7">
        <f>VC_NEW!BC4</f>
        <v>0</v>
      </c>
      <c r="BI10" s="7">
        <f>VC_NEW!BD4</f>
        <v>0</v>
      </c>
      <c r="BJ10" s="7">
        <f>VC_NEW!BE4</f>
        <v>0</v>
      </c>
      <c r="BK10" s="7">
        <f>VC_NEW!BF4</f>
        <v>0</v>
      </c>
      <c r="BL10" s="7">
        <f>VC_NEW!BG4</f>
        <v>0</v>
      </c>
      <c r="BM10" s="7">
        <f>VC_NEW!BH4</f>
        <v>0</v>
      </c>
      <c r="BN10" s="7" t="str">
        <f>VC_NEW!BI4</f>
        <v>nt81InsT</v>
      </c>
      <c r="BO10" s="7">
        <f>VC_NEW!BJ4</f>
        <v>0</v>
      </c>
      <c r="BP10" s="7">
        <f>VC_NEW!BK4</f>
        <v>0</v>
      </c>
      <c r="BQ10" s="7">
        <f>VC_NEW!BL4</f>
        <v>0</v>
      </c>
      <c r="BR10" s="7">
        <f>VC_NEW!BM4</f>
        <v>0</v>
      </c>
      <c r="BS10" s="7">
        <f>VC_NEW!BN4</f>
        <v>0</v>
      </c>
      <c r="BT10" s="7">
        <f>VC_NEW!BO4</f>
        <v>0</v>
      </c>
      <c r="BU10" s="7">
        <f>VC_NEW!BP4</f>
        <v>0</v>
      </c>
      <c r="BV10" s="7">
        <f>VC_NEW!BQ4</f>
        <v>0</v>
      </c>
      <c r="BW10" s="7">
        <f>VC_NEW!BR4</f>
        <v>0</v>
      </c>
      <c r="BX10" s="7">
        <f>VC_NEW!BS4</f>
        <v>0</v>
      </c>
      <c r="BY10" s="7">
        <f>VC_NEW!BT4</f>
        <v>0</v>
      </c>
      <c r="BZ10" s="7">
        <f>VC_NEW!BU4</f>
        <v>0</v>
      </c>
      <c r="CA10" s="7" t="str">
        <f>VC_NEW!BV4</f>
        <v>nt266InsG</v>
      </c>
      <c r="CB10" s="7">
        <f>VC_NEW!BW4</f>
        <v>0</v>
      </c>
      <c r="CC10" s="7">
        <f>VC_NEW!BX4</f>
        <v>0</v>
      </c>
      <c r="CD10" s="7">
        <f>VC_NEW!BY4</f>
        <v>0</v>
      </c>
      <c r="CE10" s="7">
        <f>VC_NEW!BZ4</f>
        <v>0</v>
      </c>
      <c r="CF10" s="7" t="str">
        <f>VC_NEW!CA4</f>
        <v>R73L</v>
      </c>
      <c r="CG10" s="7">
        <f>VC_NEW!CB4</f>
        <v>0</v>
      </c>
      <c r="CH10" s="7">
        <f>VC_NEW!CC4</f>
        <v>0</v>
      </c>
      <c r="CI10" s="7">
        <f>VC_NEW!CD4</f>
        <v>0</v>
      </c>
      <c r="CJ10" s="7">
        <f>VC_NEW!CE4</f>
        <v>0</v>
      </c>
      <c r="CK10" s="7">
        <f>VC_NEW!CF4</f>
        <v>0</v>
      </c>
      <c r="CL10" s="7">
        <f>VC_NEW!CG4</f>
        <v>0</v>
      </c>
      <c r="CM10" s="7">
        <f>VC_NEW!CH4</f>
        <v>0</v>
      </c>
      <c r="CN10" s="7">
        <f>VC_NEW!CI4</f>
        <v>0</v>
      </c>
      <c r="CO10" s="7">
        <f>VC_NEW!CJ4</f>
        <v>0</v>
      </c>
      <c r="CP10" s="7">
        <f>VC_NEW!CK4</f>
        <v>0</v>
      </c>
      <c r="CQ10" s="7">
        <f>VC_NEW!CL4</f>
        <v>0</v>
      </c>
      <c r="CR10" s="7">
        <f>VC_NEW!CM4</f>
        <v>0</v>
      </c>
      <c r="CS10" s="7" t="str">
        <f>VC_NEW!CN4</f>
        <v>L95F</v>
      </c>
      <c r="CT10" s="7">
        <f>VC_NEW!CO4</f>
        <v>0</v>
      </c>
      <c r="CU10" s="7">
        <f>VC_NEW!CP4</f>
        <v>0</v>
      </c>
      <c r="CV10" s="7">
        <f>VC_NEW!CQ4</f>
        <v>0</v>
      </c>
      <c r="CW10" s="7" t="str">
        <f>VC_NEW!CR4</f>
        <v>nt161InsC</v>
      </c>
      <c r="CX10" s="7">
        <f>VC_NEW!CS4</f>
        <v>0</v>
      </c>
      <c r="CY10" s="7">
        <f>VC_NEW!CT4</f>
        <v>0</v>
      </c>
      <c r="CZ10" s="7">
        <f>VC_NEW!CU4</f>
        <v>0</v>
      </c>
      <c r="DA10" s="7">
        <f>VC_NEW!CV4</f>
        <v>0</v>
      </c>
      <c r="DB10" s="7">
        <f>VC_NEW!CW4</f>
        <v>0</v>
      </c>
      <c r="DC10" s="7">
        <f>VC_NEW!CX4</f>
        <v>0</v>
      </c>
      <c r="DD10" s="7">
        <f>VC_NEW!CY4</f>
        <v>0</v>
      </c>
      <c r="DE10" s="7">
        <f>VC_NEW!CZ4</f>
        <v>0</v>
      </c>
      <c r="DF10" s="7" t="str">
        <f>VC_NEW!DA4</f>
        <v>R82H</v>
      </c>
      <c r="DG10" s="7">
        <f>VC_NEW!DB4</f>
        <v>0</v>
      </c>
      <c r="DH10" s="7">
        <f>VC_NEW!DC4</f>
        <v>0</v>
      </c>
      <c r="DI10" s="7">
        <f>VC_NEW!DD4</f>
        <v>0</v>
      </c>
      <c r="DJ10" s="7">
        <f>VC_NEW!DE4</f>
        <v>0</v>
      </c>
      <c r="DK10" s="7">
        <f>VC_NEW!DF4</f>
        <v>0</v>
      </c>
      <c r="DL10" s="7">
        <f>VC_NEW!DG4</f>
        <v>0</v>
      </c>
      <c r="DM10" s="7">
        <f>VC_NEW!DH4</f>
        <v>0</v>
      </c>
      <c r="DN10" s="7">
        <f>VC_NEW!DI4</f>
        <v>0</v>
      </c>
      <c r="DO10" s="7">
        <f>VC_NEW!DJ4</f>
        <v>0</v>
      </c>
      <c r="DP10" s="7">
        <f>VC_NEW!DK4</f>
        <v>0</v>
      </c>
      <c r="DQ10" s="7">
        <f>VC_NEW!DL4</f>
        <v>0</v>
      </c>
      <c r="DR10" s="7">
        <f>VC_NEW!DM4</f>
        <v>0</v>
      </c>
      <c r="DS10" s="7">
        <f>VC_NEW!DN4</f>
        <v>0</v>
      </c>
      <c r="DT10" s="7">
        <f>VC_NEW!DO4</f>
        <v>0</v>
      </c>
      <c r="DU10" s="7">
        <f>VC_NEW!DP4</f>
        <v>0</v>
      </c>
      <c r="DV10" s="7">
        <f>VC_NEW!DQ4</f>
        <v>0</v>
      </c>
      <c r="DW10" s="7">
        <f>VC_NEW!DR4</f>
        <v>0</v>
      </c>
      <c r="DX10" s="7">
        <f>VC_NEW!DS4</f>
        <v>0</v>
      </c>
      <c r="DY10" s="7">
        <f>VC_NEW!DT4</f>
        <v>0</v>
      </c>
      <c r="DZ10" s="7">
        <f>VC_NEW!DU4</f>
        <v>0</v>
      </c>
      <c r="EA10" s="7">
        <f>VC_NEW!DV4</f>
        <v>0</v>
      </c>
      <c r="EB10" s="7">
        <f>VC_NEW!DW4</f>
        <v>0</v>
      </c>
      <c r="EC10" s="7">
        <f>VC_NEW!DX4</f>
        <v>0</v>
      </c>
      <c r="ED10" s="7">
        <f>VC_NEW!DY4</f>
        <v>0</v>
      </c>
      <c r="EE10" s="7">
        <f>VC_NEW!DZ4</f>
        <v>0</v>
      </c>
      <c r="EF10" s="7">
        <f>VC_NEW!EA4</f>
        <v>0</v>
      </c>
      <c r="EG10" s="7">
        <f>VC_NEW!EB4</f>
        <v>0</v>
      </c>
      <c r="EH10" s="7">
        <f>VC_NEW!EC4</f>
        <v>0</v>
      </c>
      <c r="EI10" s="7">
        <f>VC_NEW!ED4</f>
        <v>0</v>
      </c>
      <c r="EJ10" s="7">
        <f>VC_NEW!EE4</f>
        <v>0</v>
      </c>
      <c r="EK10" s="7" t="str">
        <f>VC_NEW!EF4</f>
        <v>nt217∆1</v>
      </c>
      <c r="EL10" s="7">
        <f>VC_NEW!EG4</f>
        <v>0</v>
      </c>
      <c r="EM10" s="7">
        <f>VC_NEW!EH4</f>
        <v>0</v>
      </c>
      <c r="EN10" s="7">
        <f>VC_NEW!EI4</f>
        <v>0</v>
      </c>
      <c r="EO10" s="7">
        <f>VC_NEW!EJ4</f>
        <v>0</v>
      </c>
      <c r="EP10" s="7">
        <f>VC_NEW!EK4</f>
        <v>0</v>
      </c>
      <c r="EQ10" s="7">
        <f>VC_NEW!EL4</f>
        <v>0</v>
      </c>
      <c r="ER10" s="7">
        <f>VC_NEW!EM4</f>
        <v>0</v>
      </c>
      <c r="ES10" s="7">
        <f>VC_NEW!EN4</f>
        <v>0</v>
      </c>
      <c r="ET10" s="7">
        <f>VC_NEW!EO4</f>
        <v>0</v>
      </c>
      <c r="EU10" s="7">
        <f>VC_NEW!EP4</f>
        <v>0</v>
      </c>
      <c r="EV10" s="7">
        <f>VC_NEW!EQ4</f>
        <v>0</v>
      </c>
      <c r="EW10" s="7" t="str">
        <f>VC_NEW!ER4</f>
        <v>N79S</v>
      </c>
      <c r="EX10" s="7">
        <f>VC_NEW!ES4</f>
        <v>0</v>
      </c>
      <c r="EY10" s="7">
        <f>VC_NEW!ET4</f>
        <v>0</v>
      </c>
      <c r="EZ10" s="7">
        <f>VC_NEW!EU4</f>
        <v>0</v>
      </c>
      <c r="FA10" s="7">
        <f>VC_NEW!EV4</f>
        <v>0</v>
      </c>
      <c r="FB10" s="7">
        <f>VC_NEW!EW4</f>
        <v>0</v>
      </c>
      <c r="FC10" s="7">
        <f>VC_NEW!EX4</f>
        <v>0</v>
      </c>
      <c r="FD10" s="7">
        <f>VC_NEW!EY4</f>
        <v>0</v>
      </c>
      <c r="FE10" s="7">
        <f>VC_NEW!EZ4</f>
        <v>0</v>
      </c>
      <c r="FF10" s="7">
        <f>VC_NEW!FA4</f>
        <v>0</v>
      </c>
      <c r="FG10" s="7">
        <f>VC_NEW!FB4</f>
        <v>0</v>
      </c>
      <c r="FH10" s="7">
        <f>VC_NEW!FC4</f>
        <v>0</v>
      </c>
      <c r="FI10" s="7">
        <f>VC_NEW!FD4</f>
        <v>0</v>
      </c>
      <c r="FJ10" s="7">
        <f>VC_NEW!FE4</f>
        <v>0</v>
      </c>
      <c r="FK10" s="7">
        <f>VC_NEW!FF4</f>
        <v>0</v>
      </c>
      <c r="FL10" s="7">
        <f>VC_NEW!FG4</f>
        <v>0</v>
      </c>
      <c r="FM10" s="7">
        <f>VC_NEW!FH4</f>
        <v>0</v>
      </c>
      <c r="FN10" s="7">
        <f>VC_NEW!FI4</f>
        <v>0</v>
      </c>
      <c r="FO10" s="7">
        <f>VC_NEW!FJ4</f>
        <v>0</v>
      </c>
      <c r="FP10" s="7">
        <f>VC_NEW!FK4</f>
        <v>0</v>
      </c>
      <c r="FQ10" s="7">
        <f>VC_NEW!FL4</f>
        <v>0</v>
      </c>
      <c r="FR10" s="7" t="str">
        <f>VC_NEW!FM4</f>
        <v>Q49X</v>
      </c>
      <c r="FS10" s="7">
        <f>VC_NEW!FN4</f>
        <v>0</v>
      </c>
      <c r="FT10" s="7">
        <f>VC_NEW!FO4</f>
        <v>0</v>
      </c>
      <c r="FU10" s="7">
        <f>VC_NEW!FP4</f>
        <v>0</v>
      </c>
      <c r="FV10" s="7">
        <f>VC_NEW!FQ4</f>
        <v>0</v>
      </c>
      <c r="FW10" s="7" t="str">
        <f>VC_NEW!FR4</f>
        <v>aa90∆4</v>
      </c>
      <c r="FX10" s="7">
        <f>VC_NEW!FS4</f>
        <v>0</v>
      </c>
      <c r="FY10" s="7">
        <f>VC_NEW!FT4</f>
        <v>0</v>
      </c>
      <c r="FZ10" s="7">
        <f>VC_NEW!FU4</f>
        <v>0</v>
      </c>
      <c r="GA10" s="7">
        <f>VC_NEW!FV4</f>
        <v>0</v>
      </c>
      <c r="GB10" s="7">
        <f>VC_NEW!FW4</f>
        <v>0</v>
      </c>
      <c r="GC10" s="7">
        <f>VC_NEW!FX4</f>
        <v>0</v>
      </c>
      <c r="GD10" s="7">
        <f>VC_NEW!FY4</f>
        <v>0</v>
      </c>
      <c r="GE10" s="7">
        <f>VC_NEW!FZ4</f>
        <v>0</v>
      </c>
      <c r="GF10" s="7">
        <f>VC_NEW!GA4</f>
        <v>0</v>
      </c>
      <c r="GG10" s="7">
        <f>VC_NEW!GB4</f>
        <v>0</v>
      </c>
      <c r="GH10" s="7">
        <f>VC_NEW!GC4</f>
        <v>0</v>
      </c>
      <c r="GI10" s="7">
        <f>VC_NEW!GD4</f>
        <v>0</v>
      </c>
      <c r="GJ10" s="7">
        <f>VC_NEW!GE4</f>
        <v>0</v>
      </c>
      <c r="GK10" s="7">
        <f>VC_NEW!GF4</f>
        <v>0</v>
      </c>
      <c r="GL10" s="7">
        <f>VC_NEW!GG4</f>
        <v>0</v>
      </c>
      <c r="GM10" s="7">
        <f>VC_NEW!GH4</f>
        <v>0</v>
      </c>
      <c r="GN10" s="7">
        <f>VC_NEW!GI4</f>
        <v>0</v>
      </c>
      <c r="GO10" s="7">
        <f>VC_NEW!GJ4</f>
        <v>0</v>
      </c>
      <c r="GP10" s="7">
        <f>VC_NEW!GK4</f>
        <v>0</v>
      </c>
      <c r="GQ10" s="7">
        <f>VC_NEW!GL4</f>
        <v>0</v>
      </c>
      <c r="GR10" s="7">
        <f>VC_NEW!GM4</f>
        <v>0</v>
      </c>
      <c r="GS10" s="7">
        <f>VC_NEW!GN4</f>
        <v>0</v>
      </c>
      <c r="GT10" s="7">
        <f>VC_NEW!GO4</f>
        <v>0</v>
      </c>
      <c r="GU10" s="7">
        <f>VC_NEW!GP4</f>
        <v>0</v>
      </c>
      <c r="GV10" s="7">
        <f>VC_NEW!GQ4</f>
        <v>0</v>
      </c>
      <c r="GW10" s="7">
        <f>VC_NEW!GR4</f>
        <v>0</v>
      </c>
      <c r="GX10" s="7">
        <f>VC_NEW!GS4</f>
        <v>0</v>
      </c>
      <c r="GY10" s="7">
        <f>VC_NEW!GT4</f>
        <v>0</v>
      </c>
      <c r="GZ10" s="7">
        <f>VC_NEW!GU4</f>
        <v>0</v>
      </c>
      <c r="HA10" s="7">
        <f>VC_NEW!GV4</f>
        <v>0</v>
      </c>
      <c r="HB10" s="7" t="str">
        <f>VC_NEW!GW4</f>
        <v>nt492InsACCC</v>
      </c>
      <c r="HC10" s="7">
        <f>VC_NEW!GX4</f>
        <v>0</v>
      </c>
    </row>
    <row r="11" spans="1:211" s="7" customFormat="1" ht="15" hidden="1" customHeight="1" x14ac:dyDescent="0.25">
      <c r="A11" s="36" t="s">
        <v>5</v>
      </c>
      <c r="B11" s="37" t="s">
        <v>6</v>
      </c>
      <c r="C11" s="38" t="s">
        <v>4</v>
      </c>
      <c r="D11" s="37" t="s">
        <v>76</v>
      </c>
      <c r="E11" s="37" t="s">
        <v>138</v>
      </c>
      <c r="F11" s="37" t="s">
        <v>74</v>
      </c>
      <c r="G11" s="39" t="s">
        <v>136</v>
      </c>
      <c r="H11" s="7">
        <f>VC_NEW!C4</f>
        <v>0</v>
      </c>
      <c r="I11" s="7">
        <f>VC_NEW!D4</f>
        <v>0</v>
      </c>
      <c r="J11" s="7">
        <f>VC_NEW!E4</f>
        <v>0</v>
      </c>
      <c r="K11" s="7">
        <f>VC_NEW!F4</f>
        <v>0</v>
      </c>
      <c r="L11" s="7">
        <f>VC_NEW!G4</f>
        <v>0</v>
      </c>
      <c r="M11" s="7">
        <f>VC_NEW!H4</f>
        <v>0</v>
      </c>
      <c r="N11" s="7">
        <f>VC_NEW!I4</f>
        <v>0</v>
      </c>
      <c r="O11" s="7">
        <f>VC_NEW!J4</f>
        <v>0</v>
      </c>
      <c r="P11" s="7">
        <f>VC_NEW!K4</f>
        <v>0</v>
      </c>
      <c r="Q11" s="7">
        <f>VC_NEW!L4</f>
        <v>0</v>
      </c>
      <c r="R11" s="7">
        <f>VC_NEW!M4</f>
        <v>0</v>
      </c>
      <c r="S11" s="7">
        <f>VC_NEW!N4</f>
        <v>0</v>
      </c>
      <c r="T11" s="7">
        <f>VC_NEW!O4</f>
        <v>0</v>
      </c>
      <c r="U11" s="7">
        <f>VC_NEW!P4</f>
        <v>0</v>
      </c>
      <c r="V11" s="7">
        <f>VC_NEW!Q4</f>
        <v>0</v>
      </c>
      <c r="W11" s="7">
        <f>VC_NEW!R4</f>
        <v>0</v>
      </c>
      <c r="X11" s="7">
        <f>VC_NEW!S4</f>
        <v>0</v>
      </c>
      <c r="Y11" s="7">
        <f>VC_NEW!T4</f>
        <v>0</v>
      </c>
      <c r="Z11" s="7">
        <f>VC_NEW!U4</f>
        <v>0</v>
      </c>
      <c r="AA11" s="7">
        <f>VC_NEW!V4</f>
        <v>0</v>
      </c>
      <c r="AB11" s="7" t="str">
        <f>VC_NEW!W4</f>
        <v>S92N</v>
      </c>
      <c r="AC11" s="7" t="str">
        <f>VC_NEW!X4</f>
        <v>aa11∆4</v>
      </c>
      <c r="AD11" s="7">
        <f>VC_NEW!Y4</f>
        <v>0</v>
      </c>
      <c r="AE11" s="7">
        <f>VC_NEW!Z4</f>
        <v>0</v>
      </c>
      <c r="AF11" s="7">
        <f>VC_NEW!AA4</f>
        <v>0</v>
      </c>
      <c r="AG11" s="7">
        <f>VC_NEW!AB4</f>
        <v>0</v>
      </c>
      <c r="AH11" s="7">
        <f>VC_NEW!AC4</f>
        <v>0</v>
      </c>
      <c r="AI11" s="7">
        <f>VC_NEW!AD4</f>
        <v>0</v>
      </c>
      <c r="AJ11" s="7">
        <f>VC_NEW!AE4</f>
        <v>0</v>
      </c>
      <c r="AK11" s="7" t="str">
        <f>VC_NEW!AF4</f>
        <v>L102P</v>
      </c>
      <c r="AL11" s="7">
        <f>VC_NEW!AG4</f>
        <v>0</v>
      </c>
      <c r="AM11" s="7">
        <f>VC_NEW!AH4</f>
        <v>0</v>
      </c>
      <c r="AN11" s="7">
        <f>VC_NEW!AI4</f>
        <v>0</v>
      </c>
      <c r="AO11" s="7" t="str">
        <f>VC_NEW!AJ4</f>
        <v>nt402∆11</v>
      </c>
      <c r="AP11" s="7">
        <f>VC_NEW!AK4</f>
        <v>0</v>
      </c>
      <c r="AQ11" s="7">
        <f>VC_NEW!AL4</f>
        <v>0</v>
      </c>
      <c r="AR11" s="7">
        <f>VC_NEW!AM4</f>
        <v>0</v>
      </c>
      <c r="AS11" s="7">
        <f>VC_NEW!AN4</f>
        <v>0</v>
      </c>
      <c r="AT11" s="7">
        <f>VC_NEW!AO4</f>
        <v>0</v>
      </c>
      <c r="AU11" s="7">
        <f>VC_NEW!AP4</f>
        <v>0</v>
      </c>
      <c r="AV11" s="7">
        <f>VC_NEW!AQ4</f>
        <v>0</v>
      </c>
      <c r="AW11" s="7">
        <f>VC_NEW!AR4</f>
        <v>0</v>
      </c>
      <c r="AX11" s="7">
        <f>VC_NEW!AS4</f>
        <v>0</v>
      </c>
      <c r="AY11" s="7">
        <f>VC_NEW!AT4</f>
        <v>0</v>
      </c>
      <c r="AZ11" s="7">
        <f>VC_NEW!AU4</f>
        <v>0</v>
      </c>
      <c r="BA11" s="7">
        <f>VC_NEW!AV4</f>
        <v>0</v>
      </c>
      <c r="BB11" s="7" t="str">
        <f>VC_NEW!AW4</f>
        <v>L95F</v>
      </c>
      <c r="BC11" s="7">
        <f>VC_NEW!AX4</f>
        <v>0</v>
      </c>
      <c r="BD11" s="7">
        <f>VC_NEW!AY4</f>
        <v>0</v>
      </c>
      <c r="BE11" s="7">
        <f>VC_NEW!AZ4</f>
        <v>0</v>
      </c>
      <c r="BF11" s="7">
        <f>VC_NEW!BA4</f>
        <v>0</v>
      </c>
      <c r="BG11" s="7">
        <f>VC_NEW!BB4</f>
        <v>0</v>
      </c>
      <c r="BH11" s="7">
        <f>VC_NEW!BC4</f>
        <v>0</v>
      </c>
      <c r="BI11" s="7">
        <f>VC_NEW!BD4</f>
        <v>0</v>
      </c>
      <c r="BJ11" s="7">
        <f>VC_NEW!BE4</f>
        <v>0</v>
      </c>
      <c r="BK11" s="7">
        <f>VC_NEW!BF4</f>
        <v>0</v>
      </c>
      <c r="BL11" s="7">
        <f>VC_NEW!BG4</f>
        <v>0</v>
      </c>
      <c r="BM11" s="7">
        <f>VC_NEW!BH4</f>
        <v>0</v>
      </c>
      <c r="BN11" s="7" t="str">
        <f>VC_NEW!BI4</f>
        <v>nt81InsT</v>
      </c>
      <c r="BO11" s="7">
        <f>VC_NEW!BJ4</f>
        <v>0</v>
      </c>
      <c r="BP11" s="7">
        <f>VC_NEW!BK4</f>
        <v>0</v>
      </c>
      <c r="BQ11" s="7">
        <f>VC_NEW!BL4</f>
        <v>0</v>
      </c>
      <c r="BR11" s="7">
        <f>VC_NEW!BM4</f>
        <v>0</v>
      </c>
      <c r="BS11" s="7">
        <f>VC_NEW!BN4</f>
        <v>0</v>
      </c>
      <c r="BT11" s="7">
        <f>VC_NEW!BO4</f>
        <v>0</v>
      </c>
      <c r="BU11" s="7">
        <f>VC_NEW!BP4</f>
        <v>0</v>
      </c>
      <c r="BV11" s="7">
        <f>VC_NEW!BQ4</f>
        <v>0</v>
      </c>
      <c r="BW11" s="7">
        <f>VC_NEW!BR4</f>
        <v>0</v>
      </c>
      <c r="BX11" s="7">
        <f>VC_NEW!BS4</f>
        <v>0</v>
      </c>
      <c r="BY11" s="7">
        <f>VC_NEW!BT4</f>
        <v>0</v>
      </c>
      <c r="BZ11" s="7">
        <f>VC_NEW!BU4</f>
        <v>0</v>
      </c>
      <c r="CA11" s="7" t="str">
        <f>VC_NEW!BV4</f>
        <v>nt266InsG</v>
      </c>
      <c r="CB11" s="7">
        <f>VC_NEW!BW4</f>
        <v>0</v>
      </c>
      <c r="CC11" s="7">
        <f>VC_NEW!BX4</f>
        <v>0</v>
      </c>
      <c r="CD11" s="7">
        <f>VC_NEW!BY4</f>
        <v>0</v>
      </c>
      <c r="CE11" s="7">
        <f>VC_NEW!BZ4</f>
        <v>0</v>
      </c>
      <c r="CF11" s="7" t="str">
        <f>VC_NEW!CA4</f>
        <v>R73L</v>
      </c>
      <c r="CG11" s="7">
        <f>VC_NEW!CB4</f>
        <v>0</v>
      </c>
      <c r="CH11" s="7">
        <f>VC_NEW!CC4</f>
        <v>0</v>
      </c>
      <c r="CI11" s="7">
        <f>VC_NEW!CD4</f>
        <v>0</v>
      </c>
      <c r="CJ11" s="7">
        <f>VC_NEW!CE4</f>
        <v>0</v>
      </c>
      <c r="CK11" s="7">
        <f>VC_NEW!CF4</f>
        <v>0</v>
      </c>
      <c r="CL11" s="7">
        <f>VC_NEW!CG4</f>
        <v>0</v>
      </c>
      <c r="CM11" s="7">
        <f>VC_NEW!CH4</f>
        <v>0</v>
      </c>
      <c r="CN11" s="7">
        <f>VC_NEW!CI4</f>
        <v>0</v>
      </c>
      <c r="CO11" s="7">
        <f>VC_NEW!CJ4</f>
        <v>0</v>
      </c>
      <c r="CP11" s="7">
        <f>VC_NEW!CK4</f>
        <v>0</v>
      </c>
      <c r="CQ11" s="7">
        <f>VC_NEW!CL4</f>
        <v>0</v>
      </c>
      <c r="CR11" s="7">
        <f>VC_NEW!CM4</f>
        <v>0</v>
      </c>
      <c r="CS11" s="7" t="str">
        <f>VC_NEW!CN4</f>
        <v>L95F</v>
      </c>
      <c r="CT11" s="7">
        <f>VC_NEW!CO4</f>
        <v>0</v>
      </c>
      <c r="CU11" s="7">
        <f>VC_NEW!CP4</f>
        <v>0</v>
      </c>
      <c r="CV11" s="7">
        <f>VC_NEW!CQ4</f>
        <v>0</v>
      </c>
      <c r="CW11" s="7" t="str">
        <f>VC_NEW!CR4</f>
        <v>nt161InsC</v>
      </c>
      <c r="CX11" s="7">
        <f>VC_NEW!CS4</f>
        <v>0</v>
      </c>
      <c r="CY11" s="7">
        <f>VC_NEW!CT4</f>
        <v>0</v>
      </c>
      <c r="CZ11" s="7">
        <f>VC_NEW!CU4</f>
        <v>0</v>
      </c>
      <c r="DA11" s="7">
        <f>VC_NEW!CV4</f>
        <v>0</v>
      </c>
      <c r="DB11" s="7">
        <f>VC_NEW!CW4</f>
        <v>0</v>
      </c>
      <c r="DC11" s="7">
        <f>VC_NEW!CX4</f>
        <v>0</v>
      </c>
      <c r="DD11" s="7">
        <f>VC_NEW!CY4</f>
        <v>0</v>
      </c>
      <c r="DE11" s="7">
        <f>VC_NEW!CZ4</f>
        <v>0</v>
      </c>
      <c r="DF11" s="7" t="str">
        <f>VC_NEW!DA4</f>
        <v>R82H</v>
      </c>
      <c r="DG11" s="7">
        <f>VC_NEW!DB4</f>
        <v>0</v>
      </c>
      <c r="DH11" s="7">
        <f>VC_NEW!DC4</f>
        <v>0</v>
      </c>
      <c r="DI11" s="7">
        <f>VC_NEW!DD4</f>
        <v>0</v>
      </c>
      <c r="DJ11" s="7">
        <f>VC_NEW!DE4</f>
        <v>0</v>
      </c>
      <c r="DK11" s="7">
        <f>VC_NEW!DF4</f>
        <v>0</v>
      </c>
      <c r="DL11" s="7">
        <f>VC_NEW!DG4</f>
        <v>0</v>
      </c>
      <c r="DM11" s="7">
        <f>VC_NEW!DH4</f>
        <v>0</v>
      </c>
      <c r="DN11" s="7">
        <f>VC_NEW!DI4</f>
        <v>0</v>
      </c>
      <c r="DO11" s="7">
        <f>VC_NEW!DJ4</f>
        <v>0</v>
      </c>
      <c r="DP11" s="7">
        <f>VC_NEW!DK4</f>
        <v>0</v>
      </c>
      <c r="DQ11" s="7">
        <f>VC_NEW!DL4</f>
        <v>0</v>
      </c>
      <c r="DR11" s="7">
        <f>VC_NEW!DM4</f>
        <v>0</v>
      </c>
      <c r="DS11" s="7">
        <f>VC_NEW!DN4</f>
        <v>0</v>
      </c>
      <c r="DT11" s="7">
        <f>VC_NEW!DO4</f>
        <v>0</v>
      </c>
      <c r="DU11" s="7">
        <f>VC_NEW!DP4</f>
        <v>0</v>
      </c>
      <c r="DV11" s="7">
        <f>VC_NEW!DQ4</f>
        <v>0</v>
      </c>
      <c r="DW11" s="7">
        <f>VC_NEW!DR4</f>
        <v>0</v>
      </c>
      <c r="DX11" s="7">
        <f>VC_NEW!DS4</f>
        <v>0</v>
      </c>
      <c r="DY11" s="7">
        <f>VC_NEW!DT4</f>
        <v>0</v>
      </c>
      <c r="DZ11" s="7">
        <f>VC_NEW!DU4</f>
        <v>0</v>
      </c>
      <c r="EA11" s="7">
        <f>VC_NEW!DV4</f>
        <v>0</v>
      </c>
      <c r="EB11" s="7">
        <f>VC_NEW!DW4</f>
        <v>0</v>
      </c>
      <c r="EC11" s="7">
        <f>VC_NEW!DX4</f>
        <v>0</v>
      </c>
      <c r="ED11" s="7">
        <f>VC_NEW!DY4</f>
        <v>0</v>
      </c>
      <c r="EE11" s="7">
        <f>VC_NEW!DZ4</f>
        <v>0</v>
      </c>
      <c r="EF11" s="7">
        <f>VC_NEW!EA4</f>
        <v>0</v>
      </c>
      <c r="EG11" s="7">
        <f>VC_NEW!EB4</f>
        <v>0</v>
      </c>
      <c r="EH11" s="7">
        <f>VC_NEW!EC4</f>
        <v>0</v>
      </c>
      <c r="EI11" s="7">
        <f>VC_NEW!ED4</f>
        <v>0</v>
      </c>
      <c r="EJ11" s="7">
        <f>VC_NEW!EE4</f>
        <v>0</v>
      </c>
      <c r="EK11" s="7" t="str">
        <f>VC_NEW!EF4</f>
        <v>nt217∆1</v>
      </c>
      <c r="EL11" s="7">
        <f>VC_NEW!EG4</f>
        <v>0</v>
      </c>
      <c r="EM11" s="7">
        <f>VC_NEW!EH4</f>
        <v>0</v>
      </c>
      <c r="EN11" s="7">
        <f>VC_NEW!EI4</f>
        <v>0</v>
      </c>
      <c r="EO11" s="7">
        <f>VC_NEW!EJ4</f>
        <v>0</v>
      </c>
      <c r="EP11" s="7">
        <f>VC_NEW!EK4</f>
        <v>0</v>
      </c>
      <c r="EQ11" s="7">
        <f>VC_NEW!EL4</f>
        <v>0</v>
      </c>
      <c r="ER11" s="7">
        <f>VC_NEW!EM4</f>
        <v>0</v>
      </c>
      <c r="ES11" s="7">
        <f>VC_NEW!EN4</f>
        <v>0</v>
      </c>
      <c r="ET11" s="7">
        <f>VC_NEW!EO4</f>
        <v>0</v>
      </c>
      <c r="EU11" s="7">
        <f>VC_NEW!EP4</f>
        <v>0</v>
      </c>
      <c r="EV11" s="7">
        <f>VC_NEW!EQ4</f>
        <v>0</v>
      </c>
      <c r="EW11" s="7" t="str">
        <f>VC_NEW!ER4</f>
        <v>N79S</v>
      </c>
      <c r="EX11" s="7">
        <f>VC_NEW!ES4</f>
        <v>0</v>
      </c>
      <c r="EY11" s="7">
        <f>VC_NEW!ET4</f>
        <v>0</v>
      </c>
      <c r="EZ11" s="7">
        <f>VC_NEW!EU4</f>
        <v>0</v>
      </c>
      <c r="FA11" s="7">
        <f>VC_NEW!EV4</f>
        <v>0</v>
      </c>
      <c r="FB11" s="7">
        <f>VC_NEW!EW4</f>
        <v>0</v>
      </c>
      <c r="FC11" s="7">
        <f>VC_NEW!EX4</f>
        <v>0</v>
      </c>
      <c r="FD11" s="7">
        <f>VC_NEW!EY4</f>
        <v>0</v>
      </c>
      <c r="FE11" s="7">
        <f>VC_NEW!EZ4</f>
        <v>0</v>
      </c>
      <c r="FF11" s="7">
        <f>VC_NEW!FA4</f>
        <v>0</v>
      </c>
      <c r="FG11" s="7">
        <f>VC_NEW!FB4</f>
        <v>0</v>
      </c>
      <c r="FH11" s="7">
        <f>VC_NEW!FC4</f>
        <v>0</v>
      </c>
      <c r="FI11" s="7">
        <f>VC_NEW!FD4</f>
        <v>0</v>
      </c>
      <c r="FJ11" s="7">
        <f>VC_NEW!FE4</f>
        <v>0</v>
      </c>
      <c r="FK11" s="7">
        <f>VC_NEW!FF4</f>
        <v>0</v>
      </c>
      <c r="FL11" s="7">
        <f>VC_NEW!FG4</f>
        <v>0</v>
      </c>
      <c r="FM11" s="7">
        <f>VC_NEW!FH4</f>
        <v>0</v>
      </c>
      <c r="FN11" s="7">
        <f>VC_NEW!FI4</f>
        <v>0</v>
      </c>
      <c r="FO11" s="7">
        <f>VC_NEW!FJ4</f>
        <v>0</v>
      </c>
      <c r="FP11" s="7">
        <f>VC_NEW!FK4</f>
        <v>0</v>
      </c>
      <c r="FQ11" s="7">
        <f>VC_NEW!FL4</f>
        <v>0</v>
      </c>
      <c r="FR11" s="7" t="str">
        <f>VC_NEW!FM4</f>
        <v>Q49X</v>
      </c>
      <c r="FS11" s="7">
        <f>VC_NEW!FN4</f>
        <v>0</v>
      </c>
      <c r="FT11" s="7">
        <f>VC_NEW!FO4</f>
        <v>0</v>
      </c>
      <c r="FU11" s="7">
        <f>VC_NEW!FP4</f>
        <v>0</v>
      </c>
      <c r="FV11" s="7">
        <f>VC_NEW!FQ4</f>
        <v>0</v>
      </c>
      <c r="FW11" s="7" t="str">
        <f>VC_NEW!FR4</f>
        <v>aa90∆4</v>
      </c>
      <c r="FX11" s="7">
        <f>VC_NEW!FS4</f>
        <v>0</v>
      </c>
      <c r="FY11" s="7">
        <f>VC_NEW!FT4</f>
        <v>0</v>
      </c>
      <c r="FZ11" s="7">
        <f>VC_NEW!FU4</f>
        <v>0</v>
      </c>
      <c r="GA11" s="7">
        <f>VC_NEW!FV4</f>
        <v>0</v>
      </c>
      <c r="GB11" s="7">
        <f>VC_NEW!FW4</f>
        <v>0</v>
      </c>
      <c r="GC11" s="7">
        <f>VC_NEW!FX4</f>
        <v>0</v>
      </c>
      <c r="GD11" s="7">
        <f>VC_NEW!FY4</f>
        <v>0</v>
      </c>
      <c r="GE11" s="7">
        <f>VC_NEW!FZ4</f>
        <v>0</v>
      </c>
      <c r="GF11" s="7">
        <f>VC_NEW!GA4</f>
        <v>0</v>
      </c>
      <c r="GG11" s="7">
        <f>VC_NEW!GB4</f>
        <v>0</v>
      </c>
      <c r="GH11" s="7">
        <f>VC_NEW!GC4</f>
        <v>0</v>
      </c>
      <c r="GI11" s="7">
        <f>VC_NEW!GD4</f>
        <v>0</v>
      </c>
      <c r="GJ11" s="7">
        <f>VC_NEW!GE4</f>
        <v>0</v>
      </c>
      <c r="GK11" s="7">
        <f>VC_NEW!GF4</f>
        <v>0</v>
      </c>
      <c r="GL11" s="7">
        <f>VC_NEW!GG4</f>
        <v>0</v>
      </c>
      <c r="GM11" s="7">
        <f>VC_NEW!GH4</f>
        <v>0</v>
      </c>
      <c r="GN11" s="7">
        <f>VC_NEW!GI4</f>
        <v>0</v>
      </c>
      <c r="GO11" s="7">
        <f>VC_NEW!GJ4</f>
        <v>0</v>
      </c>
      <c r="GP11" s="7">
        <f>VC_NEW!GK4</f>
        <v>0</v>
      </c>
      <c r="GQ11" s="7">
        <f>VC_NEW!GL4</f>
        <v>0</v>
      </c>
      <c r="GR11" s="7">
        <f>VC_NEW!GM4</f>
        <v>0</v>
      </c>
      <c r="GS11" s="7">
        <f>VC_NEW!GN4</f>
        <v>0</v>
      </c>
      <c r="GT11" s="7">
        <f>VC_NEW!GO4</f>
        <v>0</v>
      </c>
      <c r="GU11" s="7">
        <f>VC_NEW!GP4</f>
        <v>0</v>
      </c>
      <c r="GV11" s="7">
        <f>VC_NEW!GQ4</f>
        <v>0</v>
      </c>
      <c r="GW11" s="7">
        <f>VC_NEW!GR4</f>
        <v>0</v>
      </c>
      <c r="GX11" s="7">
        <f>VC_NEW!GS4</f>
        <v>0</v>
      </c>
      <c r="GY11" s="7">
        <f>VC_NEW!GT4</f>
        <v>0</v>
      </c>
      <c r="GZ11" s="7">
        <f>VC_NEW!GU4</f>
        <v>0</v>
      </c>
      <c r="HA11" s="7">
        <f>VC_NEW!GV4</f>
        <v>0</v>
      </c>
      <c r="HB11" s="7" t="str">
        <f>VC_NEW!GW4</f>
        <v>nt492InsACCC</v>
      </c>
      <c r="HC11" s="7">
        <f>VC_NEW!GX4</f>
        <v>0</v>
      </c>
    </row>
    <row r="12" spans="1:211" s="7" customFormat="1" ht="15.75" hidden="1" customHeight="1" thickBot="1" x14ac:dyDescent="0.3">
      <c r="A12" s="40" t="s">
        <v>5</v>
      </c>
      <c r="B12" s="41" t="s">
        <v>6</v>
      </c>
      <c r="C12" s="42" t="s">
        <v>3</v>
      </c>
      <c r="D12" s="41" t="s">
        <v>76</v>
      </c>
      <c r="E12" s="41" t="s">
        <v>139</v>
      </c>
      <c r="F12" s="41" t="s">
        <v>74</v>
      </c>
      <c r="G12" s="43" t="s">
        <v>136</v>
      </c>
      <c r="H12" s="7">
        <f>VC_NEW!C4</f>
        <v>0</v>
      </c>
      <c r="I12" s="7">
        <f>VC_NEW!D4</f>
        <v>0</v>
      </c>
      <c r="J12" s="7">
        <f>VC_NEW!E4</f>
        <v>0</v>
      </c>
      <c r="K12" s="7">
        <f>VC_NEW!F4</f>
        <v>0</v>
      </c>
      <c r="L12" s="7">
        <f>VC_NEW!G4</f>
        <v>0</v>
      </c>
      <c r="M12" s="7">
        <f>VC_NEW!H4</f>
        <v>0</v>
      </c>
      <c r="N12" s="7">
        <f>VC_NEW!I4</f>
        <v>0</v>
      </c>
      <c r="O12" s="7">
        <f>VC_NEW!J4</f>
        <v>0</v>
      </c>
      <c r="P12" s="7">
        <f>VC_NEW!K4</f>
        <v>0</v>
      </c>
      <c r="Q12" s="7">
        <f>VC_NEW!L4</f>
        <v>0</v>
      </c>
      <c r="R12" s="7">
        <f>VC_NEW!M4</f>
        <v>0</v>
      </c>
      <c r="S12" s="7">
        <f>VC_NEW!N4</f>
        <v>0</v>
      </c>
      <c r="T12" s="7">
        <f>VC_NEW!O4</f>
        <v>0</v>
      </c>
      <c r="U12" s="7">
        <f>VC_NEW!P4</f>
        <v>0</v>
      </c>
      <c r="V12" s="7">
        <f>VC_NEW!Q4</f>
        <v>0</v>
      </c>
      <c r="W12" s="7">
        <f>VC_NEW!R4</f>
        <v>0</v>
      </c>
      <c r="X12" s="7">
        <f>VC_NEW!S4</f>
        <v>0</v>
      </c>
      <c r="Y12" s="7">
        <f>VC_NEW!T4</f>
        <v>0</v>
      </c>
      <c r="Z12" s="7">
        <f>VC_NEW!U4</f>
        <v>0</v>
      </c>
      <c r="AA12" s="7">
        <f>VC_NEW!V4</f>
        <v>0</v>
      </c>
      <c r="AB12" s="7" t="str">
        <f>VC_NEW!W4</f>
        <v>S92N</v>
      </c>
      <c r="AC12" s="7" t="str">
        <f>VC_NEW!X4</f>
        <v>aa11∆4</v>
      </c>
      <c r="AD12" s="7">
        <f>VC_NEW!Y4</f>
        <v>0</v>
      </c>
      <c r="AE12" s="7">
        <f>VC_NEW!Z4</f>
        <v>0</v>
      </c>
      <c r="AF12" s="7">
        <f>VC_NEW!AA4</f>
        <v>0</v>
      </c>
      <c r="AG12" s="7">
        <f>VC_NEW!AB4</f>
        <v>0</v>
      </c>
      <c r="AH12" s="7">
        <f>VC_NEW!AC4</f>
        <v>0</v>
      </c>
      <c r="AI12" s="7">
        <f>VC_NEW!AD4</f>
        <v>0</v>
      </c>
      <c r="AJ12" s="7">
        <f>VC_NEW!AE4</f>
        <v>0</v>
      </c>
      <c r="AK12" s="7" t="str">
        <f>VC_NEW!AF4</f>
        <v>L102P</v>
      </c>
      <c r="AL12" s="7">
        <f>VC_NEW!AG4</f>
        <v>0</v>
      </c>
      <c r="AM12" s="7">
        <f>VC_NEW!AH4</f>
        <v>0</v>
      </c>
      <c r="AN12" s="7">
        <f>VC_NEW!AI4</f>
        <v>0</v>
      </c>
      <c r="AO12" s="7" t="str">
        <f>VC_NEW!AJ4</f>
        <v>nt402∆11</v>
      </c>
      <c r="AP12" s="7">
        <f>VC_NEW!AK4</f>
        <v>0</v>
      </c>
      <c r="AQ12" s="7">
        <f>VC_NEW!AL4</f>
        <v>0</v>
      </c>
      <c r="AR12" s="7">
        <f>VC_NEW!AM4</f>
        <v>0</v>
      </c>
      <c r="AS12" s="7">
        <f>VC_NEW!AN4</f>
        <v>0</v>
      </c>
      <c r="AT12" s="7">
        <f>VC_NEW!AO4</f>
        <v>0</v>
      </c>
      <c r="AU12" s="7">
        <f>VC_NEW!AP4</f>
        <v>0</v>
      </c>
      <c r="AV12" s="7">
        <f>VC_NEW!AQ4</f>
        <v>0</v>
      </c>
      <c r="AW12" s="7">
        <f>VC_NEW!AR4</f>
        <v>0</v>
      </c>
      <c r="AX12" s="7">
        <f>VC_NEW!AS4</f>
        <v>0</v>
      </c>
      <c r="AY12" s="7">
        <f>VC_NEW!AT4</f>
        <v>0</v>
      </c>
      <c r="AZ12" s="7">
        <f>VC_NEW!AU4</f>
        <v>0</v>
      </c>
      <c r="BA12" s="7">
        <f>VC_NEW!AV4</f>
        <v>0</v>
      </c>
      <c r="BB12" s="7" t="str">
        <f>VC_NEW!AW4</f>
        <v>L95F</v>
      </c>
      <c r="BC12" s="7">
        <f>VC_NEW!AX4</f>
        <v>0</v>
      </c>
      <c r="BD12" s="7">
        <f>VC_NEW!AY4</f>
        <v>0</v>
      </c>
      <c r="BE12" s="7">
        <f>VC_NEW!AZ4</f>
        <v>0</v>
      </c>
      <c r="BF12" s="7">
        <f>VC_NEW!BA4</f>
        <v>0</v>
      </c>
      <c r="BG12" s="7">
        <f>VC_NEW!BB4</f>
        <v>0</v>
      </c>
      <c r="BH12" s="7">
        <f>VC_NEW!BC4</f>
        <v>0</v>
      </c>
      <c r="BI12" s="7">
        <f>VC_NEW!BD4</f>
        <v>0</v>
      </c>
      <c r="BJ12" s="7">
        <f>VC_NEW!BE4</f>
        <v>0</v>
      </c>
      <c r="BK12" s="7">
        <f>VC_NEW!BF4</f>
        <v>0</v>
      </c>
      <c r="BL12" s="7">
        <f>VC_NEW!BG4</f>
        <v>0</v>
      </c>
      <c r="BM12" s="7">
        <f>VC_NEW!BH4</f>
        <v>0</v>
      </c>
      <c r="BN12" s="7" t="str">
        <f>VC_NEW!BI4</f>
        <v>nt81InsT</v>
      </c>
      <c r="BO12" s="7">
        <f>VC_NEW!BJ4</f>
        <v>0</v>
      </c>
      <c r="BP12" s="7">
        <f>VC_NEW!BK4</f>
        <v>0</v>
      </c>
      <c r="BQ12" s="7">
        <f>VC_NEW!BL4</f>
        <v>0</v>
      </c>
      <c r="BR12" s="7">
        <f>VC_NEW!BM4</f>
        <v>0</v>
      </c>
      <c r="BS12" s="7">
        <f>VC_NEW!BN4</f>
        <v>0</v>
      </c>
      <c r="BT12" s="7">
        <f>VC_NEW!BO4</f>
        <v>0</v>
      </c>
      <c r="BU12" s="7">
        <f>VC_NEW!BP4</f>
        <v>0</v>
      </c>
      <c r="BV12" s="7">
        <f>VC_NEW!BQ4</f>
        <v>0</v>
      </c>
      <c r="BW12" s="7">
        <f>VC_NEW!BR4</f>
        <v>0</v>
      </c>
      <c r="BX12" s="7">
        <f>VC_NEW!BS4</f>
        <v>0</v>
      </c>
      <c r="BY12" s="7">
        <f>VC_NEW!BT4</f>
        <v>0</v>
      </c>
      <c r="BZ12" s="7">
        <f>VC_NEW!BU4</f>
        <v>0</v>
      </c>
      <c r="CA12" s="7" t="str">
        <f>VC_NEW!BV4</f>
        <v>nt266InsG</v>
      </c>
      <c r="CB12" s="7">
        <f>VC_NEW!BW4</f>
        <v>0</v>
      </c>
      <c r="CC12" s="7">
        <f>VC_NEW!BX4</f>
        <v>0</v>
      </c>
      <c r="CD12" s="7">
        <f>VC_NEW!BY4</f>
        <v>0</v>
      </c>
      <c r="CE12" s="7">
        <f>VC_NEW!BZ4</f>
        <v>0</v>
      </c>
      <c r="CF12" s="7" t="str">
        <f>VC_NEW!CA4</f>
        <v>R73L</v>
      </c>
      <c r="CG12" s="7">
        <f>VC_NEW!CB4</f>
        <v>0</v>
      </c>
      <c r="CH12" s="7">
        <f>VC_NEW!CC4</f>
        <v>0</v>
      </c>
      <c r="CI12" s="7">
        <f>VC_NEW!CD4</f>
        <v>0</v>
      </c>
      <c r="CJ12" s="7">
        <f>VC_NEW!CE4</f>
        <v>0</v>
      </c>
      <c r="CK12" s="7">
        <f>VC_NEW!CF4</f>
        <v>0</v>
      </c>
      <c r="CL12" s="7">
        <f>VC_NEW!CG4</f>
        <v>0</v>
      </c>
      <c r="CM12" s="7">
        <f>VC_NEW!CH4</f>
        <v>0</v>
      </c>
      <c r="CN12" s="7">
        <f>VC_NEW!CI4</f>
        <v>0</v>
      </c>
      <c r="CO12" s="7">
        <f>VC_NEW!CJ4</f>
        <v>0</v>
      </c>
      <c r="CP12" s="7">
        <f>VC_NEW!CK4</f>
        <v>0</v>
      </c>
      <c r="CQ12" s="7">
        <f>VC_NEW!CL4</f>
        <v>0</v>
      </c>
      <c r="CR12" s="7">
        <f>VC_NEW!CM4</f>
        <v>0</v>
      </c>
      <c r="CS12" s="7" t="str">
        <f>VC_NEW!CN4</f>
        <v>L95F</v>
      </c>
      <c r="CT12" s="7">
        <f>VC_NEW!CO4</f>
        <v>0</v>
      </c>
      <c r="CU12" s="7">
        <f>VC_NEW!CP4</f>
        <v>0</v>
      </c>
      <c r="CV12" s="7">
        <f>VC_NEW!CQ4</f>
        <v>0</v>
      </c>
      <c r="CW12" s="7" t="str">
        <f>VC_NEW!CR4</f>
        <v>nt161InsC</v>
      </c>
      <c r="CX12" s="7">
        <f>VC_NEW!CS4</f>
        <v>0</v>
      </c>
      <c r="CY12" s="7">
        <f>VC_NEW!CT4</f>
        <v>0</v>
      </c>
      <c r="CZ12" s="7">
        <f>VC_NEW!CU4</f>
        <v>0</v>
      </c>
      <c r="DA12" s="7">
        <f>VC_NEW!CV4</f>
        <v>0</v>
      </c>
      <c r="DB12" s="7">
        <f>VC_NEW!CW4</f>
        <v>0</v>
      </c>
      <c r="DC12" s="7">
        <f>VC_NEW!CX4</f>
        <v>0</v>
      </c>
      <c r="DD12" s="7">
        <f>VC_NEW!CY4</f>
        <v>0</v>
      </c>
      <c r="DE12" s="7">
        <f>VC_NEW!CZ4</f>
        <v>0</v>
      </c>
      <c r="DF12" s="7" t="str">
        <f>VC_NEW!DA4</f>
        <v>R82H</v>
      </c>
      <c r="DG12" s="7">
        <f>VC_NEW!DB4</f>
        <v>0</v>
      </c>
      <c r="DH12" s="7">
        <f>VC_NEW!DC4</f>
        <v>0</v>
      </c>
      <c r="DI12" s="7">
        <f>VC_NEW!DD4</f>
        <v>0</v>
      </c>
      <c r="DJ12" s="7">
        <f>VC_NEW!DE4</f>
        <v>0</v>
      </c>
      <c r="DK12" s="7">
        <f>VC_NEW!DF4</f>
        <v>0</v>
      </c>
      <c r="DL12" s="7">
        <f>VC_NEW!DG4</f>
        <v>0</v>
      </c>
      <c r="DM12" s="7">
        <f>VC_NEW!DH4</f>
        <v>0</v>
      </c>
      <c r="DN12" s="7">
        <f>VC_NEW!DI4</f>
        <v>0</v>
      </c>
      <c r="DO12" s="7">
        <f>VC_NEW!DJ4</f>
        <v>0</v>
      </c>
      <c r="DP12" s="7">
        <f>VC_NEW!DK4</f>
        <v>0</v>
      </c>
      <c r="DQ12" s="7">
        <f>VC_NEW!DL4</f>
        <v>0</v>
      </c>
      <c r="DR12" s="7">
        <f>VC_NEW!DM4</f>
        <v>0</v>
      </c>
      <c r="DS12" s="7">
        <f>VC_NEW!DN4</f>
        <v>0</v>
      </c>
      <c r="DT12" s="7">
        <f>VC_NEW!DO4</f>
        <v>0</v>
      </c>
      <c r="DU12" s="7">
        <f>VC_NEW!DP4</f>
        <v>0</v>
      </c>
      <c r="DV12" s="7">
        <f>VC_NEW!DQ4</f>
        <v>0</v>
      </c>
      <c r="DW12" s="7">
        <f>VC_NEW!DR4</f>
        <v>0</v>
      </c>
      <c r="DX12" s="7">
        <f>VC_NEW!DS4</f>
        <v>0</v>
      </c>
      <c r="DY12" s="7">
        <f>VC_NEW!DT4</f>
        <v>0</v>
      </c>
      <c r="DZ12" s="7">
        <f>VC_NEW!DU4</f>
        <v>0</v>
      </c>
      <c r="EA12" s="7">
        <f>VC_NEW!DV4</f>
        <v>0</v>
      </c>
      <c r="EB12" s="7">
        <f>VC_NEW!DW4</f>
        <v>0</v>
      </c>
      <c r="EC12" s="7">
        <f>VC_NEW!DX4</f>
        <v>0</v>
      </c>
      <c r="ED12" s="7">
        <f>VC_NEW!DY4</f>
        <v>0</v>
      </c>
      <c r="EE12" s="7">
        <f>VC_NEW!DZ4</f>
        <v>0</v>
      </c>
      <c r="EF12" s="7">
        <f>VC_NEW!EA4</f>
        <v>0</v>
      </c>
      <c r="EG12" s="7">
        <f>VC_NEW!EB4</f>
        <v>0</v>
      </c>
      <c r="EH12" s="7">
        <f>VC_NEW!EC4</f>
        <v>0</v>
      </c>
      <c r="EI12" s="7">
        <f>VC_NEW!ED4</f>
        <v>0</v>
      </c>
      <c r="EJ12" s="7">
        <f>VC_NEW!EE4</f>
        <v>0</v>
      </c>
      <c r="EK12" s="7" t="str">
        <f>VC_NEW!EF4</f>
        <v>nt217∆1</v>
      </c>
      <c r="EL12" s="7">
        <f>VC_NEW!EG4</f>
        <v>0</v>
      </c>
      <c r="EM12" s="7">
        <f>VC_NEW!EH4</f>
        <v>0</v>
      </c>
      <c r="EN12" s="7">
        <f>VC_NEW!EI4</f>
        <v>0</v>
      </c>
      <c r="EO12" s="7">
        <f>VC_NEW!EJ4</f>
        <v>0</v>
      </c>
      <c r="EP12" s="7">
        <f>VC_NEW!EK4</f>
        <v>0</v>
      </c>
      <c r="EQ12" s="7">
        <f>VC_NEW!EL4</f>
        <v>0</v>
      </c>
      <c r="ER12" s="7">
        <f>VC_NEW!EM4</f>
        <v>0</v>
      </c>
      <c r="ES12" s="7">
        <f>VC_NEW!EN4</f>
        <v>0</v>
      </c>
      <c r="ET12" s="7">
        <f>VC_NEW!EO4</f>
        <v>0</v>
      </c>
      <c r="EU12" s="7">
        <f>VC_NEW!EP4</f>
        <v>0</v>
      </c>
      <c r="EV12" s="7">
        <f>VC_NEW!EQ4</f>
        <v>0</v>
      </c>
      <c r="EW12" s="7" t="str">
        <f>VC_NEW!ER4</f>
        <v>N79S</v>
      </c>
      <c r="EX12" s="7">
        <f>VC_NEW!ES4</f>
        <v>0</v>
      </c>
      <c r="EY12" s="7">
        <f>VC_NEW!ET4</f>
        <v>0</v>
      </c>
      <c r="EZ12" s="7">
        <f>VC_NEW!EU4</f>
        <v>0</v>
      </c>
      <c r="FA12" s="7">
        <f>VC_NEW!EV4</f>
        <v>0</v>
      </c>
      <c r="FB12" s="7">
        <f>VC_NEW!EW4</f>
        <v>0</v>
      </c>
      <c r="FC12" s="7">
        <f>VC_NEW!EX4</f>
        <v>0</v>
      </c>
      <c r="FD12" s="7">
        <f>VC_NEW!EY4</f>
        <v>0</v>
      </c>
      <c r="FE12" s="7">
        <f>VC_NEW!EZ4</f>
        <v>0</v>
      </c>
      <c r="FF12" s="7">
        <f>VC_NEW!FA4</f>
        <v>0</v>
      </c>
      <c r="FG12" s="7">
        <f>VC_NEW!FB4</f>
        <v>0</v>
      </c>
      <c r="FH12" s="7">
        <f>VC_NEW!FC4</f>
        <v>0</v>
      </c>
      <c r="FI12" s="7">
        <f>VC_NEW!FD4</f>
        <v>0</v>
      </c>
      <c r="FJ12" s="7">
        <f>VC_NEW!FE4</f>
        <v>0</v>
      </c>
      <c r="FK12" s="7">
        <f>VC_NEW!FF4</f>
        <v>0</v>
      </c>
      <c r="FL12" s="7">
        <f>VC_NEW!FG4</f>
        <v>0</v>
      </c>
      <c r="FM12" s="7">
        <f>VC_NEW!FH4</f>
        <v>0</v>
      </c>
      <c r="FN12" s="7">
        <f>VC_NEW!FI4</f>
        <v>0</v>
      </c>
      <c r="FO12" s="7">
        <f>VC_NEW!FJ4</f>
        <v>0</v>
      </c>
      <c r="FP12" s="7">
        <f>VC_NEW!FK4</f>
        <v>0</v>
      </c>
      <c r="FQ12" s="7">
        <f>VC_NEW!FL4</f>
        <v>0</v>
      </c>
      <c r="FR12" s="7" t="str">
        <f>VC_NEW!FM4</f>
        <v>Q49X</v>
      </c>
      <c r="FS12" s="7">
        <f>VC_NEW!FN4</f>
        <v>0</v>
      </c>
      <c r="FT12" s="7">
        <f>VC_NEW!FO4</f>
        <v>0</v>
      </c>
      <c r="FU12" s="7">
        <f>VC_NEW!FP4</f>
        <v>0</v>
      </c>
      <c r="FV12" s="7">
        <f>VC_NEW!FQ4</f>
        <v>0</v>
      </c>
      <c r="FW12" s="7" t="str">
        <f>VC_NEW!FR4</f>
        <v>aa90∆4</v>
      </c>
      <c r="FX12" s="7">
        <f>VC_NEW!FS4</f>
        <v>0</v>
      </c>
      <c r="FY12" s="7">
        <f>VC_NEW!FT4</f>
        <v>0</v>
      </c>
      <c r="FZ12" s="7">
        <f>VC_NEW!FU4</f>
        <v>0</v>
      </c>
      <c r="GA12" s="7">
        <f>VC_NEW!FV4</f>
        <v>0</v>
      </c>
      <c r="GB12" s="7">
        <f>VC_NEW!FW4</f>
        <v>0</v>
      </c>
      <c r="GC12" s="7">
        <f>VC_NEW!FX4</f>
        <v>0</v>
      </c>
      <c r="GD12" s="7">
        <f>VC_NEW!FY4</f>
        <v>0</v>
      </c>
      <c r="GE12" s="7">
        <f>VC_NEW!FZ4</f>
        <v>0</v>
      </c>
      <c r="GF12" s="7">
        <f>VC_NEW!GA4</f>
        <v>0</v>
      </c>
      <c r="GG12" s="7">
        <f>VC_NEW!GB4</f>
        <v>0</v>
      </c>
      <c r="GH12" s="7">
        <f>VC_NEW!GC4</f>
        <v>0</v>
      </c>
      <c r="GI12" s="7">
        <f>VC_NEW!GD4</f>
        <v>0</v>
      </c>
      <c r="GJ12" s="7">
        <f>VC_NEW!GE4</f>
        <v>0</v>
      </c>
      <c r="GK12" s="7">
        <f>VC_NEW!GF4</f>
        <v>0</v>
      </c>
      <c r="GL12" s="7">
        <f>VC_NEW!GG4</f>
        <v>0</v>
      </c>
      <c r="GM12" s="7">
        <f>VC_NEW!GH4</f>
        <v>0</v>
      </c>
      <c r="GN12" s="7">
        <f>VC_NEW!GI4</f>
        <v>0</v>
      </c>
      <c r="GO12" s="7">
        <f>VC_NEW!GJ4</f>
        <v>0</v>
      </c>
      <c r="GP12" s="7">
        <f>VC_NEW!GK4</f>
        <v>0</v>
      </c>
      <c r="GQ12" s="7">
        <f>VC_NEW!GL4</f>
        <v>0</v>
      </c>
      <c r="GR12" s="7">
        <f>VC_NEW!GM4</f>
        <v>0</v>
      </c>
      <c r="GS12" s="7">
        <f>VC_NEW!GN4</f>
        <v>0</v>
      </c>
      <c r="GT12" s="7">
        <f>VC_NEW!GO4</f>
        <v>0</v>
      </c>
      <c r="GU12" s="7">
        <f>VC_NEW!GP4</f>
        <v>0</v>
      </c>
      <c r="GV12" s="7">
        <f>VC_NEW!GQ4</f>
        <v>0</v>
      </c>
      <c r="GW12" s="7">
        <f>VC_NEW!GR4</f>
        <v>0</v>
      </c>
      <c r="GX12" s="7">
        <f>VC_NEW!GS4</f>
        <v>0</v>
      </c>
      <c r="GY12" s="7">
        <f>VC_NEW!GT4</f>
        <v>0</v>
      </c>
      <c r="GZ12" s="7">
        <f>VC_NEW!GU4</f>
        <v>0</v>
      </c>
      <c r="HA12" s="7">
        <f>VC_NEW!GV4</f>
        <v>0</v>
      </c>
      <c r="HB12" s="7" t="str">
        <f>VC_NEW!GW4</f>
        <v>nt492InsACCC</v>
      </c>
      <c r="HC12" s="7">
        <f>VC_NEW!GX4</f>
        <v>0</v>
      </c>
    </row>
    <row r="13" spans="1:211" s="1" customFormat="1" ht="15" customHeight="1" x14ac:dyDescent="0.25">
      <c r="A13" s="65" t="s">
        <v>7</v>
      </c>
      <c r="B13" s="66" t="s">
        <v>8</v>
      </c>
      <c r="C13" s="67" t="s">
        <v>1</v>
      </c>
      <c r="D13" s="66" t="s">
        <v>77</v>
      </c>
      <c r="E13" s="45">
        <v>-0.5</v>
      </c>
      <c r="F13" s="66" t="s">
        <v>74</v>
      </c>
      <c r="G13" s="68" t="s">
        <v>137</v>
      </c>
      <c r="H13" s="1">
        <f>VC_NEW!C5</f>
        <v>0</v>
      </c>
      <c r="I13" s="1">
        <f>VC_NEW!D5</f>
        <v>0</v>
      </c>
      <c r="J13" s="1">
        <f>VC_NEW!E5</f>
        <v>0</v>
      </c>
      <c r="K13" s="1">
        <f>VC_NEW!F5</f>
        <v>0</v>
      </c>
      <c r="L13" s="1">
        <f>VC_NEW!G5</f>
        <v>0</v>
      </c>
      <c r="M13" s="1">
        <f>VC_NEW!H5</f>
        <v>0</v>
      </c>
      <c r="N13" s="1">
        <f>VC_NEW!I5</f>
        <v>0</v>
      </c>
      <c r="O13" s="1">
        <f>VC_NEW!J5</f>
        <v>0</v>
      </c>
      <c r="P13" s="1">
        <f>VC_NEW!K5</f>
        <v>0</v>
      </c>
      <c r="Q13" s="1">
        <f>VC_NEW!L5</f>
        <v>0</v>
      </c>
      <c r="R13" s="1">
        <f>VC_NEW!M5</f>
        <v>0</v>
      </c>
      <c r="S13" s="1">
        <f>VC_NEW!N5</f>
        <v>0</v>
      </c>
      <c r="T13" s="1">
        <f>VC_NEW!O5</f>
        <v>0</v>
      </c>
      <c r="U13" s="1">
        <f>VC_NEW!P5</f>
        <v>0</v>
      </c>
      <c r="V13" s="1">
        <f>VC_NEW!Q5</f>
        <v>0</v>
      </c>
      <c r="W13" s="1">
        <f>VC_NEW!R5</f>
        <v>0</v>
      </c>
      <c r="X13" s="1">
        <f>VC_NEW!S5</f>
        <v>0</v>
      </c>
      <c r="Y13" s="1">
        <f>VC_NEW!T5</f>
        <v>0</v>
      </c>
      <c r="Z13" s="1">
        <f>VC_NEW!U5</f>
        <v>0</v>
      </c>
      <c r="AA13" s="1">
        <f>VC_NEW!V5</f>
        <v>0</v>
      </c>
      <c r="AB13" s="1">
        <f>VC_NEW!W5</f>
        <v>0</v>
      </c>
      <c r="AC13" s="1">
        <f>VC_NEW!X5</f>
        <v>0</v>
      </c>
      <c r="AD13" s="1">
        <f>VC_NEW!Y5</f>
        <v>0</v>
      </c>
      <c r="AE13" s="1">
        <f>VC_NEW!Z5</f>
        <v>0</v>
      </c>
      <c r="AF13" s="1">
        <f>VC_NEW!AA5</f>
        <v>0</v>
      </c>
      <c r="AG13" s="1">
        <f>VC_NEW!AB5</f>
        <v>0</v>
      </c>
      <c r="AH13" s="1">
        <f>VC_NEW!AC5</f>
        <v>0</v>
      </c>
      <c r="AI13" s="1">
        <f>VC_NEW!AD5</f>
        <v>0</v>
      </c>
      <c r="AJ13" s="1">
        <f>VC_NEW!AE5</f>
        <v>0</v>
      </c>
      <c r="AK13" s="1">
        <f>VC_NEW!AF5</f>
        <v>0</v>
      </c>
      <c r="AL13" s="1">
        <f>VC_NEW!AG5</f>
        <v>0</v>
      </c>
      <c r="AM13" s="1">
        <f>VC_NEW!AH5</f>
        <v>0</v>
      </c>
      <c r="AN13" s="1">
        <f>VC_NEW!AI5</f>
        <v>0</v>
      </c>
      <c r="AO13" s="1">
        <f>VC_NEW!AJ5</f>
        <v>0</v>
      </c>
      <c r="AP13" s="1">
        <f>VC_NEW!AK5</f>
        <v>0</v>
      </c>
      <c r="AQ13" s="1">
        <f>VC_NEW!AL5</f>
        <v>0</v>
      </c>
      <c r="AR13" s="1">
        <f>VC_NEW!AM5</f>
        <v>0</v>
      </c>
      <c r="AS13" s="1">
        <f>VC_NEW!AN5</f>
        <v>0</v>
      </c>
      <c r="AT13" s="1">
        <f>VC_NEW!AO5</f>
        <v>0</v>
      </c>
      <c r="AU13" s="1">
        <f>VC_NEW!AP5</f>
        <v>0</v>
      </c>
      <c r="AV13" s="1">
        <f>VC_NEW!AQ5</f>
        <v>0</v>
      </c>
      <c r="AW13" s="1">
        <f>VC_NEW!AR5</f>
        <v>0</v>
      </c>
      <c r="AX13" s="1" t="str">
        <f>VC_NEW!AS5</f>
        <v>I63V</v>
      </c>
      <c r="AY13" s="1">
        <f>VC_NEW!AT5</f>
        <v>0</v>
      </c>
      <c r="AZ13" s="1">
        <f>VC_NEW!AU5</f>
        <v>0</v>
      </c>
      <c r="BA13" s="1">
        <f>VC_NEW!AV5</f>
        <v>0</v>
      </c>
      <c r="BB13" s="1">
        <f>VC_NEW!AW5</f>
        <v>0</v>
      </c>
      <c r="BC13" s="1">
        <f>VC_NEW!AX5</f>
        <v>0</v>
      </c>
      <c r="BD13" s="1">
        <f>VC_NEW!AY5</f>
        <v>0</v>
      </c>
      <c r="BE13" s="1">
        <f>VC_NEW!AZ5</f>
        <v>0</v>
      </c>
      <c r="BF13" s="1">
        <f>VC_NEW!BA5</f>
        <v>0</v>
      </c>
      <c r="BG13" s="1">
        <f>VC_NEW!BB5</f>
        <v>0</v>
      </c>
      <c r="BH13" s="1">
        <f>VC_NEW!BC5</f>
        <v>0</v>
      </c>
      <c r="BI13" s="1">
        <f>VC_NEW!BD5</f>
        <v>0</v>
      </c>
      <c r="BJ13" s="1">
        <f>VC_NEW!BE5</f>
        <v>0</v>
      </c>
      <c r="BK13" s="1">
        <f>VC_NEW!BF5</f>
        <v>0</v>
      </c>
      <c r="BL13" s="1">
        <f>VC_NEW!BG5</f>
        <v>0</v>
      </c>
      <c r="BM13" s="1" t="str">
        <f>VC_NEW!BH5</f>
        <v>K86E</v>
      </c>
      <c r="BN13" s="1">
        <f>VC_NEW!BI5</f>
        <v>0</v>
      </c>
      <c r="BO13" s="1">
        <f>VC_NEW!BJ5</f>
        <v>0</v>
      </c>
      <c r="BP13" s="1">
        <f>VC_NEW!BK5</f>
        <v>0</v>
      </c>
      <c r="BQ13" s="1">
        <f>VC_NEW!BL5</f>
        <v>0</v>
      </c>
      <c r="BR13" s="1">
        <f>VC_NEW!BM5</f>
        <v>0</v>
      </c>
      <c r="BS13" s="1">
        <f>VC_NEW!BN5</f>
        <v>0</v>
      </c>
      <c r="BT13" s="1">
        <f>VC_NEW!BO5</f>
        <v>0</v>
      </c>
      <c r="BU13" s="1">
        <f>VC_NEW!BP5</f>
        <v>0</v>
      </c>
      <c r="BV13" s="1">
        <f>VC_NEW!BQ5</f>
        <v>0</v>
      </c>
      <c r="BW13" s="1">
        <f>VC_NEW!BR5</f>
        <v>0</v>
      </c>
      <c r="BX13" s="1">
        <f>VC_NEW!BS5</f>
        <v>0</v>
      </c>
      <c r="BY13" s="1">
        <f>VC_NEW!BT5</f>
        <v>0</v>
      </c>
      <c r="BZ13" s="1">
        <f>VC_NEW!BU5</f>
        <v>0</v>
      </c>
      <c r="CA13" s="1">
        <f>VC_NEW!BV5</f>
        <v>0</v>
      </c>
      <c r="CB13" s="1">
        <f>VC_NEW!BW5</f>
        <v>0</v>
      </c>
      <c r="CC13" s="1">
        <f>VC_NEW!BX5</f>
        <v>0</v>
      </c>
      <c r="CD13" s="1">
        <f>VC_NEW!BY5</f>
        <v>0</v>
      </c>
      <c r="CE13" s="1">
        <f>VC_NEW!BZ5</f>
        <v>0</v>
      </c>
      <c r="CF13" s="1">
        <f>VC_NEW!CA5</f>
        <v>0</v>
      </c>
      <c r="CG13" s="1">
        <f>VC_NEW!CB5</f>
        <v>0</v>
      </c>
      <c r="CH13" s="1">
        <f>VC_NEW!CC5</f>
        <v>0</v>
      </c>
      <c r="CI13" s="1">
        <f>VC_NEW!CD5</f>
        <v>0</v>
      </c>
      <c r="CJ13" s="1">
        <f>VC_NEW!CE5</f>
        <v>0</v>
      </c>
      <c r="CK13" s="1">
        <f>VC_NEW!CF5</f>
        <v>0</v>
      </c>
      <c r="CL13" s="1">
        <f>VC_NEW!CG5</f>
        <v>0</v>
      </c>
      <c r="CM13" s="1">
        <f>VC_NEW!CH5</f>
        <v>0</v>
      </c>
      <c r="CN13" s="1" t="str">
        <f>VC_NEW!CI5</f>
        <v>Q143P</v>
      </c>
      <c r="CO13" s="1" t="str">
        <f>VC_NEW!CJ5</f>
        <v>N269S</v>
      </c>
      <c r="CP13" s="1">
        <f>VC_NEW!CK5</f>
        <v>0</v>
      </c>
      <c r="CQ13" s="1">
        <f>VC_NEW!CL5</f>
        <v>0</v>
      </c>
      <c r="CR13" s="1">
        <f>VC_NEW!CM5</f>
        <v>0</v>
      </c>
      <c r="CS13" s="1">
        <f>VC_NEW!CN5</f>
        <v>0</v>
      </c>
      <c r="CT13" s="1">
        <f>VC_NEW!CO5</f>
        <v>0</v>
      </c>
      <c r="CU13" s="1">
        <f>VC_NEW!CP5</f>
        <v>0</v>
      </c>
      <c r="CV13" s="1">
        <f>VC_NEW!CQ5</f>
        <v>0</v>
      </c>
      <c r="CW13" s="1">
        <f>VC_NEW!CR5</f>
        <v>0</v>
      </c>
      <c r="CX13" s="1" t="str">
        <f>VC_NEW!CS5</f>
        <v>A33T</v>
      </c>
      <c r="CY13" s="1">
        <f>VC_NEW!CT5</f>
        <v>0</v>
      </c>
      <c r="CZ13" s="1">
        <f>VC_NEW!CU5</f>
        <v>0</v>
      </c>
      <c r="DA13" s="1">
        <f>VC_NEW!CV5</f>
        <v>0</v>
      </c>
      <c r="DB13" s="1">
        <f>VC_NEW!CW5</f>
        <v>0</v>
      </c>
      <c r="DC13" s="1">
        <f>VC_NEW!CX5</f>
        <v>0</v>
      </c>
      <c r="DD13" s="1">
        <f>VC_NEW!CY5</f>
        <v>0</v>
      </c>
      <c r="DE13" s="1">
        <f>VC_NEW!CZ5</f>
        <v>0</v>
      </c>
      <c r="DF13" s="1">
        <f>VC_NEW!DA5</f>
        <v>0</v>
      </c>
      <c r="DG13" s="1">
        <f>VC_NEW!DB5</f>
        <v>0</v>
      </c>
      <c r="DH13" s="1">
        <f>VC_NEW!DC5</f>
        <v>0</v>
      </c>
      <c r="DI13" s="1">
        <f>VC_NEW!DD5</f>
        <v>0</v>
      </c>
      <c r="DJ13" s="1">
        <f>VC_NEW!DE5</f>
        <v>0</v>
      </c>
      <c r="DK13" s="1" t="str">
        <f>VC_NEW!DF5</f>
        <v>K86E</v>
      </c>
      <c r="DL13" s="1">
        <f>VC_NEW!DG5</f>
        <v>0</v>
      </c>
      <c r="DM13" s="1">
        <f>VC_NEW!DH5</f>
        <v>0</v>
      </c>
      <c r="DN13" s="1">
        <f>VC_NEW!DI5</f>
        <v>0</v>
      </c>
      <c r="DO13" s="1">
        <f>VC_NEW!DJ5</f>
        <v>0</v>
      </c>
      <c r="DP13" s="1">
        <f>VC_NEW!DK5</f>
        <v>0</v>
      </c>
      <c r="DQ13" s="1" t="str">
        <f>VC_NEW!DL5</f>
        <v>K76Q</v>
      </c>
      <c r="DR13" s="1">
        <f>VC_NEW!DM5</f>
        <v>0</v>
      </c>
      <c r="DS13" s="1">
        <f>VC_NEW!DN5</f>
        <v>0</v>
      </c>
      <c r="DT13" s="1">
        <f>VC_NEW!DO5</f>
        <v>0</v>
      </c>
      <c r="DU13" s="1" t="str">
        <f>VC_NEW!DP5</f>
        <v>Q104X</v>
      </c>
      <c r="DV13" s="1">
        <f>VC_NEW!DQ5</f>
        <v>0</v>
      </c>
      <c r="DW13" s="1">
        <f>VC_NEW!DR5</f>
        <v>0</v>
      </c>
      <c r="DX13" s="1">
        <f>VC_NEW!DS5</f>
        <v>0</v>
      </c>
      <c r="DY13" s="1">
        <f>VC_NEW!DT5</f>
        <v>0</v>
      </c>
      <c r="DZ13" s="1">
        <f>VC_NEW!DU5</f>
        <v>0</v>
      </c>
      <c r="EA13" s="1">
        <f>VC_NEW!DV5</f>
        <v>0</v>
      </c>
      <c r="EB13" s="1">
        <f>VC_NEW!DW5</f>
        <v>0</v>
      </c>
      <c r="EC13" s="1">
        <f>VC_NEW!DX5</f>
        <v>0</v>
      </c>
      <c r="ED13" s="1" t="str">
        <f>VC_NEW!DY5</f>
        <v>E53X</v>
      </c>
      <c r="EE13" s="1">
        <f>VC_NEW!DZ5</f>
        <v>0</v>
      </c>
      <c r="EF13" s="1" t="str">
        <f>VC_NEW!EA5</f>
        <v>A111T</v>
      </c>
      <c r="EG13" s="1" t="str">
        <f>VC_NEW!EB5</f>
        <v>A117V</v>
      </c>
      <c r="EH13" s="1">
        <f>VC_NEW!EC5</f>
        <v>0</v>
      </c>
      <c r="EI13" s="1">
        <f>VC_NEW!ED5</f>
        <v>0</v>
      </c>
      <c r="EJ13" s="1">
        <f>VC_NEW!EE5</f>
        <v>0</v>
      </c>
      <c r="EK13" s="1">
        <f>VC_NEW!EF5</f>
        <v>0</v>
      </c>
      <c r="EL13" s="1">
        <f>VC_NEW!EG5</f>
        <v>0</v>
      </c>
      <c r="EM13" s="1">
        <f>VC_NEW!EH5</f>
        <v>0</v>
      </c>
      <c r="EN13" s="1">
        <f>VC_NEW!EI5</f>
        <v>0</v>
      </c>
      <c r="EO13" s="1">
        <f>VC_NEW!EJ5</f>
        <v>0</v>
      </c>
      <c r="EP13" s="1">
        <f>VC_NEW!EK5</f>
        <v>0</v>
      </c>
      <c r="EQ13" s="1">
        <f>VC_NEW!EL5</f>
        <v>0</v>
      </c>
      <c r="ER13" s="1" t="str">
        <f>VC_NEW!EM5</f>
        <v>R326Q</v>
      </c>
      <c r="ES13" s="1">
        <f>VC_NEW!EN5</f>
        <v>0</v>
      </c>
      <c r="ET13" s="1">
        <f>VC_NEW!EO5</f>
        <v>0</v>
      </c>
      <c r="EU13" s="1">
        <f>VC_NEW!EP5</f>
        <v>0</v>
      </c>
      <c r="EV13" s="1" t="str">
        <f>VC_NEW!EQ5</f>
        <v>K86E</v>
      </c>
      <c r="EW13" s="1">
        <f>VC_NEW!ER5</f>
        <v>0</v>
      </c>
      <c r="EX13" s="1">
        <f>VC_NEW!ES5</f>
        <v>0</v>
      </c>
      <c r="EY13" s="1">
        <f>VC_NEW!ET5</f>
        <v>0</v>
      </c>
      <c r="EZ13" s="1">
        <f>VC_NEW!EU5</f>
        <v>0</v>
      </c>
      <c r="FA13" s="1">
        <f>VC_NEW!EV5</f>
        <v>0</v>
      </c>
      <c r="FB13" s="1">
        <f>VC_NEW!EW5</f>
        <v>0</v>
      </c>
      <c r="FC13" s="1">
        <f>VC_NEW!EX5</f>
        <v>0</v>
      </c>
      <c r="FD13" s="1">
        <f>VC_NEW!EY5</f>
        <v>0</v>
      </c>
      <c r="FE13" s="1">
        <f>VC_NEW!EZ5</f>
        <v>0</v>
      </c>
      <c r="FF13" s="1">
        <f>VC_NEW!FA5</f>
        <v>0</v>
      </c>
      <c r="FG13" s="1">
        <f>VC_NEW!FB5</f>
        <v>0</v>
      </c>
      <c r="FH13" s="1">
        <f>VC_NEW!FC5</f>
        <v>0</v>
      </c>
      <c r="FI13" s="1">
        <f>VC_NEW!FD5</f>
        <v>0</v>
      </c>
      <c r="FJ13" s="1">
        <f>VC_NEW!FE5</f>
        <v>0</v>
      </c>
      <c r="FK13" s="1">
        <f>VC_NEW!FF5</f>
        <v>0</v>
      </c>
      <c r="FL13" s="1">
        <f>VC_NEW!FG5</f>
        <v>0</v>
      </c>
      <c r="FM13" s="1">
        <f>VC_NEW!FH5</f>
        <v>0</v>
      </c>
      <c r="FN13" s="1">
        <f>VC_NEW!FI5</f>
        <v>0</v>
      </c>
      <c r="FO13" s="1">
        <f>VC_NEW!FJ5</f>
        <v>0</v>
      </c>
      <c r="FP13" s="1">
        <f>VC_NEW!FK5</f>
        <v>0</v>
      </c>
      <c r="FQ13" s="1">
        <f>VC_NEW!FL5</f>
        <v>0</v>
      </c>
      <c r="FR13" s="1">
        <f>VC_NEW!FM5</f>
        <v>0</v>
      </c>
      <c r="FS13" s="1">
        <f>VC_NEW!FN5</f>
        <v>0</v>
      </c>
      <c r="FT13" s="1">
        <f>VC_NEW!FO5</f>
        <v>0</v>
      </c>
      <c r="FU13" s="1">
        <f>VC_NEW!FP5</f>
        <v>0</v>
      </c>
      <c r="FV13" s="1">
        <f>VC_NEW!FQ5</f>
        <v>0</v>
      </c>
      <c r="FW13" s="1">
        <f>VC_NEW!FR5</f>
        <v>0</v>
      </c>
      <c r="FX13" s="1">
        <f>VC_NEW!FS5</f>
        <v>0</v>
      </c>
      <c r="FY13" s="1">
        <f>VC_NEW!FT5</f>
        <v>0</v>
      </c>
      <c r="FZ13" s="1">
        <f>VC_NEW!FU5</f>
        <v>0</v>
      </c>
      <c r="GA13" s="1">
        <f>VC_NEW!FV5</f>
        <v>0</v>
      </c>
      <c r="GB13" s="1">
        <f>VC_NEW!FW5</f>
        <v>0</v>
      </c>
      <c r="GC13" s="1">
        <f>VC_NEW!FX5</f>
        <v>0</v>
      </c>
      <c r="GD13" s="1">
        <f>VC_NEW!FY5</f>
        <v>0</v>
      </c>
      <c r="GE13" s="1">
        <f>VC_NEW!FZ5</f>
        <v>0</v>
      </c>
      <c r="GF13" s="1">
        <f>VC_NEW!GA5</f>
        <v>0</v>
      </c>
      <c r="GG13" s="1">
        <f>VC_NEW!GB5</f>
        <v>0</v>
      </c>
      <c r="GH13" s="1">
        <f>VC_NEW!GC5</f>
        <v>0</v>
      </c>
      <c r="GI13" s="1">
        <f>VC_NEW!GD5</f>
        <v>0</v>
      </c>
      <c r="GJ13" s="1">
        <f>VC_NEW!GE5</f>
        <v>0</v>
      </c>
      <c r="GK13" s="1">
        <f>VC_NEW!GF5</f>
        <v>0</v>
      </c>
      <c r="GL13" s="1">
        <f>VC_NEW!GG5</f>
        <v>0</v>
      </c>
      <c r="GM13" s="1">
        <f>VC_NEW!GH5</f>
        <v>0</v>
      </c>
      <c r="GN13" s="1">
        <f>VC_NEW!GI5</f>
        <v>0</v>
      </c>
      <c r="GO13" s="1">
        <f>VC_NEW!GJ5</f>
        <v>0</v>
      </c>
      <c r="GP13" s="1">
        <f>VC_NEW!GK5</f>
        <v>0</v>
      </c>
      <c r="GQ13" s="1">
        <f>VC_NEW!GL5</f>
        <v>0</v>
      </c>
      <c r="GR13" s="1">
        <f>VC_NEW!GM5</f>
        <v>0</v>
      </c>
      <c r="GS13" s="1">
        <f>VC_NEW!GN5</f>
        <v>0</v>
      </c>
      <c r="GT13" s="1">
        <f>VC_NEW!GO5</f>
        <v>0</v>
      </c>
      <c r="GU13" s="1" t="str">
        <f>VC_NEW!GP5</f>
        <v>N269S</v>
      </c>
      <c r="GV13" s="1">
        <f>VC_NEW!GQ5</f>
        <v>0</v>
      </c>
      <c r="GW13" s="1">
        <f>VC_NEW!GR5</f>
        <v>0</v>
      </c>
      <c r="GX13" s="1">
        <f>VC_NEW!GS5</f>
        <v>0</v>
      </c>
      <c r="GY13" s="1">
        <f>VC_NEW!GT5</f>
        <v>0</v>
      </c>
      <c r="GZ13" s="1">
        <f>VC_NEW!GU5</f>
        <v>0</v>
      </c>
      <c r="HA13" s="1">
        <f>VC_NEW!GV5</f>
        <v>0</v>
      </c>
      <c r="HB13" s="1">
        <f>VC_NEW!GW5</f>
        <v>0</v>
      </c>
      <c r="HC13" s="1">
        <f>VC_NEW!GX5</f>
        <v>0</v>
      </c>
    </row>
    <row r="14" spans="1:211" s="1" customFormat="1" ht="15" hidden="1" customHeight="1" x14ac:dyDescent="0.25">
      <c r="A14" s="44" t="s">
        <v>7</v>
      </c>
      <c r="B14" s="45" t="s">
        <v>8</v>
      </c>
      <c r="C14" s="46" t="s">
        <v>2</v>
      </c>
      <c r="D14" s="45" t="s">
        <v>77</v>
      </c>
      <c r="E14" s="45">
        <v>-0.5</v>
      </c>
      <c r="F14" s="45" t="s">
        <v>74</v>
      </c>
      <c r="G14" s="47" t="s">
        <v>137</v>
      </c>
      <c r="H14" s="1">
        <f>VC_NEW!C5</f>
        <v>0</v>
      </c>
      <c r="I14" s="1">
        <f>VC_NEW!D5</f>
        <v>0</v>
      </c>
      <c r="J14" s="1">
        <f>VC_NEW!E5</f>
        <v>0</v>
      </c>
      <c r="K14" s="1">
        <f>VC_NEW!F5</f>
        <v>0</v>
      </c>
      <c r="L14" s="1">
        <f>VC_NEW!G5</f>
        <v>0</v>
      </c>
      <c r="M14" s="1">
        <f>VC_NEW!H5</f>
        <v>0</v>
      </c>
      <c r="N14" s="1">
        <f>VC_NEW!I5</f>
        <v>0</v>
      </c>
      <c r="O14" s="1">
        <f>VC_NEW!J5</f>
        <v>0</v>
      </c>
      <c r="P14" s="1">
        <f>VC_NEW!K5</f>
        <v>0</v>
      </c>
      <c r="Q14" s="1">
        <f>VC_NEW!L5</f>
        <v>0</v>
      </c>
      <c r="R14" s="1">
        <f>VC_NEW!M5</f>
        <v>0</v>
      </c>
      <c r="S14" s="1">
        <f>VC_NEW!N5</f>
        <v>0</v>
      </c>
      <c r="T14" s="1">
        <f>VC_NEW!O5</f>
        <v>0</v>
      </c>
      <c r="U14" s="1">
        <f>VC_NEW!P5</f>
        <v>0</v>
      </c>
      <c r="V14" s="1">
        <f>VC_NEW!Q5</f>
        <v>0</v>
      </c>
      <c r="W14" s="1">
        <f>VC_NEW!R5</f>
        <v>0</v>
      </c>
      <c r="X14" s="1">
        <f>VC_NEW!S5</f>
        <v>0</v>
      </c>
      <c r="Y14" s="1">
        <f>VC_NEW!T5</f>
        <v>0</v>
      </c>
      <c r="Z14" s="1">
        <f>VC_NEW!U5</f>
        <v>0</v>
      </c>
      <c r="AA14" s="1">
        <f>VC_NEW!V5</f>
        <v>0</v>
      </c>
      <c r="AB14" s="1">
        <f>VC_NEW!W5</f>
        <v>0</v>
      </c>
      <c r="AC14" s="1">
        <f>VC_NEW!X5</f>
        <v>0</v>
      </c>
      <c r="AD14" s="1">
        <f>VC_NEW!Y5</f>
        <v>0</v>
      </c>
      <c r="AE14" s="1">
        <f>VC_NEW!Z5</f>
        <v>0</v>
      </c>
      <c r="AF14" s="1">
        <f>VC_NEW!AA5</f>
        <v>0</v>
      </c>
      <c r="AG14" s="1">
        <f>VC_NEW!AB5</f>
        <v>0</v>
      </c>
      <c r="AH14" s="1">
        <f>VC_NEW!AC5</f>
        <v>0</v>
      </c>
      <c r="AI14" s="1">
        <f>VC_NEW!AD5</f>
        <v>0</v>
      </c>
      <c r="AJ14" s="1">
        <f>VC_NEW!AE5</f>
        <v>0</v>
      </c>
      <c r="AK14" s="1">
        <f>VC_NEW!AF5</f>
        <v>0</v>
      </c>
      <c r="AL14" s="1">
        <f>VC_NEW!AG5</f>
        <v>0</v>
      </c>
      <c r="AM14" s="1">
        <f>VC_NEW!AH5</f>
        <v>0</v>
      </c>
      <c r="AN14" s="1">
        <f>VC_NEW!AI5</f>
        <v>0</v>
      </c>
      <c r="AO14" s="1">
        <f>VC_NEW!AJ5</f>
        <v>0</v>
      </c>
      <c r="AP14" s="1">
        <f>VC_NEW!AK5</f>
        <v>0</v>
      </c>
      <c r="AQ14" s="1">
        <f>VC_NEW!AL5</f>
        <v>0</v>
      </c>
      <c r="AR14" s="1">
        <f>VC_NEW!AM5</f>
        <v>0</v>
      </c>
      <c r="AS14" s="1">
        <f>VC_NEW!AN5</f>
        <v>0</v>
      </c>
      <c r="AT14" s="1">
        <f>VC_NEW!AO5</f>
        <v>0</v>
      </c>
      <c r="AU14" s="1">
        <f>VC_NEW!AP5</f>
        <v>0</v>
      </c>
      <c r="AV14" s="1">
        <f>VC_NEW!AQ5</f>
        <v>0</v>
      </c>
      <c r="AW14" s="1">
        <f>VC_NEW!AR5</f>
        <v>0</v>
      </c>
      <c r="AX14" s="1" t="str">
        <f>VC_NEW!AS5</f>
        <v>I63V</v>
      </c>
      <c r="AY14" s="1">
        <f>VC_NEW!AT5</f>
        <v>0</v>
      </c>
      <c r="AZ14" s="1">
        <f>VC_NEW!AU5</f>
        <v>0</v>
      </c>
      <c r="BA14" s="1">
        <f>VC_NEW!AV5</f>
        <v>0</v>
      </c>
      <c r="BB14" s="1">
        <f>VC_NEW!AW5</f>
        <v>0</v>
      </c>
      <c r="BC14" s="1">
        <f>VC_NEW!AX5</f>
        <v>0</v>
      </c>
      <c r="BD14" s="1">
        <f>VC_NEW!AY5</f>
        <v>0</v>
      </c>
      <c r="BE14" s="1">
        <f>VC_NEW!AZ5</f>
        <v>0</v>
      </c>
      <c r="BF14" s="1">
        <f>VC_NEW!BA5</f>
        <v>0</v>
      </c>
      <c r="BG14" s="1">
        <f>VC_NEW!BB5</f>
        <v>0</v>
      </c>
      <c r="BH14" s="1">
        <f>VC_NEW!BC5</f>
        <v>0</v>
      </c>
      <c r="BI14" s="1">
        <f>VC_NEW!BD5</f>
        <v>0</v>
      </c>
      <c r="BJ14" s="1">
        <f>VC_NEW!BE5</f>
        <v>0</v>
      </c>
      <c r="BK14" s="1">
        <f>VC_NEW!BF5</f>
        <v>0</v>
      </c>
      <c r="BL14" s="1">
        <f>VC_NEW!BG5</f>
        <v>0</v>
      </c>
      <c r="BM14" s="1" t="str">
        <f>VC_NEW!BH5</f>
        <v>K86E</v>
      </c>
      <c r="BN14" s="1">
        <f>VC_NEW!BI5</f>
        <v>0</v>
      </c>
      <c r="BO14" s="1">
        <f>VC_NEW!BJ5</f>
        <v>0</v>
      </c>
      <c r="BP14" s="1">
        <f>VC_NEW!BK5</f>
        <v>0</v>
      </c>
      <c r="BQ14" s="1">
        <f>VC_NEW!BL5</f>
        <v>0</v>
      </c>
      <c r="BR14" s="1">
        <f>VC_NEW!BM5</f>
        <v>0</v>
      </c>
      <c r="BS14" s="1">
        <f>VC_NEW!BN5</f>
        <v>0</v>
      </c>
      <c r="BT14" s="1">
        <f>VC_NEW!BO5</f>
        <v>0</v>
      </c>
      <c r="BU14" s="1">
        <f>VC_NEW!BP5</f>
        <v>0</v>
      </c>
      <c r="BV14" s="1">
        <f>VC_NEW!BQ5</f>
        <v>0</v>
      </c>
      <c r="BW14" s="1">
        <f>VC_NEW!BR5</f>
        <v>0</v>
      </c>
      <c r="BX14" s="1">
        <f>VC_NEW!BS5</f>
        <v>0</v>
      </c>
      <c r="BY14" s="1">
        <f>VC_NEW!BT5</f>
        <v>0</v>
      </c>
      <c r="BZ14" s="1">
        <f>VC_NEW!BU5</f>
        <v>0</v>
      </c>
      <c r="CA14" s="1">
        <f>VC_NEW!BV5</f>
        <v>0</v>
      </c>
      <c r="CB14" s="1">
        <f>VC_NEW!BW5</f>
        <v>0</v>
      </c>
      <c r="CC14" s="1">
        <f>VC_NEW!BX5</f>
        <v>0</v>
      </c>
      <c r="CD14" s="1">
        <f>VC_NEW!BY5</f>
        <v>0</v>
      </c>
      <c r="CE14" s="1">
        <f>VC_NEW!BZ5</f>
        <v>0</v>
      </c>
      <c r="CF14" s="1">
        <f>VC_NEW!CA5</f>
        <v>0</v>
      </c>
      <c r="CG14" s="1">
        <f>VC_NEW!CB5</f>
        <v>0</v>
      </c>
      <c r="CH14" s="1">
        <f>VC_NEW!CC5</f>
        <v>0</v>
      </c>
      <c r="CI14" s="1">
        <f>VC_NEW!CD5</f>
        <v>0</v>
      </c>
      <c r="CJ14" s="1">
        <f>VC_NEW!CE5</f>
        <v>0</v>
      </c>
      <c r="CK14" s="1">
        <f>VC_NEW!CF5</f>
        <v>0</v>
      </c>
      <c r="CL14" s="1">
        <f>VC_NEW!CG5</f>
        <v>0</v>
      </c>
      <c r="CM14" s="1">
        <f>VC_NEW!CH5</f>
        <v>0</v>
      </c>
      <c r="CN14" s="1" t="str">
        <f>VC_NEW!CI5</f>
        <v>Q143P</v>
      </c>
      <c r="CO14" s="1" t="str">
        <f>VC_NEW!CJ5</f>
        <v>N269S</v>
      </c>
      <c r="CP14" s="1">
        <f>VC_NEW!CK5</f>
        <v>0</v>
      </c>
      <c r="CQ14" s="1">
        <f>VC_NEW!CL5</f>
        <v>0</v>
      </c>
      <c r="CR14" s="1">
        <f>VC_NEW!CM5</f>
        <v>0</v>
      </c>
      <c r="CS14" s="1">
        <f>VC_NEW!CN5</f>
        <v>0</v>
      </c>
      <c r="CT14" s="1">
        <f>VC_NEW!CO5</f>
        <v>0</v>
      </c>
      <c r="CU14" s="1">
        <f>VC_NEW!CP5</f>
        <v>0</v>
      </c>
      <c r="CV14" s="1">
        <f>VC_NEW!CQ5</f>
        <v>0</v>
      </c>
      <c r="CW14" s="1">
        <f>VC_NEW!CR5</f>
        <v>0</v>
      </c>
      <c r="CX14" s="1" t="str">
        <f>VC_NEW!CS5</f>
        <v>A33T</v>
      </c>
      <c r="CY14" s="1">
        <f>VC_NEW!CT5</f>
        <v>0</v>
      </c>
      <c r="CZ14" s="1">
        <f>VC_NEW!CU5</f>
        <v>0</v>
      </c>
      <c r="DA14" s="1">
        <f>VC_NEW!CV5</f>
        <v>0</v>
      </c>
      <c r="DB14" s="1">
        <f>VC_NEW!CW5</f>
        <v>0</v>
      </c>
      <c r="DC14" s="1">
        <f>VC_NEW!CX5</f>
        <v>0</v>
      </c>
      <c r="DD14" s="1">
        <f>VC_NEW!CY5</f>
        <v>0</v>
      </c>
      <c r="DE14" s="1">
        <f>VC_NEW!CZ5</f>
        <v>0</v>
      </c>
      <c r="DF14" s="1">
        <f>VC_NEW!DA5</f>
        <v>0</v>
      </c>
      <c r="DG14" s="1">
        <f>VC_NEW!DB5</f>
        <v>0</v>
      </c>
      <c r="DH14" s="1">
        <f>VC_NEW!DC5</f>
        <v>0</v>
      </c>
      <c r="DI14" s="1">
        <f>VC_NEW!DD5</f>
        <v>0</v>
      </c>
      <c r="DJ14" s="1">
        <f>VC_NEW!DE5</f>
        <v>0</v>
      </c>
      <c r="DK14" s="1" t="str">
        <f>VC_NEW!DF5</f>
        <v>K86E</v>
      </c>
      <c r="DL14" s="1">
        <f>VC_NEW!DG5</f>
        <v>0</v>
      </c>
      <c r="DM14" s="1">
        <f>VC_NEW!DH5</f>
        <v>0</v>
      </c>
      <c r="DN14" s="1">
        <f>VC_NEW!DI5</f>
        <v>0</v>
      </c>
      <c r="DO14" s="1">
        <f>VC_NEW!DJ5</f>
        <v>0</v>
      </c>
      <c r="DP14" s="1">
        <f>VC_NEW!DK5</f>
        <v>0</v>
      </c>
      <c r="DQ14" s="1" t="str">
        <f>VC_NEW!DL5</f>
        <v>K76Q</v>
      </c>
      <c r="DR14" s="1">
        <f>VC_NEW!DM5</f>
        <v>0</v>
      </c>
      <c r="DS14" s="1">
        <f>VC_NEW!DN5</f>
        <v>0</v>
      </c>
      <c r="DT14" s="1">
        <f>VC_NEW!DO5</f>
        <v>0</v>
      </c>
      <c r="DU14" s="1" t="str">
        <f>VC_NEW!DP5</f>
        <v>Q104X</v>
      </c>
      <c r="DV14" s="1">
        <f>VC_NEW!DQ5</f>
        <v>0</v>
      </c>
      <c r="DW14" s="1">
        <f>VC_NEW!DR5</f>
        <v>0</v>
      </c>
      <c r="DX14" s="1">
        <f>VC_NEW!DS5</f>
        <v>0</v>
      </c>
      <c r="DY14" s="1">
        <f>VC_NEW!DT5</f>
        <v>0</v>
      </c>
      <c r="DZ14" s="1">
        <f>VC_NEW!DU5</f>
        <v>0</v>
      </c>
      <c r="EA14" s="1">
        <f>VC_NEW!DV5</f>
        <v>0</v>
      </c>
      <c r="EB14" s="1">
        <f>VC_NEW!DW5</f>
        <v>0</v>
      </c>
      <c r="EC14" s="1">
        <f>VC_NEW!DX5</f>
        <v>0</v>
      </c>
      <c r="ED14" s="1" t="str">
        <f>VC_NEW!DY5</f>
        <v>E53X</v>
      </c>
      <c r="EE14" s="1">
        <f>VC_NEW!DZ5</f>
        <v>0</v>
      </c>
      <c r="EF14" s="1" t="str">
        <f>VC_NEW!EA5</f>
        <v>A111T</v>
      </c>
      <c r="EG14" s="1" t="str">
        <f>VC_NEW!EB5</f>
        <v>A117V</v>
      </c>
      <c r="EH14" s="1">
        <f>VC_NEW!EC5</f>
        <v>0</v>
      </c>
      <c r="EI14" s="1">
        <f>VC_NEW!ED5</f>
        <v>0</v>
      </c>
      <c r="EJ14" s="1">
        <f>VC_NEW!EE5</f>
        <v>0</v>
      </c>
      <c r="EK14" s="1">
        <f>VC_NEW!EF5</f>
        <v>0</v>
      </c>
      <c r="EL14" s="1">
        <f>VC_NEW!EG5</f>
        <v>0</v>
      </c>
      <c r="EM14" s="1">
        <f>VC_NEW!EH5</f>
        <v>0</v>
      </c>
      <c r="EN14" s="1">
        <f>VC_NEW!EI5</f>
        <v>0</v>
      </c>
      <c r="EO14" s="1">
        <f>VC_NEW!EJ5</f>
        <v>0</v>
      </c>
      <c r="EP14" s="1">
        <f>VC_NEW!EK5</f>
        <v>0</v>
      </c>
      <c r="EQ14" s="1">
        <f>VC_NEW!EL5</f>
        <v>0</v>
      </c>
      <c r="ER14" s="1" t="str">
        <f>VC_NEW!EM5</f>
        <v>R326Q</v>
      </c>
      <c r="ES14" s="1">
        <f>VC_NEW!EN5</f>
        <v>0</v>
      </c>
      <c r="ET14" s="1">
        <f>VC_NEW!EO5</f>
        <v>0</v>
      </c>
      <c r="EU14" s="1">
        <f>VC_NEW!EP5</f>
        <v>0</v>
      </c>
      <c r="EV14" s="1" t="str">
        <f>VC_NEW!EQ5</f>
        <v>K86E</v>
      </c>
      <c r="EW14" s="1">
        <f>VC_NEW!ER5</f>
        <v>0</v>
      </c>
      <c r="EX14" s="1">
        <f>VC_NEW!ES5</f>
        <v>0</v>
      </c>
      <c r="EY14" s="1">
        <f>VC_NEW!ET5</f>
        <v>0</v>
      </c>
      <c r="EZ14" s="1">
        <f>VC_NEW!EU5</f>
        <v>0</v>
      </c>
      <c r="FA14" s="1">
        <f>VC_NEW!EV5</f>
        <v>0</v>
      </c>
      <c r="FB14" s="1">
        <f>VC_NEW!EW5</f>
        <v>0</v>
      </c>
      <c r="FC14" s="1">
        <f>VC_NEW!EX5</f>
        <v>0</v>
      </c>
      <c r="FD14" s="1">
        <f>VC_NEW!EY5</f>
        <v>0</v>
      </c>
      <c r="FE14" s="1">
        <f>VC_NEW!EZ5</f>
        <v>0</v>
      </c>
      <c r="FF14" s="1">
        <f>VC_NEW!FA5</f>
        <v>0</v>
      </c>
      <c r="FG14" s="1">
        <f>VC_NEW!FB5</f>
        <v>0</v>
      </c>
      <c r="FH14" s="1">
        <f>VC_NEW!FC5</f>
        <v>0</v>
      </c>
      <c r="FI14" s="1">
        <f>VC_NEW!FD5</f>
        <v>0</v>
      </c>
      <c r="FJ14" s="1">
        <f>VC_NEW!FE5</f>
        <v>0</v>
      </c>
      <c r="FK14" s="1">
        <f>VC_NEW!FF5</f>
        <v>0</v>
      </c>
      <c r="FL14" s="1">
        <f>VC_NEW!FG5</f>
        <v>0</v>
      </c>
      <c r="FM14" s="1">
        <f>VC_NEW!FH5</f>
        <v>0</v>
      </c>
      <c r="FN14" s="1">
        <f>VC_NEW!FI5</f>
        <v>0</v>
      </c>
      <c r="FO14" s="1">
        <f>VC_NEW!FJ5</f>
        <v>0</v>
      </c>
      <c r="FP14" s="1">
        <f>VC_NEW!FK5</f>
        <v>0</v>
      </c>
      <c r="FQ14" s="1">
        <f>VC_NEW!FL5</f>
        <v>0</v>
      </c>
      <c r="FR14" s="1">
        <f>VC_NEW!FM5</f>
        <v>0</v>
      </c>
      <c r="FS14" s="1">
        <f>VC_NEW!FN5</f>
        <v>0</v>
      </c>
      <c r="FT14" s="1">
        <f>VC_NEW!FO5</f>
        <v>0</v>
      </c>
      <c r="FU14" s="1">
        <f>VC_NEW!FP5</f>
        <v>0</v>
      </c>
      <c r="FV14" s="1">
        <f>VC_NEW!FQ5</f>
        <v>0</v>
      </c>
      <c r="FW14" s="1">
        <f>VC_NEW!FR5</f>
        <v>0</v>
      </c>
      <c r="FX14" s="1">
        <f>VC_NEW!FS5</f>
        <v>0</v>
      </c>
      <c r="FY14" s="1">
        <f>VC_NEW!FT5</f>
        <v>0</v>
      </c>
      <c r="FZ14" s="1">
        <f>VC_NEW!FU5</f>
        <v>0</v>
      </c>
      <c r="GA14" s="1">
        <f>VC_NEW!FV5</f>
        <v>0</v>
      </c>
      <c r="GB14" s="1">
        <f>VC_NEW!FW5</f>
        <v>0</v>
      </c>
      <c r="GC14" s="1">
        <f>VC_NEW!FX5</f>
        <v>0</v>
      </c>
      <c r="GD14" s="1">
        <f>VC_NEW!FY5</f>
        <v>0</v>
      </c>
      <c r="GE14" s="1">
        <f>VC_NEW!FZ5</f>
        <v>0</v>
      </c>
      <c r="GF14" s="1">
        <f>VC_NEW!GA5</f>
        <v>0</v>
      </c>
      <c r="GG14" s="1">
        <f>VC_NEW!GB5</f>
        <v>0</v>
      </c>
      <c r="GH14" s="1">
        <f>VC_NEW!GC5</f>
        <v>0</v>
      </c>
      <c r="GI14" s="1">
        <f>VC_NEW!GD5</f>
        <v>0</v>
      </c>
      <c r="GJ14" s="1">
        <f>VC_NEW!GE5</f>
        <v>0</v>
      </c>
      <c r="GK14" s="1">
        <f>VC_NEW!GF5</f>
        <v>0</v>
      </c>
      <c r="GL14" s="1">
        <f>VC_NEW!GG5</f>
        <v>0</v>
      </c>
      <c r="GM14" s="1">
        <f>VC_NEW!GH5</f>
        <v>0</v>
      </c>
      <c r="GN14" s="1">
        <f>VC_NEW!GI5</f>
        <v>0</v>
      </c>
      <c r="GO14" s="1">
        <f>VC_NEW!GJ5</f>
        <v>0</v>
      </c>
      <c r="GP14" s="1">
        <f>VC_NEW!GK5</f>
        <v>0</v>
      </c>
      <c r="GQ14" s="1">
        <f>VC_NEW!GL5</f>
        <v>0</v>
      </c>
      <c r="GR14" s="1">
        <f>VC_NEW!GM5</f>
        <v>0</v>
      </c>
      <c r="GS14" s="1">
        <f>VC_NEW!GN5</f>
        <v>0</v>
      </c>
      <c r="GT14" s="1">
        <f>VC_NEW!GO5</f>
        <v>0</v>
      </c>
      <c r="GU14" s="1" t="str">
        <f>VC_NEW!GP5</f>
        <v>N269S</v>
      </c>
      <c r="GV14" s="1">
        <f>VC_NEW!GQ5</f>
        <v>0</v>
      </c>
      <c r="GW14" s="1">
        <f>VC_NEW!GR5</f>
        <v>0</v>
      </c>
      <c r="GX14" s="1">
        <f>VC_NEW!GS5</f>
        <v>0</v>
      </c>
      <c r="GY14" s="1">
        <f>VC_NEW!GT5</f>
        <v>0</v>
      </c>
      <c r="GZ14" s="1">
        <f>VC_NEW!GU5</f>
        <v>0</v>
      </c>
      <c r="HA14" s="1">
        <f>VC_NEW!GV5</f>
        <v>0</v>
      </c>
      <c r="HB14" s="1">
        <f>VC_NEW!GW5</f>
        <v>0</v>
      </c>
      <c r="HC14" s="1">
        <f>VC_NEW!GX5</f>
        <v>0</v>
      </c>
    </row>
    <row r="15" spans="1:211" s="1" customFormat="1" ht="15" hidden="1" customHeight="1" x14ac:dyDescent="0.25">
      <c r="A15" s="44" t="s">
        <v>7</v>
      </c>
      <c r="B15" s="45" t="s">
        <v>8</v>
      </c>
      <c r="C15" s="46" t="s">
        <v>4</v>
      </c>
      <c r="D15" s="45" t="s">
        <v>77</v>
      </c>
      <c r="E15" s="45">
        <v>-0.5</v>
      </c>
      <c r="F15" s="45" t="s">
        <v>74</v>
      </c>
      <c r="G15" s="47" t="s">
        <v>137</v>
      </c>
      <c r="H15" s="1">
        <f>VC_NEW!C5</f>
        <v>0</v>
      </c>
      <c r="I15" s="1">
        <f>VC_NEW!D5</f>
        <v>0</v>
      </c>
      <c r="J15" s="1">
        <f>VC_NEW!E5</f>
        <v>0</v>
      </c>
      <c r="K15" s="1">
        <f>VC_NEW!F5</f>
        <v>0</v>
      </c>
      <c r="L15" s="1">
        <f>VC_NEW!G5</f>
        <v>0</v>
      </c>
      <c r="M15" s="1">
        <f>VC_NEW!H5</f>
        <v>0</v>
      </c>
      <c r="N15" s="1">
        <f>VC_NEW!I5</f>
        <v>0</v>
      </c>
      <c r="O15" s="1">
        <f>VC_NEW!J5</f>
        <v>0</v>
      </c>
      <c r="P15" s="1">
        <f>VC_NEW!K5</f>
        <v>0</v>
      </c>
      <c r="Q15" s="1">
        <f>VC_NEW!L5</f>
        <v>0</v>
      </c>
      <c r="R15" s="1">
        <f>VC_NEW!M5</f>
        <v>0</v>
      </c>
      <c r="S15" s="1">
        <f>VC_NEW!N5</f>
        <v>0</v>
      </c>
      <c r="T15" s="1">
        <f>VC_NEW!O5</f>
        <v>0</v>
      </c>
      <c r="U15" s="1">
        <f>VC_NEW!P5</f>
        <v>0</v>
      </c>
      <c r="V15" s="1">
        <f>VC_NEW!Q5</f>
        <v>0</v>
      </c>
      <c r="W15" s="1">
        <f>VC_NEW!R5</f>
        <v>0</v>
      </c>
      <c r="X15" s="1">
        <f>VC_NEW!S5</f>
        <v>0</v>
      </c>
      <c r="Y15" s="1">
        <f>VC_NEW!T5</f>
        <v>0</v>
      </c>
      <c r="Z15" s="1">
        <f>VC_NEW!U5</f>
        <v>0</v>
      </c>
      <c r="AA15" s="1">
        <f>VC_NEW!V5</f>
        <v>0</v>
      </c>
      <c r="AB15" s="1">
        <f>VC_NEW!W5</f>
        <v>0</v>
      </c>
      <c r="AC15" s="1">
        <f>VC_NEW!X5</f>
        <v>0</v>
      </c>
      <c r="AD15" s="1">
        <f>VC_NEW!Y5</f>
        <v>0</v>
      </c>
      <c r="AE15" s="1">
        <f>VC_NEW!Z5</f>
        <v>0</v>
      </c>
      <c r="AF15" s="1">
        <f>VC_NEW!AA5</f>
        <v>0</v>
      </c>
      <c r="AG15" s="1">
        <f>VC_NEW!AB5</f>
        <v>0</v>
      </c>
      <c r="AH15" s="1">
        <f>VC_NEW!AC5</f>
        <v>0</v>
      </c>
      <c r="AI15" s="1">
        <f>VC_NEW!AD5</f>
        <v>0</v>
      </c>
      <c r="AJ15" s="1">
        <f>VC_NEW!AE5</f>
        <v>0</v>
      </c>
      <c r="AK15" s="1">
        <f>VC_NEW!AF5</f>
        <v>0</v>
      </c>
      <c r="AL15" s="1">
        <f>VC_NEW!AG5</f>
        <v>0</v>
      </c>
      <c r="AM15" s="1">
        <f>VC_NEW!AH5</f>
        <v>0</v>
      </c>
      <c r="AN15" s="1">
        <f>VC_NEW!AI5</f>
        <v>0</v>
      </c>
      <c r="AO15" s="1">
        <f>VC_NEW!AJ5</f>
        <v>0</v>
      </c>
      <c r="AP15" s="1">
        <f>VC_NEW!AK5</f>
        <v>0</v>
      </c>
      <c r="AQ15" s="1">
        <f>VC_NEW!AL5</f>
        <v>0</v>
      </c>
      <c r="AR15" s="1">
        <f>VC_NEW!AM5</f>
        <v>0</v>
      </c>
      <c r="AS15" s="1">
        <f>VC_NEW!AN5</f>
        <v>0</v>
      </c>
      <c r="AT15" s="1">
        <f>VC_NEW!AO5</f>
        <v>0</v>
      </c>
      <c r="AU15" s="1">
        <f>VC_NEW!AP5</f>
        <v>0</v>
      </c>
      <c r="AV15" s="1">
        <f>VC_NEW!AQ5</f>
        <v>0</v>
      </c>
      <c r="AW15" s="1">
        <f>VC_NEW!AR5</f>
        <v>0</v>
      </c>
      <c r="AX15" s="1" t="str">
        <f>VC_NEW!AS5</f>
        <v>I63V</v>
      </c>
      <c r="AY15" s="1">
        <f>VC_NEW!AT5</f>
        <v>0</v>
      </c>
      <c r="AZ15" s="1">
        <f>VC_NEW!AU5</f>
        <v>0</v>
      </c>
      <c r="BA15" s="1">
        <f>VC_NEW!AV5</f>
        <v>0</v>
      </c>
      <c r="BB15" s="1">
        <f>VC_NEW!AW5</f>
        <v>0</v>
      </c>
      <c r="BC15" s="1">
        <f>VC_NEW!AX5</f>
        <v>0</v>
      </c>
      <c r="BD15" s="1">
        <f>VC_NEW!AY5</f>
        <v>0</v>
      </c>
      <c r="BE15" s="1">
        <f>VC_NEW!AZ5</f>
        <v>0</v>
      </c>
      <c r="BF15" s="1">
        <f>VC_NEW!BA5</f>
        <v>0</v>
      </c>
      <c r="BG15" s="1">
        <f>VC_NEW!BB5</f>
        <v>0</v>
      </c>
      <c r="BH15" s="1">
        <f>VC_NEW!BC5</f>
        <v>0</v>
      </c>
      <c r="BI15" s="1">
        <f>VC_NEW!BD5</f>
        <v>0</v>
      </c>
      <c r="BJ15" s="1">
        <f>VC_NEW!BE5</f>
        <v>0</v>
      </c>
      <c r="BK15" s="1">
        <f>VC_NEW!BF5</f>
        <v>0</v>
      </c>
      <c r="BL15" s="1">
        <f>VC_NEW!BG5</f>
        <v>0</v>
      </c>
      <c r="BM15" s="1" t="str">
        <f>VC_NEW!BH5</f>
        <v>K86E</v>
      </c>
      <c r="BN15" s="1">
        <f>VC_NEW!BI5</f>
        <v>0</v>
      </c>
      <c r="BO15" s="1">
        <f>VC_NEW!BJ5</f>
        <v>0</v>
      </c>
      <c r="BP15" s="1">
        <f>VC_NEW!BK5</f>
        <v>0</v>
      </c>
      <c r="BQ15" s="1">
        <f>VC_NEW!BL5</f>
        <v>0</v>
      </c>
      <c r="BR15" s="1">
        <f>VC_NEW!BM5</f>
        <v>0</v>
      </c>
      <c r="BS15" s="1">
        <f>VC_NEW!BN5</f>
        <v>0</v>
      </c>
      <c r="BT15" s="1">
        <f>VC_NEW!BO5</f>
        <v>0</v>
      </c>
      <c r="BU15" s="1">
        <f>VC_NEW!BP5</f>
        <v>0</v>
      </c>
      <c r="BV15" s="1">
        <f>VC_NEW!BQ5</f>
        <v>0</v>
      </c>
      <c r="BW15" s="1">
        <f>VC_NEW!BR5</f>
        <v>0</v>
      </c>
      <c r="BX15" s="1">
        <f>VC_NEW!BS5</f>
        <v>0</v>
      </c>
      <c r="BY15" s="1">
        <f>VC_NEW!BT5</f>
        <v>0</v>
      </c>
      <c r="BZ15" s="1">
        <f>VC_NEW!BU5</f>
        <v>0</v>
      </c>
      <c r="CA15" s="1">
        <f>VC_NEW!BV5</f>
        <v>0</v>
      </c>
      <c r="CB15" s="1">
        <f>VC_NEW!BW5</f>
        <v>0</v>
      </c>
      <c r="CC15" s="1">
        <f>VC_NEW!BX5</f>
        <v>0</v>
      </c>
      <c r="CD15" s="1">
        <f>VC_NEW!BY5</f>
        <v>0</v>
      </c>
      <c r="CE15" s="1">
        <f>VC_NEW!BZ5</f>
        <v>0</v>
      </c>
      <c r="CF15" s="1">
        <f>VC_NEW!CA5</f>
        <v>0</v>
      </c>
      <c r="CG15" s="1">
        <f>VC_NEW!CB5</f>
        <v>0</v>
      </c>
      <c r="CH15" s="1">
        <f>VC_NEW!CC5</f>
        <v>0</v>
      </c>
      <c r="CI15" s="1">
        <f>VC_NEW!CD5</f>
        <v>0</v>
      </c>
      <c r="CJ15" s="1">
        <f>VC_NEW!CE5</f>
        <v>0</v>
      </c>
      <c r="CK15" s="1">
        <f>VC_NEW!CF5</f>
        <v>0</v>
      </c>
      <c r="CL15" s="1">
        <f>VC_NEW!CG5</f>
        <v>0</v>
      </c>
      <c r="CM15" s="1">
        <f>VC_NEW!CH5</f>
        <v>0</v>
      </c>
      <c r="CN15" s="1" t="str">
        <f>VC_NEW!CI5</f>
        <v>Q143P</v>
      </c>
      <c r="CO15" s="1" t="str">
        <f>VC_NEW!CJ5</f>
        <v>N269S</v>
      </c>
      <c r="CP15" s="1">
        <f>VC_NEW!CK5</f>
        <v>0</v>
      </c>
      <c r="CQ15" s="1">
        <f>VC_NEW!CL5</f>
        <v>0</v>
      </c>
      <c r="CR15" s="1">
        <f>VC_NEW!CM5</f>
        <v>0</v>
      </c>
      <c r="CS15" s="1">
        <f>VC_NEW!CN5</f>
        <v>0</v>
      </c>
      <c r="CT15" s="1">
        <f>VC_NEW!CO5</f>
        <v>0</v>
      </c>
      <c r="CU15" s="1">
        <f>VC_NEW!CP5</f>
        <v>0</v>
      </c>
      <c r="CV15" s="1">
        <f>VC_NEW!CQ5</f>
        <v>0</v>
      </c>
      <c r="CW15" s="1">
        <f>VC_NEW!CR5</f>
        <v>0</v>
      </c>
      <c r="CX15" s="1" t="str">
        <f>VC_NEW!CS5</f>
        <v>A33T</v>
      </c>
      <c r="CY15" s="1">
        <f>VC_NEW!CT5</f>
        <v>0</v>
      </c>
      <c r="CZ15" s="1">
        <f>VC_NEW!CU5</f>
        <v>0</v>
      </c>
      <c r="DA15" s="1">
        <f>VC_NEW!CV5</f>
        <v>0</v>
      </c>
      <c r="DB15" s="1">
        <f>VC_NEW!CW5</f>
        <v>0</v>
      </c>
      <c r="DC15" s="1">
        <f>VC_NEW!CX5</f>
        <v>0</v>
      </c>
      <c r="DD15" s="1">
        <f>VC_NEW!CY5</f>
        <v>0</v>
      </c>
      <c r="DE15" s="1">
        <f>VC_NEW!CZ5</f>
        <v>0</v>
      </c>
      <c r="DF15" s="1">
        <f>VC_NEW!DA5</f>
        <v>0</v>
      </c>
      <c r="DG15" s="1">
        <f>VC_NEW!DB5</f>
        <v>0</v>
      </c>
      <c r="DH15" s="1">
        <f>VC_NEW!DC5</f>
        <v>0</v>
      </c>
      <c r="DI15" s="1">
        <f>VC_NEW!DD5</f>
        <v>0</v>
      </c>
      <c r="DJ15" s="1">
        <f>VC_NEW!DE5</f>
        <v>0</v>
      </c>
      <c r="DK15" s="1" t="str">
        <f>VC_NEW!DF5</f>
        <v>K86E</v>
      </c>
      <c r="DL15" s="1">
        <f>VC_NEW!DG5</f>
        <v>0</v>
      </c>
      <c r="DM15" s="1">
        <f>VC_NEW!DH5</f>
        <v>0</v>
      </c>
      <c r="DN15" s="1">
        <f>VC_NEW!DI5</f>
        <v>0</v>
      </c>
      <c r="DO15" s="1">
        <f>VC_NEW!DJ5</f>
        <v>0</v>
      </c>
      <c r="DP15" s="1">
        <f>VC_NEW!DK5</f>
        <v>0</v>
      </c>
      <c r="DQ15" s="1" t="str">
        <f>VC_NEW!DL5</f>
        <v>K76Q</v>
      </c>
      <c r="DR15" s="1">
        <f>VC_NEW!DM5</f>
        <v>0</v>
      </c>
      <c r="DS15" s="1">
        <f>VC_NEW!DN5</f>
        <v>0</v>
      </c>
      <c r="DT15" s="1">
        <f>VC_NEW!DO5</f>
        <v>0</v>
      </c>
      <c r="DU15" s="1" t="str">
        <f>VC_NEW!DP5</f>
        <v>Q104X</v>
      </c>
      <c r="DV15" s="1">
        <f>VC_NEW!DQ5</f>
        <v>0</v>
      </c>
      <c r="DW15" s="1">
        <f>VC_NEW!DR5</f>
        <v>0</v>
      </c>
      <c r="DX15" s="1">
        <f>VC_NEW!DS5</f>
        <v>0</v>
      </c>
      <c r="DY15" s="1">
        <f>VC_NEW!DT5</f>
        <v>0</v>
      </c>
      <c r="DZ15" s="1">
        <f>VC_NEW!DU5</f>
        <v>0</v>
      </c>
      <c r="EA15" s="1">
        <f>VC_NEW!DV5</f>
        <v>0</v>
      </c>
      <c r="EB15" s="1">
        <f>VC_NEW!DW5</f>
        <v>0</v>
      </c>
      <c r="EC15" s="1">
        <f>VC_NEW!DX5</f>
        <v>0</v>
      </c>
      <c r="ED15" s="1" t="str">
        <f>VC_NEW!DY5</f>
        <v>E53X</v>
      </c>
      <c r="EE15" s="1">
        <f>VC_NEW!DZ5</f>
        <v>0</v>
      </c>
      <c r="EF15" s="1" t="str">
        <f>VC_NEW!EA5</f>
        <v>A111T</v>
      </c>
      <c r="EG15" s="1" t="str">
        <f>VC_NEW!EB5</f>
        <v>A117V</v>
      </c>
      <c r="EH15" s="1">
        <f>VC_NEW!EC5</f>
        <v>0</v>
      </c>
      <c r="EI15" s="1">
        <f>VC_NEW!ED5</f>
        <v>0</v>
      </c>
      <c r="EJ15" s="1">
        <f>VC_NEW!EE5</f>
        <v>0</v>
      </c>
      <c r="EK15" s="1">
        <f>VC_NEW!EF5</f>
        <v>0</v>
      </c>
      <c r="EL15" s="1">
        <f>VC_NEW!EG5</f>
        <v>0</v>
      </c>
      <c r="EM15" s="1">
        <f>VC_NEW!EH5</f>
        <v>0</v>
      </c>
      <c r="EN15" s="1">
        <f>VC_NEW!EI5</f>
        <v>0</v>
      </c>
      <c r="EO15" s="1">
        <f>VC_NEW!EJ5</f>
        <v>0</v>
      </c>
      <c r="EP15" s="1">
        <f>VC_NEW!EK5</f>
        <v>0</v>
      </c>
      <c r="EQ15" s="1">
        <f>VC_NEW!EL5</f>
        <v>0</v>
      </c>
      <c r="ER15" s="1" t="str">
        <f>VC_NEW!EM5</f>
        <v>R326Q</v>
      </c>
      <c r="ES15" s="1">
        <f>VC_NEW!EN5</f>
        <v>0</v>
      </c>
      <c r="ET15" s="1">
        <f>VC_NEW!EO5</f>
        <v>0</v>
      </c>
      <c r="EU15" s="1">
        <f>VC_NEW!EP5</f>
        <v>0</v>
      </c>
      <c r="EV15" s="1" t="str">
        <f>VC_NEW!EQ5</f>
        <v>K86E</v>
      </c>
      <c r="EW15" s="1">
        <f>VC_NEW!ER5</f>
        <v>0</v>
      </c>
      <c r="EX15" s="1">
        <f>VC_NEW!ES5</f>
        <v>0</v>
      </c>
      <c r="EY15" s="1">
        <f>VC_NEW!ET5</f>
        <v>0</v>
      </c>
      <c r="EZ15" s="1">
        <f>VC_NEW!EU5</f>
        <v>0</v>
      </c>
      <c r="FA15" s="1">
        <f>VC_NEW!EV5</f>
        <v>0</v>
      </c>
      <c r="FB15" s="1">
        <f>VC_NEW!EW5</f>
        <v>0</v>
      </c>
      <c r="FC15" s="1">
        <f>VC_NEW!EX5</f>
        <v>0</v>
      </c>
      <c r="FD15" s="1">
        <f>VC_NEW!EY5</f>
        <v>0</v>
      </c>
      <c r="FE15" s="1">
        <f>VC_NEW!EZ5</f>
        <v>0</v>
      </c>
      <c r="FF15" s="1">
        <f>VC_NEW!FA5</f>
        <v>0</v>
      </c>
      <c r="FG15" s="1">
        <f>VC_NEW!FB5</f>
        <v>0</v>
      </c>
      <c r="FH15" s="1">
        <f>VC_NEW!FC5</f>
        <v>0</v>
      </c>
      <c r="FI15" s="1">
        <f>VC_NEW!FD5</f>
        <v>0</v>
      </c>
      <c r="FJ15" s="1">
        <f>VC_NEW!FE5</f>
        <v>0</v>
      </c>
      <c r="FK15" s="1">
        <f>VC_NEW!FF5</f>
        <v>0</v>
      </c>
      <c r="FL15" s="1">
        <f>VC_NEW!FG5</f>
        <v>0</v>
      </c>
      <c r="FM15" s="1">
        <f>VC_NEW!FH5</f>
        <v>0</v>
      </c>
      <c r="FN15" s="1">
        <f>VC_NEW!FI5</f>
        <v>0</v>
      </c>
      <c r="FO15" s="1">
        <f>VC_NEW!FJ5</f>
        <v>0</v>
      </c>
      <c r="FP15" s="1">
        <f>VC_NEW!FK5</f>
        <v>0</v>
      </c>
      <c r="FQ15" s="1">
        <f>VC_NEW!FL5</f>
        <v>0</v>
      </c>
      <c r="FR15" s="1">
        <f>VC_NEW!FM5</f>
        <v>0</v>
      </c>
      <c r="FS15" s="1">
        <f>VC_NEW!FN5</f>
        <v>0</v>
      </c>
      <c r="FT15" s="1">
        <f>VC_NEW!FO5</f>
        <v>0</v>
      </c>
      <c r="FU15" s="1">
        <f>VC_NEW!FP5</f>
        <v>0</v>
      </c>
      <c r="FV15" s="1">
        <f>VC_NEW!FQ5</f>
        <v>0</v>
      </c>
      <c r="FW15" s="1">
        <f>VC_NEW!FR5</f>
        <v>0</v>
      </c>
      <c r="FX15" s="1">
        <f>VC_NEW!FS5</f>
        <v>0</v>
      </c>
      <c r="FY15" s="1">
        <f>VC_NEW!FT5</f>
        <v>0</v>
      </c>
      <c r="FZ15" s="1">
        <f>VC_NEW!FU5</f>
        <v>0</v>
      </c>
      <c r="GA15" s="1">
        <f>VC_NEW!FV5</f>
        <v>0</v>
      </c>
      <c r="GB15" s="1">
        <f>VC_NEW!FW5</f>
        <v>0</v>
      </c>
      <c r="GC15" s="1">
        <f>VC_NEW!FX5</f>
        <v>0</v>
      </c>
      <c r="GD15" s="1">
        <f>VC_NEW!FY5</f>
        <v>0</v>
      </c>
      <c r="GE15" s="1">
        <f>VC_NEW!FZ5</f>
        <v>0</v>
      </c>
      <c r="GF15" s="1">
        <f>VC_NEW!GA5</f>
        <v>0</v>
      </c>
      <c r="GG15" s="1">
        <f>VC_NEW!GB5</f>
        <v>0</v>
      </c>
      <c r="GH15" s="1">
        <f>VC_NEW!GC5</f>
        <v>0</v>
      </c>
      <c r="GI15" s="1">
        <f>VC_NEW!GD5</f>
        <v>0</v>
      </c>
      <c r="GJ15" s="1">
        <f>VC_NEW!GE5</f>
        <v>0</v>
      </c>
      <c r="GK15" s="1">
        <f>VC_NEW!GF5</f>
        <v>0</v>
      </c>
      <c r="GL15" s="1">
        <f>VC_NEW!GG5</f>
        <v>0</v>
      </c>
      <c r="GM15" s="1">
        <f>VC_NEW!GH5</f>
        <v>0</v>
      </c>
      <c r="GN15" s="1">
        <f>VC_NEW!GI5</f>
        <v>0</v>
      </c>
      <c r="GO15" s="1">
        <f>VC_NEW!GJ5</f>
        <v>0</v>
      </c>
      <c r="GP15" s="1">
        <f>VC_NEW!GK5</f>
        <v>0</v>
      </c>
      <c r="GQ15" s="1">
        <f>VC_NEW!GL5</f>
        <v>0</v>
      </c>
      <c r="GR15" s="1">
        <f>VC_NEW!GM5</f>
        <v>0</v>
      </c>
      <c r="GS15" s="1">
        <f>VC_NEW!GN5</f>
        <v>0</v>
      </c>
      <c r="GT15" s="1">
        <f>VC_NEW!GO5</f>
        <v>0</v>
      </c>
      <c r="GU15" s="1" t="str">
        <f>VC_NEW!GP5</f>
        <v>N269S</v>
      </c>
      <c r="GV15" s="1">
        <f>VC_NEW!GQ5</f>
        <v>0</v>
      </c>
      <c r="GW15" s="1">
        <f>VC_NEW!GR5</f>
        <v>0</v>
      </c>
      <c r="GX15" s="1">
        <f>VC_NEW!GS5</f>
        <v>0</v>
      </c>
      <c r="GY15" s="1">
        <f>VC_NEW!GT5</f>
        <v>0</v>
      </c>
      <c r="GZ15" s="1">
        <f>VC_NEW!GU5</f>
        <v>0</v>
      </c>
      <c r="HA15" s="1">
        <f>VC_NEW!GV5</f>
        <v>0</v>
      </c>
      <c r="HB15" s="1">
        <f>VC_NEW!GW5</f>
        <v>0</v>
      </c>
      <c r="HC15" s="1">
        <f>VC_NEW!GX5</f>
        <v>0</v>
      </c>
    </row>
    <row r="16" spans="1:211" s="1" customFormat="1" ht="15" hidden="1" customHeight="1" x14ac:dyDescent="0.25">
      <c r="A16" s="44" t="s">
        <v>7</v>
      </c>
      <c r="B16" s="45" t="s">
        <v>8</v>
      </c>
      <c r="C16" s="46" t="s">
        <v>3</v>
      </c>
      <c r="D16" s="45" t="s">
        <v>77</v>
      </c>
      <c r="E16" s="45">
        <v>-0.25</v>
      </c>
      <c r="F16" s="45" t="s">
        <v>74</v>
      </c>
      <c r="G16" s="47" t="s">
        <v>137</v>
      </c>
      <c r="H16" s="1">
        <f>VC_NEW!C5</f>
        <v>0</v>
      </c>
      <c r="I16" s="1">
        <f>VC_NEW!D5</f>
        <v>0</v>
      </c>
      <c r="J16" s="1">
        <f>VC_NEW!E5</f>
        <v>0</v>
      </c>
      <c r="K16" s="1">
        <f>VC_NEW!F5</f>
        <v>0</v>
      </c>
      <c r="L16" s="1">
        <f>VC_NEW!G5</f>
        <v>0</v>
      </c>
      <c r="M16" s="1">
        <f>VC_NEW!H5</f>
        <v>0</v>
      </c>
      <c r="N16" s="1">
        <f>VC_NEW!I5</f>
        <v>0</v>
      </c>
      <c r="O16" s="1">
        <f>VC_NEW!J5</f>
        <v>0</v>
      </c>
      <c r="P16" s="1">
        <f>VC_NEW!K5</f>
        <v>0</v>
      </c>
      <c r="Q16" s="1">
        <f>VC_NEW!L5</f>
        <v>0</v>
      </c>
      <c r="R16" s="1">
        <f>VC_NEW!M5</f>
        <v>0</v>
      </c>
      <c r="S16" s="1">
        <f>VC_NEW!N5</f>
        <v>0</v>
      </c>
      <c r="T16" s="1">
        <f>VC_NEW!O5</f>
        <v>0</v>
      </c>
      <c r="U16" s="1">
        <f>VC_NEW!P5</f>
        <v>0</v>
      </c>
      <c r="V16" s="1">
        <f>VC_NEW!Q5</f>
        <v>0</v>
      </c>
      <c r="W16" s="1">
        <f>VC_NEW!R5</f>
        <v>0</v>
      </c>
      <c r="X16" s="1">
        <f>VC_NEW!S5</f>
        <v>0</v>
      </c>
      <c r="Y16" s="1">
        <f>VC_NEW!T5</f>
        <v>0</v>
      </c>
      <c r="Z16" s="1">
        <f>VC_NEW!U5</f>
        <v>0</v>
      </c>
      <c r="AA16" s="1">
        <f>VC_NEW!V5</f>
        <v>0</v>
      </c>
      <c r="AB16" s="1">
        <f>VC_NEW!W5</f>
        <v>0</v>
      </c>
      <c r="AC16" s="1">
        <f>VC_NEW!X5</f>
        <v>0</v>
      </c>
      <c r="AD16" s="1">
        <f>VC_NEW!Y5</f>
        <v>0</v>
      </c>
      <c r="AE16" s="1">
        <f>VC_NEW!Z5</f>
        <v>0</v>
      </c>
      <c r="AF16" s="1">
        <f>VC_NEW!AA5</f>
        <v>0</v>
      </c>
      <c r="AG16" s="1">
        <f>VC_NEW!AB5</f>
        <v>0</v>
      </c>
      <c r="AH16" s="1">
        <f>VC_NEW!AC5</f>
        <v>0</v>
      </c>
      <c r="AI16" s="1">
        <f>VC_NEW!AD5</f>
        <v>0</v>
      </c>
      <c r="AJ16" s="1">
        <f>VC_NEW!AE5</f>
        <v>0</v>
      </c>
      <c r="AK16" s="1">
        <f>VC_NEW!AF5</f>
        <v>0</v>
      </c>
      <c r="AL16" s="1">
        <f>VC_NEW!AG5</f>
        <v>0</v>
      </c>
      <c r="AM16" s="1">
        <f>VC_NEW!AH5</f>
        <v>0</v>
      </c>
      <c r="AN16" s="1">
        <f>VC_NEW!AI5</f>
        <v>0</v>
      </c>
      <c r="AO16" s="1">
        <f>VC_NEW!AJ5</f>
        <v>0</v>
      </c>
      <c r="AP16" s="1">
        <f>VC_NEW!AK5</f>
        <v>0</v>
      </c>
      <c r="AQ16" s="1">
        <f>VC_NEW!AL5</f>
        <v>0</v>
      </c>
      <c r="AR16" s="1">
        <f>VC_NEW!AM5</f>
        <v>0</v>
      </c>
      <c r="AS16" s="1">
        <f>VC_NEW!AN5</f>
        <v>0</v>
      </c>
      <c r="AT16" s="1">
        <f>VC_NEW!AO5</f>
        <v>0</v>
      </c>
      <c r="AU16" s="1">
        <f>VC_NEW!AP5</f>
        <v>0</v>
      </c>
      <c r="AV16" s="1">
        <f>VC_NEW!AQ5</f>
        <v>0</v>
      </c>
      <c r="AW16" s="1">
        <f>VC_NEW!AR5</f>
        <v>0</v>
      </c>
      <c r="AX16" s="1" t="str">
        <f>VC_NEW!AS5</f>
        <v>I63V</v>
      </c>
      <c r="AY16" s="1">
        <f>VC_NEW!AT5</f>
        <v>0</v>
      </c>
      <c r="AZ16" s="1">
        <f>VC_NEW!AU5</f>
        <v>0</v>
      </c>
      <c r="BA16" s="1">
        <f>VC_NEW!AV5</f>
        <v>0</v>
      </c>
      <c r="BB16" s="1">
        <f>VC_NEW!AW5</f>
        <v>0</v>
      </c>
      <c r="BC16" s="1">
        <f>VC_NEW!AX5</f>
        <v>0</v>
      </c>
      <c r="BD16" s="1">
        <f>VC_NEW!AY5</f>
        <v>0</v>
      </c>
      <c r="BE16" s="1">
        <f>VC_NEW!AZ5</f>
        <v>0</v>
      </c>
      <c r="BF16" s="1">
        <f>VC_NEW!BA5</f>
        <v>0</v>
      </c>
      <c r="BG16" s="1">
        <f>VC_NEW!BB5</f>
        <v>0</v>
      </c>
      <c r="BH16" s="1">
        <f>VC_NEW!BC5</f>
        <v>0</v>
      </c>
      <c r="BI16" s="1">
        <f>VC_NEW!BD5</f>
        <v>0</v>
      </c>
      <c r="BJ16" s="1">
        <f>VC_NEW!BE5</f>
        <v>0</v>
      </c>
      <c r="BK16" s="1">
        <f>VC_NEW!BF5</f>
        <v>0</v>
      </c>
      <c r="BL16" s="1">
        <f>VC_NEW!BG5</f>
        <v>0</v>
      </c>
      <c r="BM16" s="1" t="str">
        <f>VC_NEW!BH5</f>
        <v>K86E</v>
      </c>
      <c r="BN16" s="1">
        <f>VC_NEW!BI5</f>
        <v>0</v>
      </c>
      <c r="BO16" s="1">
        <f>VC_NEW!BJ5</f>
        <v>0</v>
      </c>
      <c r="BP16" s="1">
        <f>VC_NEW!BK5</f>
        <v>0</v>
      </c>
      <c r="BQ16" s="1">
        <f>VC_NEW!BL5</f>
        <v>0</v>
      </c>
      <c r="BR16" s="1">
        <f>VC_NEW!BM5</f>
        <v>0</v>
      </c>
      <c r="BS16" s="1">
        <f>VC_NEW!BN5</f>
        <v>0</v>
      </c>
      <c r="BT16" s="1">
        <f>VC_NEW!BO5</f>
        <v>0</v>
      </c>
      <c r="BU16" s="1">
        <f>VC_NEW!BP5</f>
        <v>0</v>
      </c>
      <c r="BV16" s="1">
        <f>VC_NEW!BQ5</f>
        <v>0</v>
      </c>
      <c r="BW16" s="1">
        <f>VC_NEW!BR5</f>
        <v>0</v>
      </c>
      <c r="BX16" s="1">
        <f>VC_NEW!BS5</f>
        <v>0</v>
      </c>
      <c r="BY16" s="1">
        <f>VC_NEW!BT5</f>
        <v>0</v>
      </c>
      <c r="BZ16" s="1">
        <f>VC_NEW!BU5</f>
        <v>0</v>
      </c>
      <c r="CA16" s="1">
        <f>VC_NEW!BV5</f>
        <v>0</v>
      </c>
      <c r="CB16" s="1">
        <f>VC_NEW!BW5</f>
        <v>0</v>
      </c>
      <c r="CC16" s="1">
        <f>VC_NEW!BX5</f>
        <v>0</v>
      </c>
      <c r="CD16" s="1">
        <f>VC_NEW!BY5</f>
        <v>0</v>
      </c>
      <c r="CE16" s="1">
        <f>VC_NEW!BZ5</f>
        <v>0</v>
      </c>
      <c r="CF16" s="1">
        <f>VC_NEW!CA5</f>
        <v>0</v>
      </c>
      <c r="CG16" s="1">
        <f>VC_NEW!CB5</f>
        <v>0</v>
      </c>
      <c r="CH16" s="1">
        <f>VC_NEW!CC5</f>
        <v>0</v>
      </c>
      <c r="CI16" s="1">
        <f>VC_NEW!CD5</f>
        <v>0</v>
      </c>
      <c r="CJ16" s="1">
        <f>VC_NEW!CE5</f>
        <v>0</v>
      </c>
      <c r="CK16" s="1">
        <f>VC_NEW!CF5</f>
        <v>0</v>
      </c>
      <c r="CL16" s="1">
        <f>VC_NEW!CG5</f>
        <v>0</v>
      </c>
      <c r="CM16" s="1">
        <f>VC_NEW!CH5</f>
        <v>0</v>
      </c>
      <c r="CN16" s="1" t="str">
        <f>VC_NEW!CI5</f>
        <v>Q143P</v>
      </c>
      <c r="CO16" s="1" t="str">
        <f>VC_NEW!CJ5</f>
        <v>N269S</v>
      </c>
      <c r="CP16" s="1">
        <f>VC_NEW!CK5</f>
        <v>0</v>
      </c>
      <c r="CQ16" s="1">
        <f>VC_NEW!CL5</f>
        <v>0</v>
      </c>
      <c r="CR16" s="1">
        <f>VC_NEW!CM5</f>
        <v>0</v>
      </c>
      <c r="CS16" s="1">
        <f>VC_NEW!CN5</f>
        <v>0</v>
      </c>
      <c r="CT16" s="1">
        <f>VC_NEW!CO5</f>
        <v>0</v>
      </c>
      <c r="CU16" s="1">
        <f>VC_NEW!CP5</f>
        <v>0</v>
      </c>
      <c r="CV16" s="1">
        <f>VC_NEW!CQ5</f>
        <v>0</v>
      </c>
      <c r="CW16" s="1">
        <f>VC_NEW!CR5</f>
        <v>0</v>
      </c>
      <c r="CX16" s="1" t="str">
        <f>VC_NEW!CS5</f>
        <v>A33T</v>
      </c>
      <c r="CY16" s="1">
        <f>VC_NEW!CT5</f>
        <v>0</v>
      </c>
      <c r="CZ16" s="1">
        <f>VC_NEW!CU5</f>
        <v>0</v>
      </c>
      <c r="DA16" s="1">
        <f>VC_NEW!CV5</f>
        <v>0</v>
      </c>
      <c r="DB16" s="1">
        <f>VC_NEW!CW5</f>
        <v>0</v>
      </c>
      <c r="DC16" s="1">
        <f>VC_NEW!CX5</f>
        <v>0</v>
      </c>
      <c r="DD16" s="1">
        <f>VC_NEW!CY5</f>
        <v>0</v>
      </c>
      <c r="DE16" s="1">
        <f>VC_NEW!CZ5</f>
        <v>0</v>
      </c>
      <c r="DF16" s="1">
        <f>VC_NEW!DA5</f>
        <v>0</v>
      </c>
      <c r="DG16" s="1">
        <f>VC_NEW!DB5</f>
        <v>0</v>
      </c>
      <c r="DH16" s="1">
        <f>VC_NEW!DC5</f>
        <v>0</v>
      </c>
      <c r="DI16" s="1">
        <f>VC_NEW!DD5</f>
        <v>0</v>
      </c>
      <c r="DJ16" s="1">
        <f>VC_NEW!DE5</f>
        <v>0</v>
      </c>
      <c r="DK16" s="1" t="str">
        <f>VC_NEW!DF5</f>
        <v>K86E</v>
      </c>
      <c r="DL16" s="1">
        <f>VC_NEW!DG5</f>
        <v>0</v>
      </c>
      <c r="DM16" s="1">
        <f>VC_NEW!DH5</f>
        <v>0</v>
      </c>
      <c r="DN16" s="1">
        <f>VC_NEW!DI5</f>
        <v>0</v>
      </c>
      <c r="DO16" s="1">
        <f>VC_NEW!DJ5</f>
        <v>0</v>
      </c>
      <c r="DP16" s="1">
        <f>VC_NEW!DK5</f>
        <v>0</v>
      </c>
      <c r="DQ16" s="1" t="str">
        <f>VC_NEW!DL5</f>
        <v>K76Q</v>
      </c>
      <c r="DR16" s="1">
        <f>VC_NEW!DM5</f>
        <v>0</v>
      </c>
      <c r="DS16" s="1">
        <f>VC_NEW!DN5</f>
        <v>0</v>
      </c>
      <c r="DT16" s="1">
        <f>VC_NEW!DO5</f>
        <v>0</v>
      </c>
      <c r="DU16" s="1" t="str">
        <f>VC_NEW!DP5</f>
        <v>Q104X</v>
      </c>
      <c r="DV16" s="1">
        <f>VC_NEW!DQ5</f>
        <v>0</v>
      </c>
      <c r="DW16" s="1">
        <f>VC_NEW!DR5</f>
        <v>0</v>
      </c>
      <c r="DX16" s="1">
        <f>VC_NEW!DS5</f>
        <v>0</v>
      </c>
      <c r="DY16" s="1">
        <f>VC_NEW!DT5</f>
        <v>0</v>
      </c>
      <c r="DZ16" s="1">
        <f>VC_NEW!DU5</f>
        <v>0</v>
      </c>
      <c r="EA16" s="1">
        <f>VC_NEW!DV5</f>
        <v>0</v>
      </c>
      <c r="EB16" s="1">
        <f>VC_NEW!DW5</f>
        <v>0</v>
      </c>
      <c r="EC16" s="1">
        <f>VC_NEW!DX5</f>
        <v>0</v>
      </c>
      <c r="ED16" s="1" t="str">
        <f>VC_NEW!DY5</f>
        <v>E53X</v>
      </c>
      <c r="EE16" s="1">
        <f>VC_NEW!DZ5</f>
        <v>0</v>
      </c>
      <c r="EF16" s="1" t="str">
        <f>VC_NEW!EA5</f>
        <v>A111T</v>
      </c>
      <c r="EG16" s="1" t="str">
        <f>VC_NEW!EB5</f>
        <v>A117V</v>
      </c>
      <c r="EH16" s="1">
        <f>VC_NEW!EC5</f>
        <v>0</v>
      </c>
      <c r="EI16" s="1">
        <f>VC_NEW!ED5</f>
        <v>0</v>
      </c>
      <c r="EJ16" s="1">
        <f>VC_NEW!EE5</f>
        <v>0</v>
      </c>
      <c r="EK16" s="1">
        <f>VC_NEW!EF5</f>
        <v>0</v>
      </c>
      <c r="EL16" s="1">
        <f>VC_NEW!EG5</f>
        <v>0</v>
      </c>
      <c r="EM16" s="1">
        <f>VC_NEW!EH5</f>
        <v>0</v>
      </c>
      <c r="EN16" s="1">
        <f>VC_NEW!EI5</f>
        <v>0</v>
      </c>
      <c r="EO16" s="1">
        <f>VC_NEW!EJ5</f>
        <v>0</v>
      </c>
      <c r="EP16" s="1">
        <f>VC_NEW!EK5</f>
        <v>0</v>
      </c>
      <c r="EQ16" s="1">
        <f>VC_NEW!EL5</f>
        <v>0</v>
      </c>
      <c r="ER16" s="1" t="str">
        <f>VC_NEW!EM5</f>
        <v>R326Q</v>
      </c>
      <c r="ES16" s="1">
        <f>VC_NEW!EN5</f>
        <v>0</v>
      </c>
      <c r="ET16" s="1">
        <f>VC_NEW!EO5</f>
        <v>0</v>
      </c>
      <c r="EU16" s="1">
        <f>VC_NEW!EP5</f>
        <v>0</v>
      </c>
      <c r="EV16" s="1" t="str">
        <f>VC_NEW!EQ5</f>
        <v>K86E</v>
      </c>
      <c r="EW16" s="1">
        <f>VC_NEW!ER5</f>
        <v>0</v>
      </c>
      <c r="EX16" s="1">
        <f>VC_NEW!ES5</f>
        <v>0</v>
      </c>
      <c r="EY16" s="1">
        <f>VC_NEW!ET5</f>
        <v>0</v>
      </c>
      <c r="EZ16" s="1">
        <f>VC_NEW!EU5</f>
        <v>0</v>
      </c>
      <c r="FA16" s="1">
        <f>VC_NEW!EV5</f>
        <v>0</v>
      </c>
      <c r="FB16" s="1">
        <f>VC_NEW!EW5</f>
        <v>0</v>
      </c>
      <c r="FC16" s="1">
        <f>VC_NEW!EX5</f>
        <v>0</v>
      </c>
      <c r="FD16" s="1">
        <f>VC_NEW!EY5</f>
        <v>0</v>
      </c>
      <c r="FE16" s="1">
        <f>VC_NEW!EZ5</f>
        <v>0</v>
      </c>
      <c r="FF16" s="1">
        <f>VC_NEW!FA5</f>
        <v>0</v>
      </c>
      <c r="FG16" s="1">
        <f>VC_NEW!FB5</f>
        <v>0</v>
      </c>
      <c r="FH16" s="1">
        <f>VC_NEW!FC5</f>
        <v>0</v>
      </c>
      <c r="FI16" s="1">
        <f>VC_NEW!FD5</f>
        <v>0</v>
      </c>
      <c r="FJ16" s="1">
        <f>VC_NEW!FE5</f>
        <v>0</v>
      </c>
      <c r="FK16" s="1">
        <f>VC_NEW!FF5</f>
        <v>0</v>
      </c>
      <c r="FL16" s="1">
        <f>VC_NEW!FG5</f>
        <v>0</v>
      </c>
      <c r="FM16" s="1">
        <f>VC_NEW!FH5</f>
        <v>0</v>
      </c>
      <c r="FN16" s="1">
        <f>VC_NEW!FI5</f>
        <v>0</v>
      </c>
      <c r="FO16" s="1">
        <f>VC_NEW!FJ5</f>
        <v>0</v>
      </c>
      <c r="FP16" s="1">
        <f>VC_NEW!FK5</f>
        <v>0</v>
      </c>
      <c r="FQ16" s="1">
        <f>VC_NEW!FL5</f>
        <v>0</v>
      </c>
      <c r="FR16" s="1">
        <f>VC_NEW!FM5</f>
        <v>0</v>
      </c>
      <c r="FS16" s="1">
        <f>VC_NEW!FN5</f>
        <v>0</v>
      </c>
      <c r="FT16" s="1">
        <f>VC_NEW!FO5</f>
        <v>0</v>
      </c>
      <c r="FU16" s="1">
        <f>VC_NEW!FP5</f>
        <v>0</v>
      </c>
      <c r="FV16" s="1">
        <f>VC_NEW!FQ5</f>
        <v>0</v>
      </c>
      <c r="FW16" s="1">
        <f>VC_NEW!FR5</f>
        <v>0</v>
      </c>
      <c r="FX16" s="1">
        <f>VC_NEW!FS5</f>
        <v>0</v>
      </c>
      <c r="FY16" s="1">
        <f>VC_NEW!FT5</f>
        <v>0</v>
      </c>
      <c r="FZ16" s="1">
        <f>VC_NEW!FU5</f>
        <v>0</v>
      </c>
      <c r="GA16" s="1">
        <f>VC_NEW!FV5</f>
        <v>0</v>
      </c>
      <c r="GB16" s="1">
        <f>VC_NEW!FW5</f>
        <v>0</v>
      </c>
      <c r="GC16" s="1">
        <f>VC_NEW!FX5</f>
        <v>0</v>
      </c>
      <c r="GD16" s="1">
        <f>VC_NEW!FY5</f>
        <v>0</v>
      </c>
      <c r="GE16" s="1">
        <f>VC_NEW!FZ5</f>
        <v>0</v>
      </c>
      <c r="GF16" s="1">
        <f>VC_NEW!GA5</f>
        <v>0</v>
      </c>
      <c r="GG16" s="1">
        <f>VC_NEW!GB5</f>
        <v>0</v>
      </c>
      <c r="GH16" s="1">
        <f>VC_NEW!GC5</f>
        <v>0</v>
      </c>
      <c r="GI16" s="1">
        <f>VC_NEW!GD5</f>
        <v>0</v>
      </c>
      <c r="GJ16" s="1">
        <f>VC_NEW!GE5</f>
        <v>0</v>
      </c>
      <c r="GK16" s="1">
        <f>VC_NEW!GF5</f>
        <v>0</v>
      </c>
      <c r="GL16" s="1">
        <f>VC_NEW!GG5</f>
        <v>0</v>
      </c>
      <c r="GM16" s="1">
        <f>VC_NEW!GH5</f>
        <v>0</v>
      </c>
      <c r="GN16" s="1">
        <f>VC_NEW!GI5</f>
        <v>0</v>
      </c>
      <c r="GO16" s="1">
        <f>VC_NEW!GJ5</f>
        <v>0</v>
      </c>
      <c r="GP16" s="1">
        <f>VC_NEW!GK5</f>
        <v>0</v>
      </c>
      <c r="GQ16" s="1">
        <f>VC_NEW!GL5</f>
        <v>0</v>
      </c>
      <c r="GR16" s="1">
        <f>VC_NEW!GM5</f>
        <v>0</v>
      </c>
      <c r="GS16" s="1">
        <f>VC_NEW!GN5</f>
        <v>0</v>
      </c>
      <c r="GT16" s="1">
        <f>VC_NEW!GO5</f>
        <v>0</v>
      </c>
      <c r="GU16" s="1" t="str">
        <f>VC_NEW!GP5</f>
        <v>N269S</v>
      </c>
      <c r="GV16" s="1">
        <f>VC_NEW!GQ5</f>
        <v>0</v>
      </c>
      <c r="GW16" s="1">
        <f>VC_NEW!GR5</f>
        <v>0</v>
      </c>
      <c r="GX16" s="1">
        <f>VC_NEW!GS5</f>
        <v>0</v>
      </c>
      <c r="GY16" s="1">
        <f>VC_NEW!GT5</f>
        <v>0</v>
      </c>
      <c r="GZ16" s="1">
        <f>VC_NEW!GU5</f>
        <v>0</v>
      </c>
      <c r="HA16" s="1">
        <f>VC_NEW!GV5</f>
        <v>0</v>
      </c>
      <c r="HB16" s="1">
        <f>VC_NEW!GW5</f>
        <v>0</v>
      </c>
      <c r="HC16" s="1">
        <f>VC_NEW!GX5</f>
        <v>0</v>
      </c>
    </row>
    <row r="17" spans="1:211" s="7" customFormat="1" ht="15" customHeight="1" x14ac:dyDescent="0.25">
      <c r="A17" s="44" t="s">
        <v>9</v>
      </c>
      <c r="B17" s="45" t="s">
        <v>10</v>
      </c>
      <c r="C17" s="46" t="s">
        <v>1</v>
      </c>
      <c r="D17" s="45" t="s">
        <v>77</v>
      </c>
      <c r="E17" s="45">
        <v>-0.5</v>
      </c>
      <c r="F17" s="45" t="s">
        <v>74</v>
      </c>
      <c r="G17" s="47" t="s">
        <v>137</v>
      </c>
      <c r="H17" s="7">
        <f>VC_NEW!C6</f>
        <v>0</v>
      </c>
      <c r="I17" s="7">
        <f>VC_NEW!D6</f>
        <v>0</v>
      </c>
      <c r="J17" s="7">
        <f>VC_NEW!E6</f>
        <v>0</v>
      </c>
      <c r="K17" s="7">
        <f>VC_NEW!F6</f>
        <v>0</v>
      </c>
      <c r="L17" s="7">
        <f>VC_NEW!G6</f>
        <v>0</v>
      </c>
      <c r="M17" s="7">
        <f>VC_NEW!H6</f>
        <v>0</v>
      </c>
      <c r="N17" s="7">
        <f>VC_NEW!I6</f>
        <v>0</v>
      </c>
      <c r="O17" s="7">
        <f>VC_NEW!J6</f>
        <v>0</v>
      </c>
      <c r="P17" s="7">
        <f>VC_NEW!K6</f>
        <v>0</v>
      </c>
      <c r="Q17" s="7">
        <f>VC_NEW!L6</f>
        <v>0</v>
      </c>
      <c r="R17" s="7">
        <f>VC_NEW!M6</f>
        <v>0</v>
      </c>
      <c r="S17" s="7">
        <f>VC_NEW!N6</f>
        <v>0</v>
      </c>
      <c r="T17" s="7">
        <f>VC_NEW!O6</f>
        <v>0</v>
      </c>
      <c r="U17" s="7">
        <f>VC_NEW!P6</f>
        <v>0</v>
      </c>
      <c r="V17" s="7">
        <f>VC_NEW!Q6</f>
        <v>0</v>
      </c>
      <c r="W17" s="7">
        <f>VC_NEW!R6</f>
        <v>0</v>
      </c>
      <c r="X17" s="7">
        <f>VC_NEW!S6</f>
        <v>0</v>
      </c>
      <c r="Y17" s="7">
        <f>VC_NEW!T6</f>
        <v>0</v>
      </c>
      <c r="Z17" s="7">
        <f>VC_NEW!U6</f>
        <v>0</v>
      </c>
      <c r="AA17" s="7">
        <f>VC_NEW!V6</f>
        <v>0</v>
      </c>
      <c r="AB17" s="7">
        <f>VC_NEW!W6</f>
        <v>0</v>
      </c>
      <c r="AC17" s="7">
        <f>VC_NEW!X6</f>
        <v>0</v>
      </c>
      <c r="AD17" s="7">
        <f>VC_NEW!Y6</f>
        <v>0</v>
      </c>
      <c r="AE17" s="7">
        <f>VC_NEW!Z6</f>
        <v>0</v>
      </c>
      <c r="AF17" s="7">
        <f>VC_NEW!AA6</f>
        <v>0</v>
      </c>
      <c r="AG17" s="7">
        <f>VC_NEW!AB6</f>
        <v>0</v>
      </c>
      <c r="AH17" s="7">
        <f>VC_NEW!AC6</f>
        <v>0</v>
      </c>
      <c r="AI17" s="7">
        <f>VC_NEW!AD6</f>
        <v>0</v>
      </c>
      <c r="AJ17" s="7">
        <f>VC_NEW!AE6</f>
        <v>0</v>
      </c>
      <c r="AK17" s="7">
        <f>VC_NEW!AF6</f>
        <v>0</v>
      </c>
      <c r="AL17" s="7">
        <f>VC_NEW!AG6</f>
        <v>0</v>
      </c>
      <c r="AM17" s="7" t="str">
        <f>VC_NEW!AH6</f>
        <v>V1042A</v>
      </c>
      <c r="AN17" s="7">
        <f>VC_NEW!AI6</f>
        <v>0</v>
      </c>
      <c r="AO17" s="7">
        <f>VC_NEW!AJ6</f>
        <v>0</v>
      </c>
      <c r="AP17" s="7">
        <f>VC_NEW!AK6</f>
        <v>0</v>
      </c>
      <c r="AQ17" s="7">
        <f>VC_NEW!AL6</f>
        <v>0</v>
      </c>
      <c r="AR17" s="7">
        <f>VC_NEW!AM6</f>
        <v>0</v>
      </c>
      <c r="AS17" s="7">
        <f>VC_NEW!AN6</f>
        <v>0</v>
      </c>
      <c r="AT17" s="7">
        <f>VC_NEW!AO6</f>
        <v>0</v>
      </c>
      <c r="AU17" s="7">
        <f>VC_NEW!AP6</f>
        <v>0</v>
      </c>
      <c r="AV17" s="7">
        <f>VC_NEW!AQ6</f>
        <v>0</v>
      </c>
      <c r="AW17" s="7">
        <f>VC_NEW!AR6</f>
        <v>0</v>
      </c>
      <c r="AX17" s="7">
        <f>VC_NEW!AS6</f>
        <v>0</v>
      </c>
      <c r="AY17" s="7">
        <f>VC_NEW!AT6</f>
        <v>0</v>
      </c>
      <c r="AZ17" s="7">
        <f>VC_NEW!AU6</f>
        <v>0</v>
      </c>
      <c r="BA17" s="7">
        <f>VC_NEW!AV6</f>
        <v>0</v>
      </c>
      <c r="BB17" s="7">
        <f>VC_NEW!AW6</f>
        <v>0</v>
      </c>
      <c r="BC17" s="7">
        <f>VC_NEW!AX6</f>
        <v>0</v>
      </c>
      <c r="BD17" s="7">
        <f>VC_NEW!AY6</f>
        <v>0</v>
      </c>
      <c r="BE17" s="7">
        <f>VC_NEW!AZ6</f>
        <v>0</v>
      </c>
      <c r="BF17" s="7">
        <f>VC_NEW!BA6</f>
        <v>0</v>
      </c>
      <c r="BG17" s="7">
        <f>VC_NEW!BB6</f>
        <v>0</v>
      </c>
      <c r="BH17" s="7">
        <f>VC_NEW!BC6</f>
        <v>0</v>
      </c>
      <c r="BI17" s="7">
        <f>VC_NEW!BD6</f>
        <v>0</v>
      </c>
      <c r="BJ17" s="7">
        <f>VC_NEW!BE6</f>
        <v>0</v>
      </c>
      <c r="BK17" s="7">
        <f>VC_NEW!BF6</f>
        <v>0</v>
      </c>
      <c r="BL17" s="7">
        <f>VC_NEW!BG6</f>
        <v>0</v>
      </c>
      <c r="BM17" s="7">
        <f>VC_NEW!BH6</f>
        <v>0</v>
      </c>
      <c r="BN17" s="7">
        <f>VC_NEW!BI6</f>
        <v>0</v>
      </c>
      <c r="BO17" s="7" t="str">
        <f>VC_NEW!BJ6</f>
        <v>E422X</v>
      </c>
      <c r="BP17" s="7">
        <f>VC_NEW!BK6</f>
        <v>0</v>
      </c>
      <c r="BQ17" s="7" t="str">
        <f>VC_NEW!BL6</f>
        <v>Q319X</v>
      </c>
      <c r="BR17" s="7">
        <f>VC_NEW!BM6</f>
        <v>0</v>
      </c>
      <c r="BS17" s="7">
        <f>VC_NEW!BN6</f>
        <v>0</v>
      </c>
      <c r="BT17" s="7">
        <f>VC_NEW!BO6</f>
        <v>0</v>
      </c>
      <c r="BU17" s="7">
        <f>VC_NEW!BP6</f>
        <v>0</v>
      </c>
      <c r="BV17" s="7">
        <f>VC_NEW!BQ6</f>
        <v>0</v>
      </c>
      <c r="BW17" s="7">
        <f>VC_NEW!BR6</f>
        <v>0</v>
      </c>
      <c r="BX17" s="7">
        <f>VC_NEW!BS6</f>
        <v>0</v>
      </c>
      <c r="BY17" s="7">
        <f>VC_NEW!BT6</f>
        <v>0</v>
      </c>
      <c r="BZ17" s="7">
        <f>VC_NEW!BU6</f>
        <v>0</v>
      </c>
      <c r="CA17" s="7">
        <f>VC_NEW!BV6</f>
        <v>0</v>
      </c>
      <c r="CB17" s="7">
        <f>VC_NEW!BW6</f>
        <v>0</v>
      </c>
      <c r="CC17" s="7">
        <f>VC_NEW!BX6</f>
        <v>0</v>
      </c>
      <c r="CD17" s="7">
        <f>VC_NEW!BY6</f>
        <v>0</v>
      </c>
      <c r="CE17" s="7">
        <f>VC_NEW!BZ6</f>
        <v>0</v>
      </c>
      <c r="CF17" s="7">
        <f>VC_NEW!CA6</f>
        <v>0</v>
      </c>
      <c r="CG17" s="7">
        <f>VC_NEW!CB6</f>
        <v>0</v>
      </c>
      <c r="CH17" s="7">
        <f>VC_NEW!CC6</f>
        <v>0</v>
      </c>
      <c r="CI17" s="7">
        <f>VC_NEW!CD6</f>
        <v>0</v>
      </c>
      <c r="CJ17" s="7">
        <f>VC_NEW!CE6</f>
        <v>0</v>
      </c>
      <c r="CK17" s="7" t="str">
        <f>VC_NEW!CF6</f>
        <v>nt1135∆1</v>
      </c>
      <c r="CL17" s="7">
        <f>VC_NEW!CG6</f>
        <v>0</v>
      </c>
      <c r="CM17" s="7">
        <f>VC_NEW!CH6</f>
        <v>0</v>
      </c>
      <c r="CN17" s="7">
        <f>VC_NEW!CI6</f>
        <v>0</v>
      </c>
      <c r="CO17" s="7">
        <f>VC_NEW!CJ6</f>
        <v>0</v>
      </c>
      <c r="CP17" s="7">
        <f>VC_NEW!CK6</f>
        <v>0</v>
      </c>
      <c r="CQ17" s="7" t="str">
        <f>VC_NEW!CL6</f>
        <v>A735D</v>
      </c>
      <c r="CR17" s="7">
        <f>VC_NEW!CM6</f>
        <v>0</v>
      </c>
      <c r="CS17" s="7">
        <f>VC_NEW!CN6</f>
        <v>0</v>
      </c>
      <c r="CT17" s="7">
        <f>VC_NEW!CO6</f>
        <v>0</v>
      </c>
      <c r="CU17" s="7">
        <f>VC_NEW!CP6</f>
        <v>0</v>
      </c>
      <c r="CV17" s="7">
        <f>VC_NEW!CQ6</f>
        <v>0</v>
      </c>
      <c r="CW17" s="7">
        <f>VC_NEW!CR6</f>
        <v>0</v>
      </c>
      <c r="CX17" s="7">
        <f>VC_NEW!CS6</f>
        <v>0</v>
      </c>
      <c r="CY17" s="7">
        <f>VC_NEW!CT6</f>
        <v>0</v>
      </c>
      <c r="CZ17" s="7">
        <f>VC_NEW!CU6</f>
        <v>0</v>
      </c>
      <c r="DA17" s="7">
        <f>VC_NEW!CV6</f>
        <v>0</v>
      </c>
      <c r="DB17" s="7">
        <f>VC_NEW!CW6</f>
        <v>0</v>
      </c>
      <c r="DC17" s="7">
        <f>VC_NEW!CX6</f>
        <v>0</v>
      </c>
      <c r="DD17" s="7">
        <f>VC_NEW!CY6</f>
        <v>0</v>
      </c>
      <c r="DE17" s="7">
        <f>VC_NEW!CZ6</f>
        <v>0</v>
      </c>
      <c r="DF17" s="7">
        <f>VC_NEW!DA6</f>
        <v>0</v>
      </c>
      <c r="DG17" s="7">
        <f>VC_NEW!DB6</f>
        <v>0</v>
      </c>
      <c r="DH17" s="7">
        <f>VC_NEW!DC6</f>
        <v>0</v>
      </c>
      <c r="DI17" s="7">
        <f>VC_NEW!DD6</f>
        <v>0</v>
      </c>
      <c r="DJ17" s="7">
        <f>VC_NEW!DE6</f>
        <v>0</v>
      </c>
      <c r="DK17" s="7">
        <f>VC_NEW!DF6</f>
        <v>0</v>
      </c>
      <c r="DL17" s="7">
        <f>VC_NEW!DG6</f>
        <v>0</v>
      </c>
      <c r="DM17" s="7">
        <f>VC_NEW!DH6</f>
        <v>0</v>
      </c>
      <c r="DN17" s="7">
        <f>VC_NEW!DI6</f>
        <v>0</v>
      </c>
      <c r="DO17" s="7">
        <f>VC_NEW!DJ6</f>
        <v>0</v>
      </c>
      <c r="DP17" s="7">
        <f>VC_NEW!DK6</f>
        <v>0</v>
      </c>
      <c r="DQ17" s="7">
        <f>VC_NEW!DL6</f>
        <v>0</v>
      </c>
      <c r="DR17" s="7">
        <f>VC_NEW!DM6</f>
        <v>0</v>
      </c>
      <c r="DS17" s="7">
        <f>VC_NEW!DN6</f>
        <v>0</v>
      </c>
      <c r="DT17" s="7">
        <f>VC_NEW!DO6</f>
        <v>0</v>
      </c>
      <c r="DU17" s="7">
        <f>VC_NEW!DP6</f>
        <v>0</v>
      </c>
      <c r="DV17" s="7">
        <f>VC_NEW!DQ6</f>
        <v>0</v>
      </c>
      <c r="DW17" s="7">
        <f>VC_NEW!DR6</f>
        <v>0</v>
      </c>
      <c r="DX17" s="7">
        <f>VC_NEW!DS6</f>
        <v>0</v>
      </c>
      <c r="DY17" s="7">
        <f>VC_NEW!DT6</f>
        <v>0</v>
      </c>
      <c r="DZ17" s="7">
        <f>VC_NEW!DU6</f>
        <v>0</v>
      </c>
      <c r="EA17" s="7" t="str">
        <f>VC_NEW!DV6</f>
        <v>nt881InsGG</v>
      </c>
      <c r="EB17" s="7">
        <f>VC_NEW!DW6</f>
        <v>0</v>
      </c>
      <c r="EC17" s="7">
        <f>VC_NEW!DX6</f>
        <v>0</v>
      </c>
      <c r="ED17" s="7">
        <f>VC_NEW!DY6</f>
        <v>0</v>
      </c>
      <c r="EE17" s="7">
        <f>VC_NEW!DZ6</f>
        <v>0</v>
      </c>
      <c r="EF17" s="7">
        <f>VC_NEW!EA6</f>
        <v>0</v>
      </c>
      <c r="EG17" s="7" t="str">
        <f>VC_NEW!EB6</f>
        <v>nt2936∆1</v>
      </c>
      <c r="EH17" s="7">
        <f>VC_NEW!EC6</f>
        <v>0</v>
      </c>
      <c r="EI17" s="7">
        <f>VC_NEW!ED6</f>
        <v>0</v>
      </c>
      <c r="EJ17" s="7">
        <f>VC_NEW!EE6</f>
        <v>0</v>
      </c>
      <c r="EK17" s="7">
        <f>VC_NEW!EF6</f>
        <v>0</v>
      </c>
      <c r="EL17" s="7">
        <f>VC_NEW!EG6</f>
        <v>0</v>
      </c>
      <c r="EM17" s="7">
        <f>VC_NEW!EH6</f>
        <v>0</v>
      </c>
      <c r="EN17" s="7">
        <f>VC_NEW!EI6</f>
        <v>0</v>
      </c>
      <c r="EO17" s="7">
        <f>VC_NEW!EJ6</f>
        <v>0</v>
      </c>
      <c r="EP17" s="7">
        <f>VC_NEW!EK6</f>
        <v>0</v>
      </c>
      <c r="EQ17" s="7">
        <f>VC_NEW!EL6</f>
        <v>0</v>
      </c>
      <c r="ER17" s="7">
        <f>VC_NEW!EM6</f>
        <v>0</v>
      </c>
      <c r="ES17" s="7">
        <f>VC_NEW!EN6</f>
        <v>0</v>
      </c>
      <c r="ET17" s="7" t="str">
        <f>VC_NEW!EO6</f>
        <v>nt3018∆5</v>
      </c>
      <c r="EU17" s="7">
        <f>VC_NEW!EP6</f>
        <v>0</v>
      </c>
      <c r="EV17" s="7">
        <f>VC_NEW!EQ6</f>
        <v>0</v>
      </c>
      <c r="EW17" s="7" t="str">
        <f>VC_NEW!ER6</f>
        <v>A707S; I963V</v>
      </c>
      <c r="EX17" s="7">
        <f>VC_NEW!ES6</f>
        <v>0</v>
      </c>
      <c r="EY17" s="7" t="str">
        <f>VC_NEW!ET6</f>
        <v>T98A</v>
      </c>
      <c r="EZ17" s="7">
        <f>VC_NEW!EU6</f>
        <v>0</v>
      </c>
      <c r="FA17" s="7">
        <f>VC_NEW!EV6</f>
        <v>0</v>
      </c>
      <c r="FB17" s="7" t="str">
        <f>VC_NEW!EW6</f>
        <v>G860D</v>
      </c>
      <c r="FC17" s="7">
        <f>VC_NEW!EX6</f>
        <v>0</v>
      </c>
      <c r="FD17" s="7">
        <f>VC_NEW!EY6</f>
        <v>0</v>
      </c>
      <c r="FE17" s="7">
        <f>VC_NEW!EZ6</f>
        <v>0</v>
      </c>
      <c r="FF17" s="7">
        <f>VC_NEW!FA6</f>
        <v>0</v>
      </c>
      <c r="FG17" s="7">
        <f>VC_NEW!FB6</f>
        <v>0</v>
      </c>
      <c r="FH17" s="7">
        <f>VC_NEW!FC6</f>
        <v>0</v>
      </c>
      <c r="FI17" s="7">
        <f>VC_NEW!FD6</f>
        <v>0</v>
      </c>
      <c r="FJ17" s="7">
        <f>VC_NEW!FE6</f>
        <v>0</v>
      </c>
      <c r="FK17" s="7">
        <f>VC_NEW!FF6</f>
        <v>0</v>
      </c>
      <c r="FL17" s="7">
        <f>VC_NEW!FG6</f>
        <v>0</v>
      </c>
      <c r="FM17" s="7">
        <f>VC_NEW!FH6</f>
        <v>0</v>
      </c>
      <c r="FN17" s="7">
        <f>VC_NEW!FI6</f>
        <v>0</v>
      </c>
      <c r="FO17" s="7">
        <f>VC_NEW!FJ6</f>
        <v>0</v>
      </c>
      <c r="FP17" s="7">
        <f>VC_NEW!FK6</f>
        <v>0</v>
      </c>
      <c r="FQ17" s="7">
        <f>VC_NEW!FL6</f>
        <v>0</v>
      </c>
      <c r="FR17" s="7">
        <f>VC_NEW!FM6</f>
        <v>0</v>
      </c>
      <c r="FS17" s="7">
        <f>VC_NEW!FN6</f>
        <v>0</v>
      </c>
      <c r="FT17" s="7">
        <f>VC_NEW!FO6</f>
        <v>0</v>
      </c>
      <c r="FU17" s="7">
        <f>VC_NEW!FP6</f>
        <v>0</v>
      </c>
      <c r="FV17" s="7">
        <f>VC_NEW!FQ6</f>
        <v>0</v>
      </c>
      <c r="FW17" s="7">
        <f>VC_NEW!FR6</f>
        <v>0</v>
      </c>
      <c r="FX17" s="7">
        <f>VC_NEW!FS6</f>
        <v>0</v>
      </c>
      <c r="FY17" s="7">
        <f>VC_NEW!FT6</f>
        <v>0</v>
      </c>
      <c r="FZ17" s="7">
        <f>VC_NEW!FU6</f>
        <v>0</v>
      </c>
      <c r="GA17" s="7">
        <f>VC_NEW!FV6</f>
        <v>0</v>
      </c>
      <c r="GB17" s="7">
        <f>VC_NEW!FW6</f>
        <v>0</v>
      </c>
      <c r="GC17" s="7">
        <f>VC_NEW!FX6</f>
        <v>0</v>
      </c>
      <c r="GD17" s="7">
        <f>VC_NEW!FY6</f>
        <v>0</v>
      </c>
      <c r="GE17" s="7">
        <f>VC_NEW!FZ6</f>
        <v>0</v>
      </c>
      <c r="GF17" s="7">
        <f>VC_NEW!GA6</f>
        <v>0</v>
      </c>
      <c r="GG17" s="7">
        <f>VC_NEW!GB6</f>
        <v>0</v>
      </c>
      <c r="GH17" s="7">
        <f>VC_NEW!GC6</f>
        <v>0</v>
      </c>
      <c r="GI17" s="7">
        <f>VC_NEW!GD6</f>
        <v>0</v>
      </c>
      <c r="GJ17" s="7">
        <f>VC_NEW!GE6</f>
        <v>0</v>
      </c>
      <c r="GK17" s="7">
        <f>VC_NEW!GF6</f>
        <v>0</v>
      </c>
      <c r="GL17" s="7">
        <f>VC_NEW!GG6</f>
        <v>0</v>
      </c>
      <c r="GM17" s="7">
        <f>VC_NEW!GH6</f>
        <v>0</v>
      </c>
      <c r="GN17" s="7">
        <f>VC_NEW!GI6</f>
        <v>0</v>
      </c>
      <c r="GO17" s="7">
        <f>VC_NEW!GJ6</f>
        <v>0</v>
      </c>
      <c r="GP17" s="7">
        <f>VC_NEW!GK6</f>
        <v>0</v>
      </c>
      <c r="GQ17" s="7" t="str">
        <f>VC_NEW!GL6</f>
        <v>A539T</v>
      </c>
      <c r="GR17" s="7">
        <f>VC_NEW!GM6</f>
        <v>0</v>
      </c>
      <c r="GS17" s="7">
        <f>VC_NEW!GN6</f>
        <v>0</v>
      </c>
      <c r="GT17" s="7">
        <f>VC_NEW!GO6</f>
        <v>0</v>
      </c>
      <c r="GU17" s="7">
        <f>VC_NEW!GP6</f>
        <v>0</v>
      </c>
      <c r="GV17" s="7">
        <f>VC_NEW!GQ6</f>
        <v>0</v>
      </c>
      <c r="GW17" s="7">
        <f>VC_NEW!GR6</f>
        <v>0</v>
      </c>
      <c r="GX17" s="7" t="str">
        <f>VC_NEW!GS6</f>
        <v>P190L</v>
      </c>
      <c r="GY17" s="7">
        <f>VC_NEW!GT6</f>
        <v>0</v>
      </c>
      <c r="GZ17" s="7">
        <f>VC_NEW!GU6</f>
        <v>0</v>
      </c>
      <c r="HA17" s="7">
        <f>VC_NEW!GV6</f>
        <v>0</v>
      </c>
      <c r="HB17" s="7">
        <f>VC_NEW!GW6</f>
        <v>0</v>
      </c>
      <c r="HC17" s="7">
        <f>VC_NEW!GX6</f>
        <v>0</v>
      </c>
    </row>
    <row r="18" spans="1:211" s="7" customFormat="1" ht="15" hidden="1" customHeight="1" x14ac:dyDescent="0.25">
      <c r="A18" s="44" t="s">
        <v>9</v>
      </c>
      <c r="B18" s="45" t="s">
        <v>10</v>
      </c>
      <c r="C18" s="46" t="s">
        <v>2</v>
      </c>
      <c r="D18" s="45" t="s">
        <v>77</v>
      </c>
      <c r="E18" s="45">
        <v>-0.5</v>
      </c>
      <c r="F18" s="45" t="s">
        <v>74</v>
      </c>
      <c r="G18" s="47" t="s">
        <v>137</v>
      </c>
      <c r="H18" s="7">
        <f>VC_NEW!C6</f>
        <v>0</v>
      </c>
      <c r="I18" s="7">
        <f>VC_NEW!D6</f>
        <v>0</v>
      </c>
      <c r="J18" s="7">
        <f>VC_NEW!E6</f>
        <v>0</v>
      </c>
      <c r="K18" s="7">
        <f>VC_NEW!F6</f>
        <v>0</v>
      </c>
      <c r="L18" s="7">
        <f>VC_NEW!G6</f>
        <v>0</v>
      </c>
      <c r="M18" s="7">
        <f>VC_NEW!H6</f>
        <v>0</v>
      </c>
      <c r="N18" s="7">
        <f>VC_NEW!I6</f>
        <v>0</v>
      </c>
      <c r="O18" s="7">
        <f>VC_NEW!J6</f>
        <v>0</v>
      </c>
      <c r="P18" s="7">
        <f>VC_NEW!K6</f>
        <v>0</v>
      </c>
      <c r="Q18" s="7">
        <f>VC_NEW!L6</f>
        <v>0</v>
      </c>
      <c r="R18" s="7">
        <f>VC_NEW!M6</f>
        <v>0</v>
      </c>
      <c r="S18" s="7">
        <f>VC_NEW!N6</f>
        <v>0</v>
      </c>
      <c r="T18" s="7">
        <f>VC_NEW!O6</f>
        <v>0</v>
      </c>
      <c r="U18" s="7">
        <f>VC_NEW!P6</f>
        <v>0</v>
      </c>
      <c r="V18" s="7">
        <f>VC_NEW!Q6</f>
        <v>0</v>
      </c>
      <c r="W18" s="7">
        <f>VC_NEW!R6</f>
        <v>0</v>
      </c>
      <c r="X18" s="7">
        <f>VC_NEW!S6</f>
        <v>0</v>
      </c>
      <c r="Y18" s="7">
        <f>VC_NEW!T6</f>
        <v>0</v>
      </c>
      <c r="Z18" s="7">
        <f>VC_NEW!U6</f>
        <v>0</v>
      </c>
      <c r="AA18" s="7">
        <f>VC_NEW!V6</f>
        <v>0</v>
      </c>
      <c r="AB18" s="7">
        <f>VC_NEW!W6</f>
        <v>0</v>
      </c>
      <c r="AC18" s="7">
        <f>VC_NEW!X6</f>
        <v>0</v>
      </c>
      <c r="AD18" s="7">
        <f>VC_NEW!Y6</f>
        <v>0</v>
      </c>
      <c r="AE18" s="7">
        <f>VC_NEW!Z6</f>
        <v>0</v>
      </c>
      <c r="AF18" s="7">
        <f>VC_NEW!AA6</f>
        <v>0</v>
      </c>
      <c r="AG18" s="7">
        <f>VC_NEW!AB6</f>
        <v>0</v>
      </c>
      <c r="AH18" s="7">
        <f>VC_NEW!AC6</f>
        <v>0</v>
      </c>
      <c r="AI18" s="7">
        <f>VC_NEW!AD6</f>
        <v>0</v>
      </c>
      <c r="AJ18" s="7">
        <f>VC_NEW!AE6</f>
        <v>0</v>
      </c>
      <c r="AK18" s="7">
        <f>VC_NEW!AF6</f>
        <v>0</v>
      </c>
      <c r="AL18" s="7">
        <f>VC_NEW!AG6</f>
        <v>0</v>
      </c>
      <c r="AM18" s="7" t="str">
        <f>VC_NEW!AH6</f>
        <v>V1042A</v>
      </c>
      <c r="AN18" s="7">
        <f>VC_NEW!AI6</f>
        <v>0</v>
      </c>
      <c r="AO18" s="7">
        <f>VC_NEW!AJ6</f>
        <v>0</v>
      </c>
      <c r="AP18" s="7">
        <f>VC_NEW!AK6</f>
        <v>0</v>
      </c>
      <c r="AQ18" s="7">
        <f>VC_NEW!AL6</f>
        <v>0</v>
      </c>
      <c r="AR18" s="7">
        <f>VC_NEW!AM6</f>
        <v>0</v>
      </c>
      <c r="AS18" s="7">
        <f>VC_NEW!AN6</f>
        <v>0</v>
      </c>
      <c r="AT18" s="7">
        <f>VC_NEW!AO6</f>
        <v>0</v>
      </c>
      <c r="AU18" s="7">
        <f>VC_NEW!AP6</f>
        <v>0</v>
      </c>
      <c r="AV18" s="7">
        <f>VC_NEW!AQ6</f>
        <v>0</v>
      </c>
      <c r="AW18" s="7">
        <f>VC_NEW!AR6</f>
        <v>0</v>
      </c>
      <c r="AX18" s="7">
        <f>VC_NEW!AS6</f>
        <v>0</v>
      </c>
      <c r="AY18" s="7">
        <f>VC_NEW!AT6</f>
        <v>0</v>
      </c>
      <c r="AZ18" s="7">
        <f>VC_NEW!AU6</f>
        <v>0</v>
      </c>
      <c r="BA18" s="7">
        <f>VC_NEW!AV6</f>
        <v>0</v>
      </c>
      <c r="BB18" s="7">
        <f>VC_NEW!AW6</f>
        <v>0</v>
      </c>
      <c r="BC18" s="7">
        <f>VC_NEW!AX6</f>
        <v>0</v>
      </c>
      <c r="BD18" s="7">
        <f>VC_NEW!AY6</f>
        <v>0</v>
      </c>
      <c r="BE18" s="7">
        <f>VC_NEW!AZ6</f>
        <v>0</v>
      </c>
      <c r="BF18" s="7">
        <f>VC_NEW!BA6</f>
        <v>0</v>
      </c>
      <c r="BG18" s="7">
        <f>VC_NEW!BB6</f>
        <v>0</v>
      </c>
      <c r="BH18" s="7">
        <f>VC_NEW!BC6</f>
        <v>0</v>
      </c>
      <c r="BI18" s="7">
        <f>VC_NEW!BD6</f>
        <v>0</v>
      </c>
      <c r="BJ18" s="7">
        <f>VC_NEW!BE6</f>
        <v>0</v>
      </c>
      <c r="BK18" s="7">
        <f>VC_NEW!BF6</f>
        <v>0</v>
      </c>
      <c r="BL18" s="7">
        <f>VC_NEW!BG6</f>
        <v>0</v>
      </c>
      <c r="BM18" s="7">
        <f>VC_NEW!BH6</f>
        <v>0</v>
      </c>
      <c r="BN18" s="7">
        <f>VC_NEW!BI6</f>
        <v>0</v>
      </c>
      <c r="BO18" s="7" t="str">
        <f>VC_NEW!BJ6</f>
        <v>E422X</v>
      </c>
      <c r="BP18" s="7">
        <f>VC_NEW!BK6</f>
        <v>0</v>
      </c>
      <c r="BQ18" s="7" t="str">
        <f>VC_NEW!BL6</f>
        <v>Q319X</v>
      </c>
      <c r="BR18" s="7">
        <f>VC_NEW!BM6</f>
        <v>0</v>
      </c>
      <c r="BS18" s="7">
        <f>VC_NEW!BN6</f>
        <v>0</v>
      </c>
      <c r="BT18" s="7">
        <f>VC_NEW!BO6</f>
        <v>0</v>
      </c>
      <c r="BU18" s="7">
        <f>VC_NEW!BP6</f>
        <v>0</v>
      </c>
      <c r="BV18" s="7">
        <f>VC_NEW!BQ6</f>
        <v>0</v>
      </c>
      <c r="BW18" s="7">
        <f>VC_NEW!BR6</f>
        <v>0</v>
      </c>
      <c r="BX18" s="7">
        <f>VC_NEW!BS6</f>
        <v>0</v>
      </c>
      <c r="BY18" s="7">
        <f>VC_NEW!BT6</f>
        <v>0</v>
      </c>
      <c r="BZ18" s="7">
        <f>VC_NEW!BU6</f>
        <v>0</v>
      </c>
      <c r="CA18" s="7">
        <f>VC_NEW!BV6</f>
        <v>0</v>
      </c>
      <c r="CB18" s="7">
        <f>VC_NEW!BW6</f>
        <v>0</v>
      </c>
      <c r="CC18" s="7">
        <f>VC_NEW!BX6</f>
        <v>0</v>
      </c>
      <c r="CD18" s="7">
        <f>VC_NEW!BY6</f>
        <v>0</v>
      </c>
      <c r="CE18" s="7">
        <f>VC_NEW!BZ6</f>
        <v>0</v>
      </c>
      <c r="CF18" s="7">
        <f>VC_NEW!CA6</f>
        <v>0</v>
      </c>
      <c r="CG18" s="7">
        <f>VC_NEW!CB6</f>
        <v>0</v>
      </c>
      <c r="CH18" s="7">
        <f>VC_NEW!CC6</f>
        <v>0</v>
      </c>
      <c r="CI18" s="7">
        <f>VC_NEW!CD6</f>
        <v>0</v>
      </c>
      <c r="CJ18" s="7">
        <f>VC_NEW!CE6</f>
        <v>0</v>
      </c>
      <c r="CK18" s="7" t="str">
        <f>VC_NEW!CF6</f>
        <v>nt1135∆1</v>
      </c>
      <c r="CL18" s="7">
        <f>VC_NEW!CG6</f>
        <v>0</v>
      </c>
      <c r="CM18" s="7">
        <f>VC_NEW!CH6</f>
        <v>0</v>
      </c>
      <c r="CN18" s="7">
        <f>VC_NEW!CI6</f>
        <v>0</v>
      </c>
      <c r="CO18" s="7">
        <f>VC_NEW!CJ6</f>
        <v>0</v>
      </c>
      <c r="CP18" s="7">
        <f>VC_NEW!CK6</f>
        <v>0</v>
      </c>
      <c r="CQ18" s="7" t="str">
        <f>VC_NEW!CL6</f>
        <v>A735D</v>
      </c>
      <c r="CR18" s="7">
        <f>VC_NEW!CM6</f>
        <v>0</v>
      </c>
      <c r="CS18" s="7">
        <f>VC_NEW!CN6</f>
        <v>0</v>
      </c>
      <c r="CT18" s="7">
        <f>VC_NEW!CO6</f>
        <v>0</v>
      </c>
      <c r="CU18" s="7">
        <f>VC_NEW!CP6</f>
        <v>0</v>
      </c>
      <c r="CV18" s="7">
        <f>VC_NEW!CQ6</f>
        <v>0</v>
      </c>
      <c r="CW18" s="7">
        <f>VC_NEW!CR6</f>
        <v>0</v>
      </c>
      <c r="CX18" s="7">
        <f>VC_NEW!CS6</f>
        <v>0</v>
      </c>
      <c r="CY18" s="7">
        <f>VC_NEW!CT6</f>
        <v>0</v>
      </c>
      <c r="CZ18" s="7">
        <f>VC_NEW!CU6</f>
        <v>0</v>
      </c>
      <c r="DA18" s="7">
        <f>VC_NEW!CV6</f>
        <v>0</v>
      </c>
      <c r="DB18" s="7">
        <f>VC_NEW!CW6</f>
        <v>0</v>
      </c>
      <c r="DC18" s="7">
        <f>VC_NEW!CX6</f>
        <v>0</v>
      </c>
      <c r="DD18" s="7">
        <f>VC_NEW!CY6</f>
        <v>0</v>
      </c>
      <c r="DE18" s="7">
        <f>VC_NEW!CZ6</f>
        <v>0</v>
      </c>
      <c r="DF18" s="7">
        <f>VC_NEW!DA6</f>
        <v>0</v>
      </c>
      <c r="DG18" s="7">
        <f>VC_NEW!DB6</f>
        <v>0</v>
      </c>
      <c r="DH18" s="7">
        <f>VC_NEW!DC6</f>
        <v>0</v>
      </c>
      <c r="DI18" s="7">
        <f>VC_NEW!DD6</f>
        <v>0</v>
      </c>
      <c r="DJ18" s="7">
        <f>VC_NEW!DE6</f>
        <v>0</v>
      </c>
      <c r="DK18" s="7">
        <f>VC_NEW!DF6</f>
        <v>0</v>
      </c>
      <c r="DL18" s="7">
        <f>VC_NEW!DG6</f>
        <v>0</v>
      </c>
      <c r="DM18" s="7">
        <f>VC_NEW!DH6</f>
        <v>0</v>
      </c>
      <c r="DN18" s="7">
        <f>VC_NEW!DI6</f>
        <v>0</v>
      </c>
      <c r="DO18" s="7">
        <f>VC_NEW!DJ6</f>
        <v>0</v>
      </c>
      <c r="DP18" s="7">
        <f>VC_NEW!DK6</f>
        <v>0</v>
      </c>
      <c r="DQ18" s="7">
        <f>VC_NEW!DL6</f>
        <v>0</v>
      </c>
      <c r="DR18" s="7">
        <f>VC_NEW!DM6</f>
        <v>0</v>
      </c>
      <c r="DS18" s="7">
        <f>VC_NEW!DN6</f>
        <v>0</v>
      </c>
      <c r="DT18" s="7">
        <f>VC_NEW!DO6</f>
        <v>0</v>
      </c>
      <c r="DU18" s="7">
        <f>VC_NEW!DP6</f>
        <v>0</v>
      </c>
      <c r="DV18" s="7">
        <f>VC_NEW!DQ6</f>
        <v>0</v>
      </c>
      <c r="DW18" s="7">
        <f>VC_NEW!DR6</f>
        <v>0</v>
      </c>
      <c r="DX18" s="7">
        <f>VC_NEW!DS6</f>
        <v>0</v>
      </c>
      <c r="DY18" s="7">
        <f>VC_NEW!DT6</f>
        <v>0</v>
      </c>
      <c r="DZ18" s="7">
        <f>VC_NEW!DU6</f>
        <v>0</v>
      </c>
      <c r="EA18" s="7" t="str">
        <f>VC_NEW!DV6</f>
        <v>nt881InsGG</v>
      </c>
      <c r="EB18" s="7">
        <f>VC_NEW!DW6</f>
        <v>0</v>
      </c>
      <c r="EC18" s="7">
        <f>VC_NEW!DX6</f>
        <v>0</v>
      </c>
      <c r="ED18" s="7">
        <f>VC_NEW!DY6</f>
        <v>0</v>
      </c>
      <c r="EE18" s="7">
        <f>VC_NEW!DZ6</f>
        <v>0</v>
      </c>
      <c r="EF18" s="7">
        <f>VC_NEW!EA6</f>
        <v>0</v>
      </c>
      <c r="EG18" s="7" t="str">
        <f>VC_NEW!EB6</f>
        <v>nt2936∆1</v>
      </c>
      <c r="EH18" s="7">
        <f>VC_NEW!EC6</f>
        <v>0</v>
      </c>
      <c r="EI18" s="7">
        <f>VC_NEW!ED6</f>
        <v>0</v>
      </c>
      <c r="EJ18" s="7">
        <f>VC_NEW!EE6</f>
        <v>0</v>
      </c>
      <c r="EK18" s="7">
        <f>VC_NEW!EF6</f>
        <v>0</v>
      </c>
      <c r="EL18" s="7">
        <f>VC_NEW!EG6</f>
        <v>0</v>
      </c>
      <c r="EM18" s="7">
        <f>VC_NEW!EH6</f>
        <v>0</v>
      </c>
      <c r="EN18" s="7">
        <f>VC_NEW!EI6</f>
        <v>0</v>
      </c>
      <c r="EO18" s="7">
        <f>VC_NEW!EJ6</f>
        <v>0</v>
      </c>
      <c r="EP18" s="7">
        <f>VC_NEW!EK6</f>
        <v>0</v>
      </c>
      <c r="EQ18" s="7">
        <f>VC_NEW!EL6</f>
        <v>0</v>
      </c>
      <c r="ER18" s="7">
        <f>VC_NEW!EM6</f>
        <v>0</v>
      </c>
      <c r="ES18" s="7">
        <f>VC_NEW!EN6</f>
        <v>0</v>
      </c>
      <c r="ET18" s="7" t="str">
        <f>VC_NEW!EO6</f>
        <v>nt3018∆5</v>
      </c>
      <c r="EU18" s="7">
        <f>VC_NEW!EP6</f>
        <v>0</v>
      </c>
      <c r="EV18" s="7">
        <f>VC_NEW!EQ6</f>
        <v>0</v>
      </c>
      <c r="EW18" s="7" t="str">
        <f>VC_NEW!ER6</f>
        <v>A707S; I963V</v>
      </c>
      <c r="EX18" s="7">
        <f>VC_NEW!ES6</f>
        <v>0</v>
      </c>
      <c r="EY18" s="7" t="str">
        <f>VC_NEW!ET6</f>
        <v>T98A</v>
      </c>
      <c r="EZ18" s="7">
        <f>VC_NEW!EU6</f>
        <v>0</v>
      </c>
      <c r="FA18" s="7">
        <f>VC_NEW!EV6</f>
        <v>0</v>
      </c>
      <c r="FB18" s="7" t="str">
        <f>VC_NEW!EW6</f>
        <v>G860D</v>
      </c>
      <c r="FC18" s="7">
        <f>VC_NEW!EX6</f>
        <v>0</v>
      </c>
      <c r="FD18" s="7">
        <f>VC_NEW!EY6</f>
        <v>0</v>
      </c>
      <c r="FE18" s="7">
        <f>VC_NEW!EZ6</f>
        <v>0</v>
      </c>
      <c r="FF18" s="7">
        <f>VC_NEW!FA6</f>
        <v>0</v>
      </c>
      <c r="FG18" s="7">
        <f>VC_NEW!FB6</f>
        <v>0</v>
      </c>
      <c r="FH18" s="7">
        <f>VC_NEW!FC6</f>
        <v>0</v>
      </c>
      <c r="FI18" s="7">
        <f>VC_NEW!FD6</f>
        <v>0</v>
      </c>
      <c r="FJ18" s="7">
        <f>VC_NEW!FE6</f>
        <v>0</v>
      </c>
      <c r="FK18" s="7">
        <f>VC_NEW!FF6</f>
        <v>0</v>
      </c>
      <c r="FL18" s="7">
        <f>VC_NEW!FG6</f>
        <v>0</v>
      </c>
      <c r="FM18" s="7">
        <f>VC_NEW!FH6</f>
        <v>0</v>
      </c>
      <c r="FN18" s="7">
        <f>VC_NEW!FI6</f>
        <v>0</v>
      </c>
      <c r="FO18" s="7">
        <f>VC_NEW!FJ6</f>
        <v>0</v>
      </c>
      <c r="FP18" s="7">
        <f>VC_NEW!FK6</f>
        <v>0</v>
      </c>
      <c r="FQ18" s="7">
        <f>VC_NEW!FL6</f>
        <v>0</v>
      </c>
      <c r="FR18" s="7">
        <f>VC_NEW!FM6</f>
        <v>0</v>
      </c>
      <c r="FS18" s="7">
        <f>VC_NEW!FN6</f>
        <v>0</v>
      </c>
      <c r="FT18" s="7">
        <f>VC_NEW!FO6</f>
        <v>0</v>
      </c>
      <c r="FU18" s="7">
        <f>VC_NEW!FP6</f>
        <v>0</v>
      </c>
      <c r="FV18" s="7">
        <f>VC_NEW!FQ6</f>
        <v>0</v>
      </c>
      <c r="FW18" s="7">
        <f>VC_NEW!FR6</f>
        <v>0</v>
      </c>
      <c r="FX18" s="7">
        <f>VC_NEW!FS6</f>
        <v>0</v>
      </c>
      <c r="FY18" s="7">
        <f>VC_NEW!FT6</f>
        <v>0</v>
      </c>
      <c r="FZ18" s="7">
        <f>VC_NEW!FU6</f>
        <v>0</v>
      </c>
      <c r="GA18" s="7">
        <f>VC_NEW!FV6</f>
        <v>0</v>
      </c>
      <c r="GB18" s="7">
        <f>VC_NEW!FW6</f>
        <v>0</v>
      </c>
      <c r="GC18" s="7">
        <f>VC_NEW!FX6</f>
        <v>0</v>
      </c>
      <c r="GD18" s="7">
        <f>VC_NEW!FY6</f>
        <v>0</v>
      </c>
      <c r="GE18" s="7">
        <f>VC_NEW!FZ6</f>
        <v>0</v>
      </c>
      <c r="GF18" s="7">
        <f>VC_NEW!GA6</f>
        <v>0</v>
      </c>
      <c r="GG18" s="7">
        <f>VC_NEW!GB6</f>
        <v>0</v>
      </c>
      <c r="GH18" s="7">
        <f>VC_NEW!GC6</f>
        <v>0</v>
      </c>
      <c r="GI18" s="7">
        <f>VC_NEW!GD6</f>
        <v>0</v>
      </c>
      <c r="GJ18" s="7">
        <f>VC_NEW!GE6</f>
        <v>0</v>
      </c>
      <c r="GK18" s="7">
        <f>VC_NEW!GF6</f>
        <v>0</v>
      </c>
      <c r="GL18" s="7">
        <f>VC_NEW!GG6</f>
        <v>0</v>
      </c>
      <c r="GM18" s="7">
        <f>VC_NEW!GH6</f>
        <v>0</v>
      </c>
      <c r="GN18" s="7">
        <f>VC_NEW!GI6</f>
        <v>0</v>
      </c>
      <c r="GO18" s="7">
        <f>VC_NEW!GJ6</f>
        <v>0</v>
      </c>
      <c r="GP18" s="7">
        <f>VC_NEW!GK6</f>
        <v>0</v>
      </c>
      <c r="GQ18" s="7" t="str">
        <f>VC_NEW!GL6</f>
        <v>A539T</v>
      </c>
      <c r="GR18" s="7">
        <f>VC_NEW!GM6</f>
        <v>0</v>
      </c>
      <c r="GS18" s="7">
        <f>VC_NEW!GN6</f>
        <v>0</v>
      </c>
      <c r="GT18" s="7">
        <f>VC_NEW!GO6</f>
        <v>0</v>
      </c>
      <c r="GU18" s="7">
        <f>VC_NEW!GP6</f>
        <v>0</v>
      </c>
      <c r="GV18" s="7">
        <f>VC_NEW!GQ6</f>
        <v>0</v>
      </c>
      <c r="GW18" s="7">
        <f>VC_NEW!GR6</f>
        <v>0</v>
      </c>
      <c r="GX18" s="7" t="str">
        <f>VC_NEW!GS6</f>
        <v>P190L</v>
      </c>
      <c r="GY18" s="7">
        <f>VC_NEW!GT6</f>
        <v>0</v>
      </c>
      <c r="GZ18" s="7">
        <f>VC_NEW!GU6</f>
        <v>0</v>
      </c>
      <c r="HA18" s="7">
        <f>VC_NEW!GV6</f>
        <v>0</v>
      </c>
      <c r="HB18" s="7">
        <f>VC_NEW!GW6</f>
        <v>0</v>
      </c>
      <c r="HC18" s="7">
        <f>VC_NEW!GX6</f>
        <v>0</v>
      </c>
    </row>
    <row r="19" spans="1:211" s="7" customFormat="1" ht="15" hidden="1" customHeight="1" x14ac:dyDescent="0.25">
      <c r="A19" s="44" t="s">
        <v>9</v>
      </c>
      <c r="B19" s="45" t="s">
        <v>10</v>
      </c>
      <c r="C19" s="46" t="s">
        <v>4</v>
      </c>
      <c r="D19" s="45" t="s">
        <v>77</v>
      </c>
      <c r="E19" s="45">
        <v>-0.5</v>
      </c>
      <c r="F19" s="45" t="s">
        <v>74</v>
      </c>
      <c r="G19" s="47" t="s">
        <v>137</v>
      </c>
      <c r="H19" s="7">
        <f>VC_NEW!C6</f>
        <v>0</v>
      </c>
      <c r="I19" s="7">
        <f>VC_NEW!D6</f>
        <v>0</v>
      </c>
      <c r="J19" s="7">
        <f>VC_NEW!E6</f>
        <v>0</v>
      </c>
      <c r="K19" s="7">
        <f>VC_NEW!F6</f>
        <v>0</v>
      </c>
      <c r="L19" s="7">
        <f>VC_NEW!G6</f>
        <v>0</v>
      </c>
      <c r="M19" s="7">
        <f>VC_NEW!H6</f>
        <v>0</v>
      </c>
      <c r="N19" s="7">
        <f>VC_NEW!I6</f>
        <v>0</v>
      </c>
      <c r="O19" s="7">
        <f>VC_NEW!J6</f>
        <v>0</v>
      </c>
      <c r="P19" s="7">
        <f>VC_NEW!K6</f>
        <v>0</v>
      </c>
      <c r="Q19" s="7">
        <f>VC_NEW!L6</f>
        <v>0</v>
      </c>
      <c r="R19" s="7">
        <f>VC_NEW!M6</f>
        <v>0</v>
      </c>
      <c r="S19" s="7">
        <f>VC_NEW!N6</f>
        <v>0</v>
      </c>
      <c r="T19" s="7">
        <f>VC_NEW!O6</f>
        <v>0</v>
      </c>
      <c r="U19" s="7">
        <f>VC_NEW!P6</f>
        <v>0</v>
      </c>
      <c r="V19" s="7">
        <f>VC_NEW!Q6</f>
        <v>0</v>
      </c>
      <c r="W19" s="7">
        <f>VC_NEW!R6</f>
        <v>0</v>
      </c>
      <c r="X19" s="7">
        <f>VC_NEW!S6</f>
        <v>0</v>
      </c>
      <c r="Y19" s="7">
        <f>VC_NEW!T6</f>
        <v>0</v>
      </c>
      <c r="Z19" s="7">
        <f>VC_NEW!U6</f>
        <v>0</v>
      </c>
      <c r="AA19" s="7">
        <f>VC_NEW!V6</f>
        <v>0</v>
      </c>
      <c r="AB19" s="7">
        <f>VC_NEW!W6</f>
        <v>0</v>
      </c>
      <c r="AC19" s="7">
        <f>VC_NEW!X6</f>
        <v>0</v>
      </c>
      <c r="AD19" s="7">
        <f>VC_NEW!Y6</f>
        <v>0</v>
      </c>
      <c r="AE19" s="7">
        <f>VC_NEW!Z6</f>
        <v>0</v>
      </c>
      <c r="AF19" s="7">
        <f>VC_NEW!AA6</f>
        <v>0</v>
      </c>
      <c r="AG19" s="7">
        <f>VC_NEW!AB6</f>
        <v>0</v>
      </c>
      <c r="AH19" s="7">
        <f>VC_NEW!AC6</f>
        <v>0</v>
      </c>
      <c r="AI19" s="7">
        <f>VC_NEW!AD6</f>
        <v>0</v>
      </c>
      <c r="AJ19" s="7">
        <f>VC_NEW!AE6</f>
        <v>0</v>
      </c>
      <c r="AK19" s="7">
        <f>VC_NEW!AF6</f>
        <v>0</v>
      </c>
      <c r="AL19" s="7">
        <f>VC_NEW!AG6</f>
        <v>0</v>
      </c>
      <c r="AM19" s="7" t="str">
        <f>VC_NEW!AH6</f>
        <v>V1042A</v>
      </c>
      <c r="AN19" s="7">
        <f>VC_NEW!AI6</f>
        <v>0</v>
      </c>
      <c r="AO19" s="7">
        <f>VC_NEW!AJ6</f>
        <v>0</v>
      </c>
      <c r="AP19" s="7">
        <f>VC_NEW!AK6</f>
        <v>0</v>
      </c>
      <c r="AQ19" s="7">
        <f>VC_NEW!AL6</f>
        <v>0</v>
      </c>
      <c r="AR19" s="7">
        <f>VC_NEW!AM6</f>
        <v>0</v>
      </c>
      <c r="AS19" s="7">
        <f>VC_NEW!AN6</f>
        <v>0</v>
      </c>
      <c r="AT19" s="7">
        <f>VC_NEW!AO6</f>
        <v>0</v>
      </c>
      <c r="AU19" s="7">
        <f>VC_NEW!AP6</f>
        <v>0</v>
      </c>
      <c r="AV19" s="7">
        <f>VC_NEW!AQ6</f>
        <v>0</v>
      </c>
      <c r="AW19" s="7">
        <f>VC_NEW!AR6</f>
        <v>0</v>
      </c>
      <c r="AX19" s="7">
        <f>VC_NEW!AS6</f>
        <v>0</v>
      </c>
      <c r="AY19" s="7">
        <f>VC_NEW!AT6</f>
        <v>0</v>
      </c>
      <c r="AZ19" s="7">
        <f>VC_NEW!AU6</f>
        <v>0</v>
      </c>
      <c r="BA19" s="7">
        <f>VC_NEW!AV6</f>
        <v>0</v>
      </c>
      <c r="BB19" s="7">
        <f>VC_NEW!AW6</f>
        <v>0</v>
      </c>
      <c r="BC19" s="7">
        <f>VC_NEW!AX6</f>
        <v>0</v>
      </c>
      <c r="BD19" s="7">
        <f>VC_NEW!AY6</f>
        <v>0</v>
      </c>
      <c r="BE19" s="7">
        <f>VC_NEW!AZ6</f>
        <v>0</v>
      </c>
      <c r="BF19" s="7">
        <f>VC_NEW!BA6</f>
        <v>0</v>
      </c>
      <c r="BG19" s="7">
        <f>VC_NEW!BB6</f>
        <v>0</v>
      </c>
      <c r="BH19" s="7">
        <f>VC_NEW!BC6</f>
        <v>0</v>
      </c>
      <c r="BI19" s="7">
        <f>VC_NEW!BD6</f>
        <v>0</v>
      </c>
      <c r="BJ19" s="7">
        <f>VC_NEW!BE6</f>
        <v>0</v>
      </c>
      <c r="BK19" s="7">
        <f>VC_NEW!BF6</f>
        <v>0</v>
      </c>
      <c r="BL19" s="7">
        <f>VC_NEW!BG6</f>
        <v>0</v>
      </c>
      <c r="BM19" s="7">
        <f>VC_NEW!BH6</f>
        <v>0</v>
      </c>
      <c r="BN19" s="7">
        <f>VC_NEW!BI6</f>
        <v>0</v>
      </c>
      <c r="BO19" s="7" t="str">
        <f>VC_NEW!BJ6</f>
        <v>E422X</v>
      </c>
      <c r="BP19" s="7">
        <f>VC_NEW!BK6</f>
        <v>0</v>
      </c>
      <c r="BQ19" s="7" t="str">
        <f>VC_NEW!BL6</f>
        <v>Q319X</v>
      </c>
      <c r="BR19" s="7">
        <f>VC_NEW!BM6</f>
        <v>0</v>
      </c>
      <c r="BS19" s="7">
        <f>VC_NEW!BN6</f>
        <v>0</v>
      </c>
      <c r="BT19" s="7">
        <f>VC_NEW!BO6</f>
        <v>0</v>
      </c>
      <c r="BU19" s="7">
        <f>VC_NEW!BP6</f>
        <v>0</v>
      </c>
      <c r="BV19" s="7">
        <f>VC_NEW!BQ6</f>
        <v>0</v>
      </c>
      <c r="BW19" s="7">
        <f>VC_NEW!BR6</f>
        <v>0</v>
      </c>
      <c r="BX19" s="7">
        <f>VC_NEW!BS6</f>
        <v>0</v>
      </c>
      <c r="BY19" s="7">
        <f>VC_NEW!BT6</f>
        <v>0</v>
      </c>
      <c r="BZ19" s="7">
        <f>VC_NEW!BU6</f>
        <v>0</v>
      </c>
      <c r="CA19" s="7">
        <f>VC_NEW!BV6</f>
        <v>0</v>
      </c>
      <c r="CB19" s="7">
        <f>VC_NEW!BW6</f>
        <v>0</v>
      </c>
      <c r="CC19" s="7">
        <f>VC_NEW!BX6</f>
        <v>0</v>
      </c>
      <c r="CD19" s="7">
        <f>VC_NEW!BY6</f>
        <v>0</v>
      </c>
      <c r="CE19" s="7">
        <f>VC_NEW!BZ6</f>
        <v>0</v>
      </c>
      <c r="CF19" s="7">
        <f>VC_NEW!CA6</f>
        <v>0</v>
      </c>
      <c r="CG19" s="7">
        <f>VC_NEW!CB6</f>
        <v>0</v>
      </c>
      <c r="CH19" s="7">
        <f>VC_NEW!CC6</f>
        <v>0</v>
      </c>
      <c r="CI19" s="7">
        <f>VC_NEW!CD6</f>
        <v>0</v>
      </c>
      <c r="CJ19" s="7">
        <f>VC_NEW!CE6</f>
        <v>0</v>
      </c>
      <c r="CK19" s="7" t="str">
        <f>VC_NEW!CF6</f>
        <v>nt1135∆1</v>
      </c>
      <c r="CL19" s="7">
        <f>VC_NEW!CG6</f>
        <v>0</v>
      </c>
      <c r="CM19" s="7">
        <f>VC_NEW!CH6</f>
        <v>0</v>
      </c>
      <c r="CN19" s="7">
        <f>VC_NEW!CI6</f>
        <v>0</v>
      </c>
      <c r="CO19" s="7">
        <f>VC_NEW!CJ6</f>
        <v>0</v>
      </c>
      <c r="CP19" s="7">
        <f>VC_NEW!CK6</f>
        <v>0</v>
      </c>
      <c r="CQ19" s="7" t="str">
        <f>VC_NEW!CL6</f>
        <v>A735D</v>
      </c>
      <c r="CR19" s="7">
        <f>VC_NEW!CM6</f>
        <v>0</v>
      </c>
      <c r="CS19" s="7">
        <f>VC_NEW!CN6</f>
        <v>0</v>
      </c>
      <c r="CT19" s="7">
        <f>VC_NEW!CO6</f>
        <v>0</v>
      </c>
      <c r="CU19" s="7">
        <f>VC_NEW!CP6</f>
        <v>0</v>
      </c>
      <c r="CV19" s="7">
        <f>VC_NEW!CQ6</f>
        <v>0</v>
      </c>
      <c r="CW19" s="7">
        <f>VC_NEW!CR6</f>
        <v>0</v>
      </c>
      <c r="CX19" s="7">
        <f>VC_NEW!CS6</f>
        <v>0</v>
      </c>
      <c r="CY19" s="7">
        <f>VC_NEW!CT6</f>
        <v>0</v>
      </c>
      <c r="CZ19" s="7">
        <f>VC_NEW!CU6</f>
        <v>0</v>
      </c>
      <c r="DA19" s="7">
        <f>VC_NEW!CV6</f>
        <v>0</v>
      </c>
      <c r="DB19" s="7">
        <f>VC_NEW!CW6</f>
        <v>0</v>
      </c>
      <c r="DC19" s="7">
        <f>VC_NEW!CX6</f>
        <v>0</v>
      </c>
      <c r="DD19" s="7">
        <f>VC_NEW!CY6</f>
        <v>0</v>
      </c>
      <c r="DE19" s="7">
        <f>VC_NEW!CZ6</f>
        <v>0</v>
      </c>
      <c r="DF19" s="7">
        <f>VC_NEW!DA6</f>
        <v>0</v>
      </c>
      <c r="DG19" s="7">
        <f>VC_NEW!DB6</f>
        <v>0</v>
      </c>
      <c r="DH19" s="7">
        <f>VC_NEW!DC6</f>
        <v>0</v>
      </c>
      <c r="DI19" s="7">
        <f>VC_NEW!DD6</f>
        <v>0</v>
      </c>
      <c r="DJ19" s="7">
        <f>VC_NEW!DE6</f>
        <v>0</v>
      </c>
      <c r="DK19" s="7">
        <f>VC_NEW!DF6</f>
        <v>0</v>
      </c>
      <c r="DL19" s="7">
        <f>VC_NEW!DG6</f>
        <v>0</v>
      </c>
      <c r="DM19" s="7">
        <f>VC_NEW!DH6</f>
        <v>0</v>
      </c>
      <c r="DN19" s="7">
        <f>VC_NEW!DI6</f>
        <v>0</v>
      </c>
      <c r="DO19" s="7">
        <f>VC_NEW!DJ6</f>
        <v>0</v>
      </c>
      <c r="DP19" s="7">
        <f>VC_NEW!DK6</f>
        <v>0</v>
      </c>
      <c r="DQ19" s="7">
        <f>VC_NEW!DL6</f>
        <v>0</v>
      </c>
      <c r="DR19" s="7">
        <f>VC_NEW!DM6</f>
        <v>0</v>
      </c>
      <c r="DS19" s="7">
        <f>VC_NEW!DN6</f>
        <v>0</v>
      </c>
      <c r="DT19" s="7">
        <f>VC_NEW!DO6</f>
        <v>0</v>
      </c>
      <c r="DU19" s="7">
        <f>VC_NEW!DP6</f>
        <v>0</v>
      </c>
      <c r="DV19" s="7">
        <f>VC_NEW!DQ6</f>
        <v>0</v>
      </c>
      <c r="DW19" s="7">
        <f>VC_NEW!DR6</f>
        <v>0</v>
      </c>
      <c r="DX19" s="7">
        <f>VC_NEW!DS6</f>
        <v>0</v>
      </c>
      <c r="DY19" s="7">
        <f>VC_NEW!DT6</f>
        <v>0</v>
      </c>
      <c r="DZ19" s="7">
        <f>VC_NEW!DU6</f>
        <v>0</v>
      </c>
      <c r="EA19" s="7" t="str">
        <f>VC_NEW!DV6</f>
        <v>nt881InsGG</v>
      </c>
      <c r="EB19" s="7">
        <f>VC_NEW!DW6</f>
        <v>0</v>
      </c>
      <c r="EC19" s="7">
        <f>VC_NEW!DX6</f>
        <v>0</v>
      </c>
      <c r="ED19" s="7">
        <f>VC_NEW!DY6</f>
        <v>0</v>
      </c>
      <c r="EE19" s="7">
        <f>VC_NEW!DZ6</f>
        <v>0</v>
      </c>
      <c r="EF19" s="7">
        <f>VC_NEW!EA6</f>
        <v>0</v>
      </c>
      <c r="EG19" s="7" t="str">
        <f>VC_NEW!EB6</f>
        <v>nt2936∆1</v>
      </c>
      <c r="EH19" s="7">
        <f>VC_NEW!EC6</f>
        <v>0</v>
      </c>
      <c r="EI19" s="7">
        <f>VC_NEW!ED6</f>
        <v>0</v>
      </c>
      <c r="EJ19" s="7">
        <f>VC_NEW!EE6</f>
        <v>0</v>
      </c>
      <c r="EK19" s="7">
        <f>VC_NEW!EF6</f>
        <v>0</v>
      </c>
      <c r="EL19" s="7">
        <f>VC_NEW!EG6</f>
        <v>0</v>
      </c>
      <c r="EM19" s="7">
        <f>VC_NEW!EH6</f>
        <v>0</v>
      </c>
      <c r="EN19" s="7">
        <f>VC_NEW!EI6</f>
        <v>0</v>
      </c>
      <c r="EO19" s="7">
        <f>VC_NEW!EJ6</f>
        <v>0</v>
      </c>
      <c r="EP19" s="7">
        <f>VC_NEW!EK6</f>
        <v>0</v>
      </c>
      <c r="EQ19" s="7">
        <f>VC_NEW!EL6</f>
        <v>0</v>
      </c>
      <c r="ER19" s="7">
        <f>VC_NEW!EM6</f>
        <v>0</v>
      </c>
      <c r="ES19" s="7">
        <f>VC_NEW!EN6</f>
        <v>0</v>
      </c>
      <c r="ET19" s="7" t="str">
        <f>VC_NEW!EO6</f>
        <v>nt3018∆5</v>
      </c>
      <c r="EU19" s="7">
        <f>VC_NEW!EP6</f>
        <v>0</v>
      </c>
      <c r="EV19" s="7">
        <f>VC_NEW!EQ6</f>
        <v>0</v>
      </c>
      <c r="EW19" s="7" t="str">
        <f>VC_NEW!ER6</f>
        <v>A707S; I963V</v>
      </c>
      <c r="EX19" s="7">
        <f>VC_NEW!ES6</f>
        <v>0</v>
      </c>
      <c r="EY19" s="7" t="str">
        <f>VC_NEW!ET6</f>
        <v>T98A</v>
      </c>
      <c r="EZ19" s="7">
        <f>VC_NEW!EU6</f>
        <v>0</v>
      </c>
      <c r="FA19" s="7">
        <f>VC_NEW!EV6</f>
        <v>0</v>
      </c>
      <c r="FB19" s="7" t="str">
        <f>VC_NEW!EW6</f>
        <v>G860D</v>
      </c>
      <c r="FC19" s="7">
        <f>VC_NEW!EX6</f>
        <v>0</v>
      </c>
      <c r="FD19" s="7">
        <f>VC_NEW!EY6</f>
        <v>0</v>
      </c>
      <c r="FE19" s="7">
        <f>VC_NEW!EZ6</f>
        <v>0</v>
      </c>
      <c r="FF19" s="7">
        <f>VC_NEW!FA6</f>
        <v>0</v>
      </c>
      <c r="FG19" s="7">
        <f>VC_NEW!FB6</f>
        <v>0</v>
      </c>
      <c r="FH19" s="7">
        <f>VC_NEW!FC6</f>
        <v>0</v>
      </c>
      <c r="FI19" s="7">
        <f>VC_NEW!FD6</f>
        <v>0</v>
      </c>
      <c r="FJ19" s="7">
        <f>VC_NEW!FE6</f>
        <v>0</v>
      </c>
      <c r="FK19" s="7">
        <f>VC_NEW!FF6</f>
        <v>0</v>
      </c>
      <c r="FL19" s="7">
        <f>VC_NEW!FG6</f>
        <v>0</v>
      </c>
      <c r="FM19" s="7">
        <f>VC_NEW!FH6</f>
        <v>0</v>
      </c>
      <c r="FN19" s="7">
        <f>VC_NEW!FI6</f>
        <v>0</v>
      </c>
      <c r="FO19" s="7">
        <f>VC_NEW!FJ6</f>
        <v>0</v>
      </c>
      <c r="FP19" s="7">
        <f>VC_NEW!FK6</f>
        <v>0</v>
      </c>
      <c r="FQ19" s="7">
        <f>VC_NEW!FL6</f>
        <v>0</v>
      </c>
      <c r="FR19" s="7">
        <f>VC_NEW!FM6</f>
        <v>0</v>
      </c>
      <c r="FS19" s="7">
        <f>VC_NEW!FN6</f>
        <v>0</v>
      </c>
      <c r="FT19" s="7">
        <f>VC_NEW!FO6</f>
        <v>0</v>
      </c>
      <c r="FU19" s="7">
        <f>VC_NEW!FP6</f>
        <v>0</v>
      </c>
      <c r="FV19" s="7">
        <f>VC_NEW!FQ6</f>
        <v>0</v>
      </c>
      <c r="FW19" s="7">
        <f>VC_NEW!FR6</f>
        <v>0</v>
      </c>
      <c r="FX19" s="7">
        <f>VC_NEW!FS6</f>
        <v>0</v>
      </c>
      <c r="FY19" s="7">
        <f>VC_NEW!FT6</f>
        <v>0</v>
      </c>
      <c r="FZ19" s="7">
        <f>VC_NEW!FU6</f>
        <v>0</v>
      </c>
      <c r="GA19" s="7">
        <f>VC_NEW!FV6</f>
        <v>0</v>
      </c>
      <c r="GB19" s="7">
        <f>VC_NEW!FW6</f>
        <v>0</v>
      </c>
      <c r="GC19" s="7">
        <f>VC_NEW!FX6</f>
        <v>0</v>
      </c>
      <c r="GD19" s="7">
        <f>VC_NEW!FY6</f>
        <v>0</v>
      </c>
      <c r="GE19" s="7">
        <f>VC_NEW!FZ6</f>
        <v>0</v>
      </c>
      <c r="GF19" s="7">
        <f>VC_NEW!GA6</f>
        <v>0</v>
      </c>
      <c r="GG19" s="7">
        <f>VC_NEW!GB6</f>
        <v>0</v>
      </c>
      <c r="GH19" s="7">
        <f>VC_NEW!GC6</f>
        <v>0</v>
      </c>
      <c r="GI19" s="7">
        <f>VC_NEW!GD6</f>
        <v>0</v>
      </c>
      <c r="GJ19" s="7">
        <f>VC_NEW!GE6</f>
        <v>0</v>
      </c>
      <c r="GK19" s="7">
        <f>VC_NEW!GF6</f>
        <v>0</v>
      </c>
      <c r="GL19" s="7">
        <f>VC_NEW!GG6</f>
        <v>0</v>
      </c>
      <c r="GM19" s="7">
        <f>VC_NEW!GH6</f>
        <v>0</v>
      </c>
      <c r="GN19" s="7">
        <f>VC_NEW!GI6</f>
        <v>0</v>
      </c>
      <c r="GO19" s="7">
        <f>VC_NEW!GJ6</f>
        <v>0</v>
      </c>
      <c r="GP19" s="7">
        <f>VC_NEW!GK6</f>
        <v>0</v>
      </c>
      <c r="GQ19" s="7" t="str">
        <f>VC_NEW!GL6</f>
        <v>A539T</v>
      </c>
      <c r="GR19" s="7">
        <f>VC_NEW!GM6</f>
        <v>0</v>
      </c>
      <c r="GS19" s="7">
        <f>VC_NEW!GN6</f>
        <v>0</v>
      </c>
      <c r="GT19" s="7">
        <f>VC_NEW!GO6</f>
        <v>0</v>
      </c>
      <c r="GU19" s="7">
        <f>VC_NEW!GP6</f>
        <v>0</v>
      </c>
      <c r="GV19" s="7">
        <f>VC_NEW!GQ6</f>
        <v>0</v>
      </c>
      <c r="GW19" s="7">
        <f>VC_NEW!GR6</f>
        <v>0</v>
      </c>
      <c r="GX19" s="7" t="str">
        <f>VC_NEW!GS6</f>
        <v>P190L</v>
      </c>
      <c r="GY19" s="7">
        <f>VC_NEW!GT6</f>
        <v>0</v>
      </c>
      <c r="GZ19" s="7">
        <f>VC_NEW!GU6</f>
        <v>0</v>
      </c>
      <c r="HA19" s="7">
        <f>VC_NEW!GV6</f>
        <v>0</v>
      </c>
      <c r="HB19" s="7">
        <f>VC_NEW!GW6</f>
        <v>0</v>
      </c>
      <c r="HC19" s="7">
        <f>VC_NEW!GX6</f>
        <v>0</v>
      </c>
    </row>
    <row r="20" spans="1:211" s="7" customFormat="1" ht="15" hidden="1" customHeight="1" x14ac:dyDescent="0.25">
      <c r="A20" s="44" t="s">
        <v>9</v>
      </c>
      <c r="B20" s="45" t="s">
        <v>10</v>
      </c>
      <c r="C20" s="46" t="s">
        <v>3</v>
      </c>
      <c r="D20" s="45" t="s">
        <v>77</v>
      </c>
      <c r="E20" s="45">
        <v>-0.25</v>
      </c>
      <c r="F20" s="45" t="s">
        <v>74</v>
      </c>
      <c r="G20" s="47" t="s">
        <v>137</v>
      </c>
      <c r="H20" s="7">
        <f>VC_NEW!C6</f>
        <v>0</v>
      </c>
      <c r="I20" s="7">
        <f>VC_NEW!D6</f>
        <v>0</v>
      </c>
      <c r="J20" s="7">
        <f>VC_NEW!E6</f>
        <v>0</v>
      </c>
      <c r="K20" s="7">
        <f>VC_NEW!F6</f>
        <v>0</v>
      </c>
      <c r="L20" s="7">
        <f>VC_NEW!G6</f>
        <v>0</v>
      </c>
      <c r="M20" s="7">
        <f>VC_NEW!H6</f>
        <v>0</v>
      </c>
      <c r="N20" s="7">
        <f>VC_NEW!I6</f>
        <v>0</v>
      </c>
      <c r="O20" s="7">
        <f>VC_NEW!J6</f>
        <v>0</v>
      </c>
      <c r="P20" s="7">
        <f>VC_NEW!K6</f>
        <v>0</v>
      </c>
      <c r="Q20" s="7">
        <f>VC_NEW!L6</f>
        <v>0</v>
      </c>
      <c r="R20" s="7">
        <f>VC_NEW!M6</f>
        <v>0</v>
      </c>
      <c r="S20" s="7">
        <f>VC_NEW!N6</f>
        <v>0</v>
      </c>
      <c r="T20" s="7">
        <f>VC_NEW!O6</f>
        <v>0</v>
      </c>
      <c r="U20" s="7">
        <f>VC_NEW!P6</f>
        <v>0</v>
      </c>
      <c r="V20" s="7">
        <f>VC_NEW!Q6</f>
        <v>0</v>
      </c>
      <c r="W20" s="7">
        <f>VC_NEW!R6</f>
        <v>0</v>
      </c>
      <c r="X20" s="7">
        <f>VC_NEW!S6</f>
        <v>0</v>
      </c>
      <c r="Y20" s="7">
        <f>VC_NEW!T6</f>
        <v>0</v>
      </c>
      <c r="Z20" s="7">
        <f>VC_NEW!U6</f>
        <v>0</v>
      </c>
      <c r="AA20" s="7">
        <f>VC_NEW!V6</f>
        <v>0</v>
      </c>
      <c r="AB20" s="7">
        <f>VC_NEW!W6</f>
        <v>0</v>
      </c>
      <c r="AC20" s="7">
        <f>VC_NEW!X6</f>
        <v>0</v>
      </c>
      <c r="AD20" s="7">
        <f>VC_NEW!Y6</f>
        <v>0</v>
      </c>
      <c r="AE20" s="7">
        <f>VC_NEW!Z6</f>
        <v>0</v>
      </c>
      <c r="AF20" s="7">
        <f>VC_NEW!AA6</f>
        <v>0</v>
      </c>
      <c r="AG20" s="7">
        <f>VC_NEW!AB6</f>
        <v>0</v>
      </c>
      <c r="AH20" s="7">
        <f>VC_NEW!AC6</f>
        <v>0</v>
      </c>
      <c r="AI20" s="7">
        <f>VC_NEW!AD6</f>
        <v>0</v>
      </c>
      <c r="AJ20" s="7">
        <f>VC_NEW!AE6</f>
        <v>0</v>
      </c>
      <c r="AK20" s="7">
        <f>VC_NEW!AF6</f>
        <v>0</v>
      </c>
      <c r="AL20" s="7">
        <f>VC_NEW!AG6</f>
        <v>0</v>
      </c>
      <c r="AM20" s="7" t="str">
        <f>VC_NEW!AH6</f>
        <v>V1042A</v>
      </c>
      <c r="AN20" s="7">
        <f>VC_NEW!AI6</f>
        <v>0</v>
      </c>
      <c r="AO20" s="7">
        <f>VC_NEW!AJ6</f>
        <v>0</v>
      </c>
      <c r="AP20" s="7">
        <f>VC_NEW!AK6</f>
        <v>0</v>
      </c>
      <c r="AQ20" s="7">
        <f>VC_NEW!AL6</f>
        <v>0</v>
      </c>
      <c r="AR20" s="7">
        <f>VC_NEW!AM6</f>
        <v>0</v>
      </c>
      <c r="AS20" s="7">
        <f>VC_NEW!AN6</f>
        <v>0</v>
      </c>
      <c r="AT20" s="7">
        <f>VC_NEW!AO6</f>
        <v>0</v>
      </c>
      <c r="AU20" s="7">
        <f>VC_NEW!AP6</f>
        <v>0</v>
      </c>
      <c r="AV20" s="7">
        <f>VC_NEW!AQ6</f>
        <v>0</v>
      </c>
      <c r="AW20" s="7">
        <f>VC_NEW!AR6</f>
        <v>0</v>
      </c>
      <c r="AX20" s="7">
        <f>VC_NEW!AS6</f>
        <v>0</v>
      </c>
      <c r="AY20" s="7">
        <f>VC_NEW!AT6</f>
        <v>0</v>
      </c>
      <c r="AZ20" s="7">
        <f>VC_NEW!AU6</f>
        <v>0</v>
      </c>
      <c r="BA20" s="7">
        <f>VC_NEW!AV6</f>
        <v>0</v>
      </c>
      <c r="BB20" s="7">
        <f>VC_NEW!AW6</f>
        <v>0</v>
      </c>
      <c r="BC20" s="7">
        <f>VC_NEW!AX6</f>
        <v>0</v>
      </c>
      <c r="BD20" s="7">
        <f>VC_NEW!AY6</f>
        <v>0</v>
      </c>
      <c r="BE20" s="7">
        <f>VC_NEW!AZ6</f>
        <v>0</v>
      </c>
      <c r="BF20" s="7">
        <f>VC_NEW!BA6</f>
        <v>0</v>
      </c>
      <c r="BG20" s="7">
        <f>VC_NEW!BB6</f>
        <v>0</v>
      </c>
      <c r="BH20" s="7">
        <f>VC_NEW!BC6</f>
        <v>0</v>
      </c>
      <c r="BI20" s="7">
        <f>VC_NEW!BD6</f>
        <v>0</v>
      </c>
      <c r="BJ20" s="7">
        <f>VC_NEW!BE6</f>
        <v>0</v>
      </c>
      <c r="BK20" s="7">
        <f>VC_NEW!BF6</f>
        <v>0</v>
      </c>
      <c r="BL20" s="7">
        <f>VC_NEW!BG6</f>
        <v>0</v>
      </c>
      <c r="BM20" s="7">
        <f>VC_NEW!BH6</f>
        <v>0</v>
      </c>
      <c r="BN20" s="7">
        <f>VC_NEW!BI6</f>
        <v>0</v>
      </c>
      <c r="BO20" s="7" t="str">
        <f>VC_NEW!BJ6</f>
        <v>E422X</v>
      </c>
      <c r="BP20" s="7">
        <f>VC_NEW!BK6</f>
        <v>0</v>
      </c>
      <c r="BQ20" s="7" t="str">
        <f>VC_NEW!BL6</f>
        <v>Q319X</v>
      </c>
      <c r="BR20" s="7">
        <f>VC_NEW!BM6</f>
        <v>0</v>
      </c>
      <c r="BS20" s="7">
        <f>VC_NEW!BN6</f>
        <v>0</v>
      </c>
      <c r="BT20" s="7">
        <f>VC_NEW!BO6</f>
        <v>0</v>
      </c>
      <c r="BU20" s="7">
        <f>VC_NEW!BP6</f>
        <v>0</v>
      </c>
      <c r="BV20" s="7">
        <f>VC_NEW!BQ6</f>
        <v>0</v>
      </c>
      <c r="BW20" s="7">
        <f>VC_NEW!BR6</f>
        <v>0</v>
      </c>
      <c r="BX20" s="7">
        <f>VC_NEW!BS6</f>
        <v>0</v>
      </c>
      <c r="BY20" s="7">
        <f>VC_NEW!BT6</f>
        <v>0</v>
      </c>
      <c r="BZ20" s="7">
        <f>VC_NEW!BU6</f>
        <v>0</v>
      </c>
      <c r="CA20" s="7">
        <f>VC_NEW!BV6</f>
        <v>0</v>
      </c>
      <c r="CB20" s="7">
        <f>VC_NEW!BW6</f>
        <v>0</v>
      </c>
      <c r="CC20" s="7">
        <f>VC_NEW!BX6</f>
        <v>0</v>
      </c>
      <c r="CD20" s="7">
        <f>VC_NEW!BY6</f>
        <v>0</v>
      </c>
      <c r="CE20" s="7">
        <f>VC_NEW!BZ6</f>
        <v>0</v>
      </c>
      <c r="CF20" s="7">
        <f>VC_NEW!CA6</f>
        <v>0</v>
      </c>
      <c r="CG20" s="7">
        <f>VC_NEW!CB6</f>
        <v>0</v>
      </c>
      <c r="CH20" s="7">
        <f>VC_NEW!CC6</f>
        <v>0</v>
      </c>
      <c r="CI20" s="7">
        <f>VC_NEW!CD6</f>
        <v>0</v>
      </c>
      <c r="CJ20" s="7">
        <f>VC_NEW!CE6</f>
        <v>0</v>
      </c>
      <c r="CK20" s="7" t="str">
        <f>VC_NEW!CF6</f>
        <v>nt1135∆1</v>
      </c>
      <c r="CL20" s="7">
        <f>VC_NEW!CG6</f>
        <v>0</v>
      </c>
      <c r="CM20" s="7">
        <f>VC_NEW!CH6</f>
        <v>0</v>
      </c>
      <c r="CN20" s="7">
        <f>VC_NEW!CI6</f>
        <v>0</v>
      </c>
      <c r="CO20" s="7">
        <f>VC_NEW!CJ6</f>
        <v>0</v>
      </c>
      <c r="CP20" s="7">
        <f>VC_NEW!CK6</f>
        <v>0</v>
      </c>
      <c r="CQ20" s="7" t="str">
        <f>VC_NEW!CL6</f>
        <v>A735D</v>
      </c>
      <c r="CR20" s="7">
        <f>VC_NEW!CM6</f>
        <v>0</v>
      </c>
      <c r="CS20" s="7">
        <f>VC_NEW!CN6</f>
        <v>0</v>
      </c>
      <c r="CT20" s="7">
        <f>VC_NEW!CO6</f>
        <v>0</v>
      </c>
      <c r="CU20" s="7">
        <f>VC_NEW!CP6</f>
        <v>0</v>
      </c>
      <c r="CV20" s="7">
        <f>VC_NEW!CQ6</f>
        <v>0</v>
      </c>
      <c r="CW20" s="7">
        <f>VC_NEW!CR6</f>
        <v>0</v>
      </c>
      <c r="CX20" s="7">
        <f>VC_NEW!CS6</f>
        <v>0</v>
      </c>
      <c r="CY20" s="7">
        <f>VC_NEW!CT6</f>
        <v>0</v>
      </c>
      <c r="CZ20" s="7">
        <f>VC_NEW!CU6</f>
        <v>0</v>
      </c>
      <c r="DA20" s="7">
        <f>VC_NEW!CV6</f>
        <v>0</v>
      </c>
      <c r="DB20" s="7">
        <f>VC_NEW!CW6</f>
        <v>0</v>
      </c>
      <c r="DC20" s="7">
        <f>VC_NEW!CX6</f>
        <v>0</v>
      </c>
      <c r="DD20" s="7">
        <f>VC_NEW!CY6</f>
        <v>0</v>
      </c>
      <c r="DE20" s="7">
        <f>VC_NEW!CZ6</f>
        <v>0</v>
      </c>
      <c r="DF20" s="7">
        <f>VC_NEW!DA6</f>
        <v>0</v>
      </c>
      <c r="DG20" s="7">
        <f>VC_NEW!DB6</f>
        <v>0</v>
      </c>
      <c r="DH20" s="7">
        <f>VC_NEW!DC6</f>
        <v>0</v>
      </c>
      <c r="DI20" s="7">
        <f>VC_NEW!DD6</f>
        <v>0</v>
      </c>
      <c r="DJ20" s="7">
        <f>VC_NEW!DE6</f>
        <v>0</v>
      </c>
      <c r="DK20" s="7">
        <f>VC_NEW!DF6</f>
        <v>0</v>
      </c>
      <c r="DL20" s="7">
        <f>VC_NEW!DG6</f>
        <v>0</v>
      </c>
      <c r="DM20" s="7">
        <f>VC_NEW!DH6</f>
        <v>0</v>
      </c>
      <c r="DN20" s="7">
        <f>VC_NEW!DI6</f>
        <v>0</v>
      </c>
      <c r="DO20" s="7">
        <f>VC_NEW!DJ6</f>
        <v>0</v>
      </c>
      <c r="DP20" s="7">
        <f>VC_NEW!DK6</f>
        <v>0</v>
      </c>
      <c r="DQ20" s="7">
        <f>VC_NEW!DL6</f>
        <v>0</v>
      </c>
      <c r="DR20" s="7">
        <f>VC_NEW!DM6</f>
        <v>0</v>
      </c>
      <c r="DS20" s="7">
        <f>VC_NEW!DN6</f>
        <v>0</v>
      </c>
      <c r="DT20" s="7">
        <f>VC_NEW!DO6</f>
        <v>0</v>
      </c>
      <c r="DU20" s="7">
        <f>VC_NEW!DP6</f>
        <v>0</v>
      </c>
      <c r="DV20" s="7">
        <f>VC_NEW!DQ6</f>
        <v>0</v>
      </c>
      <c r="DW20" s="7">
        <f>VC_NEW!DR6</f>
        <v>0</v>
      </c>
      <c r="DX20" s="7">
        <f>VC_NEW!DS6</f>
        <v>0</v>
      </c>
      <c r="DY20" s="7">
        <f>VC_NEW!DT6</f>
        <v>0</v>
      </c>
      <c r="DZ20" s="7">
        <f>VC_NEW!DU6</f>
        <v>0</v>
      </c>
      <c r="EA20" s="7" t="str">
        <f>VC_NEW!DV6</f>
        <v>nt881InsGG</v>
      </c>
      <c r="EB20" s="7">
        <f>VC_NEW!DW6</f>
        <v>0</v>
      </c>
      <c r="EC20" s="7">
        <f>VC_NEW!DX6</f>
        <v>0</v>
      </c>
      <c r="ED20" s="7">
        <f>VC_NEW!DY6</f>
        <v>0</v>
      </c>
      <c r="EE20" s="7">
        <f>VC_NEW!DZ6</f>
        <v>0</v>
      </c>
      <c r="EF20" s="7">
        <f>VC_NEW!EA6</f>
        <v>0</v>
      </c>
      <c r="EG20" s="7" t="str">
        <f>VC_NEW!EB6</f>
        <v>nt2936∆1</v>
      </c>
      <c r="EH20" s="7">
        <f>VC_NEW!EC6</f>
        <v>0</v>
      </c>
      <c r="EI20" s="7">
        <f>VC_NEW!ED6</f>
        <v>0</v>
      </c>
      <c r="EJ20" s="7">
        <f>VC_NEW!EE6</f>
        <v>0</v>
      </c>
      <c r="EK20" s="7">
        <f>VC_NEW!EF6</f>
        <v>0</v>
      </c>
      <c r="EL20" s="7">
        <f>VC_NEW!EG6</f>
        <v>0</v>
      </c>
      <c r="EM20" s="7">
        <f>VC_NEW!EH6</f>
        <v>0</v>
      </c>
      <c r="EN20" s="7">
        <f>VC_NEW!EI6</f>
        <v>0</v>
      </c>
      <c r="EO20" s="7">
        <f>VC_NEW!EJ6</f>
        <v>0</v>
      </c>
      <c r="EP20" s="7">
        <f>VC_NEW!EK6</f>
        <v>0</v>
      </c>
      <c r="EQ20" s="7">
        <f>VC_NEW!EL6</f>
        <v>0</v>
      </c>
      <c r="ER20" s="7">
        <f>VC_NEW!EM6</f>
        <v>0</v>
      </c>
      <c r="ES20" s="7">
        <f>VC_NEW!EN6</f>
        <v>0</v>
      </c>
      <c r="ET20" s="7" t="str">
        <f>VC_NEW!EO6</f>
        <v>nt3018∆5</v>
      </c>
      <c r="EU20" s="7">
        <f>VC_NEW!EP6</f>
        <v>0</v>
      </c>
      <c r="EV20" s="7">
        <f>VC_NEW!EQ6</f>
        <v>0</v>
      </c>
      <c r="EW20" s="7" t="str">
        <f>VC_NEW!ER6</f>
        <v>A707S; I963V</v>
      </c>
      <c r="EX20" s="7">
        <f>VC_NEW!ES6</f>
        <v>0</v>
      </c>
      <c r="EY20" s="7" t="str">
        <f>VC_NEW!ET6</f>
        <v>T98A</v>
      </c>
      <c r="EZ20" s="7">
        <f>VC_NEW!EU6</f>
        <v>0</v>
      </c>
      <c r="FA20" s="7">
        <f>VC_NEW!EV6</f>
        <v>0</v>
      </c>
      <c r="FB20" s="7" t="str">
        <f>VC_NEW!EW6</f>
        <v>G860D</v>
      </c>
      <c r="FC20" s="7">
        <f>VC_NEW!EX6</f>
        <v>0</v>
      </c>
      <c r="FD20" s="7">
        <f>VC_NEW!EY6</f>
        <v>0</v>
      </c>
      <c r="FE20" s="7">
        <f>VC_NEW!EZ6</f>
        <v>0</v>
      </c>
      <c r="FF20" s="7">
        <f>VC_NEW!FA6</f>
        <v>0</v>
      </c>
      <c r="FG20" s="7">
        <f>VC_NEW!FB6</f>
        <v>0</v>
      </c>
      <c r="FH20" s="7">
        <f>VC_NEW!FC6</f>
        <v>0</v>
      </c>
      <c r="FI20" s="7">
        <f>VC_NEW!FD6</f>
        <v>0</v>
      </c>
      <c r="FJ20" s="7">
        <f>VC_NEW!FE6</f>
        <v>0</v>
      </c>
      <c r="FK20" s="7">
        <f>VC_NEW!FF6</f>
        <v>0</v>
      </c>
      <c r="FL20" s="7">
        <f>VC_NEW!FG6</f>
        <v>0</v>
      </c>
      <c r="FM20" s="7">
        <f>VC_NEW!FH6</f>
        <v>0</v>
      </c>
      <c r="FN20" s="7">
        <f>VC_NEW!FI6</f>
        <v>0</v>
      </c>
      <c r="FO20" s="7">
        <f>VC_NEW!FJ6</f>
        <v>0</v>
      </c>
      <c r="FP20" s="7">
        <f>VC_NEW!FK6</f>
        <v>0</v>
      </c>
      <c r="FQ20" s="7">
        <f>VC_NEW!FL6</f>
        <v>0</v>
      </c>
      <c r="FR20" s="7">
        <f>VC_NEW!FM6</f>
        <v>0</v>
      </c>
      <c r="FS20" s="7">
        <f>VC_NEW!FN6</f>
        <v>0</v>
      </c>
      <c r="FT20" s="7">
        <f>VC_NEW!FO6</f>
        <v>0</v>
      </c>
      <c r="FU20" s="7">
        <f>VC_NEW!FP6</f>
        <v>0</v>
      </c>
      <c r="FV20" s="7">
        <f>VC_NEW!FQ6</f>
        <v>0</v>
      </c>
      <c r="FW20" s="7">
        <f>VC_NEW!FR6</f>
        <v>0</v>
      </c>
      <c r="FX20" s="7">
        <f>VC_NEW!FS6</f>
        <v>0</v>
      </c>
      <c r="FY20" s="7">
        <f>VC_NEW!FT6</f>
        <v>0</v>
      </c>
      <c r="FZ20" s="7">
        <f>VC_NEW!FU6</f>
        <v>0</v>
      </c>
      <c r="GA20" s="7">
        <f>VC_NEW!FV6</f>
        <v>0</v>
      </c>
      <c r="GB20" s="7">
        <f>VC_NEW!FW6</f>
        <v>0</v>
      </c>
      <c r="GC20" s="7">
        <f>VC_NEW!FX6</f>
        <v>0</v>
      </c>
      <c r="GD20" s="7">
        <f>VC_NEW!FY6</f>
        <v>0</v>
      </c>
      <c r="GE20" s="7">
        <f>VC_NEW!FZ6</f>
        <v>0</v>
      </c>
      <c r="GF20" s="7">
        <f>VC_NEW!GA6</f>
        <v>0</v>
      </c>
      <c r="GG20" s="7">
        <f>VC_NEW!GB6</f>
        <v>0</v>
      </c>
      <c r="GH20" s="7">
        <f>VC_NEW!GC6</f>
        <v>0</v>
      </c>
      <c r="GI20" s="7">
        <f>VC_NEW!GD6</f>
        <v>0</v>
      </c>
      <c r="GJ20" s="7">
        <f>VC_NEW!GE6</f>
        <v>0</v>
      </c>
      <c r="GK20" s="7">
        <f>VC_NEW!GF6</f>
        <v>0</v>
      </c>
      <c r="GL20" s="7">
        <f>VC_NEW!GG6</f>
        <v>0</v>
      </c>
      <c r="GM20" s="7">
        <f>VC_NEW!GH6</f>
        <v>0</v>
      </c>
      <c r="GN20" s="7">
        <f>VC_NEW!GI6</f>
        <v>0</v>
      </c>
      <c r="GO20" s="7">
        <f>VC_NEW!GJ6</f>
        <v>0</v>
      </c>
      <c r="GP20" s="7">
        <f>VC_NEW!GK6</f>
        <v>0</v>
      </c>
      <c r="GQ20" s="7" t="str">
        <f>VC_NEW!GL6</f>
        <v>A539T</v>
      </c>
      <c r="GR20" s="7">
        <f>VC_NEW!GM6</f>
        <v>0</v>
      </c>
      <c r="GS20" s="7">
        <f>VC_NEW!GN6</f>
        <v>0</v>
      </c>
      <c r="GT20" s="7">
        <f>VC_NEW!GO6</f>
        <v>0</v>
      </c>
      <c r="GU20" s="7">
        <f>VC_NEW!GP6</f>
        <v>0</v>
      </c>
      <c r="GV20" s="7">
        <f>VC_NEW!GQ6</f>
        <v>0</v>
      </c>
      <c r="GW20" s="7">
        <f>VC_NEW!GR6</f>
        <v>0</v>
      </c>
      <c r="GX20" s="7" t="str">
        <f>VC_NEW!GS6</f>
        <v>P190L</v>
      </c>
      <c r="GY20" s="7">
        <f>VC_NEW!GT6</f>
        <v>0</v>
      </c>
      <c r="GZ20" s="7">
        <f>VC_NEW!GU6</f>
        <v>0</v>
      </c>
      <c r="HA20" s="7">
        <f>VC_NEW!GV6</f>
        <v>0</v>
      </c>
      <c r="HB20" s="7">
        <f>VC_NEW!GW6</f>
        <v>0</v>
      </c>
      <c r="HC20" s="7">
        <f>VC_NEW!GX6</f>
        <v>0</v>
      </c>
    </row>
    <row r="21" spans="1:211" s="1" customFormat="1" ht="15" hidden="1" customHeight="1" x14ac:dyDescent="0.25">
      <c r="A21" s="73" t="s">
        <v>11</v>
      </c>
      <c r="B21" s="46" t="s">
        <v>12</v>
      </c>
      <c r="C21" s="46" t="s">
        <v>0</v>
      </c>
      <c r="D21" s="46" t="s">
        <v>77</v>
      </c>
      <c r="E21" s="45">
        <v>-0.5</v>
      </c>
      <c r="F21" s="45" t="s">
        <v>74</v>
      </c>
      <c r="G21" s="47" t="s">
        <v>137</v>
      </c>
      <c r="H21" s="1">
        <f>VC_NEW!C7</f>
        <v>0</v>
      </c>
      <c r="I21" s="1">
        <f>VC_NEW!D7</f>
        <v>0</v>
      </c>
      <c r="J21" s="1">
        <f>VC_NEW!E7</f>
        <v>0</v>
      </c>
      <c r="K21" s="1">
        <f>VC_NEW!F7</f>
        <v>0</v>
      </c>
      <c r="L21" s="1">
        <f>VC_NEW!G7</f>
        <v>0</v>
      </c>
      <c r="M21" s="1">
        <f>VC_NEW!H7</f>
        <v>0</v>
      </c>
      <c r="N21" s="1">
        <f>VC_NEW!I7</f>
        <v>0</v>
      </c>
      <c r="O21" s="1">
        <f>VC_NEW!J7</f>
        <v>0</v>
      </c>
      <c r="P21" s="1">
        <f>VC_NEW!K7</f>
        <v>0</v>
      </c>
      <c r="Q21" s="1">
        <f>VC_NEW!L7</f>
        <v>0</v>
      </c>
      <c r="R21" s="1">
        <f>VC_NEW!M7</f>
        <v>0</v>
      </c>
      <c r="S21" s="1">
        <f>VC_NEW!N7</f>
        <v>0</v>
      </c>
      <c r="T21" s="1">
        <f>VC_NEW!O7</f>
        <v>0</v>
      </c>
      <c r="U21" s="1">
        <f>VC_NEW!P7</f>
        <v>0</v>
      </c>
      <c r="V21" s="1">
        <f>VC_NEW!Q7</f>
        <v>0</v>
      </c>
      <c r="W21" s="1">
        <f>VC_NEW!R7</f>
        <v>0</v>
      </c>
      <c r="X21" s="1">
        <f>VC_NEW!S7</f>
        <v>0</v>
      </c>
      <c r="Y21" s="1">
        <f>VC_NEW!T7</f>
        <v>0</v>
      </c>
      <c r="Z21" s="1">
        <f>VC_NEW!U7</f>
        <v>0</v>
      </c>
      <c r="AA21" s="1">
        <f>VC_NEW!V7</f>
        <v>0</v>
      </c>
      <c r="AB21" s="1">
        <f>VC_NEW!W7</f>
        <v>0</v>
      </c>
      <c r="AC21" s="1">
        <f>VC_NEW!X7</f>
        <v>0</v>
      </c>
      <c r="AD21" s="1">
        <f>VC_NEW!Y7</f>
        <v>0</v>
      </c>
      <c r="AE21" s="1">
        <f>VC_NEW!Z7</f>
        <v>0</v>
      </c>
      <c r="AF21" s="1">
        <f>VC_NEW!AA7</f>
        <v>0</v>
      </c>
      <c r="AG21" s="1">
        <f>VC_NEW!AB7</f>
        <v>0</v>
      </c>
      <c r="AH21" s="1">
        <f>VC_NEW!AC7</f>
        <v>0</v>
      </c>
      <c r="AI21" s="1">
        <f>VC_NEW!AD7</f>
        <v>0</v>
      </c>
      <c r="AJ21" s="1">
        <f>VC_NEW!AE7</f>
        <v>0</v>
      </c>
      <c r="AK21" s="1">
        <f>VC_NEW!AF7</f>
        <v>0</v>
      </c>
      <c r="AL21" s="1">
        <f>VC_NEW!AG7</f>
        <v>0</v>
      </c>
      <c r="AM21" s="1">
        <f>VC_NEW!AH7</f>
        <v>0</v>
      </c>
      <c r="AN21" s="1">
        <f>VC_NEW!AI7</f>
        <v>0</v>
      </c>
      <c r="AO21" s="1">
        <f>VC_NEW!AJ7</f>
        <v>0</v>
      </c>
      <c r="AP21" s="1">
        <f>VC_NEW!AK7</f>
        <v>0</v>
      </c>
      <c r="AQ21" s="1">
        <f>VC_NEW!AL7</f>
        <v>0</v>
      </c>
      <c r="AR21" s="1">
        <f>VC_NEW!AM7</f>
        <v>0</v>
      </c>
      <c r="AS21" s="1">
        <f>VC_NEW!AN7</f>
        <v>0</v>
      </c>
      <c r="AT21" s="1">
        <f>VC_NEW!AO7</f>
        <v>0</v>
      </c>
      <c r="AU21" s="1">
        <f>VC_NEW!AP7</f>
        <v>0</v>
      </c>
      <c r="AV21" s="1">
        <f>VC_NEW!AQ7</f>
        <v>0</v>
      </c>
      <c r="AW21" s="1">
        <f>VC_NEW!AR7</f>
        <v>0</v>
      </c>
      <c r="AX21" s="1">
        <f>VC_NEW!AS7</f>
        <v>0</v>
      </c>
      <c r="AY21" s="1">
        <f>VC_NEW!AT7</f>
        <v>0</v>
      </c>
      <c r="AZ21" s="1">
        <f>VC_NEW!AU7</f>
        <v>0</v>
      </c>
      <c r="BA21" s="1">
        <f>VC_NEW!AV7</f>
        <v>0</v>
      </c>
      <c r="BB21" s="1">
        <f>VC_NEW!AW7</f>
        <v>0</v>
      </c>
      <c r="BC21" s="1">
        <f>VC_NEW!AX7</f>
        <v>0</v>
      </c>
      <c r="BD21" s="1">
        <f>VC_NEW!AY7</f>
        <v>0</v>
      </c>
      <c r="BE21" s="1">
        <f>VC_NEW!AZ7</f>
        <v>0</v>
      </c>
      <c r="BF21" s="1">
        <f>VC_NEW!BA7</f>
        <v>0</v>
      </c>
      <c r="BG21" s="1">
        <f>VC_NEW!BB7</f>
        <v>0</v>
      </c>
      <c r="BH21" s="1">
        <f>VC_NEW!BC7</f>
        <v>0</v>
      </c>
      <c r="BI21" s="1">
        <f>VC_NEW!BD7</f>
        <v>0</v>
      </c>
      <c r="BJ21" s="1">
        <f>VC_NEW!BE7</f>
        <v>0</v>
      </c>
      <c r="BK21" s="1">
        <f>VC_NEW!BF7</f>
        <v>0</v>
      </c>
      <c r="BL21" s="1">
        <f>VC_NEW!BG7</f>
        <v>0</v>
      </c>
      <c r="BM21" s="1">
        <f>VC_NEW!BH7</f>
        <v>0</v>
      </c>
      <c r="BN21" s="1" t="str">
        <f>VC_NEW!BI7</f>
        <v>nt1451InsC</v>
      </c>
      <c r="BO21" s="1">
        <f>VC_NEW!BJ7</f>
        <v>0</v>
      </c>
      <c r="BP21" s="1">
        <f>VC_NEW!BK7</f>
        <v>0</v>
      </c>
      <c r="BQ21" s="1">
        <f>VC_NEW!BL7</f>
        <v>0</v>
      </c>
      <c r="BR21" s="1">
        <f>VC_NEW!BM7</f>
        <v>0</v>
      </c>
      <c r="BS21" s="1">
        <f>VC_NEW!BN7</f>
        <v>0</v>
      </c>
      <c r="BT21" s="1">
        <f>VC_NEW!BO7</f>
        <v>0</v>
      </c>
      <c r="BU21" s="1">
        <f>VC_NEW!BP7</f>
        <v>0</v>
      </c>
      <c r="BV21" s="1">
        <f>VC_NEW!BQ7</f>
        <v>0</v>
      </c>
      <c r="BW21" s="1">
        <f>VC_NEW!BR7</f>
        <v>0</v>
      </c>
      <c r="BX21" s="1">
        <f>VC_NEW!BS7</f>
        <v>0</v>
      </c>
      <c r="BY21" s="1">
        <f>VC_NEW!BT7</f>
        <v>0</v>
      </c>
      <c r="BZ21" s="1">
        <f>VC_NEW!BU7</f>
        <v>0</v>
      </c>
      <c r="CA21" s="1">
        <f>VC_NEW!BV7</f>
        <v>0</v>
      </c>
      <c r="CB21" s="1">
        <f>VC_NEW!BW7</f>
        <v>0</v>
      </c>
      <c r="CC21" s="1">
        <f>VC_NEW!BX7</f>
        <v>0</v>
      </c>
      <c r="CD21" s="1">
        <f>VC_NEW!BY7</f>
        <v>0</v>
      </c>
      <c r="CE21" s="1">
        <f>VC_NEW!BZ7</f>
        <v>0</v>
      </c>
      <c r="CF21" s="1">
        <f>VC_NEW!CA7</f>
        <v>0</v>
      </c>
      <c r="CG21" s="1">
        <f>VC_NEW!CB7</f>
        <v>0</v>
      </c>
      <c r="CH21" s="1">
        <f>VC_NEW!CC7</f>
        <v>0</v>
      </c>
      <c r="CI21" s="1">
        <f>VC_NEW!CD7</f>
        <v>0</v>
      </c>
      <c r="CJ21" s="1">
        <f>VC_NEW!CE7</f>
        <v>0</v>
      </c>
      <c r="CK21" s="1">
        <f>VC_NEW!CF7</f>
        <v>0</v>
      </c>
      <c r="CL21" s="1">
        <f>VC_NEW!CG7</f>
        <v>0</v>
      </c>
      <c r="CM21" s="1">
        <f>VC_NEW!CH7</f>
        <v>0</v>
      </c>
      <c r="CN21" s="1">
        <f>VC_NEW!CI7</f>
        <v>0</v>
      </c>
      <c r="CO21" s="1">
        <f>VC_NEW!CJ7</f>
        <v>0</v>
      </c>
      <c r="CP21" s="1" t="str">
        <f>VC_NEW!CK7</f>
        <v>T198P</v>
      </c>
      <c r="CQ21" s="1">
        <f>VC_NEW!CL7</f>
        <v>0</v>
      </c>
      <c r="CR21" s="1">
        <f>VC_NEW!CM7</f>
        <v>0</v>
      </c>
      <c r="CS21" s="1">
        <f>VC_NEW!CN7</f>
        <v>0</v>
      </c>
      <c r="CT21" s="1">
        <f>VC_NEW!CO7</f>
        <v>0</v>
      </c>
      <c r="CU21" s="1">
        <f>VC_NEW!CP7</f>
        <v>0</v>
      </c>
      <c r="CV21" s="1" t="str">
        <f>VC_NEW!CQ7</f>
        <v>T180I</v>
      </c>
      <c r="CW21" s="1">
        <f>VC_NEW!CR7</f>
        <v>0</v>
      </c>
      <c r="CX21" s="1">
        <f>VC_NEW!CS7</f>
        <v>0</v>
      </c>
      <c r="CY21" s="1">
        <f>VC_NEW!CT7</f>
        <v>0</v>
      </c>
      <c r="CZ21" s="1">
        <f>VC_NEW!CU7</f>
        <v>0</v>
      </c>
      <c r="DA21" s="1">
        <f>VC_NEW!CV7</f>
        <v>0</v>
      </c>
      <c r="DB21" s="1">
        <f>VC_NEW!CW7</f>
        <v>0</v>
      </c>
      <c r="DC21" s="1">
        <f>VC_NEW!CX7</f>
        <v>0</v>
      </c>
      <c r="DD21" s="1">
        <f>VC_NEW!CY7</f>
        <v>0</v>
      </c>
      <c r="DE21" s="1">
        <f>VC_NEW!CZ7</f>
        <v>0</v>
      </c>
      <c r="DF21" s="1">
        <f>VC_NEW!DA7</f>
        <v>0</v>
      </c>
      <c r="DG21" s="1">
        <f>VC_NEW!DB7</f>
        <v>0</v>
      </c>
      <c r="DH21" s="1">
        <f>VC_NEW!DC7</f>
        <v>0</v>
      </c>
      <c r="DI21" s="1">
        <f>VC_NEW!DD7</f>
        <v>0</v>
      </c>
      <c r="DJ21" s="1">
        <f>VC_NEW!DE7</f>
        <v>0</v>
      </c>
      <c r="DK21" s="1">
        <f>VC_NEW!DF7</f>
        <v>0</v>
      </c>
      <c r="DL21" s="1">
        <f>VC_NEW!DG7</f>
        <v>0</v>
      </c>
      <c r="DM21" s="1">
        <f>VC_NEW!DH7</f>
        <v>0</v>
      </c>
      <c r="DN21" s="1">
        <f>VC_NEW!DI7</f>
        <v>0</v>
      </c>
      <c r="DO21" s="1">
        <f>VC_NEW!DJ7</f>
        <v>0</v>
      </c>
      <c r="DP21" s="1">
        <f>VC_NEW!DK7</f>
        <v>0</v>
      </c>
      <c r="DQ21" s="1">
        <f>VC_NEW!DL7</f>
        <v>0</v>
      </c>
      <c r="DR21" s="1" t="str">
        <f>VC_NEW!DM7</f>
        <v>nt501∆5</v>
      </c>
      <c r="DS21" s="1">
        <f>VC_NEW!DN7</f>
        <v>0</v>
      </c>
      <c r="DT21" s="1">
        <f>VC_NEW!DO7</f>
        <v>0</v>
      </c>
      <c r="DU21" s="1">
        <f>VC_NEW!DP7</f>
        <v>0</v>
      </c>
      <c r="DV21" s="1">
        <f>VC_NEW!DQ7</f>
        <v>0</v>
      </c>
      <c r="DW21" s="1">
        <f>VC_NEW!DR7</f>
        <v>0</v>
      </c>
      <c r="DX21" s="1">
        <f>VC_NEW!DS7</f>
        <v>0</v>
      </c>
      <c r="DY21" s="1">
        <f>VC_NEW!DT7</f>
        <v>0</v>
      </c>
      <c r="DZ21" s="1">
        <f>VC_NEW!DU7</f>
        <v>0</v>
      </c>
      <c r="EA21" s="1">
        <f>VC_NEW!DV7</f>
        <v>0</v>
      </c>
      <c r="EB21" s="1">
        <f>VC_NEW!DW7</f>
        <v>0</v>
      </c>
      <c r="EC21" s="1">
        <f>VC_NEW!DX7</f>
        <v>0</v>
      </c>
      <c r="ED21" s="1">
        <f>VC_NEW!DY7</f>
        <v>0</v>
      </c>
      <c r="EE21" s="1">
        <f>VC_NEW!DZ7</f>
        <v>0</v>
      </c>
      <c r="EF21" s="1">
        <f>VC_NEW!EA7</f>
        <v>0</v>
      </c>
      <c r="EG21" s="1">
        <f>VC_NEW!EB7</f>
        <v>0</v>
      </c>
      <c r="EH21" s="1">
        <f>VC_NEW!EC7</f>
        <v>0</v>
      </c>
      <c r="EI21" s="1">
        <f>VC_NEW!ED7</f>
        <v>0</v>
      </c>
      <c r="EJ21" s="1">
        <f>VC_NEW!EE7</f>
        <v>0</v>
      </c>
      <c r="EK21" s="1">
        <f>VC_NEW!EF7</f>
        <v>0</v>
      </c>
      <c r="EL21" s="1">
        <f>VC_NEW!EG7</f>
        <v>0</v>
      </c>
      <c r="EM21" s="1">
        <f>VC_NEW!EH7</f>
        <v>0</v>
      </c>
      <c r="EN21" s="1">
        <f>VC_NEW!EI7</f>
        <v>0</v>
      </c>
      <c r="EO21" s="1">
        <f>VC_NEW!EJ7</f>
        <v>0</v>
      </c>
      <c r="EP21" s="1">
        <f>VC_NEW!EK7</f>
        <v>0</v>
      </c>
      <c r="EQ21" s="1">
        <f>VC_NEW!EL7</f>
        <v>0</v>
      </c>
      <c r="ER21" s="1">
        <f>VC_NEW!EM7</f>
        <v>0</v>
      </c>
      <c r="ES21" s="1">
        <f>VC_NEW!EN7</f>
        <v>0</v>
      </c>
      <c r="ET21" s="1">
        <f>VC_NEW!EO7</f>
        <v>0</v>
      </c>
      <c r="EU21" s="1">
        <f>VC_NEW!EP7</f>
        <v>0</v>
      </c>
      <c r="EV21" s="1">
        <f>VC_NEW!EQ7</f>
        <v>0</v>
      </c>
      <c r="EW21" s="1" t="str">
        <f>VC_NEW!ER7</f>
        <v>Q265E</v>
      </c>
      <c r="EX21" s="1">
        <f>VC_NEW!ES7</f>
        <v>0</v>
      </c>
      <c r="EY21" s="1">
        <f>VC_NEW!ET7</f>
        <v>0</v>
      </c>
      <c r="EZ21" s="1">
        <f>VC_NEW!EU7</f>
        <v>0</v>
      </c>
      <c r="FA21" s="1">
        <f>VC_NEW!EV7</f>
        <v>0</v>
      </c>
      <c r="FB21" s="1">
        <f>VC_NEW!EW7</f>
        <v>0</v>
      </c>
      <c r="FC21" s="1">
        <f>VC_NEW!EX7</f>
        <v>0</v>
      </c>
      <c r="FD21" s="1">
        <f>VC_NEW!EY7</f>
        <v>0</v>
      </c>
      <c r="FE21" s="1">
        <f>VC_NEW!EZ7</f>
        <v>0</v>
      </c>
      <c r="FF21" s="1">
        <f>VC_NEW!FA7</f>
        <v>0</v>
      </c>
      <c r="FG21" s="1">
        <f>VC_NEW!FB7</f>
        <v>0</v>
      </c>
      <c r="FH21" s="1">
        <f>VC_NEW!FC7</f>
        <v>0</v>
      </c>
      <c r="FI21" s="1">
        <f>VC_NEW!FD7</f>
        <v>0</v>
      </c>
      <c r="FJ21" s="1">
        <f>VC_NEW!FE7</f>
        <v>0</v>
      </c>
      <c r="FK21" s="1">
        <f>VC_NEW!FF7</f>
        <v>0</v>
      </c>
      <c r="FL21" s="1">
        <f>VC_NEW!FG7</f>
        <v>0</v>
      </c>
      <c r="FM21" s="1">
        <f>VC_NEW!FH7</f>
        <v>0</v>
      </c>
      <c r="FN21" s="1">
        <f>VC_NEW!FI7</f>
        <v>0</v>
      </c>
      <c r="FO21" s="1">
        <f>VC_NEW!FJ7</f>
        <v>0</v>
      </c>
      <c r="FP21" s="1">
        <f>VC_NEW!FK7</f>
        <v>0</v>
      </c>
      <c r="FQ21" s="1">
        <f>VC_NEW!FL7</f>
        <v>0</v>
      </c>
      <c r="FR21" s="1">
        <f>VC_NEW!FM7</f>
        <v>0</v>
      </c>
      <c r="FS21" s="1">
        <f>VC_NEW!FN7</f>
        <v>0</v>
      </c>
      <c r="FT21" s="1">
        <f>VC_NEW!FO7</f>
        <v>0</v>
      </c>
      <c r="FU21" s="1">
        <f>VC_NEW!FP7</f>
        <v>0</v>
      </c>
      <c r="FV21" s="1">
        <f>VC_NEW!FQ7</f>
        <v>0</v>
      </c>
      <c r="FW21" s="1">
        <f>VC_NEW!FR7</f>
        <v>0</v>
      </c>
      <c r="FX21" s="1">
        <f>VC_NEW!FS7</f>
        <v>0</v>
      </c>
      <c r="FY21" s="1">
        <f>VC_NEW!FT7</f>
        <v>0</v>
      </c>
      <c r="FZ21" s="1">
        <f>VC_NEW!FU7</f>
        <v>0</v>
      </c>
      <c r="GA21" s="1">
        <f>VC_NEW!FV7</f>
        <v>0</v>
      </c>
      <c r="GB21" s="1">
        <f>VC_NEW!FW7</f>
        <v>0</v>
      </c>
      <c r="GC21" s="1">
        <f>VC_NEW!FX7</f>
        <v>0</v>
      </c>
      <c r="GD21" s="1">
        <f>VC_NEW!FY7</f>
        <v>0</v>
      </c>
      <c r="GE21" s="1">
        <f>VC_NEW!FZ7</f>
        <v>0</v>
      </c>
      <c r="GF21" s="1">
        <f>VC_NEW!GA7</f>
        <v>0</v>
      </c>
      <c r="GG21" s="1">
        <f>VC_NEW!GB7</f>
        <v>0</v>
      </c>
      <c r="GH21" s="1">
        <f>VC_NEW!GC7</f>
        <v>0</v>
      </c>
      <c r="GI21" s="1">
        <f>VC_NEW!GD7</f>
        <v>0</v>
      </c>
      <c r="GJ21" s="1">
        <f>VC_NEW!GE7</f>
        <v>0</v>
      </c>
      <c r="GK21" s="1">
        <f>VC_NEW!GF7</f>
        <v>0</v>
      </c>
      <c r="GL21" s="1">
        <f>VC_NEW!GG7</f>
        <v>0</v>
      </c>
      <c r="GM21" s="1">
        <f>VC_NEW!GH7</f>
        <v>0</v>
      </c>
      <c r="GN21" s="1">
        <f>VC_NEW!GI7</f>
        <v>0</v>
      </c>
      <c r="GO21" s="1">
        <f>VC_NEW!GJ7</f>
        <v>0</v>
      </c>
      <c r="GP21" s="1">
        <f>VC_NEW!GK7</f>
        <v>0</v>
      </c>
      <c r="GQ21" s="1">
        <f>VC_NEW!GL7</f>
        <v>0</v>
      </c>
      <c r="GR21" s="1">
        <f>VC_NEW!GM7</f>
        <v>0</v>
      </c>
      <c r="GS21" s="1">
        <f>VC_NEW!GN7</f>
        <v>0</v>
      </c>
      <c r="GT21" s="1">
        <f>VC_NEW!GO7</f>
        <v>0</v>
      </c>
      <c r="GU21" s="1">
        <f>VC_NEW!GP7</f>
        <v>0</v>
      </c>
      <c r="GV21" s="1">
        <f>VC_NEW!GQ7</f>
        <v>0</v>
      </c>
      <c r="GW21" s="1">
        <f>VC_NEW!GR7</f>
        <v>0</v>
      </c>
      <c r="GX21" s="1">
        <f>VC_NEW!GS7</f>
        <v>0</v>
      </c>
      <c r="GY21" s="1">
        <f>VC_NEW!GT7</f>
        <v>0</v>
      </c>
      <c r="GZ21" s="1">
        <f>VC_NEW!GU7</f>
        <v>0</v>
      </c>
      <c r="HA21" s="1">
        <f>VC_NEW!GV7</f>
        <v>0</v>
      </c>
      <c r="HB21" s="1">
        <f>VC_NEW!GW7</f>
        <v>0</v>
      </c>
      <c r="HC21" s="1">
        <f>VC_NEW!GX7</f>
        <v>0</v>
      </c>
    </row>
    <row r="22" spans="1:211" s="1" customFormat="1" ht="15" customHeight="1" x14ac:dyDescent="0.25">
      <c r="A22" s="44" t="s">
        <v>11</v>
      </c>
      <c r="B22" s="45" t="s">
        <v>12</v>
      </c>
      <c r="C22" s="46" t="s">
        <v>1</v>
      </c>
      <c r="D22" s="45" t="s">
        <v>77</v>
      </c>
      <c r="E22" s="45">
        <v>-0.5</v>
      </c>
      <c r="F22" s="45" t="s">
        <v>74</v>
      </c>
      <c r="G22" s="47" t="s">
        <v>137</v>
      </c>
      <c r="H22" s="1">
        <f>VC_NEW!C7</f>
        <v>0</v>
      </c>
      <c r="I22" s="1">
        <f>VC_NEW!D7</f>
        <v>0</v>
      </c>
      <c r="J22" s="1">
        <f>VC_NEW!E7</f>
        <v>0</v>
      </c>
      <c r="K22" s="1">
        <f>VC_NEW!F7</f>
        <v>0</v>
      </c>
      <c r="L22" s="1">
        <f>VC_NEW!G7</f>
        <v>0</v>
      </c>
      <c r="M22" s="1">
        <f>VC_NEW!H7</f>
        <v>0</v>
      </c>
      <c r="N22" s="1">
        <f>VC_NEW!I7</f>
        <v>0</v>
      </c>
      <c r="O22" s="1">
        <f>VC_NEW!J7</f>
        <v>0</v>
      </c>
      <c r="P22" s="1">
        <f>VC_NEW!K7</f>
        <v>0</v>
      </c>
      <c r="Q22" s="1">
        <f>VC_NEW!L7</f>
        <v>0</v>
      </c>
      <c r="R22" s="1">
        <f>VC_NEW!M7</f>
        <v>0</v>
      </c>
      <c r="S22" s="1">
        <f>VC_NEW!N7</f>
        <v>0</v>
      </c>
      <c r="T22" s="1">
        <f>VC_NEW!O7</f>
        <v>0</v>
      </c>
      <c r="U22" s="1">
        <f>VC_NEW!P7</f>
        <v>0</v>
      </c>
      <c r="V22" s="1">
        <f>VC_NEW!Q7</f>
        <v>0</v>
      </c>
      <c r="W22" s="1">
        <f>VC_NEW!R7</f>
        <v>0</v>
      </c>
      <c r="X22" s="1">
        <f>VC_NEW!S7</f>
        <v>0</v>
      </c>
      <c r="Y22" s="1">
        <f>VC_NEW!T7</f>
        <v>0</v>
      </c>
      <c r="Z22" s="1">
        <f>VC_NEW!U7</f>
        <v>0</v>
      </c>
      <c r="AA22" s="1">
        <f>VC_NEW!V7</f>
        <v>0</v>
      </c>
      <c r="AB22" s="1">
        <f>VC_NEW!W7</f>
        <v>0</v>
      </c>
      <c r="AC22" s="1">
        <f>VC_NEW!X7</f>
        <v>0</v>
      </c>
      <c r="AD22" s="1">
        <f>VC_NEW!Y7</f>
        <v>0</v>
      </c>
      <c r="AE22" s="1">
        <f>VC_NEW!Z7</f>
        <v>0</v>
      </c>
      <c r="AF22" s="1">
        <f>VC_NEW!AA7</f>
        <v>0</v>
      </c>
      <c r="AG22" s="1">
        <f>VC_NEW!AB7</f>
        <v>0</v>
      </c>
      <c r="AH22" s="1">
        <f>VC_NEW!AC7</f>
        <v>0</v>
      </c>
      <c r="AI22" s="1">
        <f>VC_NEW!AD7</f>
        <v>0</v>
      </c>
      <c r="AJ22" s="1">
        <f>VC_NEW!AE7</f>
        <v>0</v>
      </c>
      <c r="AK22" s="1">
        <f>VC_NEW!AF7</f>
        <v>0</v>
      </c>
      <c r="AL22" s="1">
        <f>VC_NEW!AG7</f>
        <v>0</v>
      </c>
      <c r="AM22" s="1">
        <f>VC_NEW!AH7</f>
        <v>0</v>
      </c>
      <c r="AN22" s="1">
        <f>VC_NEW!AI7</f>
        <v>0</v>
      </c>
      <c r="AO22" s="1">
        <f>VC_NEW!AJ7</f>
        <v>0</v>
      </c>
      <c r="AP22" s="1">
        <f>VC_NEW!AK7</f>
        <v>0</v>
      </c>
      <c r="AQ22" s="1">
        <f>VC_NEW!AL7</f>
        <v>0</v>
      </c>
      <c r="AR22" s="1">
        <f>VC_NEW!AM7</f>
        <v>0</v>
      </c>
      <c r="AS22" s="1">
        <f>VC_NEW!AN7</f>
        <v>0</v>
      </c>
      <c r="AT22" s="1">
        <f>VC_NEW!AO7</f>
        <v>0</v>
      </c>
      <c r="AU22" s="1">
        <f>VC_NEW!AP7</f>
        <v>0</v>
      </c>
      <c r="AV22" s="1">
        <f>VC_NEW!AQ7</f>
        <v>0</v>
      </c>
      <c r="AW22" s="1">
        <f>VC_NEW!AR7</f>
        <v>0</v>
      </c>
      <c r="AX22" s="1">
        <f>VC_NEW!AS7</f>
        <v>0</v>
      </c>
      <c r="AY22" s="1">
        <f>VC_NEW!AT7</f>
        <v>0</v>
      </c>
      <c r="AZ22" s="1">
        <f>VC_NEW!AU7</f>
        <v>0</v>
      </c>
      <c r="BA22" s="1">
        <f>VC_NEW!AV7</f>
        <v>0</v>
      </c>
      <c r="BB22" s="1">
        <f>VC_NEW!AW7</f>
        <v>0</v>
      </c>
      <c r="BC22" s="1">
        <f>VC_NEW!AX7</f>
        <v>0</v>
      </c>
      <c r="BD22" s="1">
        <f>VC_NEW!AY7</f>
        <v>0</v>
      </c>
      <c r="BE22" s="1">
        <f>VC_NEW!AZ7</f>
        <v>0</v>
      </c>
      <c r="BF22" s="1">
        <f>VC_NEW!BA7</f>
        <v>0</v>
      </c>
      <c r="BG22" s="1">
        <f>VC_NEW!BB7</f>
        <v>0</v>
      </c>
      <c r="BH22" s="1">
        <f>VC_NEW!BC7</f>
        <v>0</v>
      </c>
      <c r="BI22" s="1">
        <f>VC_NEW!BD7</f>
        <v>0</v>
      </c>
      <c r="BJ22" s="1">
        <f>VC_NEW!BE7</f>
        <v>0</v>
      </c>
      <c r="BK22" s="1">
        <f>VC_NEW!BF7</f>
        <v>0</v>
      </c>
      <c r="BL22" s="1">
        <f>VC_NEW!BG7</f>
        <v>0</v>
      </c>
      <c r="BM22" s="1">
        <f>VC_NEW!BH7</f>
        <v>0</v>
      </c>
      <c r="BN22" s="1" t="str">
        <f>VC_NEW!BI7</f>
        <v>nt1451InsC</v>
      </c>
      <c r="BO22" s="1">
        <f>VC_NEW!BJ7</f>
        <v>0</v>
      </c>
      <c r="BP22" s="1">
        <f>VC_NEW!BK7</f>
        <v>0</v>
      </c>
      <c r="BQ22" s="1">
        <f>VC_NEW!BL7</f>
        <v>0</v>
      </c>
      <c r="BR22" s="1">
        <f>VC_NEW!BM7</f>
        <v>0</v>
      </c>
      <c r="BS22" s="1">
        <f>VC_NEW!BN7</f>
        <v>0</v>
      </c>
      <c r="BT22" s="1">
        <f>VC_NEW!BO7</f>
        <v>0</v>
      </c>
      <c r="BU22" s="1">
        <f>VC_NEW!BP7</f>
        <v>0</v>
      </c>
      <c r="BV22" s="1">
        <f>VC_NEW!BQ7</f>
        <v>0</v>
      </c>
      <c r="BW22" s="1">
        <f>VC_NEW!BR7</f>
        <v>0</v>
      </c>
      <c r="BX22" s="1">
        <f>VC_NEW!BS7</f>
        <v>0</v>
      </c>
      <c r="BY22" s="1">
        <f>VC_NEW!BT7</f>
        <v>0</v>
      </c>
      <c r="BZ22" s="1">
        <f>VC_NEW!BU7</f>
        <v>0</v>
      </c>
      <c r="CA22" s="1">
        <f>VC_NEW!BV7</f>
        <v>0</v>
      </c>
      <c r="CB22" s="1">
        <f>VC_NEW!BW7</f>
        <v>0</v>
      </c>
      <c r="CC22" s="1">
        <f>VC_NEW!BX7</f>
        <v>0</v>
      </c>
      <c r="CD22" s="1">
        <f>VC_NEW!BY7</f>
        <v>0</v>
      </c>
      <c r="CE22" s="1">
        <f>VC_NEW!BZ7</f>
        <v>0</v>
      </c>
      <c r="CF22" s="1">
        <f>VC_NEW!CA7</f>
        <v>0</v>
      </c>
      <c r="CG22" s="1">
        <f>VC_NEW!CB7</f>
        <v>0</v>
      </c>
      <c r="CH22" s="1">
        <f>VC_NEW!CC7</f>
        <v>0</v>
      </c>
      <c r="CI22" s="1">
        <f>VC_NEW!CD7</f>
        <v>0</v>
      </c>
      <c r="CJ22" s="1">
        <f>VC_NEW!CE7</f>
        <v>0</v>
      </c>
      <c r="CK22" s="1">
        <f>VC_NEW!CF7</f>
        <v>0</v>
      </c>
      <c r="CL22" s="1">
        <f>VC_NEW!CG7</f>
        <v>0</v>
      </c>
      <c r="CM22" s="1">
        <f>VC_NEW!CH7</f>
        <v>0</v>
      </c>
      <c r="CN22" s="1">
        <f>VC_NEW!CI7</f>
        <v>0</v>
      </c>
      <c r="CO22" s="1">
        <f>VC_NEW!CJ7</f>
        <v>0</v>
      </c>
      <c r="CP22" s="1" t="str">
        <f>VC_NEW!CK7</f>
        <v>T198P</v>
      </c>
      <c r="CQ22" s="1">
        <f>VC_NEW!CL7</f>
        <v>0</v>
      </c>
      <c r="CR22" s="1">
        <f>VC_NEW!CM7</f>
        <v>0</v>
      </c>
      <c r="CS22" s="1">
        <f>VC_NEW!CN7</f>
        <v>0</v>
      </c>
      <c r="CT22" s="1">
        <f>VC_NEW!CO7</f>
        <v>0</v>
      </c>
      <c r="CU22" s="1">
        <f>VC_NEW!CP7</f>
        <v>0</v>
      </c>
      <c r="CV22" s="1" t="str">
        <f>VC_NEW!CQ7</f>
        <v>T180I</v>
      </c>
      <c r="CW22" s="1">
        <f>VC_NEW!CR7</f>
        <v>0</v>
      </c>
      <c r="CX22" s="1">
        <f>VC_NEW!CS7</f>
        <v>0</v>
      </c>
      <c r="CY22" s="1">
        <f>VC_NEW!CT7</f>
        <v>0</v>
      </c>
      <c r="CZ22" s="1">
        <f>VC_NEW!CU7</f>
        <v>0</v>
      </c>
      <c r="DA22" s="1">
        <f>VC_NEW!CV7</f>
        <v>0</v>
      </c>
      <c r="DB22" s="1">
        <f>VC_NEW!CW7</f>
        <v>0</v>
      </c>
      <c r="DC22" s="1">
        <f>VC_NEW!CX7</f>
        <v>0</v>
      </c>
      <c r="DD22" s="1">
        <f>VC_NEW!CY7</f>
        <v>0</v>
      </c>
      <c r="DE22" s="1">
        <f>VC_NEW!CZ7</f>
        <v>0</v>
      </c>
      <c r="DF22" s="1">
        <f>VC_NEW!DA7</f>
        <v>0</v>
      </c>
      <c r="DG22" s="1">
        <f>VC_NEW!DB7</f>
        <v>0</v>
      </c>
      <c r="DH22" s="1">
        <f>VC_NEW!DC7</f>
        <v>0</v>
      </c>
      <c r="DI22" s="1">
        <f>VC_NEW!DD7</f>
        <v>0</v>
      </c>
      <c r="DJ22" s="1">
        <f>VC_NEW!DE7</f>
        <v>0</v>
      </c>
      <c r="DK22" s="1">
        <f>VC_NEW!DF7</f>
        <v>0</v>
      </c>
      <c r="DL22" s="1">
        <f>VC_NEW!DG7</f>
        <v>0</v>
      </c>
      <c r="DM22" s="1">
        <f>VC_NEW!DH7</f>
        <v>0</v>
      </c>
      <c r="DN22" s="1">
        <f>VC_NEW!DI7</f>
        <v>0</v>
      </c>
      <c r="DO22" s="1">
        <f>VC_NEW!DJ7</f>
        <v>0</v>
      </c>
      <c r="DP22" s="1">
        <f>VC_NEW!DK7</f>
        <v>0</v>
      </c>
      <c r="DQ22" s="1">
        <f>VC_NEW!DL7</f>
        <v>0</v>
      </c>
      <c r="DR22" s="1" t="str">
        <f>VC_NEW!DM7</f>
        <v>nt501∆5</v>
      </c>
      <c r="DS22" s="1">
        <f>VC_NEW!DN7</f>
        <v>0</v>
      </c>
      <c r="DT22" s="1">
        <f>VC_NEW!DO7</f>
        <v>0</v>
      </c>
      <c r="DU22" s="1">
        <f>VC_NEW!DP7</f>
        <v>0</v>
      </c>
      <c r="DV22" s="1">
        <f>VC_NEW!DQ7</f>
        <v>0</v>
      </c>
      <c r="DW22" s="1">
        <f>VC_NEW!DR7</f>
        <v>0</v>
      </c>
      <c r="DX22" s="1">
        <f>VC_NEW!DS7</f>
        <v>0</v>
      </c>
      <c r="DY22" s="1">
        <f>VC_NEW!DT7</f>
        <v>0</v>
      </c>
      <c r="DZ22" s="1">
        <f>VC_NEW!DU7</f>
        <v>0</v>
      </c>
      <c r="EA22" s="1">
        <f>VC_NEW!DV7</f>
        <v>0</v>
      </c>
      <c r="EB22" s="1">
        <f>VC_NEW!DW7</f>
        <v>0</v>
      </c>
      <c r="EC22" s="1">
        <f>VC_NEW!DX7</f>
        <v>0</v>
      </c>
      <c r="ED22" s="1">
        <f>VC_NEW!DY7</f>
        <v>0</v>
      </c>
      <c r="EE22" s="1">
        <f>VC_NEW!DZ7</f>
        <v>0</v>
      </c>
      <c r="EF22" s="1">
        <f>VC_NEW!EA7</f>
        <v>0</v>
      </c>
      <c r="EG22" s="1">
        <f>VC_NEW!EB7</f>
        <v>0</v>
      </c>
      <c r="EH22" s="1">
        <f>VC_NEW!EC7</f>
        <v>0</v>
      </c>
      <c r="EI22" s="1">
        <f>VC_NEW!ED7</f>
        <v>0</v>
      </c>
      <c r="EJ22" s="1">
        <f>VC_NEW!EE7</f>
        <v>0</v>
      </c>
      <c r="EK22" s="1">
        <f>VC_NEW!EF7</f>
        <v>0</v>
      </c>
      <c r="EL22" s="1">
        <f>VC_NEW!EG7</f>
        <v>0</v>
      </c>
      <c r="EM22" s="1">
        <f>VC_NEW!EH7</f>
        <v>0</v>
      </c>
      <c r="EN22" s="1">
        <f>VC_NEW!EI7</f>
        <v>0</v>
      </c>
      <c r="EO22" s="1">
        <f>VC_NEW!EJ7</f>
        <v>0</v>
      </c>
      <c r="EP22" s="1">
        <f>VC_NEW!EK7</f>
        <v>0</v>
      </c>
      <c r="EQ22" s="1">
        <f>VC_NEW!EL7</f>
        <v>0</v>
      </c>
      <c r="ER22" s="1">
        <f>VC_NEW!EM7</f>
        <v>0</v>
      </c>
      <c r="ES22" s="1">
        <f>VC_NEW!EN7</f>
        <v>0</v>
      </c>
      <c r="ET22" s="1">
        <f>VC_NEW!EO7</f>
        <v>0</v>
      </c>
      <c r="EU22" s="1">
        <f>VC_NEW!EP7</f>
        <v>0</v>
      </c>
      <c r="EV22" s="1">
        <f>VC_NEW!EQ7</f>
        <v>0</v>
      </c>
      <c r="EW22" s="1" t="str">
        <f>VC_NEW!ER7</f>
        <v>Q265E</v>
      </c>
      <c r="EX22" s="1">
        <f>VC_NEW!ES7</f>
        <v>0</v>
      </c>
      <c r="EY22" s="1">
        <f>VC_NEW!ET7</f>
        <v>0</v>
      </c>
      <c r="EZ22" s="1">
        <f>VC_NEW!EU7</f>
        <v>0</v>
      </c>
      <c r="FA22" s="1">
        <f>VC_NEW!EV7</f>
        <v>0</v>
      </c>
      <c r="FB22" s="1">
        <f>VC_NEW!EW7</f>
        <v>0</v>
      </c>
      <c r="FC22" s="1">
        <f>VC_NEW!EX7</f>
        <v>0</v>
      </c>
      <c r="FD22" s="1">
        <f>VC_NEW!EY7</f>
        <v>0</v>
      </c>
      <c r="FE22" s="1">
        <f>VC_NEW!EZ7</f>
        <v>0</v>
      </c>
      <c r="FF22" s="1">
        <f>VC_NEW!FA7</f>
        <v>0</v>
      </c>
      <c r="FG22" s="1">
        <f>VC_NEW!FB7</f>
        <v>0</v>
      </c>
      <c r="FH22" s="1">
        <f>VC_NEW!FC7</f>
        <v>0</v>
      </c>
      <c r="FI22" s="1">
        <f>VC_NEW!FD7</f>
        <v>0</v>
      </c>
      <c r="FJ22" s="1">
        <f>VC_NEW!FE7</f>
        <v>0</v>
      </c>
      <c r="FK22" s="1">
        <f>VC_NEW!FF7</f>
        <v>0</v>
      </c>
      <c r="FL22" s="1">
        <f>VC_NEW!FG7</f>
        <v>0</v>
      </c>
      <c r="FM22" s="1">
        <f>VC_NEW!FH7</f>
        <v>0</v>
      </c>
      <c r="FN22" s="1">
        <f>VC_NEW!FI7</f>
        <v>0</v>
      </c>
      <c r="FO22" s="1">
        <f>VC_NEW!FJ7</f>
        <v>0</v>
      </c>
      <c r="FP22" s="1">
        <f>VC_NEW!FK7</f>
        <v>0</v>
      </c>
      <c r="FQ22" s="1">
        <f>VC_NEW!FL7</f>
        <v>0</v>
      </c>
      <c r="FR22" s="1">
        <f>VC_NEW!FM7</f>
        <v>0</v>
      </c>
      <c r="FS22" s="1">
        <f>VC_NEW!FN7</f>
        <v>0</v>
      </c>
      <c r="FT22" s="1">
        <f>VC_NEW!FO7</f>
        <v>0</v>
      </c>
      <c r="FU22" s="1">
        <f>VC_NEW!FP7</f>
        <v>0</v>
      </c>
      <c r="FV22" s="1">
        <f>VC_NEW!FQ7</f>
        <v>0</v>
      </c>
      <c r="FW22" s="1">
        <f>VC_NEW!FR7</f>
        <v>0</v>
      </c>
      <c r="FX22" s="1">
        <f>VC_NEW!FS7</f>
        <v>0</v>
      </c>
      <c r="FY22" s="1">
        <f>VC_NEW!FT7</f>
        <v>0</v>
      </c>
      <c r="FZ22" s="1">
        <f>VC_NEW!FU7</f>
        <v>0</v>
      </c>
      <c r="GA22" s="1">
        <f>VC_NEW!FV7</f>
        <v>0</v>
      </c>
      <c r="GB22" s="1">
        <f>VC_NEW!FW7</f>
        <v>0</v>
      </c>
      <c r="GC22" s="1">
        <f>VC_NEW!FX7</f>
        <v>0</v>
      </c>
      <c r="GD22" s="1">
        <f>VC_NEW!FY7</f>
        <v>0</v>
      </c>
      <c r="GE22" s="1">
        <f>VC_NEW!FZ7</f>
        <v>0</v>
      </c>
      <c r="GF22" s="1">
        <f>VC_NEW!GA7</f>
        <v>0</v>
      </c>
      <c r="GG22" s="1">
        <f>VC_NEW!GB7</f>
        <v>0</v>
      </c>
      <c r="GH22" s="1">
        <f>VC_NEW!GC7</f>
        <v>0</v>
      </c>
      <c r="GI22" s="1">
        <f>VC_NEW!GD7</f>
        <v>0</v>
      </c>
      <c r="GJ22" s="1">
        <f>VC_NEW!GE7</f>
        <v>0</v>
      </c>
      <c r="GK22" s="1">
        <f>VC_NEW!GF7</f>
        <v>0</v>
      </c>
      <c r="GL22" s="1">
        <f>VC_NEW!GG7</f>
        <v>0</v>
      </c>
      <c r="GM22" s="1">
        <f>VC_NEW!GH7</f>
        <v>0</v>
      </c>
      <c r="GN22" s="1">
        <f>VC_NEW!GI7</f>
        <v>0</v>
      </c>
      <c r="GO22" s="1">
        <f>VC_NEW!GJ7</f>
        <v>0</v>
      </c>
      <c r="GP22" s="1">
        <f>VC_NEW!GK7</f>
        <v>0</v>
      </c>
      <c r="GQ22" s="1">
        <f>VC_NEW!GL7</f>
        <v>0</v>
      </c>
      <c r="GR22" s="1">
        <f>VC_NEW!GM7</f>
        <v>0</v>
      </c>
      <c r="GS22" s="1">
        <f>VC_NEW!GN7</f>
        <v>0</v>
      </c>
      <c r="GT22" s="1">
        <f>VC_NEW!GO7</f>
        <v>0</v>
      </c>
      <c r="GU22" s="1">
        <f>VC_NEW!GP7</f>
        <v>0</v>
      </c>
      <c r="GV22" s="1">
        <f>VC_NEW!GQ7</f>
        <v>0</v>
      </c>
      <c r="GW22" s="1">
        <f>VC_NEW!GR7</f>
        <v>0</v>
      </c>
      <c r="GX22" s="1">
        <f>VC_NEW!GS7</f>
        <v>0</v>
      </c>
      <c r="GY22" s="1">
        <f>VC_NEW!GT7</f>
        <v>0</v>
      </c>
      <c r="GZ22" s="1">
        <f>VC_NEW!GU7</f>
        <v>0</v>
      </c>
      <c r="HA22" s="1">
        <f>VC_NEW!GV7</f>
        <v>0</v>
      </c>
      <c r="HB22" s="1">
        <f>VC_NEW!GW7</f>
        <v>0</v>
      </c>
      <c r="HC22" s="1">
        <f>VC_NEW!GX7</f>
        <v>0</v>
      </c>
    </row>
    <row r="23" spans="1:211" s="1" customFormat="1" ht="15" hidden="1" customHeight="1" x14ac:dyDescent="0.25">
      <c r="A23" s="44" t="s">
        <v>11</v>
      </c>
      <c r="B23" s="45" t="s">
        <v>12</v>
      </c>
      <c r="C23" s="46" t="s">
        <v>2</v>
      </c>
      <c r="D23" s="45" t="s">
        <v>77</v>
      </c>
      <c r="E23" s="45">
        <v>-0.5</v>
      </c>
      <c r="F23" s="45" t="s">
        <v>74</v>
      </c>
      <c r="G23" s="47" t="s">
        <v>137</v>
      </c>
      <c r="H23" s="1">
        <f>VC_NEW!C7</f>
        <v>0</v>
      </c>
      <c r="I23" s="1">
        <f>VC_NEW!D7</f>
        <v>0</v>
      </c>
      <c r="J23" s="1">
        <f>VC_NEW!E7</f>
        <v>0</v>
      </c>
      <c r="K23" s="1">
        <f>VC_NEW!F7</f>
        <v>0</v>
      </c>
      <c r="L23" s="1">
        <f>VC_NEW!G7</f>
        <v>0</v>
      </c>
      <c r="M23" s="1">
        <f>VC_NEW!H7</f>
        <v>0</v>
      </c>
      <c r="N23" s="1">
        <f>VC_NEW!I7</f>
        <v>0</v>
      </c>
      <c r="O23" s="1">
        <f>VC_NEW!J7</f>
        <v>0</v>
      </c>
      <c r="P23" s="1">
        <f>VC_NEW!K7</f>
        <v>0</v>
      </c>
      <c r="Q23" s="1">
        <f>VC_NEW!L7</f>
        <v>0</v>
      </c>
      <c r="R23" s="1">
        <f>VC_NEW!M7</f>
        <v>0</v>
      </c>
      <c r="S23" s="1">
        <f>VC_NEW!N7</f>
        <v>0</v>
      </c>
      <c r="T23" s="1">
        <f>VC_NEW!O7</f>
        <v>0</v>
      </c>
      <c r="U23" s="1">
        <f>VC_NEW!P7</f>
        <v>0</v>
      </c>
      <c r="V23" s="1">
        <f>VC_NEW!Q7</f>
        <v>0</v>
      </c>
      <c r="W23" s="1">
        <f>VC_NEW!R7</f>
        <v>0</v>
      </c>
      <c r="X23" s="1">
        <f>VC_NEW!S7</f>
        <v>0</v>
      </c>
      <c r="Y23" s="1">
        <f>VC_NEW!T7</f>
        <v>0</v>
      </c>
      <c r="Z23" s="1">
        <f>VC_NEW!U7</f>
        <v>0</v>
      </c>
      <c r="AA23" s="1">
        <f>VC_NEW!V7</f>
        <v>0</v>
      </c>
      <c r="AB23" s="1">
        <f>VC_NEW!W7</f>
        <v>0</v>
      </c>
      <c r="AC23" s="1">
        <f>VC_NEW!X7</f>
        <v>0</v>
      </c>
      <c r="AD23" s="1">
        <f>VC_NEW!Y7</f>
        <v>0</v>
      </c>
      <c r="AE23" s="1">
        <f>VC_NEW!Z7</f>
        <v>0</v>
      </c>
      <c r="AF23" s="1">
        <f>VC_NEW!AA7</f>
        <v>0</v>
      </c>
      <c r="AG23" s="1">
        <f>VC_NEW!AB7</f>
        <v>0</v>
      </c>
      <c r="AH23" s="1">
        <f>VC_NEW!AC7</f>
        <v>0</v>
      </c>
      <c r="AI23" s="1">
        <f>VC_NEW!AD7</f>
        <v>0</v>
      </c>
      <c r="AJ23" s="1">
        <f>VC_NEW!AE7</f>
        <v>0</v>
      </c>
      <c r="AK23" s="1">
        <f>VC_NEW!AF7</f>
        <v>0</v>
      </c>
      <c r="AL23" s="1">
        <f>VC_NEW!AG7</f>
        <v>0</v>
      </c>
      <c r="AM23" s="1">
        <f>VC_NEW!AH7</f>
        <v>0</v>
      </c>
      <c r="AN23" s="1">
        <f>VC_NEW!AI7</f>
        <v>0</v>
      </c>
      <c r="AO23" s="1">
        <f>VC_NEW!AJ7</f>
        <v>0</v>
      </c>
      <c r="AP23" s="1">
        <f>VC_NEW!AK7</f>
        <v>0</v>
      </c>
      <c r="AQ23" s="1">
        <f>VC_NEW!AL7</f>
        <v>0</v>
      </c>
      <c r="AR23" s="1">
        <f>VC_NEW!AM7</f>
        <v>0</v>
      </c>
      <c r="AS23" s="1">
        <f>VC_NEW!AN7</f>
        <v>0</v>
      </c>
      <c r="AT23" s="1">
        <f>VC_NEW!AO7</f>
        <v>0</v>
      </c>
      <c r="AU23" s="1">
        <f>VC_NEW!AP7</f>
        <v>0</v>
      </c>
      <c r="AV23" s="1">
        <f>VC_NEW!AQ7</f>
        <v>0</v>
      </c>
      <c r="AW23" s="1">
        <f>VC_NEW!AR7</f>
        <v>0</v>
      </c>
      <c r="AX23" s="1">
        <f>VC_NEW!AS7</f>
        <v>0</v>
      </c>
      <c r="AY23" s="1">
        <f>VC_NEW!AT7</f>
        <v>0</v>
      </c>
      <c r="AZ23" s="1">
        <f>VC_NEW!AU7</f>
        <v>0</v>
      </c>
      <c r="BA23" s="1">
        <f>VC_NEW!AV7</f>
        <v>0</v>
      </c>
      <c r="BB23" s="1">
        <f>VC_NEW!AW7</f>
        <v>0</v>
      </c>
      <c r="BC23" s="1">
        <f>VC_NEW!AX7</f>
        <v>0</v>
      </c>
      <c r="BD23" s="1">
        <f>VC_NEW!AY7</f>
        <v>0</v>
      </c>
      <c r="BE23" s="1">
        <f>VC_NEW!AZ7</f>
        <v>0</v>
      </c>
      <c r="BF23" s="1">
        <f>VC_NEW!BA7</f>
        <v>0</v>
      </c>
      <c r="BG23" s="1">
        <f>VC_NEW!BB7</f>
        <v>0</v>
      </c>
      <c r="BH23" s="1">
        <f>VC_NEW!BC7</f>
        <v>0</v>
      </c>
      <c r="BI23" s="1">
        <f>VC_NEW!BD7</f>
        <v>0</v>
      </c>
      <c r="BJ23" s="1">
        <f>VC_NEW!BE7</f>
        <v>0</v>
      </c>
      <c r="BK23" s="1">
        <f>VC_NEW!BF7</f>
        <v>0</v>
      </c>
      <c r="BL23" s="1">
        <f>VC_NEW!BG7</f>
        <v>0</v>
      </c>
      <c r="BM23" s="1">
        <f>VC_NEW!BH7</f>
        <v>0</v>
      </c>
      <c r="BN23" s="1" t="str">
        <f>VC_NEW!BI7</f>
        <v>nt1451InsC</v>
      </c>
      <c r="BO23" s="1">
        <f>VC_NEW!BJ7</f>
        <v>0</v>
      </c>
      <c r="BP23" s="1">
        <f>VC_NEW!BK7</f>
        <v>0</v>
      </c>
      <c r="BQ23" s="1">
        <f>VC_NEW!BL7</f>
        <v>0</v>
      </c>
      <c r="BR23" s="1">
        <f>VC_NEW!BM7</f>
        <v>0</v>
      </c>
      <c r="BS23" s="1">
        <f>VC_NEW!BN7</f>
        <v>0</v>
      </c>
      <c r="BT23" s="1">
        <f>VC_NEW!BO7</f>
        <v>0</v>
      </c>
      <c r="BU23" s="1">
        <f>VC_NEW!BP7</f>
        <v>0</v>
      </c>
      <c r="BV23" s="1">
        <f>VC_NEW!BQ7</f>
        <v>0</v>
      </c>
      <c r="BW23" s="1">
        <f>VC_NEW!BR7</f>
        <v>0</v>
      </c>
      <c r="BX23" s="1">
        <f>VC_NEW!BS7</f>
        <v>0</v>
      </c>
      <c r="BY23" s="1">
        <f>VC_NEW!BT7</f>
        <v>0</v>
      </c>
      <c r="BZ23" s="1">
        <f>VC_NEW!BU7</f>
        <v>0</v>
      </c>
      <c r="CA23" s="1">
        <f>VC_NEW!BV7</f>
        <v>0</v>
      </c>
      <c r="CB23" s="1">
        <f>VC_NEW!BW7</f>
        <v>0</v>
      </c>
      <c r="CC23" s="1">
        <f>VC_NEW!BX7</f>
        <v>0</v>
      </c>
      <c r="CD23" s="1">
        <f>VC_NEW!BY7</f>
        <v>0</v>
      </c>
      <c r="CE23" s="1">
        <f>VC_NEW!BZ7</f>
        <v>0</v>
      </c>
      <c r="CF23" s="1">
        <f>VC_NEW!CA7</f>
        <v>0</v>
      </c>
      <c r="CG23" s="1">
        <f>VC_NEW!CB7</f>
        <v>0</v>
      </c>
      <c r="CH23" s="1">
        <f>VC_NEW!CC7</f>
        <v>0</v>
      </c>
      <c r="CI23" s="1">
        <f>VC_NEW!CD7</f>
        <v>0</v>
      </c>
      <c r="CJ23" s="1">
        <f>VC_NEW!CE7</f>
        <v>0</v>
      </c>
      <c r="CK23" s="1">
        <f>VC_NEW!CF7</f>
        <v>0</v>
      </c>
      <c r="CL23" s="1">
        <f>VC_NEW!CG7</f>
        <v>0</v>
      </c>
      <c r="CM23" s="1">
        <f>VC_NEW!CH7</f>
        <v>0</v>
      </c>
      <c r="CN23" s="1">
        <f>VC_NEW!CI7</f>
        <v>0</v>
      </c>
      <c r="CO23" s="1">
        <f>VC_NEW!CJ7</f>
        <v>0</v>
      </c>
      <c r="CP23" s="1" t="str">
        <f>VC_NEW!CK7</f>
        <v>T198P</v>
      </c>
      <c r="CQ23" s="1">
        <f>VC_NEW!CL7</f>
        <v>0</v>
      </c>
      <c r="CR23" s="1">
        <f>VC_NEW!CM7</f>
        <v>0</v>
      </c>
      <c r="CS23" s="1">
        <f>VC_NEW!CN7</f>
        <v>0</v>
      </c>
      <c r="CT23" s="1">
        <f>VC_NEW!CO7</f>
        <v>0</v>
      </c>
      <c r="CU23" s="1">
        <f>VC_NEW!CP7</f>
        <v>0</v>
      </c>
      <c r="CV23" s="1" t="str">
        <f>VC_NEW!CQ7</f>
        <v>T180I</v>
      </c>
      <c r="CW23" s="1">
        <f>VC_NEW!CR7</f>
        <v>0</v>
      </c>
      <c r="CX23" s="1">
        <f>VC_NEW!CS7</f>
        <v>0</v>
      </c>
      <c r="CY23" s="1">
        <f>VC_NEW!CT7</f>
        <v>0</v>
      </c>
      <c r="CZ23" s="1">
        <f>VC_NEW!CU7</f>
        <v>0</v>
      </c>
      <c r="DA23" s="1">
        <f>VC_NEW!CV7</f>
        <v>0</v>
      </c>
      <c r="DB23" s="1">
        <f>VC_NEW!CW7</f>
        <v>0</v>
      </c>
      <c r="DC23" s="1">
        <f>VC_NEW!CX7</f>
        <v>0</v>
      </c>
      <c r="DD23" s="1">
        <f>VC_NEW!CY7</f>
        <v>0</v>
      </c>
      <c r="DE23" s="1">
        <f>VC_NEW!CZ7</f>
        <v>0</v>
      </c>
      <c r="DF23" s="1">
        <f>VC_NEW!DA7</f>
        <v>0</v>
      </c>
      <c r="DG23" s="1">
        <f>VC_NEW!DB7</f>
        <v>0</v>
      </c>
      <c r="DH23" s="1">
        <f>VC_NEW!DC7</f>
        <v>0</v>
      </c>
      <c r="DI23" s="1">
        <f>VC_NEW!DD7</f>
        <v>0</v>
      </c>
      <c r="DJ23" s="1">
        <f>VC_NEW!DE7</f>
        <v>0</v>
      </c>
      <c r="DK23" s="1">
        <f>VC_NEW!DF7</f>
        <v>0</v>
      </c>
      <c r="DL23" s="1">
        <f>VC_NEW!DG7</f>
        <v>0</v>
      </c>
      <c r="DM23" s="1">
        <f>VC_NEW!DH7</f>
        <v>0</v>
      </c>
      <c r="DN23" s="1">
        <f>VC_NEW!DI7</f>
        <v>0</v>
      </c>
      <c r="DO23" s="1">
        <f>VC_NEW!DJ7</f>
        <v>0</v>
      </c>
      <c r="DP23" s="1">
        <f>VC_NEW!DK7</f>
        <v>0</v>
      </c>
      <c r="DQ23" s="1">
        <f>VC_NEW!DL7</f>
        <v>0</v>
      </c>
      <c r="DR23" s="1" t="str">
        <f>VC_NEW!DM7</f>
        <v>nt501∆5</v>
      </c>
      <c r="DS23" s="1">
        <f>VC_NEW!DN7</f>
        <v>0</v>
      </c>
      <c r="DT23" s="1">
        <f>VC_NEW!DO7</f>
        <v>0</v>
      </c>
      <c r="DU23" s="1">
        <f>VC_NEW!DP7</f>
        <v>0</v>
      </c>
      <c r="DV23" s="1">
        <f>VC_NEW!DQ7</f>
        <v>0</v>
      </c>
      <c r="DW23" s="1">
        <f>VC_NEW!DR7</f>
        <v>0</v>
      </c>
      <c r="DX23" s="1">
        <f>VC_NEW!DS7</f>
        <v>0</v>
      </c>
      <c r="DY23" s="1">
        <f>VC_NEW!DT7</f>
        <v>0</v>
      </c>
      <c r="DZ23" s="1">
        <f>VC_NEW!DU7</f>
        <v>0</v>
      </c>
      <c r="EA23" s="1">
        <f>VC_NEW!DV7</f>
        <v>0</v>
      </c>
      <c r="EB23" s="1">
        <f>VC_NEW!DW7</f>
        <v>0</v>
      </c>
      <c r="EC23" s="1">
        <f>VC_NEW!DX7</f>
        <v>0</v>
      </c>
      <c r="ED23" s="1">
        <f>VC_NEW!DY7</f>
        <v>0</v>
      </c>
      <c r="EE23" s="1">
        <f>VC_NEW!DZ7</f>
        <v>0</v>
      </c>
      <c r="EF23" s="1">
        <f>VC_NEW!EA7</f>
        <v>0</v>
      </c>
      <c r="EG23" s="1">
        <f>VC_NEW!EB7</f>
        <v>0</v>
      </c>
      <c r="EH23" s="1">
        <f>VC_NEW!EC7</f>
        <v>0</v>
      </c>
      <c r="EI23" s="1">
        <f>VC_NEW!ED7</f>
        <v>0</v>
      </c>
      <c r="EJ23" s="1">
        <f>VC_NEW!EE7</f>
        <v>0</v>
      </c>
      <c r="EK23" s="1">
        <f>VC_NEW!EF7</f>
        <v>0</v>
      </c>
      <c r="EL23" s="1">
        <f>VC_NEW!EG7</f>
        <v>0</v>
      </c>
      <c r="EM23" s="1">
        <f>VC_NEW!EH7</f>
        <v>0</v>
      </c>
      <c r="EN23" s="1">
        <f>VC_NEW!EI7</f>
        <v>0</v>
      </c>
      <c r="EO23" s="1">
        <f>VC_NEW!EJ7</f>
        <v>0</v>
      </c>
      <c r="EP23" s="1">
        <f>VC_NEW!EK7</f>
        <v>0</v>
      </c>
      <c r="EQ23" s="1">
        <f>VC_NEW!EL7</f>
        <v>0</v>
      </c>
      <c r="ER23" s="1">
        <f>VC_NEW!EM7</f>
        <v>0</v>
      </c>
      <c r="ES23" s="1">
        <f>VC_NEW!EN7</f>
        <v>0</v>
      </c>
      <c r="ET23" s="1">
        <f>VC_NEW!EO7</f>
        <v>0</v>
      </c>
      <c r="EU23" s="1">
        <f>VC_NEW!EP7</f>
        <v>0</v>
      </c>
      <c r="EV23" s="1">
        <f>VC_NEW!EQ7</f>
        <v>0</v>
      </c>
      <c r="EW23" s="1" t="str">
        <f>VC_NEW!ER7</f>
        <v>Q265E</v>
      </c>
      <c r="EX23" s="1">
        <f>VC_NEW!ES7</f>
        <v>0</v>
      </c>
      <c r="EY23" s="1">
        <f>VC_NEW!ET7</f>
        <v>0</v>
      </c>
      <c r="EZ23" s="1">
        <f>VC_NEW!EU7</f>
        <v>0</v>
      </c>
      <c r="FA23" s="1">
        <f>VC_NEW!EV7</f>
        <v>0</v>
      </c>
      <c r="FB23" s="1">
        <f>VC_NEW!EW7</f>
        <v>0</v>
      </c>
      <c r="FC23" s="1">
        <f>VC_NEW!EX7</f>
        <v>0</v>
      </c>
      <c r="FD23" s="1">
        <f>VC_NEW!EY7</f>
        <v>0</v>
      </c>
      <c r="FE23" s="1">
        <f>VC_NEW!EZ7</f>
        <v>0</v>
      </c>
      <c r="FF23" s="1">
        <f>VC_NEW!FA7</f>
        <v>0</v>
      </c>
      <c r="FG23" s="1">
        <f>VC_NEW!FB7</f>
        <v>0</v>
      </c>
      <c r="FH23" s="1">
        <f>VC_NEW!FC7</f>
        <v>0</v>
      </c>
      <c r="FI23" s="1">
        <f>VC_NEW!FD7</f>
        <v>0</v>
      </c>
      <c r="FJ23" s="1">
        <f>VC_NEW!FE7</f>
        <v>0</v>
      </c>
      <c r="FK23" s="1">
        <f>VC_NEW!FF7</f>
        <v>0</v>
      </c>
      <c r="FL23" s="1">
        <f>VC_NEW!FG7</f>
        <v>0</v>
      </c>
      <c r="FM23" s="1">
        <f>VC_NEW!FH7</f>
        <v>0</v>
      </c>
      <c r="FN23" s="1">
        <f>VC_NEW!FI7</f>
        <v>0</v>
      </c>
      <c r="FO23" s="1">
        <f>VC_NEW!FJ7</f>
        <v>0</v>
      </c>
      <c r="FP23" s="1">
        <f>VC_NEW!FK7</f>
        <v>0</v>
      </c>
      <c r="FQ23" s="1">
        <f>VC_NEW!FL7</f>
        <v>0</v>
      </c>
      <c r="FR23" s="1">
        <f>VC_NEW!FM7</f>
        <v>0</v>
      </c>
      <c r="FS23" s="1">
        <f>VC_NEW!FN7</f>
        <v>0</v>
      </c>
      <c r="FT23" s="1">
        <f>VC_NEW!FO7</f>
        <v>0</v>
      </c>
      <c r="FU23" s="1">
        <f>VC_NEW!FP7</f>
        <v>0</v>
      </c>
      <c r="FV23" s="1">
        <f>VC_NEW!FQ7</f>
        <v>0</v>
      </c>
      <c r="FW23" s="1">
        <f>VC_NEW!FR7</f>
        <v>0</v>
      </c>
      <c r="FX23" s="1">
        <f>VC_NEW!FS7</f>
        <v>0</v>
      </c>
      <c r="FY23" s="1">
        <f>VC_NEW!FT7</f>
        <v>0</v>
      </c>
      <c r="FZ23" s="1">
        <f>VC_NEW!FU7</f>
        <v>0</v>
      </c>
      <c r="GA23" s="1">
        <f>VC_NEW!FV7</f>
        <v>0</v>
      </c>
      <c r="GB23" s="1">
        <f>VC_NEW!FW7</f>
        <v>0</v>
      </c>
      <c r="GC23" s="1">
        <f>VC_NEW!FX7</f>
        <v>0</v>
      </c>
      <c r="GD23" s="1">
        <f>VC_NEW!FY7</f>
        <v>0</v>
      </c>
      <c r="GE23" s="1">
        <f>VC_NEW!FZ7</f>
        <v>0</v>
      </c>
      <c r="GF23" s="1">
        <f>VC_NEW!GA7</f>
        <v>0</v>
      </c>
      <c r="GG23" s="1">
        <f>VC_NEW!GB7</f>
        <v>0</v>
      </c>
      <c r="GH23" s="1">
        <f>VC_NEW!GC7</f>
        <v>0</v>
      </c>
      <c r="GI23" s="1">
        <f>VC_NEW!GD7</f>
        <v>0</v>
      </c>
      <c r="GJ23" s="1">
        <f>VC_NEW!GE7</f>
        <v>0</v>
      </c>
      <c r="GK23" s="1">
        <f>VC_NEW!GF7</f>
        <v>0</v>
      </c>
      <c r="GL23" s="1">
        <f>VC_NEW!GG7</f>
        <v>0</v>
      </c>
      <c r="GM23" s="1">
        <f>VC_NEW!GH7</f>
        <v>0</v>
      </c>
      <c r="GN23" s="1">
        <f>VC_NEW!GI7</f>
        <v>0</v>
      </c>
      <c r="GO23" s="1">
        <f>VC_NEW!GJ7</f>
        <v>0</v>
      </c>
      <c r="GP23" s="1">
        <f>VC_NEW!GK7</f>
        <v>0</v>
      </c>
      <c r="GQ23" s="1">
        <f>VC_NEW!GL7</f>
        <v>0</v>
      </c>
      <c r="GR23" s="1">
        <f>VC_NEW!GM7</f>
        <v>0</v>
      </c>
      <c r="GS23" s="1">
        <f>VC_NEW!GN7</f>
        <v>0</v>
      </c>
      <c r="GT23" s="1">
        <f>VC_NEW!GO7</f>
        <v>0</v>
      </c>
      <c r="GU23" s="1">
        <f>VC_NEW!GP7</f>
        <v>0</v>
      </c>
      <c r="GV23" s="1">
        <f>VC_NEW!GQ7</f>
        <v>0</v>
      </c>
      <c r="GW23" s="1">
        <f>VC_NEW!GR7</f>
        <v>0</v>
      </c>
      <c r="GX23" s="1">
        <f>VC_NEW!GS7</f>
        <v>0</v>
      </c>
      <c r="GY23" s="1">
        <f>VC_NEW!GT7</f>
        <v>0</v>
      </c>
      <c r="GZ23" s="1">
        <f>VC_NEW!GU7</f>
        <v>0</v>
      </c>
      <c r="HA23" s="1">
        <f>VC_NEW!GV7</f>
        <v>0</v>
      </c>
      <c r="HB23" s="1">
        <f>VC_NEW!GW7</f>
        <v>0</v>
      </c>
      <c r="HC23" s="1">
        <f>VC_NEW!GX7</f>
        <v>0</v>
      </c>
    </row>
    <row r="24" spans="1:211" s="1" customFormat="1" ht="15" hidden="1" customHeight="1" x14ac:dyDescent="0.25">
      <c r="A24" s="44" t="s">
        <v>11</v>
      </c>
      <c r="B24" s="45" t="s">
        <v>12</v>
      </c>
      <c r="C24" s="46" t="s">
        <v>4</v>
      </c>
      <c r="D24" s="45" t="s">
        <v>77</v>
      </c>
      <c r="E24" s="45">
        <v>-0.5</v>
      </c>
      <c r="F24" s="45" t="s">
        <v>74</v>
      </c>
      <c r="G24" s="47" t="s">
        <v>137</v>
      </c>
      <c r="H24" s="1">
        <f>VC_NEW!C7</f>
        <v>0</v>
      </c>
      <c r="I24" s="1">
        <f>VC_NEW!D7</f>
        <v>0</v>
      </c>
      <c r="J24" s="1">
        <f>VC_NEW!E7</f>
        <v>0</v>
      </c>
      <c r="K24" s="1">
        <f>VC_NEW!F7</f>
        <v>0</v>
      </c>
      <c r="L24" s="1">
        <f>VC_NEW!G7</f>
        <v>0</v>
      </c>
      <c r="M24" s="1">
        <f>VC_NEW!H7</f>
        <v>0</v>
      </c>
      <c r="N24" s="1">
        <f>VC_NEW!I7</f>
        <v>0</v>
      </c>
      <c r="O24" s="1">
        <f>VC_NEW!J7</f>
        <v>0</v>
      </c>
      <c r="P24" s="1">
        <f>VC_NEW!K7</f>
        <v>0</v>
      </c>
      <c r="Q24" s="1">
        <f>VC_NEW!L7</f>
        <v>0</v>
      </c>
      <c r="R24" s="1">
        <f>VC_NEW!M7</f>
        <v>0</v>
      </c>
      <c r="S24" s="1">
        <f>VC_NEW!N7</f>
        <v>0</v>
      </c>
      <c r="T24" s="1">
        <f>VC_NEW!O7</f>
        <v>0</v>
      </c>
      <c r="U24" s="1">
        <f>VC_NEW!P7</f>
        <v>0</v>
      </c>
      <c r="V24" s="1">
        <f>VC_NEW!Q7</f>
        <v>0</v>
      </c>
      <c r="W24" s="1">
        <f>VC_NEW!R7</f>
        <v>0</v>
      </c>
      <c r="X24" s="1">
        <f>VC_NEW!S7</f>
        <v>0</v>
      </c>
      <c r="Y24" s="1">
        <f>VC_NEW!T7</f>
        <v>0</v>
      </c>
      <c r="Z24" s="1">
        <f>VC_NEW!U7</f>
        <v>0</v>
      </c>
      <c r="AA24" s="1">
        <f>VC_NEW!V7</f>
        <v>0</v>
      </c>
      <c r="AB24" s="1">
        <f>VC_NEW!W7</f>
        <v>0</v>
      </c>
      <c r="AC24" s="1">
        <f>VC_NEW!X7</f>
        <v>0</v>
      </c>
      <c r="AD24" s="1">
        <f>VC_NEW!Y7</f>
        <v>0</v>
      </c>
      <c r="AE24" s="1">
        <f>VC_NEW!Z7</f>
        <v>0</v>
      </c>
      <c r="AF24" s="1">
        <f>VC_NEW!AA7</f>
        <v>0</v>
      </c>
      <c r="AG24" s="1">
        <f>VC_NEW!AB7</f>
        <v>0</v>
      </c>
      <c r="AH24" s="1">
        <f>VC_NEW!AC7</f>
        <v>0</v>
      </c>
      <c r="AI24" s="1">
        <f>VC_NEW!AD7</f>
        <v>0</v>
      </c>
      <c r="AJ24" s="1">
        <f>VC_NEW!AE7</f>
        <v>0</v>
      </c>
      <c r="AK24" s="1">
        <f>VC_NEW!AF7</f>
        <v>0</v>
      </c>
      <c r="AL24" s="1">
        <f>VC_NEW!AG7</f>
        <v>0</v>
      </c>
      <c r="AM24" s="1">
        <f>VC_NEW!AH7</f>
        <v>0</v>
      </c>
      <c r="AN24" s="1">
        <f>VC_NEW!AI7</f>
        <v>0</v>
      </c>
      <c r="AO24" s="1">
        <f>VC_NEW!AJ7</f>
        <v>0</v>
      </c>
      <c r="AP24" s="1">
        <f>VC_NEW!AK7</f>
        <v>0</v>
      </c>
      <c r="AQ24" s="1">
        <f>VC_NEW!AL7</f>
        <v>0</v>
      </c>
      <c r="AR24" s="1">
        <f>VC_NEW!AM7</f>
        <v>0</v>
      </c>
      <c r="AS24" s="1">
        <f>VC_NEW!AN7</f>
        <v>0</v>
      </c>
      <c r="AT24" s="1">
        <f>VC_NEW!AO7</f>
        <v>0</v>
      </c>
      <c r="AU24" s="1">
        <f>VC_NEW!AP7</f>
        <v>0</v>
      </c>
      <c r="AV24" s="1">
        <f>VC_NEW!AQ7</f>
        <v>0</v>
      </c>
      <c r="AW24" s="1">
        <f>VC_NEW!AR7</f>
        <v>0</v>
      </c>
      <c r="AX24" s="1">
        <f>VC_NEW!AS7</f>
        <v>0</v>
      </c>
      <c r="AY24" s="1">
        <f>VC_NEW!AT7</f>
        <v>0</v>
      </c>
      <c r="AZ24" s="1">
        <f>VC_NEW!AU7</f>
        <v>0</v>
      </c>
      <c r="BA24" s="1">
        <f>VC_NEW!AV7</f>
        <v>0</v>
      </c>
      <c r="BB24" s="1">
        <f>VC_NEW!AW7</f>
        <v>0</v>
      </c>
      <c r="BC24" s="1">
        <f>VC_NEW!AX7</f>
        <v>0</v>
      </c>
      <c r="BD24" s="1">
        <f>VC_NEW!AY7</f>
        <v>0</v>
      </c>
      <c r="BE24" s="1">
        <f>VC_NEW!AZ7</f>
        <v>0</v>
      </c>
      <c r="BF24" s="1">
        <f>VC_NEW!BA7</f>
        <v>0</v>
      </c>
      <c r="BG24" s="1">
        <f>VC_NEW!BB7</f>
        <v>0</v>
      </c>
      <c r="BH24" s="1">
        <f>VC_NEW!BC7</f>
        <v>0</v>
      </c>
      <c r="BI24" s="1">
        <f>VC_NEW!BD7</f>
        <v>0</v>
      </c>
      <c r="BJ24" s="1">
        <f>VC_NEW!BE7</f>
        <v>0</v>
      </c>
      <c r="BK24" s="1">
        <f>VC_NEW!BF7</f>
        <v>0</v>
      </c>
      <c r="BL24" s="1">
        <f>VC_NEW!BG7</f>
        <v>0</v>
      </c>
      <c r="BM24" s="1">
        <f>VC_NEW!BH7</f>
        <v>0</v>
      </c>
      <c r="BN24" s="1" t="str">
        <f>VC_NEW!BI7</f>
        <v>nt1451InsC</v>
      </c>
      <c r="BO24" s="1">
        <f>VC_NEW!BJ7</f>
        <v>0</v>
      </c>
      <c r="BP24" s="1">
        <f>VC_NEW!BK7</f>
        <v>0</v>
      </c>
      <c r="BQ24" s="1">
        <f>VC_NEW!BL7</f>
        <v>0</v>
      </c>
      <c r="BR24" s="1">
        <f>VC_NEW!BM7</f>
        <v>0</v>
      </c>
      <c r="BS24" s="1">
        <f>VC_NEW!BN7</f>
        <v>0</v>
      </c>
      <c r="BT24" s="1">
        <f>VC_NEW!BO7</f>
        <v>0</v>
      </c>
      <c r="BU24" s="1">
        <f>VC_NEW!BP7</f>
        <v>0</v>
      </c>
      <c r="BV24" s="1">
        <f>VC_NEW!BQ7</f>
        <v>0</v>
      </c>
      <c r="BW24" s="1">
        <f>VC_NEW!BR7</f>
        <v>0</v>
      </c>
      <c r="BX24" s="1">
        <f>VC_NEW!BS7</f>
        <v>0</v>
      </c>
      <c r="BY24" s="1">
        <f>VC_NEW!BT7</f>
        <v>0</v>
      </c>
      <c r="BZ24" s="1">
        <f>VC_NEW!BU7</f>
        <v>0</v>
      </c>
      <c r="CA24" s="1">
        <f>VC_NEW!BV7</f>
        <v>0</v>
      </c>
      <c r="CB24" s="1">
        <f>VC_NEW!BW7</f>
        <v>0</v>
      </c>
      <c r="CC24" s="1">
        <f>VC_NEW!BX7</f>
        <v>0</v>
      </c>
      <c r="CD24" s="1">
        <f>VC_NEW!BY7</f>
        <v>0</v>
      </c>
      <c r="CE24" s="1">
        <f>VC_NEW!BZ7</f>
        <v>0</v>
      </c>
      <c r="CF24" s="1">
        <f>VC_NEW!CA7</f>
        <v>0</v>
      </c>
      <c r="CG24" s="1">
        <f>VC_NEW!CB7</f>
        <v>0</v>
      </c>
      <c r="CH24" s="1">
        <f>VC_NEW!CC7</f>
        <v>0</v>
      </c>
      <c r="CI24" s="1">
        <f>VC_NEW!CD7</f>
        <v>0</v>
      </c>
      <c r="CJ24" s="1">
        <f>VC_NEW!CE7</f>
        <v>0</v>
      </c>
      <c r="CK24" s="1">
        <f>VC_NEW!CF7</f>
        <v>0</v>
      </c>
      <c r="CL24" s="1">
        <f>VC_NEW!CG7</f>
        <v>0</v>
      </c>
      <c r="CM24" s="1">
        <f>VC_NEW!CH7</f>
        <v>0</v>
      </c>
      <c r="CN24" s="1">
        <f>VC_NEW!CI7</f>
        <v>0</v>
      </c>
      <c r="CO24" s="1">
        <f>VC_NEW!CJ7</f>
        <v>0</v>
      </c>
      <c r="CP24" s="1" t="str">
        <f>VC_NEW!CK7</f>
        <v>T198P</v>
      </c>
      <c r="CQ24" s="1">
        <f>VC_NEW!CL7</f>
        <v>0</v>
      </c>
      <c r="CR24" s="1">
        <f>VC_NEW!CM7</f>
        <v>0</v>
      </c>
      <c r="CS24" s="1">
        <f>VC_NEW!CN7</f>
        <v>0</v>
      </c>
      <c r="CT24" s="1">
        <f>VC_NEW!CO7</f>
        <v>0</v>
      </c>
      <c r="CU24" s="1">
        <f>VC_NEW!CP7</f>
        <v>0</v>
      </c>
      <c r="CV24" s="1" t="str">
        <f>VC_NEW!CQ7</f>
        <v>T180I</v>
      </c>
      <c r="CW24" s="1">
        <f>VC_NEW!CR7</f>
        <v>0</v>
      </c>
      <c r="CX24" s="1">
        <f>VC_NEW!CS7</f>
        <v>0</v>
      </c>
      <c r="CY24" s="1">
        <f>VC_NEW!CT7</f>
        <v>0</v>
      </c>
      <c r="CZ24" s="1">
        <f>VC_NEW!CU7</f>
        <v>0</v>
      </c>
      <c r="DA24" s="1">
        <f>VC_NEW!CV7</f>
        <v>0</v>
      </c>
      <c r="DB24" s="1">
        <f>VC_NEW!CW7</f>
        <v>0</v>
      </c>
      <c r="DC24" s="1">
        <f>VC_NEW!CX7</f>
        <v>0</v>
      </c>
      <c r="DD24" s="1">
        <f>VC_NEW!CY7</f>
        <v>0</v>
      </c>
      <c r="DE24" s="1">
        <f>VC_NEW!CZ7</f>
        <v>0</v>
      </c>
      <c r="DF24" s="1">
        <f>VC_NEW!DA7</f>
        <v>0</v>
      </c>
      <c r="DG24" s="1">
        <f>VC_NEW!DB7</f>
        <v>0</v>
      </c>
      <c r="DH24" s="1">
        <f>VC_NEW!DC7</f>
        <v>0</v>
      </c>
      <c r="DI24" s="1">
        <f>VC_NEW!DD7</f>
        <v>0</v>
      </c>
      <c r="DJ24" s="1">
        <f>VC_NEW!DE7</f>
        <v>0</v>
      </c>
      <c r="DK24" s="1">
        <f>VC_NEW!DF7</f>
        <v>0</v>
      </c>
      <c r="DL24" s="1">
        <f>VC_NEW!DG7</f>
        <v>0</v>
      </c>
      <c r="DM24" s="1">
        <f>VC_NEW!DH7</f>
        <v>0</v>
      </c>
      <c r="DN24" s="1">
        <f>VC_NEW!DI7</f>
        <v>0</v>
      </c>
      <c r="DO24" s="1">
        <f>VC_NEW!DJ7</f>
        <v>0</v>
      </c>
      <c r="DP24" s="1">
        <f>VC_NEW!DK7</f>
        <v>0</v>
      </c>
      <c r="DQ24" s="1">
        <f>VC_NEW!DL7</f>
        <v>0</v>
      </c>
      <c r="DR24" s="1" t="str">
        <f>VC_NEW!DM7</f>
        <v>nt501∆5</v>
      </c>
      <c r="DS24" s="1">
        <f>VC_NEW!DN7</f>
        <v>0</v>
      </c>
      <c r="DT24" s="1">
        <f>VC_NEW!DO7</f>
        <v>0</v>
      </c>
      <c r="DU24" s="1">
        <f>VC_NEW!DP7</f>
        <v>0</v>
      </c>
      <c r="DV24" s="1">
        <f>VC_NEW!DQ7</f>
        <v>0</v>
      </c>
      <c r="DW24" s="1">
        <f>VC_NEW!DR7</f>
        <v>0</v>
      </c>
      <c r="DX24" s="1">
        <f>VC_NEW!DS7</f>
        <v>0</v>
      </c>
      <c r="DY24" s="1">
        <f>VC_NEW!DT7</f>
        <v>0</v>
      </c>
      <c r="DZ24" s="1">
        <f>VC_NEW!DU7</f>
        <v>0</v>
      </c>
      <c r="EA24" s="1">
        <f>VC_NEW!DV7</f>
        <v>0</v>
      </c>
      <c r="EB24" s="1">
        <f>VC_NEW!DW7</f>
        <v>0</v>
      </c>
      <c r="EC24" s="1">
        <f>VC_NEW!DX7</f>
        <v>0</v>
      </c>
      <c r="ED24" s="1">
        <f>VC_NEW!DY7</f>
        <v>0</v>
      </c>
      <c r="EE24" s="1">
        <f>VC_NEW!DZ7</f>
        <v>0</v>
      </c>
      <c r="EF24" s="1">
        <f>VC_NEW!EA7</f>
        <v>0</v>
      </c>
      <c r="EG24" s="1">
        <f>VC_NEW!EB7</f>
        <v>0</v>
      </c>
      <c r="EH24" s="1">
        <f>VC_NEW!EC7</f>
        <v>0</v>
      </c>
      <c r="EI24" s="1">
        <f>VC_NEW!ED7</f>
        <v>0</v>
      </c>
      <c r="EJ24" s="1">
        <f>VC_NEW!EE7</f>
        <v>0</v>
      </c>
      <c r="EK24" s="1">
        <f>VC_NEW!EF7</f>
        <v>0</v>
      </c>
      <c r="EL24" s="1">
        <f>VC_NEW!EG7</f>
        <v>0</v>
      </c>
      <c r="EM24" s="1">
        <f>VC_NEW!EH7</f>
        <v>0</v>
      </c>
      <c r="EN24" s="1">
        <f>VC_NEW!EI7</f>
        <v>0</v>
      </c>
      <c r="EO24" s="1">
        <f>VC_NEW!EJ7</f>
        <v>0</v>
      </c>
      <c r="EP24" s="1">
        <f>VC_NEW!EK7</f>
        <v>0</v>
      </c>
      <c r="EQ24" s="1">
        <f>VC_NEW!EL7</f>
        <v>0</v>
      </c>
      <c r="ER24" s="1">
        <f>VC_NEW!EM7</f>
        <v>0</v>
      </c>
      <c r="ES24" s="1">
        <f>VC_NEW!EN7</f>
        <v>0</v>
      </c>
      <c r="ET24" s="1">
        <f>VC_NEW!EO7</f>
        <v>0</v>
      </c>
      <c r="EU24" s="1">
        <f>VC_NEW!EP7</f>
        <v>0</v>
      </c>
      <c r="EV24" s="1">
        <f>VC_NEW!EQ7</f>
        <v>0</v>
      </c>
      <c r="EW24" s="1" t="str">
        <f>VC_NEW!ER7</f>
        <v>Q265E</v>
      </c>
      <c r="EX24" s="1">
        <f>VC_NEW!ES7</f>
        <v>0</v>
      </c>
      <c r="EY24" s="1">
        <f>VC_NEW!ET7</f>
        <v>0</v>
      </c>
      <c r="EZ24" s="1">
        <f>VC_NEW!EU7</f>
        <v>0</v>
      </c>
      <c r="FA24" s="1">
        <f>VC_NEW!EV7</f>
        <v>0</v>
      </c>
      <c r="FB24" s="1">
        <f>VC_NEW!EW7</f>
        <v>0</v>
      </c>
      <c r="FC24" s="1">
        <f>VC_NEW!EX7</f>
        <v>0</v>
      </c>
      <c r="FD24" s="1">
        <f>VC_NEW!EY7</f>
        <v>0</v>
      </c>
      <c r="FE24" s="1">
        <f>VC_NEW!EZ7</f>
        <v>0</v>
      </c>
      <c r="FF24" s="1">
        <f>VC_NEW!FA7</f>
        <v>0</v>
      </c>
      <c r="FG24" s="1">
        <f>VC_NEW!FB7</f>
        <v>0</v>
      </c>
      <c r="FH24" s="1">
        <f>VC_NEW!FC7</f>
        <v>0</v>
      </c>
      <c r="FI24" s="1">
        <f>VC_NEW!FD7</f>
        <v>0</v>
      </c>
      <c r="FJ24" s="1">
        <f>VC_NEW!FE7</f>
        <v>0</v>
      </c>
      <c r="FK24" s="1">
        <f>VC_NEW!FF7</f>
        <v>0</v>
      </c>
      <c r="FL24" s="1">
        <f>VC_NEW!FG7</f>
        <v>0</v>
      </c>
      <c r="FM24" s="1">
        <f>VC_NEW!FH7</f>
        <v>0</v>
      </c>
      <c r="FN24" s="1">
        <f>VC_NEW!FI7</f>
        <v>0</v>
      </c>
      <c r="FO24" s="1">
        <f>VC_NEW!FJ7</f>
        <v>0</v>
      </c>
      <c r="FP24" s="1">
        <f>VC_NEW!FK7</f>
        <v>0</v>
      </c>
      <c r="FQ24" s="1">
        <f>VC_NEW!FL7</f>
        <v>0</v>
      </c>
      <c r="FR24" s="1">
        <f>VC_NEW!FM7</f>
        <v>0</v>
      </c>
      <c r="FS24" s="1">
        <f>VC_NEW!FN7</f>
        <v>0</v>
      </c>
      <c r="FT24" s="1">
        <f>VC_NEW!FO7</f>
        <v>0</v>
      </c>
      <c r="FU24" s="1">
        <f>VC_NEW!FP7</f>
        <v>0</v>
      </c>
      <c r="FV24" s="1">
        <f>VC_NEW!FQ7</f>
        <v>0</v>
      </c>
      <c r="FW24" s="1">
        <f>VC_NEW!FR7</f>
        <v>0</v>
      </c>
      <c r="FX24" s="1">
        <f>VC_NEW!FS7</f>
        <v>0</v>
      </c>
      <c r="FY24" s="1">
        <f>VC_NEW!FT7</f>
        <v>0</v>
      </c>
      <c r="FZ24" s="1">
        <f>VC_NEW!FU7</f>
        <v>0</v>
      </c>
      <c r="GA24" s="1">
        <f>VC_NEW!FV7</f>
        <v>0</v>
      </c>
      <c r="GB24" s="1">
        <f>VC_NEW!FW7</f>
        <v>0</v>
      </c>
      <c r="GC24" s="1">
        <f>VC_NEW!FX7</f>
        <v>0</v>
      </c>
      <c r="GD24" s="1">
        <f>VC_NEW!FY7</f>
        <v>0</v>
      </c>
      <c r="GE24" s="1">
        <f>VC_NEW!FZ7</f>
        <v>0</v>
      </c>
      <c r="GF24" s="1">
        <f>VC_NEW!GA7</f>
        <v>0</v>
      </c>
      <c r="GG24" s="1">
        <f>VC_NEW!GB7</f>
        <v>0</v>
      </c>
      <c r="GH24" s="1">
        <f>VC_NEW!GC7</f>
        <v>0</v>
      </c>
      <c r="GI24" s="1">
        <f>VC_NEW!GD7</f>
        <v>0</v>
      </c>
      <c r="GJ24" s="1">
        <f>VC_NEW!GE7</f>
        <v>0</v>
      </c>
      <c r="GK24" s="1">
        <f>VC_NEW!GF7</f>
        <v>0</v>
      </c>
      <c r="GL24" s="1">
        <f>VC_NEW!GG7</f>
        <v>0</v>
      </c>
      <c r="GM24" s="1">
        <f>VC_NEW!GH7</f>
        <v>0</v>
      </c>
      <c r="GN24" s="1">
        <f>VC_NEW!GI7</f>
        <v>0</v>
      </c>
      <c r="GO24" s="1">
        <f>VC_NEW!GJ7</f>
        <v>0</v>
      </c>
      <c r="GP24" s="1">
        <f>VC_NEW!GK7</f>
        <v>0</v>
      </c>
      <c r="GQ24" s="1">
        <f>VC_NEW!GL7</f>
        <v>0</v>
      </c>
      <c r="GR24" s="1">
        <f>VC_NEW!GM7</f>
        <v>0</v>
      </c>
      <c r="GS24" s="1">
        <f>VC_NEW!GN7</f>
        <v>0</v>
      </c>
      <c r="GT24" s="1">
        <f>VC_NEW!GO7</f>
        <v>0</v>
      </c>
      <c r="GU24" s="1">
        <f>VC_NEW!GP7</f>
        <v>0</v>
      </c>
      <c r="GV24" s="1">
        <f>VC_NEW!GQ7</f>
        <v>0</v>
      </c>
      <c r="GW24" s="1">
        <f>VC_NEW!GR7</f>
        <v>0</v>
      </c>
      <c r="GX24" s="1">
        <f>VC_NEW!GS7</f>
        <v>0</v>
      </c>
      <c r="GY24" s="1">
        <f>VC_NEW!GT7</f>
        <v>0</v>
      </c>
      <c r="GZ24" s="1">
        <f>VC_NEW!GU7</f>
        <v>0</v>
      </c>
      <c r="HA24" s="1">
        <f>VC_NEW!GV7</f>
        <v>0</v>
      </c>
      <c r="HB24" s="1">
        <f>VC_NEW!GW7</f>
        <v>0</v>
      </c>
      <c r="HC24" s="1">
        <f>VC_NEW!GX7</f>
        <v>0</v>
      </c>
    </row>
    <row r="25" spans="1:211" s="1" customFormat="1" ht="15.75" hidden="1" customHeight="1" thickBot="1" x14ac:dyDescent="0.3">
      <c r="A25" s="69" t="s">
        <v>11</v>
      </c>
      <c r="B25" s="70" t="s">
        <v>12</v>
      </c>
      <c r="C25" s="71" t="s">
        <v>3</v>
      </c>
      <c r="D25" s="70" t="s">
        <v>77</v>
      </c>
      <c r="E25" s="70">
        <v>-0.25</v>
      </c>
      <c r="F25" s="70" t="s">
        <v>74</v>
      </c>
      <c r="G25" s="72" t="s">
        <v>137</v>
      </c>
      <c r="H25" s="1">
        <f>VC_NEW!C7</f>
        <v>0</v>
      </c>
      <c r="I25" s="1">
        <f>VC_NEW!D7</f>
        <v>0</v>
      </c>
      <c r="J25" s="1">
        <f>VC_NEW!E7</f>
        <v>0</v>
      </c>
      <c r="K25" s="1">
        <f>VC_NEW!F7</f>
        <v>0</v>
      </c>
      <c r="L25" s="1">
        <f>VC_NEW!G7</f>
        <v>0</v>
      </c>
      <c r="M25" s="1">
        <f>VC_NEW!H7</f>
        <v>0</v>
      </c>
      <c r="N25" s="1">
        <f>VC_NEW!I7</f>
        <v>0</v>
      </c>
      <c r="O25" s="1">
        <f>VC_NEW!J7</f>
        <v>0</v>
      </c>
      <c r="P25" s="1">
        <f>VC_NEW!K7</f>
        <v>0</v>
      </c>
      <c r="Q25" s="1">
        <f>VC_NEW!L7</f>
        <v>0</v>
      </c>
      <c r="R25" s="1">
        <f>VC_NEW!M7</f>
        <v>0</v>
      </c>
      <c r="S25" s="1">
        <f>VC_NEW!N7</f>
        <v>0</v>
      </c>
      <c r="T25" s="1">
        <f>VC_NEW!O7</f>
        <v>0</v>
      </c>
      <c r="U25" s="1">
        <f>VC_NEW!P7</f>
        <v>0</v>
      </c>
      <c r="V25" s="1">
        <f>VC_NEW!Q7</f>
        <v>0</v>
      </c>
      <c r="W25" s="1">
        <f>VC_NEW!R7</f>
        <v>0</v>
      </c>
      <c r="X25" s="1">
        <f>VC_NEW!S7</f>
        <v>0</v>
      </c>
      <c r="Y25" s="1">
        <f>VC_NEW!T7</f>
        <v>0</v>
      </c>
      <c r="Z25" s="1">
        <f>VC_NEW!U7</f>
        <v>0</v>
      </c>
      <c r="AA25" s="1">
        <f>VC_NEW!V7</f>
        <v>0</v>
      </c>
      <c r="AB25" s="1">
        <f>VC_NEW!W7</f>
        <v>0</v>
      </c>
      <c r="AC25" s="1">
        <f>VC_NEW!X7</f>
        <v>0</v>
      </c>
      <c r="AD25" s="1">
        <f>VC_NEW!Y7</f>
        <v>0</v>
      </c>
      <c r="AE25" s="1">
        <f>VC_NEW!Z7</f>
        <v>0</v>
      </c>
      <c r="AF25" s="1">
        <f>VC_NEW!AA7</f>
        <v>0</v>
      </c>
      <c r="AG25" s="1">
        <f>VC_NEW!AB7</f>
        <v>0</v>
      </c>
      <c r="AH25" s="1">
        <f>VC_NEW!AC7</f>
        <v>0</v>
      </c>
      <c r="AI25" s="1">
        <f>VC_NEW!AD7</f>
        <v>0</v>
      </c>
      <c r="AJ25" s="1">
        <f>VC_NEW!AE7</f>
        <v>0</v>
      </c>
      <c r="AK25" s="1">
        <f>VC_NEW!AF7</f>
        <v>0</v>
      </c>
      <c r="AL25" s="1">
        <f>VC_NEW!AG7</f>
        <v>0</v>
      </c>
      <c r="AM25" s="1">
        <f>VC_NEW!AH7</f>
        <v>0</v>
      </c>
      <c r="AN25" s="1">
        <f>VC_NEW!AI7</f>
        <v>0</v>
      </c>
      <c r="AO25" s="1">
        <f>VC_NEW!AJ7</f>
        <v>0</v>
      </c>
      <c r="AP25" s="1">
        <f>VC_NEW!AK7</f>
        <v>0</v>
      </c>
      <c r="AQ25" s="1">
        <f>VC_NEW!AL7</f>
        <v>0</v>
      </c>
      <c r="AR25" s="1">
        <f>VC_NEW!AM7</f>
        <v>0</v>
      </c>
      <c r="AS25" s="1">
        <f>VC_NEW!AN7</f>
        <v>0</v>
      </c>
      <c r="AT25" s="1">
        <f>VC_NEW!AO7</f>
        <v>0</v>
      </c>
      <c r="AU25" s="1">
        <f>VC_NEW!AP7</f>
        <v>0</v>
      </c>
      <c r="AV25" s="1">
        <f>VC_NEW!AQ7</f>
        <v>0</v>
      </c>
      <c r="AW25" s="1">
        <f>VC_NEW!AR7</f>
        <v>0</v>
      </c>
      <c r="AX25" s="1">
        <f>VC_NEW!AS7</f>
        <v>0</v>
      </c>
      <c r="AY25" s="1">
        <f>VC_NEW!AT7</f>
        <v>0</v>
      </c>
      <c r="AZ25" s="1">
        <f>VC_NEW!AU7</f>
        <v>0</v>
      </c>
      <c r="BA25" s="1">
        <f>VC_NEW!AV7</f>
        <v>0</v>
      </c>
      <c r="BB25" s="1">
        <f>VC_NEW!AW7</f>
        <v>0</v>
      </c>
      <c r="BC25" s="1">
        <f>VC_NEW!AX7</f>
        <v>0</v>
      </c>
      <c r="BD25" s="1">
        <f>VC_NEW!AY7</f>
        <v>0</v>
      </c>
      <c r="BE25" s="1">
        <f>VC_NEW!AZ7</f>
        <v>0</v>
      </c>
      <c r="BF25" s="1">
        <f>VC_NEW!BA7</f>
        <v>0</v>
      </c>
      <c r="BG25" s="1">
        <f>VC_NEW!BB7</f>
        <v>0</v>
      </c>
      <c r="BH25" s="1">
        <f>VC_NEW!BC7</f>
        <v>0</v>
      </c>
      <c r="BI25" s="1">
        <f>VC_NEW!BD7</f>
        <v>0</v>
      </c>
      <c r="BJ25" s="1">
        <f>VC_NEW!BE7</f>
        <v>0</v>
      </c>
      <c r="BK25" s="1">
        <f>VC_NEW!BF7</f>
        <v>0</v>
      </c>
      <c r="BL25" s="1">
        <f>VC_NEW!BG7</f>
        <v>0</v>
      </c>
      <c r="BM25" s="1">
        <f>VC_NEW!BH7</f>
        <v>0</v>
      </c>
      <c r="BN25" s="1" t="str">
        <f>VC_NEW!BI7</f>
        <v>nt1451InsC</v>
      </c>
      <c r="BO25" s="1">
        <f>VC_NEW!BJ7</f>
        <v>0</v>
      </c>
      <c r="BP25" s="1">
        <f>VC_NEW!BK7</f>
        <v>0</v>
      </c>
      <c r="BQ25" s="1">
        <f>VC_NEW!BL7</f>
        <v>0</v>
      </c>
      <c r="BR25" s="1">
        <f>VC_NEW!BM7</f>
        <v>0</v>
      </c>
      <c r="BS25" s="1">
        <f>VC_NEW!BN7</f>
        <v>0</v>
      </c>
      <c r="BT25" s="1">
        <f>VC_NEW!BO7</f>
        <v>0</v>
      </c>
      <c r="BU25" s="1">
        <f>VC_NEW!BP7</f>
        <v>0</v>
      </c>
      <c r="BV25" s="1">
        <f>VC_NEW!BQ7</f>
        <v>0</v>
      </c>
      <c r="BW25" s="1">
        <f>VC_NEW!BR7</f>
        <v>0</v>
      </c>
      <c r="BX25" s="1">
        <f>VC_NEW!BS7</f>
        <v>0</v>
      </c>
      <c r="BY25" s="1">
        <f>VC_NEW!BT7</f>
        <v>0</v>
      </c>
      <c r="BZ25" s="1">
        <f>VC_NEW!BU7</f>
        <v>0</v>
      </c>
      <c r="CA25" s="1">
        <f>VC_NEW!BV7</f>
        <v>0</v>
      </c>
      <c r="CB25" s="1">
        <f>VC_NEW!BW7</f>
        <v>0</v>
      </c>
      <c r="CC25" s="1">
        <f>VC_NEW!BX7</f>
        <v>0</v>
      </c>
      <c r="CD25" s="1">
        <f>VC_NEW!BY7</f>
        <v>0</v>
      </c>
      <c r="CE25" s="1">
        <f>VC_NEW!BZ7</f>
        <v>0</v>
      </c>
      <c r="CF25" s="1">
        <f>VC_NEW!CA7</f>
        <v>0</v>
      </c>
      <c r="CG25" s="1">
        <f>VC_NEW!CB7</f>
        <v>0</v>
      </c>
      <c r="CH25" s="1">
        <f>VC_NEW!CC7</f>
        <v>0</v>
      </c>
      <c r="CI25" s="1">
        <f>VC_NEW!CD7</f>
        <v>0</v>
      </c>
      <c r="CJ25" s="1">
        <f>VC_NEW!CE7</f>
        <v>0</v>
      </c>
      <c r="CK25" s="1">
        <f>VC_NEW!CF7</f>
        <v>0</v>
      </c>
      <c r="CL25" s="1">
        <f>VC_NEW!CG7</f>
        <v>0</v>
      </c>
      <c r="CM25" s="1">
        <f>VC_NEW!CH7</f>
        <v>0</v>
      </c>
      <c r="CN25" s="1">
        <f>VC_NEW!CI7</f>
        <v>0</v>
      </c>
      <c r="CO25" s="1">
        <f>VC_NEW!CJ7</f>
        <v>0</v>
      </c>
      <c r="CP25" s="1" t="str">
        <f>VC_NEW!CK7</f>
        <v>T198P</v>
      </c>
      <c r="CQ25" s="1">
        <f>VC_NEW!CL7</f>
        <v>0</v>
      </c>
      <c r="CR25" s="1">
        <f>VC_NEW!CM7</f>
        <v>0</v>
      </c>
      <c r="CS25" s="1">
        <f>VC_NEW!CN7</f>
        <v>0</v>
      </c>
      <c r="CT25" s="1">
        <f>VC_NEW!CO7</f>
        <v>0</v>
      </c>
      <c r="CU25" s="1">
        <f>VC_NEW!CP7</f>
        <v>0</v>
      </c>
      <c r="CV25" s="1" t="str">
        <f>VC_NEW!CQ7</f>
        <v>T180I</v>
      </c>
      <c r="CW25" s="1">
        <f>VC_NEW!CR7</f>
        <v>0</v>
      </c>
      <c r="CX25" s="1">
        <f>VC_NEW!CS7</f>
        <v>0</v>
      </c>
      <c r="CY25" s="1">
        <f>VC_NEW!CT7</f>
        <v>0</v>
      </c>
      <c r="CZ25" s="1">
        <f>VC_NEW!CU7</f>
        <v>0</v>
      </c>
      <c r="DA25" s="1">
        <f>VC_NEW!CV7</f>
        <v>0</v>
      </c>
      <c r="DB25" s="1">
        <f>VC_NEW!CW7</f>
        <v>0</v>
      </c>
      <c r="DC25" s="1">
        <f>VC_NEW!CX7</f>
        <v>0</v>
      </c>
      <c r="DD25" s="1">
        <f>VC_NEW!CY7</f>
        <v>0</v>
      </c>
      <c r="DE25" s="1">
        <f>VC_NEW!CZ7</f>
        <v>0</v>
      </c>
      <c r="DF25" s="1">
        <f>VC_NEW!DA7</f>
        <v>0</v>
      </c>
      <c r="DG25" s="1">
        <f>VC_NEW!DB7</f>
        <v>0</v>
      </c>
      <c r="DH25" s="1">
        <f>VC_NEW!DC7</f>
        <v>0</v>
      </c>
      <c r="DI25" s="1">
        <f>VC_NEW!DD7</f>
        <v>0</v>
      </c>
      <c r="DJ25" s="1">
        <f>VC_NEW!DE7</f>
        <v>0</v>
      </c>
      <c r="DK25" s="1">
        <f>VC_NEW!DF7</f>
        <v>0</v>
      </c>
      <c r="DL25" s="1">
        <f>VC_NEW!DG7</f>
        <v>0</v>
      </c>
      <c r="DM25" s="1">
        <f>VC_NEW!DH7</f>
        <v>0</v>
      </c>
      <c r="DN25" s="1">
        <f>VC_NEW!DI7</f>
        <v>0</v>
      </c>
      <c r="DO25" s="1">
        <f>VC_NEW!DJ7</f>
        <v>0</v>
      </c>
      <c r="DP25" s="1">
        <f>VC_NEW!DK7</f>
        <v>0</v>
      </c>
      <c r="DQ25" s="1">
        <f>VC_NEW!DL7</f>
        <v>0</v>
      </c>
      <c r="DR25" s="1" t="str">
        <f>VC_NEW!DM7</f>
        <v>nt501∆5</v>
      </c>
      <c r="DS25" s="1">
        <f>VC_NEW!DN7</f>
        <v>0</v>
      </c>
      <c r="DT25" s="1">
        <f>VC_NEW!DO7</f>
        <v>0</v>
      </c>
      <c r="DU25" s="1">
        <f>VC_NEW!DP7</f>
        <v>0</v>
      </c>
      <c r="DV25" s="1">
        <f>VC_NEW!DQ7</f>
        <v>0</v>
      </c>
      <c r="DW25" s="1">
        <f>VC_NEW!DR7</f>
        <v>0</v>
      </c>
      <c r="DX25" s="1">
        <f>VC_NEW!DS7</f>
        <v>0</v>
      </c>
      <c r="DY25" s="1">
        <f>VC_NEW!DT7</f>
        <v>0</v>
      </c>
      <c r="DZ25" s="1">
        <f>VC_NEW!DU7</f>
        <v>0</v>
      </c>
      <c r="EA25" s="1">
        <f>VC_NEW!DV7</f>
        <v>0</v>
      </c>
      <c r="EB25" s="1">
        <f>VC_NEW!DW7</f>
        <v>0</v>
      </c>
      <c r="EC25" s="1">
        <f>VC_NEW!DX7</f>
        <v>0</v>
      </c>
      <c r="ED25" s="1">
        <f>VC_NEW!DY7</f>
        <v>0</v>
      </c>
      <c r="EE25" s="1">
        <f>VC_NEW!DZ7</f>
        <v>0</v>
      </c>
      <c r="EF25" s="1">
        <f>VC_NEW!EA7</f>
        <v>0</v>
      </c>
      <c r="EG25" s="1">
        <f>VC_NEW!EB7</f>
        <v>0</v>
      </c>
      <c r="EH25" s="1">
        <f>VC_NEW!EC7</f>
        <v>0</v>
      </c>
      <c r="EI25" s="1">
        <f>VC_NEW!ED7</f>
        <v>0</v>
      </c>
      <c r="EJ25" s="1">
        <f>VC_NEW!EE7</f>
        <v>0</v>
      </c>
      <c r="EK25" s="1">
        <f>VC_NEW!EF7</f>
        <v>0</v>
      </c>
      <c r="EL25" s="1">
        <f>VC_NEW!EG7</f>
        <v>0</v>
      </c>
      <c r="EM25" s="1">
        <f>VC_NEW!EH7</f>
        <v>0</v>
      </c>
      <c r="EN25" s="1">
        <f>VC_NEW!EI7</f>
        <v>0</v>
      </c>
      <c r="EO25" s="1">
        <f>VC_NEW!EJ7</f>
        <v>0</v>
      </c>
      <c r="EP25" s="1">
        <f>VC_NEW!EK7</f>
        <v>0</v>
      </c>
      <c r="EQ25" s="1">
        <f>VC_NEW!EL7</f>
        <v>0</v>
      </c>
      <c r="ER25" s="1">
        <f>VC_NEW!EM7</f>
        <v>0</v>
      </c>
      <c r="ES25" s="1">
        <f>VC_NEW!EN7</f>
        <v>0</v>
      </c>
      <c r="ET25" s="1">
        <f>VC_NEW!EO7</f>
        <v>0</v>
      </c>
      <c r="EU25" s="1">
        <f>VC_NEW!EP7</f>
        <v>0</v>
      </c>
      <c r="EV25" s="1">
        <f>VC_NEW!EQ7</f>
        <v>0</v>
      </c>
      <c r="EW25" s="1" t="str">
        <f>VC_NEW!ER7</f>
        <v>Q265E</v>
      </c>
      <c r="EX25" s="1">
        <f>VC_NEW!ES7</f>
        <v>0</v>
      </c>
      <c r="EY25" s="1">
        <f>VC_NEW!ET7</f>
        <v>0</v>
      </c>
      <c r="EZ25" s="1">
        <f>VC_NEW!EU7</f>
        <v>0</v>
      </c>
      <c r="FA25" s="1">
        <f>VC_NEW!EV7</f>
        <v>0</v>
      </c>
      <c r="FB25" s="1">
        <f>VC_NEW!EW7</f>
        <v>0</v>
      </c>
      <c r="FC25" s="1">
        <f>VC_NEW!EX7</f>
        <v>0</v>
      </c>
      <c r="FD25" s="1">
        <f>VC_NEW!EY7</f>
        <v>0</v>
      </c>
      <c r="FE25" s="1">
        <f>VC_NEW!EZ7</f>
        <v>0</v>
      </c>
      <c r="FF25" s="1">
        <f>VC_NEW!FA7</f>
        <v>0</v>
      </c>
      <c r="FG25" s="1">
        <f>VC_NEW!FB7</f>
        <v>0</v>
      </c>
      <c r="FH25" s="1">
        <f>VC_NEW!FC7</f>
        <v>0</v>
      </c>
      <c r="FI25" s="1">
        <f>VC_NEW!FD7</f>
        <v>0</v>
      </c>
      <c r="FJ25" s="1">
        <f>VC_NEW!FE7</f>
        <v>0</v>
      </c>
      <c r="FK25" s="1">
        <f>VC_NEW!FF7</f>
        <v>0</v>
      </c>
      <c r="FL25" s="1">
        <f>VC_NEW!FG7</f>
        <v>0</v>
      </c>
      <c r="FM25" s="1">
        <f>VC_NEW!FH7</f>
        <v>0</v>
      </c>
      <c r="FN25" s="1">
        <f>VC_NEW!FI7</f>
        <v>0</v>
      </c>
      <c r="FO25" s="1">
        <f>VC_NEW!FJ7</f>
        <v>0</v>
      </c>
      <c r="FP25" s="1">
        <f>VC_NEW!FK7</f>
        <v>0</v>
      </c>
      <c r="FQ25" s="1">
        <f>VC_NEW!FL7</f>
        <v>0</v>
      </c>
      <c r="FR25" s="1">
        <f>VC_NEW!FM7</f>
        <v>0</v>
      </c>
      <c r="FS25" s="1">
        <f>VC_NEW!FN7</f>
        <v>0</v>
      </c>
      <c r="FT25" s="1">
        <f>VC_NEW!FO7</f>
        <v>0</v>
      </c>
      <c r="FU25" s="1">
        <f>VC_NEW!FP7</f>
        <v>0</v>
      </c>
      <c r="FV25" s="1">
        <f>VC_NEW!FQ7</f>
        <v>0</v>
      </c>
      <c r="FW25" s="1">
        <f>VC_NEW!FR7</f>
        <v>0</v>
      </c>
      <c r="FX25" s="1">
        <f>VC_NEW!FS7</f>
        <v>0</v>
      </c>
      <c r="FY25" s="1">
        <f>VC_NEW!FT7</f>
        <v>0</v>
      </c>
      <c r="FZ25" s="1">
        <f>VC_NEW!FU7</f>
        <v>0</v>
      </c>
      <c r="GA25" s="1">
        <f>VC_NEW!FV7</f>
        <v>0</v>
      </c>
      <c r="GB25" s="1">
        <f>VC_NEW!FW7</f>
        <v>0</v>
      </c>
      <c r="GC25" s="1">
        <f>VC_NEW!FX7</f>
        <v>0</v>
      </c>
      <c r="GD25" s="1">
        <f>VC_NEW!FY7</f>
        <v>0</v>
      </c>
      <c r="GE25" s="1">
        <f>VC_NEW!FZ7</f>
        <v>0</v>
      </c>
      <c r="GF25" s="1">
        <f>VC_NEW!GA7</f>
        <v>0</v>
      </c>
      <c r="GG25" s="1">
        <f>VC_NEW!GB7</f>
        <v>0</v>
      </c>
      <c r="GH25" s="1">
        <f>VC_NEW!GC7</f>
        <v>0</v>
      </c>
      <c r="GI25" s="1">
        <f>VC_NEW!GD7</f>
        <v>0</v>
      </c>
      <c r="GJ25" s="1">
        <f>VC_NEW!GE7</f>
        <v>0</v>
      </c>
      <c r="GK25" s="1">
        <f>VC_NEW!GF7</f>
        <v>0</v>
      </c>
      <c r="GL25" s="1">
        <f>VC_NEW!GG7</f>
        <v>0</v>
      </c>
      <c r="GM25" s="1">
        <f>VC_NEW!GH7</f>
        <v>0</v>
      </c>
      <c r="GN25" s="1">
        <f>VC_NEW!GI7</f>
        <v>0</v>
      </c>
      <c r="GO25" s="1">
        <f>VC_NEW!GJ7</f>
        <v>0</v>
      </c>
      <c r="GP25" s="1">
        <f>VC_NEW!GK7</f>
        <v>0</v>
      </c>
      <c r="GQ25" s="1">
        <f>VC_NEW!GL7</f>
        <v>0</v>
      </c>
      <c r="GR25" s="1">
        <f>VC_NEW!GM7</f>
        <v>0</v>
      </c>
      <c r="GS25" s="1">
        <f>VC_NEW!GN7</f>
        <v>0</v>
      </c>
      <c r="GT25" s="1">
        <f>VC_NEW!GO7</f>
        <v>0</v>
      </c>
      <c r="GU25" s="1">
        <f>VC_NEW!GP7</f>
        <v>0</v>
      </c>
      <c r="GV25" s="1">
        <f>VC_NEW!GQ7</f>
        <v>0</v>
      </c>
      <c r="GW25" s="1">
        <f>VC_NEW!GR7</f>
        <v>0</v>
      </c>
      <c r="GX25" s="1">
        <f>VC_NEW!GS7</f>
        <v>0</v>
      </c>
      <c r="GY25" s="1">
        <f>VC_NEW!GT7</f>
        <v>0</v>
      </c>
      <c r="GZ25" s="1">
        <f>VC_NEW!GU7</f>
        <v>0</v>
      </c>
      <c r="HA25" s="1">
        <f>VC_NEW!GV7</f>
        <v>0</v>
      </c>
      <c r="HB25" s="1">
        <f>VC_NEW!GW7</f>
        <v>0</v>
      </c>
      <c r="HC25" s="1">
        <f>VC_NEW!GX7</f>
        <v>0</v>
      </c>
    </row>
    <row r="26" spans="1:211" s="7" customFormat="1" ht="15" customHeight="1" x14ac:dyDescent="0.25">
      <c r="A26" s="7" t="s">
        <v>13</v>
      </c>
      <c r="B26" s="7" t="s">
        <v>14</v>
      </c>
      <c r="C26" s="8" t="s">
        <v>1</v>
      </c>
      <c r="D26" s="7" t="s">
        <v>76</v>
      </c>
      <c r="E26" s="7" t="s">
        <v>139</v>
      </c>
      <c r="F26" s="7" t="s">
        <v>74</v>
      </c>
      <c r="G26" s="7" t="s">
        <v>136</v>
      </c>
      <c r="H26" s="7">
        <f>VC_NEW!C8</f>
        <v>0</v>
      </c>
      <c r="I26" s="7">
        <f>VC_NEW!D8</f>
        <v>0</v>
      </c>
      <c r="J26" s="7">
        <f>VC_NEW!E8</f>
        <v>0</v>
      </c>
      <c r="K26" s="7">
        <f>VC_NEW!F8</f>
        <v>0</v>
      </c>
      <c r="L26" s="7">
        <f>VC_NEW!G8</f>
        <v>0</v>
      </c>
      <c r="M26" s="7">
        <f>VC_NEW!H8</f>
        <v>0</v>
      </c>
      <c r="N26" s="7">
        <f>VC_NEW!I8</f>
        <v>0</v>
      </c>
      <c r="O26" s="7">
        <f>VC_NEW!J8</f>
        <v>0</v>
      </c>
      <c r="P26" s="7">
        <f>VC_NEW!K8</f>
        <v>0</v>
      </c>
      <c r="Q26" s="7">
        <f>VC_NEW!L8</f>
        <v>0</v>
      </c>
      <c r="R26" s="7">
        <f>VC_NEW!M8</f>
        <v>0</v>
      </c>
      <c r="S26" s="7">
        <f>VC_NEW!N8</f>
        <v>0</v>
      </c>
      <c r="T26" s="7">
        <f>VC_NEW!O8</f>
        <v>0</v>
      </c>
      <c r="U26" s="7">
        <f>VC_NEW!P8</f>
        <v>0</v>
      </c>
      <c r="V26" s="7">
        <f>VC_NEW!Q8</f>
        <v>0</v>
      </c>
      <c r="W26" s="7">
        <f>VC_NEW!R8</f>
        <v>0</v>
      </c>
      <c r="X26" s="7">
        <f>VC_NEW!S8</f>
        <v>0</v>
      </c>
      <c r="Y26" s="7">
        <f>VC_NEW!T8</f>
        <v>0</v>
      </c>
      <c r="Z26" s="7">
        <f>VC_NEW!U8</f>
        <v>0</v>
      </c>
      <c r="AA26" s="7">
        <f>VC_NEW!V8</f>
        <v>0</v>
      </c>
      <c r="AB26" s="7">
        <f>VC_NEW!W8</f>
        <v>0</v>
      </c>
      <c r="AC26" s="7">
        <f>VC_NEW!X8</f>
        <v>0</v>
      </c>
      <c r="AD26" s="7">
        <f>VC_NEW!Y8</f>
        <v>0</v>
      </c>
      <c r="AE26" s="7">
        <f>VC_NEW!Z8</f>
        <v>0</v>
      </c>
      <c r="AF26" s="7">
        <f>VC_NEW!AA8</f>
        <v>0</v>
      </c>
      <c r="AG26" s="7">
        <f>VC_NEW!AB8</f>
        <v>0</v>
      </c>
      <c r="AH26" s="7">
        <f>VC_NEW!AC8</f>
        <v>0</v>
      </c>
      <c r="AI26" s="7">
        <f>VC_NEW!AD8</f>
        <v>0</v>
      </c>
      <c r="AJ26" s="7">
        <f>VC_NEW!AE8</f>
        <v>0</v>
      </c>
      <c r="AK26" s="7">
        <f>VC_NEW!AF8</f>
        <v>0</v>
      </c>
      <c r="AL26" s="7">
        <f>VC_NEW!AG8</f>
        <v>0</v>
      </c>
      <c r="AM26" s="7">
        <f>VC_NEW!AH8</f>
        <v>0</v>
      </c>
      <c r="AN26" s="7">
        <f>VC_NEW!AI8</f>
        <v>0</v>
      </c>
      <c r="AO26" s="7">
        <f>VC_NEW!AJ8</f>
        <v>0</v>
      </c>
      <c r="AP26" s="7">
        <f>VC_NEW!AK8</f>
        <v>0</v>
      </c>
      <c r="AQ26" s="7">
        <f>VC_NEW!AL8</f>
        <v>0</v>
      </c>
      <c r="AR26" s="7">
        <f>VC_NEW!AM8</f>
        <v>0</v>
      </c>
      <c r="AS26" s="7">
        <f>VC_NEW!AN8</f>
        <v>0</v>
      </c>
      <c r="AT26" s="7">
        <f>VC_NEW!AO8</f>
        <v>0</v>
      </c>
      <c r="AU26" s="7">
        <f>VC_NEW!AP8</f>
        <v>0</v>
      </c>
      <c r="AV26" s="7">
        <f>VC_NEW!AQ8</f>
        <v>0</v>
      </c>
      <c r="AW26" s="7">
        <f>VC_NEW!AR8</f>
        <v>0</v>
      </c>
      <c r="AX26" s="7">
        <f>VC_NEW!AS8</f>
        <v>0</v>
      </c>
      <c r="AY26" s="7">
        <f>VC_NEW!AT8</f>
        <v>0</v>
      </c>
      <c r="AZ26" s="7">
        <f>VC_NEW!AU8</f>
        <v>0</v>
      </c>
      <c r="BA26" s="7">
        <f>VC_NEW!AV8</f>
        <v>0</v>
      </c>
      <c r="BB26" s="7">
        <f>VC_NEW!AW8</f>
        <v>0</v>
      </c>
      <c r="BC26" s="7">
        <f>VC_NEW!AX8</f>
        <v>0</v>
      </c>
      <c r="BD26" s="7">
        <f>VC_NEW!AY8</f>
        <v>0</v>
      </c>
      <c r="BE26" s="7">
        <f>VC_NEW!AZ8</f>
        <v>0</v>
      </c>
      <c r="BF26" s="7">
        <f>VC_NEW!BA8</f>
        <v>0</v>
      </c>
      <c r="BG26" s="7" t="str">
        <f>VC_NEW!BB8</f>
        <v>P55S</v>
      </c>
      <c r="BH26" s="7">
        <f>VC_NEW!BC8</f>
        <v>0</v>
      </c>
      <c r="BI26" s="7">
        <f>VC_NEW!BD8</f>
        <v>0</v>
      </c>
      <c r="BJ26" s="7">
        <f>VC_NEW!BE8</f>
        <v>0</v>
      </c>
      <c r="BK26" s="7">
        <f>VC_NEW!BF8</f>
        <v>0</v>
      </c>
      <c r="BL26" s="7">
        <f>VC_NEW!BG8</f>
        <v>0</v>
      </c>
      <c r="BM26" s="7">
        <f>VC_NEW!BH8</f>
        <v>0</v>
      </c>
      <c r="BN26" s="7">
        <f>VC_NEW!BI8</f>
        <v>0</v>
      </c>
      <c r="BO26" s="7">
        <f>VC_NEW!BJ8</f>
        <v>0</v>
      </c>
      <c r="BP26" s="7">
        <f>VC_NEW!BK8</f>
        <v>0</v>
      </c>
      <c r="BQ26" s="7">
        <f>VC_NEW!BL8</f>
        <v>0</v>
      </c>
      <c r="BR26" s="7">
        <f>VC_NEW!BM8</f>
        <v>0</v>
      </c>
      <c r="BS26" s="7">
        <f>VC_NEW!BN8</f>
        <v>0</v>
      </c>
      <c r="BT26" s="7">
        <f>VC_NEW!BO8</f>
        <v>0</v>
      </c>
      <c r="BU26" s="7">
        <f>VC_NEW!BP8</f>
        <v>0</v>
      </c>
      <c r="BV26" s="7">
        <f>VC_NEW!BQ8</f>
        <v>0</v>
      </c>
      <c r="BW26" s="7">
        <f>VC_NEW!BR8</f>
        <v>0</v>
      </c>
      <c r="BX26" s="7">
        <f>VC_NEW!BS8</f>
        <v>0</v>
      </c>
      <c r="BY26" s="7">
        <f>VC_NEW!BT8</f>
        <v>0</v>
      </c>
      <c r="BZ26" s="7">
        <f>VC_NEW!BU8</f>
        <v>0</v>
      </c>
      <c r="CA26" s="7">
        <f>VC_NEW!BV8</f>
        <v>0</v>
      </c>
      <c r="CB26" s="7">
        <f>VC_NEW!BW8</f>
        <v>0</v>
      </c>
      <c r="CC26" s="7">
        <f>VC_NEW!BX8</f>
        <v>0</v>
      </c>
      <c r="CD26" s="7">
        <f>VC_NEW!BY8</f>
        <v>0</v>
      </c>
      <c r="CE26" s="7">
        <f>VC_NEW!BZ8</f>
        <v>0</v>
      </c>
      <c r="CF26" s="7">
        <f>VC_NEW!CA8</f>
        <v>0</v>
      </c>
      <c r="CG26" s="7">
        <f>VC_NEW!CB8</f>
        <v>0</v>
      </c>
      <c r="CH26" s="7">
        <f>VC_NEW!CC8</f>
        <v>0</v>
      </c>
      <c r="CI26" s="7">
        <f>VC_NEW!CD8</f>
        <v>0</v>
      </c>
      <c r="CJ26" s="7">
        <f>VC_NEW!CE8</f>
        <v>0</v>
      </c>
      <c r="CK26" s="7">
        <f>VC_NEW!CF8</f>
        <v>0</v>
      </c>
      <c r="CL26" s="7">
        <f>VC_NEW!CG8</f>
        <v>0</v>
      </c>
      <c r="CM26" s="7">
        <f>VC_NEW!CH8</f>
        <v>0</v>
      </c>
      <c r="CN26" s="7">
        <f>VC_NEW!CI8</f>
        <v>0</v>
      </c>
      <c r="CO26" s="7">
        <f>VC_NEW!CJ8</f>
        <v>0</v>
      </c>
      <c r="CP26" s="7">
        <f>VC_NEW!CK8</f>
        <v>0</v>
      </c>
      <c r="CQ26" s="7">
        <f>VC_NEW!CL8</f>
        <v>0</v>
      </c>
      <c r="CR26" s="7">
        <f>VC_NEW!CM8</f>
        <v>0</v>
      </c>
      <c r="CS26" s="7">
        <f>VC_NEW!CN8</f>
        <v>0</v>
      </c>
      <c r="CT26" s="7">
        <f>VC_NEW!CO8</f>
        <v>0</v>
      </c>
      <c r="CU26" s="7">
        <f>VC_NEW!CP8</f>
        <v>0</v>
      </c>
      <c r="CV26" s="7">
        <f>VC_NEW!CQ8</f>
        <v>0</v>
      </c>
      <c r="CW26" s="7">
        <f>VC_NEW!CR8</f>
        <v>0</v>
      </c>
      <c r="CX26" s="7">
        <f>VC_NEW!CS8</f>
        <v>0</v>
      </c>
      <c r="CY26" s="7">
        <f>VC_NEW!CT8</f>
        <v>0</v>
      </c>
      <c r="CZ26" s="7">
        <f>VC_NEW!CU8</f>
        <v>0</v>
      </c>
      <c r="DA26" s="7">
        <f>VC_NEW!CV8</f>
        <v>0</v>
      </c>
      <c r="DB26" s="7">
        <f>VC_NEW!CW8</f>
        <v>0</v>
      </c>
      <c r="DC26" s="7">
        <f>VC_NEW!CX8</f>
        <v>0</v>
      </c>
      <c r="DD26" s="7">
        <f>VC_NEW!CY8</f>
        <v>0</v>
      </c>
      <c r="DE26" s="7">
        <f>VC_NEW!CZ8</f>
        <v>0</v>
      </c>
      <c r="DF26" s="7">
        <f>VC_NEW!DA8</f>
        <v>0</v>
      </c>
      <c r="DG26" s="7">
        <f>VC_NEW!DB8</f>
        <v>0</v>
      </c>
      <c r="DH26" s="7">
        <f>VC_NEW!DC8</f>
        <v>0</v>
      </c>
      <c r="DI26" s="7">
        <f>VC_NEW!DD8</f>
        <v>0</v>
      </c>
      <c r="DJ26" s="7">
        <f>VC_NEW!DE8</f>
        <v>0</v>
      </c>
      <c r="DK26" s="7">
        <f>VC_NEW!DF8</f>
        <v>0</v>
      </c>
      <c r="DL26" s="7">
        <f>VC_NEW!DG8</f>
        <v>0</v>
      </c>
      <c r="DM26" s="7">
        <f>VC_NEW!DH8</f>
        <v>0</v>
      </c>
      <c r="DN26" s="7">
        <f>VC_NEW!DI8</f>
        <v>0</v>
      </c>
      <c r="DO26" s="7">
        <f>VC_NEW!DJ8</f>
        <v>0</v>
      </c>
      <c r="DP26" s="7">
        <f>VC_NEW!DK8</f>
        <v>0</v>
      </c>
      <c r="DQ26" s="7">
        <f>VC_NEW!DL8</f>
        <v>0</v>
      </c>
      <c r="DR26" s="7">
        <f>VC_NEW!DM8</f>
        <v>0</v>
      </c>
      <c r="DS26" s="7">
        <f>VC_NEW!DN8</f>
        <v>0</v>
      </c>
      <c r="DT26" s="7">
        <f>VC_NEW!DO8</f>
        <v>0</v>
      </c>
      <c r="DU26" s="7" t="str">
        <f>VC_NEW!DP8</f>
        <v>nt410∆1</v>
      </c>
      <c r="DV26" s="7">
        <f>VC_NEW!DQ8</f>
        <v>0</v>
      </c>
      <c r="DW26" s="7" t="str">
        <f>VC_NEW!DR8</f>
        <v>nt410∆1</v>
      </c>
      <c r="DX26" s="7">
        <f>VC_NEW!DS8</f>
        <v>0</v>
      </c>
      <c r="DY26" s="7">
        <f>VC_NEW!DT8</f>
        <v>0</v>
      </c>
      <c r="DZ26" s="7">
        <f>VC_NEW!DU8</f>
        <v>0</v>
      </c>
      <c r="EA26" s="7">
        <f>VC_NEW!DV8</f>
        <v>0</v>
      </c>
      <c r="EB26" s="7">
        <f>VC_NEW!DW8</f>
        <v>0</v>
      </c>
      <c r="EC26" s="7">
        <f>VC_NEW!DX8</f>
        <v>0</v>
      </c>
      <c r="ED26" s="7">
        <f>VC_NEW!DY8</f>
        <v>0</v>
      </c>
      <c r="EE26" s="7">
        <f>VC_NEW!DZ8</f>
        <v>0</v>
      </c>
      <c r="EF26" s="7">
        <f>VC_NEW!EA8</f>
        <v>0</v>
      </c>
      <c r="EG26" s="7">
        <f>VC_NEW!EB8</f>
        <v>0</v>
      </c>
      <c r="EH26" s="7">
        <f>VC_NEW!EC8</f>
        <v>0</v>
      </c>
      <c r="EI26" s="7" t="str">
        <f>VC_NEW!ED8</f>
        <v>Y207X</v>
      </c>
      <c r="EJ26" s="7">
        <f>VC_NEW!EE8</f>
        <v>0</v>
      </c>
      <c r="EK26" s="7">
        <f>VC_NEW!EF8</f>
        <v>0</v>
      </c>
      <c r="EL26" s="7">
        <f>VC_NEW!EG8</f>
        <v>0</v>
      </c>
      <c r="EM26" s="7">
        <f>VC_NEW!EH8</f>
        <v>0</v>
      </c>
      <c r="EN26" s="7">
        <f>VC_NEW!EI8</f>
        <v>0</v>
      </c>
      <c r="EO26" s="7">
        <f>VC_NEW!EJ8</f>
        <v>0</v>
      </c>
      <c r="EP26" s="7">
        <f>VC_NEW!EK8</f>
        <v>0</v>
      </c>
      <c r="EQ26" s="7">
        <f>VC_NEW!EL8</f>
        <v>0</v>
      </c>
      <c r="ER26" s="7">
        <f>VC_NEW!EM8</f>
        <v>0</v>
      </c>
      <c r="ES26" s="7">
        <f>VC_NEW!EN8</f>
        <v>0</v>
      </c>
      <c r="ET26" s="7">
        <f>VC_NEW!EO8</f>
        <v>0</v>
      </c>
      <c r="EU26" s="7">
        <f>VC_NEW!EP8</f>
        <v>0</v>
      </c>
      <c r="EV26" s="7">
        <f>VC_NEW!EQ8</f>
        <v>0</v>
      </c>
      <c r="EW26" s="7">
        <f>VC_NEW!ER8</f>
        <v>0</v>
      </c>
      <c r="EX26" s="7">
        <f>VC_NEW!ES8</f>
        <v>0</v>
      </c>
      <c r="EY26" s="7">
        <f>VC_NEW!ET8</f>
        <v>0</v>
      </c>
      <c r="EZ26" s="7">
        <f>VC_NEW!EU8</f>
        <v>0</v>
      </c>
      <c r="FA26" s="7">
        <f>VC_NEW!EV8</f>
        <v>0</v>
      </c>
      <c r="FB26" s="7">
        <f>VC_NEW!EW8</f>
        <v>0</v>
      </c>
      <c r="FC26" s="7">
        <f>VC_NEW!EX8</f>
        <v>0</v>
      </c>
      <c r="FD26" s="7">
        <f>VC_NEW!EY8</f>
        <v>0</v>
      </c>
      <c r="FE26" s="7" t="str">
        <f>VC_NEW!EZ8</f>
        <v>L246P</v>
      </c>
      <c r="FF26" s="7">
        <f>VC_NEW!FA8</f>
        <v>0</v>
      </c>
      <c r="FG26" s="7">
        <f>VC_NEW!FB8</f>
        <v>0</v>
      </c>
      <c r="FH26" s="7">
        <f>VC_NEW!FC8</f>
        <v>0</v>
      </c>
      <c r="FI26" s="7">
        <f>VC_NEW!FD8</f>
        <v>0</v>
      </c>
      <c r="FJ26" s="7">
        <f>VC_NEW!FE8</f>
        <v>0</v>
      </c>
      <c r="FK26" s="7">
        <f>VC_NEW!FF8</f>
        <v>0</v>
      </c>
      <c r="FL26" s="7">
        <f>VC_NEW!FG8</f>
        <v>0</v>
      </c>
      <c r="FM26" s="7">
        <f>VC_NEW!FH8</f>
        <v>0</v>
      </c>
      <c r="FN26" s="7">
        <f>VC_NEW!FI8</f>
        <v>0</v>
      </c>
      <c r="FO26" s="7">
        <f>VC_NEW!FJ8</f>
        <v>0</v>
      </c>
      <c r="FP26" s="7">
        <f>VC_NEW!FK8</f>
        <v>0</v>
      </c>
      <c r="FQ26" s="7">
        <f>VC_NEW!FL8</f>
        <v>0</v>
      </c>
      <c r="FR26" s="7">
        <f>VC_NEW!FM8</f>
        <v>0</v>
      </c>
      <c r="FS26" s="7">
        <f>VC_NEW!FN8</f>
        <v>0</v>
      </c>
      <c r="FT26" s="7">
        <f>VC_NEW!FO8</f>
        <v>0</v>
      </c>
      <c r="FU26" s="7">
        <f>VC_NEW!FP8</f>
        <v>0</v>
      </c>
      <c r="FV26" s="7">
        <f>VC_NEW!FQ8</f>
        <v>0</v>
      </c>
      <c r="FW26" s="7">
        <f>VC_NEW!FR8</f>
        <v>0</v>
      </c>
      <c r="FX26" s="7">
        <f>VC_NEW!FS8</f>
        <v>0</v>
      </c>
      <c r="FY26" s="7">
        <f>VC_NEW!FT8</f>
        <v>0</v>
      </c>
      <c r="FZ26" s="7">
        <f>VC_NEW!FU8</f>
        <v>0</v>
      </c>
      <c r="GA26" s="7">
        <f>VC_NEW!FV8</f>
        <v>0</v>
      </c>
      <c r="GB26" s="7">
        <f>VC_NEW!FW8</f>
        <v>0</v>
      </c>
      <c r="GC26" s="7">
        <f>VC_NEW!FX8</f>
        <v>0</v>
      </c>
      <c r="GD26" s="7">
        <f>VC_NEW!FY8</f>
        <v>0</v>
      </c>
      <c r="GE26" s="7">
        <f>VC_NEW!FZ8</f>
        <v>0</v>
      </c>
      <c r="GF26" s="7">
        <f>VC_NEW!GA8</f>
        <v>0</v>
      </c>
      <c r="GG26" s="7">
        <f>VC_NEW!GB8</f>
        <v>0</v>
      </c>
      <c r="GH26" s="7">
        <f>VC_NEW!GC8</f>
        <v>0</v>
      </c>
      <c r="GI26" s="7">
        <f>VC_NEW!GD8</f>
        <v>0</v>
      </c>
      <c r="GJ26" s="7">
        <f>VC_NEW!GE8</f>
        <v>0</v>
      </c>
      <c r="GK26" s="7">
        <f>VC_NEW!GF8</f>
        <v>0</v>
      </c>
      <c r="GL26" s="7">
        <f>VC_NEW!GG8</f>
        <v>0</v>
      </c>
      <c r="GM26" s="7">
        <f>VC_NEW!GH8</f>
        <v>0</v>
      </c>
      <c r="GN26" s="7">
        <f>VC_NEW!GI8</f>
        <v>0</v>
      </c>
      <c r="GO26" s="7">
        <f>VC_NEW!GJ8</f>
        <v>0</v>
      </c>
      <c r="GP26" s="7">
        <f>VC_NEW!GK8</f>
        <v>0</v>
      </c>
      <c r="GQ26" s="7">
        <f>VC_NEW!GL8</f>
        <v>0</v>
      </c>
      <c r="GR26" s="7">
        <f>VC_NEW!GM8</f>
        <v>0</v>
      </c>
      <c r="GS26" s="7">
        <f>VC_NEW!GN8</f>
        <v>0</v>
      </c>
      <c r="GT26" s="7">
        <f>VC_NEW!GO8</f>
        <v>0</v>
      </c>
      <c r="GU26" s="7">
        <f>VC_NEW!GP8</f>
        <v>0</v>
      </c>
      <c r="GV26" s="7">
        <f>VC_NEW!GQ8</f>
        <v>0</v>
      </c>
      <c r="GW26" s="7">
        <f>VC_NEW!GR8</f>
        <v>0</v>
      </c>
      <c r="GX26" s="7">
        <f>VC_NEW!GS8</f>
        <v>0</v>
      </c>
      <c r="GY26" s="7">
        <f>VC_NEW!GT8</f>
        <v>0</v>
      </c>
      <c r="GZ26" s="7">
        <f>VC_NEW!GU8</f>
        <v>0</v>
      </c>
      <c r="HA26" s="7">
        <f>VC_NEW!GV8</f>
        <v>0</v>
      </c>
      <c r="HB26" s="7">
        <f>VC_NEW!GW8</f>
        <v>0</v>
      </c>
      <c r="HC26" s="7">
        <f>VC_NEW!GX8</f>
        <v>0</v>
      </c>
    </row>
    <row r="27" spans="1:211" s="2" customFormat="1" ht="15" hidden="1" customHeight="1" x14ac:dyDescent="0.25">
      <c r="A27" s="2" t="s">
        <v>41</v>
      </c>
      <c r="B27" s="2" t="s">
        <v>42</v>
      </c>
      <c r="C27" s="4" t="s">
        <v>2</v>
      </c>
      <c r="D27" s="2" t="s">
        <v>76</v>
      </c>
      <c r="E27" s="2" t="s">
        <v>138</v>
      </c>
      <c r="F27" s="2" t="s">
        <v>74</v>
      </c>
      <c r="G27" s="2" t="s">
        <v>136</v>
      </c>
      <c r="H27" s="1" t="str">
        <f>VC_NEW!C10</f>
        <v>nt473∆14</v>
      </c>
      <c r="I27" s="1">
        <f>VC_NEW!D10</f>
        <v>0</v>
      </c>
      <c r="J27" s="1">
        <f>VC_NEW!E10</f>
        <v>0</v>
      </c>
      <c r="K27" s="1">
        <f>VC_NEW!F10</f>
        <v>0</v>
      </c>
      <c r="L27" s="1" t="str">
        <f>VC_NEW!G10</f>
        <v>W138X</v>
      </c>
      <c r="M27" s="1">
        <f>VC_NEW!H10</f>
        <v>0</v>
      </c>
      <c r="N27" s="1" t="str">
        <f>VC_NEW!I10</f>
        <v>nt1056∆1</v>
      </c>
      <c r="O27" s="1">
        <f>VC_NEW!J10</f>
        <v>0</v>
      </c>
      <c r="P27" s="1">
        <f>VC_NEW!K10</f>
        <v>0</v>
      </c>
      <c r="Q27" s="1">
        <f>VC_NEW!L10</f>
        <v>0</v>
      </c>
      <c r="R27" s="1">
        <f>VC_NEW!M10</f>
        <v>0</v>
      </c>
      <c r="S27" s="1">
        <f>VC_NEW!N10</f>
        <v>0</v>
      </c>
      <c r="T27" s="1">
        <f>VC_NEW!O10</f>
        <v>0</v>
      </c>
      <c r="U27" s="1">
        <f>VC_NEW!P10</f>
        <v>0</v>
      </c>
      <c r="V27" s="1">
        <f>VC_NEW!Q10</f>
        <v>0</v>
      </c>
      <c r="W27" s="1">
        <f>VC_NEW!R10</f>
        <v>0</v>
      </c>
      <c r="X27" s="1">
        <f>VC_NEW!S10</f>
        <v>0</v>
      </c>
      <c r="Y27" s="1">
        <f>VC_NEW!T10</f>
        <v>0</v>
      </c>
      <c r="Z27" s="1">
        <f>VC_NEW!U10</f>
        <v>0</v>
      </c>
      <c r="AA27" s="1" t="str">
        <f>VC_NEW!V10</f>
        <v>F321V, N430Y</v>
      </c>
      <c r="AB27" s="1">
        <f>VC_NEW!W10</f>
        <v>0</v>
      </c>
      <c r="AC27" s="1">
        <f>VC_NEW!X10</f>
        <v>0</v>
      </c>
      <c r="AD27" s="1">
        <f>VC_NEW!Y10</f>
        <v>0</v>
      </c>
      <c r="AE27" s="1" t="str">
        <f>VC_NEW!Z10</f>
        <v>nt1185∆1</v>
      </c>
      <c r="AF27" s="1">
        <f>VC_NEW!AA10</f>
        <v>0</v>
      </c>
      <c r="AG27" s="1">
        <f>VC_NEW!AB10</f>
        <v>0</v>
      </c>
      <c r="AH27" s="1">
        <f>VC_NEW!AC10</f>
        <v>0</v>
      </c>
      <c r="AI27" s="1">
        <f>VC_NEW!AD10</f>
        <v>0</v>
      </c>
      <c r="AJ27" s="1">
        <f>VC_NEW!AE10</f>
        <v>0</v>
      </c>
      <c r="AK27" s="1">
        <f>VC_NEW!AF10</f>
        <v>0</v>
      </c>
      <c r="AL27" s="1" t="str">
        <f>VC_NEW!AG10</f>
        <v>nt1206InsC</v>
      </c>
      <c r="AM27" s="1" t="str">
        <f>VC_NEW!AH10</f>
        <v>aa397∆9</v>
      </c>
      <c r="AN27" s="1">
        <f>VC_NEW!AI10</f>
        <v>0</v>
      </c>
      <c r="AO27" s="1">
        <f>VC_NEW!AJ10</f>
        <v>0</v>
      </c>
      <c r="AP27" s="1">
        <f>VC_NEW!AK10</f>
        <v>0</v>
      </c>
      <c r="AQ27" s="1">
        <f>VC_NEW!AL10</f>
        <v>0</v>
      </c>
      <c r="AR27" s="1">
        <f>VC_NEW!AM10</f>
        <v>0</v>
      </c>
      <c r="AS27" s="1" t="str">
        <f>VC_NEW!AN10</f>
        <v>nt1206InsC</v>
      </c>
      <c r="AT27" s="1" t="str">
        <f>VC_NEW!AO10</f>
        <v>nt209∆10</v>
      </c>
      <c r="AU27" s="1">
        <f>VC_NEW!AP10</f>
        <v>0</v>
      </c>
      <c r="AV27" s="1" t="str">
        <f>VC_NEW!AQ10</f>
        <v>D43N</v>
      </c>
      <c r="AW27" s="1">
        <f>VC_NEW!AR10</f>
        <v>0</v>
      </c>
      <c r="AX27" s="1">
        <f>VC_NEW!AS10</f>
        <v>0</v>
      </c>
      <c r="AY27" s="1">
        <f>VC_NEW!AT10</f>
        <v>0</v>
      </c>
      <c r="AZ27" s="1">
        <f>VC_NEW!AU10</f>
        <v>0</v>
      </c>
      <c r="BA27" s="1" t="str">
        <f>VC_NEW!AV10</f>
        <v>Q142X</v>
      </c>
      <c r="BB27" s="1" t="str">
        <f>VC_NEW!AW10</f>
        <v>nt1206InsC</v>
      </c>
      <c r="BC27" s="1" t="str">
        <f>VC_NEW!AX10</f>
        <v>Q142X</v>
      </c>
      <c r="BD27" s="1">
        <f>VC_NEW!AY10</f>
        <v>0</v>
      </c>
      <c r="BE27" s="1">
        <f>VC_NEW!AZ10</f>
        <v>0</v>
      </c>
      <c r="BF27" s="1">
        <f>VC_NEW!BA10</f>
        <v>0</v>
      </c>
      <c r="BG27" s="1">
        <f>VC_NEW!BB10</f>
        <v>0</v>
      </c>
      <c r="BH27" s="1">
        <f>VC_NEW!BC10</f>
        <v>0</v>
      </c>
      <c r="BI27" s="1">
        <f>VC_NEW!BD10</f>
        <v>0</v>
      </c>
      <c r="BJ27" s="1">
        <f>VC_NEW!BE10</f>
        <v>0</v>
      </c>
      <c r="BK27" s="1">
        <f>VC_NEW!BF10</f>
        <v>0</v>
      </c>
      <c r="BL27" s="1">
        <f>VC_NEW!BG10</f>
        <v>0</v>
      </c>
      <c r="BM27" s="1">
        <f>VC_NEW!BH10</f>
        <v>0</v>
      </c>
      <c r="BN27" s="1" t="str">
        <f>VC_NEW!BI10</f>
        <v>nt438InsC</v>
      </c>
      <c r="BO27" s="1" t="str">
        <f>VC_NEW!BJ10</f>
        <v>W339X</v>
      </c>
      <c r="BP27" s="1">
        <f>VC_NEW!BK10</f>
        <v>0</v>
      </c>
      <c r="BQ27" s="1" t="str">
        <f>VC_NEW!BL10</f>
        <v>nt175∆11</v>
      </c>
      <c r="BR27" s="1" t="str">
        <f>VC_NEW!BM10</f>
        <v>L432P</v>
      </c>
      <c r="BS27" s="1" t="str">
        <f>VC_NEW!BN10</f>
        <v>nt199∆1</v>
      </c>
      <c r="BT27" s="1">
        <f>VC_NEW!BO10</f>
        <v>0</v>
      </c>
      <c r="BU27" s="1">
        <f>VC_NEW!BP10</f>
        <v>0</v>
      </c>
      <c r="BV27" s="1">
        <f>VC_NEW!BQ10</f>
        <v>0</v>
      </c>
      <c r="BW27" s="1">
        <f>VC_NEW!BR10</f>
        <v>0</v>
      </c>
      <c r="BX27" s="1">
        <f>VC_NEW!BS10</f>
        <v>0</v>
      </c>
      <c r="BY27" s="1">
        <f>VC_NEW!BT10</f>
        <v>0</v>
      </c>
      <c r="BZ27" s="1">
        <f>VC_NEW!BU10</f>
        <v>0</v>
      </c>
      <c r="CA27" s="1">
        <f>VC_NEW!BV10</f>
        <v>0</v>
      </c>
      <c r="CB27" s="1">
        <f>VC_NEW!BW10</f>
        <v>0</v>
      </c>
      <c r="CC27" s="1">
        <f>VC_NEW!BX10</f>
        <v>0</v>
      </c>
      <c r="CD27" s="1" t="str">
        <f>VC_NEW!BY10</f>
        <v>Q142X</v>
      </c>
      <c r="CE27" s="1">
        <f>VC_NEW!BZ10</f>
        <v>0</v>
      </c>
      <c r="CF27" s="1" t="str">
        <f>VC_NEW!CA10</f>
        <v>nt1206InsC</v>
      </c>
      <c r="CG27" s="1">
        <f>VC_NEW!CB10</f>
        <v>0</v>
      </c>
      <c r="CH27" s="1">
        <f>VC_NEW!CC10</f>
        <v>0</v>
      </c>
      <c r="CI27" s="1">
        <f>VC_NEW!CD10</f>
        <v>0</v>
      </c>
      <c r="CJ27" s="1" t="str">
        <f>VC_NEW!CE10</f>
        <v>Q142X</v>
      </c>
      <c r="CK27" s="1" t="str">
        <f>VC_NEW!CF10</f>
        <v>Q142X</v>
      </c>
      <c r="CL27" s="1">
        <f>VC_NEW!CG10</f>
        <v>0</v>
      </c>
      <c r="CM27" s="1" t="str">
        <f>VC_NEW!CH10</f>
        <v>W277X</v>
      </c>
      <c r="CN27" s="1">
        <f>VC_NEW!CI10</f>
        <v>0</v>
      </c>
      <c r="CO27" s="1">
        <f>VC_NEW!CJ10</f>
        <v>0</v>
      </c>
      <c r="CP27" s="1" t="str">
        <f>VC_NEW!CK10</f>
        <v>Q142X</v>
      </c>
      <c r="CQ27" s="1" t="str">
        <f>VC_NEW!CL10</f>
        <v>Q142X</v>
      </c>
      <c r="CR27" s="1">
        <f>VC_NEW!CM10</f>
        <v>0</v>
      </c>
      <c r="CS27" s="1">
        <f>VC_NEW!CN10</f>
        <v>0</v>
      </c>
      <c r="CT27" s="1">
        <f>VC_NEW!CO10</f>
        <v>0</v>
      </c>
      <c r="CU27" s="1">
        <f>VC_NEW!CP10</f>
        <v>0</v>
      </c>
      <c r="CV27" s="1">
        <f>VC_NEW!CQ10</f>
        <v>0</v>
      </c>
      <c r="CW27" s="1">
        <f>VC_NEW!CR10</f>
        <v>0</v>
      </c>
      <c r="CX27" s="1">
        <f>VC_NEW!CS10</f>
        <v>0</v>
      </c>
      <c r="CY27" s="1">
        <f>VC_NEW!CT10</f>
        <v>0</v>
      </c>
      <c r="CZ27" s="1">
        <f>VC_NEW!CU10</f>
        <v>0</v>
      </c>
      <c r="DA27" s="1">
        <f>VC_NEW!CV10</f>
        <v>0</v>
      </c>
      <c r="DB27" s="1">
        <f>VC_NEW!CW10</f>
        <v>0</v>
      </c>
      <c r="DC27" s="1">
        <f>VC_NEW!CX10</f>
        <v>0</v>
      </c>
      <c r="DD27" s="1">
        <f>VC_NEW!CY10</f>
        <v>0</v>
      </c>
      <c r="DE27" s="1">
        <f>VC_NEW!CZ10</f>
        <v>0</v>
      </c>
      <c r="DF27" s="1">
        <f>VC_NEW!DA10</f>
        <v>0</v>
      </c>
      <c r="DG27" s="1">
        <f>VC_NEW!DB10</f>
        <v>0</v>
      </c>
      <c r="DH27" s="1">
        <f>VC_NEW!DC10</f>
        <v>0</v>
      </c>
      <c r="DI27" s="1">
        <f>VC_NEW!DD10</f>
        <v>0</v>
      </c>
      <c r="DJ27" s="1" t="str">
        <f>VC_NEW!DE10</f>
        <v>nt350InsC</v>
      </c>
      <c r="DK27" s="1">
        <f>VC_NEW!DF10</f>
        <v>0</v>
      </c>
      <c r="DL27" s="1">
        <f>VC_NEW!DG10</f>
        <v>0</v>
      </c>
      <c r="DM27" s="1">
        <f>VC_NEW!DH10</f>
        <v>0</v>
      </c>
      <c r="DN27" s="1">
        <f>VC_NEW!DI10</f>
        <v>0</v>
      </c>
      <c r="DO27" s="1">
        <f>VC_NEW!DJ10</f>
        <v>0</v>
      </c>
      <c r="DP27" s="1">
        <f>VC_NEW!DK10</f>
        <v>0</v>
      </c>
      <c r="DQ27" s="1">
        <f>VC_NEW!DL10</f>
        <v>0</v>
      </c>
      <c r="DR27" s="1">
        <f>VC_NEW!DM10</f>
        <v>0</v>
      </c>
      <c r="DS27" s="1">
        <f>VC_NEW!DN10</f>
        <v>0</v>
      </c>
      <c r="DT27" s="1">
        <f>VC_NEW!DO10</f>
        <v>0</v>
      </c>
      <c r="DU27" s="1" t="str">
        <f>VC_NEW!DP10</f>
        <v>W415X</v>
      </c>
      <c r="DV27" s="1">
        <f>VC_NEW!DQ10</f>
        <v>0</v>
      </c>
      <c r="DW27" s="1" t="str">
        <f>VC_NEW!DR10</f>
        <v>W415X</v>
      </c>
      <c r="DX27" s="1" t="str">
        <f>VC_NEW!DS10</f>
        <v>T103S, K115T, F170L, nt169∆1, nt175InsA</v>
      </c>
      <c r="DY27" s="1">
        <f>VC_NEW!DT10</f>
        <v>0</v>
      </c>
      <c r="DZ27" s="1">
        <f>VC_NEW!DU10</f>
        <v>0</v>
      </c>
      <c r="EA27" s="1" t="str">
        <f>VC_NEW!DV10</f>
        <v>nt55InsGCACT</v>
      </c>
      <c r="EB27" s="1" t="str">
        <f>VC_NEW!DW10</f>
        <v>D43N, M135I, E185Q, P186G, V189T, S267A, T276A, G310E, A315G, L347M, L359V, Q422E</v>
      </c>
      <c r="EC27" s="1">
        <f>VC_NEW!DX10</f>
        <v>0</v>
      </c>
      <c r="ED27" s="1">
        <f>VC_NEW!DY10</f>
        <v>0</v>
      </c>
      <c r="EE27" s="1" t="str">
        <f>VC_NEW!DZ10</f>
        <v>nt55InsGCACT</v>
      </c>
      <c r="EF27" s="1">
        <f>VC_NEW!EA10</f>
        <v>0</v>
      </c>
      <c r="EG27" s="1">
        <f>VC_NEW!EB10</f>
        <v>0</v>
      </c>
      <c r="EH27" s="1" t="str">
        <f>VC_NEW!EC10</f>
        <v>nt1206InsC</v>
      </c>
      <c r="EI27" s="1">
        <f>VC_NEW!ED10</f>
        <v>0</v>
      </c>
      <c r="EJ27" s="1" t="str">
        <f>VC_NEW!EE10</f>
        <v>Y225X</v>
      </c>
      <c r="EK27" s="1">
        <f>VC_NEW!EF10</f>
        <v>0</v>
      </c>
      <c r="EL27" s="1">
        <f>VC_NEW!EG10</f>
        <v>0</v>
      </c>
      <c r="EM27" s="1">
        <f>VC_NEW!EH10</f>
        <v>0</v>
      </c>
      <c r="EN27" s="1">
        <f>VC_NEW!EI10</f>
        <v>0</v>
      </c>
      <c r="EO27" s="1">
        <f>VC_NEW!EJ10</f>
        <v>0</v>
      </c>
      <c r="EP27" s="1">
        <f>VC_NEW!EK10</f>
        <v>0</v>
      </c>
      <c r="EQ27" s="1">
        <f>VC_NEW!EL10</f>
        <v>0</v>
      </c>
      <c r="ER27" s="1">
        <f>VC_NEW!EM10</f>
        <v>0</v>
      </c>
      <c r="ES27" s="1">
        <f>VC_NEW!EN10</f>
        <v>0</v>
      </c>
      <c r="ET27" s="1" t="str">
        <f>VC_NEW!EO10</f>
        <v>L407P</v>
      </c>
      <c r="EU27" s="1" t="str">
        <f>VC_NEW!EP10</f>
        <v>S408P</v>
      </c>
      <c r="EV27" s="1">
        <f>VC_NEW!EQ10</f>
        <v>0</v>
      </c>
      <c r="EW27" s="1">
        <f>VC_NEW!ER10</f>
        <v>0</v>
      </c>
      <c r="EX27" s="1">
        <f>VC_NEW!ES10</f>
        <v>0</v>
      </c>
      <c r="EY27" s="1">
        <f>VC_NEW!ET10</f>
        <v>0</v>
      </c>
      <c r="EZ27" s="1">
        <f>VC_NEW!EU10</f>
        <v>0</v>
      </c>
      <c r="FA27" s="1" t="str">
        <f>VC_NEW!EV10</f>
        <v>W417X</v>
      </c>
      <c r="FB27" s="1">
        <f>VC_NEW!EW10</f>
        <v>0</v>
      </c>
      <c r="FC27" s="1">
        <f>VC_NEW!EX10</f>
        <v>0</v>
      </c>
      <c r="FD27" s="1">
        <f>VC_NEW!EY10</f>
        <v>0</v>
      </c>
      <c r="FE27" s="1" t="str">
        <f>VC_NEW!EZ10</f>
        <v>Q158X</v>
      </c>
      <c r="FF27" s="1">
        <f>VC_NEW!FA10</f>
        <v>0</v>
      </c>
      <c r="FG27" s="1">
        <f>VC_NEW!FB10</f>
        <v>0</v>
      </c>
      <c r="FH27" s="1">
        <f>VC_NEW!FC10</f>
        <v>0</v>
      </c>
      <c r="FI27" s="1">
        <f>VC_NEW!FD10</f>
        <v>0</v>
      </c>
      <c r="FJ27" s="1">
        <f>VC_NEW!FE10</f>
        <v>0</v>
      </c>
      <c r="FK27" s="1" t="str">
        <f>VC_NEW!FF10</f>
        <v>Q422X</v>
      </c>
      <c r="FL27" s="1">
        <f>VC_NEW!FG10</f>
        <v>0</v>
      </c>
      <c r="FM27" s="1">
        <f>VC_NEW!FH10</f>
        <v>0</v>
      </c>
      <c r="FN27" s="1" t="str">
        <f>VC_NEW!FI10</f>
        <v>M135I</v>
      </c>
      <c r="FO27" s="1" t="str">
        <f>VC_NEW!FJ10</f>
        <v>D43N</v>
      </c>
      <c r="FP27" s="1">
        <f>VC_NEW!FK10</f>
        <v>0</v>
      </c>
      <c r="FQ27" s="1">
        <f>VC_NEW!FL10</f>
        <v>0</v>
      </c>
      <c r="FR27" s="1">
        <f>VC_NEW!FM10</f>
        <v>0</v>
      </c>
      <c r="FS27" s="1">
        <f>VC_NEW!FN10</f>
        <v>0</v>
      </c>
      <c r="FT27" s="1">
        <f>VC_NEW!FO10</f>
        <v>0</v>
      </c>
      <c r="FU27" s="1">
        <f>VC_NEW!FP10</f>
        <v>0</v>
      </c>
      <c r="FV27" s="1">
        <f>VC_NEW!FQ10</f>
        <v>0</v>
      </c>
      <c r="FW27" s="1">
        <f>VC_NEW!FR10</f>
        <v>0</v>
      </c>
      <c r="FX27" s="1">
        <f>VC_NEW!FS10</f>
        <v>0</v>
      </c>
      <c r="FY27" s="1">
        <f>VC_NEW!FT10</f>
        <v>0</v>
      </c>
      <c r="FZ27" s="1">
        <f>VC_NEW!FU10</f>
        <v>0</v>
      </c>
      <c r="GA27" s="1" t="str">
        <f>VC_NEW!FV10</f>
        <v>W277X</v>
      </c>
      <c r="GB27" s="1">
        <f>VC_NEW!FW10</f>
        <v>0</v>
      </c>
      <c r="GC27" s="1">
        <f>VC_NEW!FX10</f>
        <v>0</v>
      </c>
      <c r="GD27" s="1">
        <f>VC_NEW!FY10</f>
        <v>0</v>
      </c>
      <c r="GE27" s="1">
        <f>VC_NEW!FZ10</f>
        <v>0</v>
      </c>
      <c r="GF27" s="1">
        <f>VC_NEW!GA10</f>
        <v>0</v>
      </c>
      <c r="GG27" s="1">
        <f>VC_NEW!GB10</f>
        <v>0</v>
      </c>
      <c r="GH27" s="1">
        <f>VC_NEW!GC10</f>
        <v>0</v>
      </c>
      <c r="GI27" s="1">
        <f>VC_NEW!GD10</f>
        <v>0</v>
      </c>
      <c r="GJ27" s="1">
        <f>VC_NEW!GE10</f>
        <v>0</v>
      </c>
      <c r="GK27" s="1">
        <f>VC_NEW!GF10</f>
        <v>0</v>
      </c>
      <c r="GL27" s="1" t="str">
        <f>VC_NEW!GG10</f>
        <v>W339G</v>
      </c>
      <c r="GM27" s="1">
        <f>VC_NEW!GH10</f>
        <v>0</v>
      </c>
      <c r="GN27" s="1">
        <f>VC_NEW!GI10</f>
        <v>0</v>
      </c>
      <c r="GO27" s="1">
        <f>VC_NEW!GJ10</f>
        <v>0</v>
      </c>
      <c r="GP27" s="1">
        <f>VC_NEW!GK10</f>
        <v>0</v>
      </c>
      <c r="GQ27" s="1" t="str">
        <f>VC_NEW!GL10</f>
        <v>D43N</v>
      </c>
      <c r="GR27" s="1">
        <f>VC_NEW!GM10</f>
        <v>0</v>
      </c>
      <c r="GS27" s="1">
        <f>VC_NEW!GN10</f>
        <v>0</v>
      </c>
      <c r="GT27" s="1">
        <f>VC_NEW!GO10</f>
        <v>0</v>
      </c>
      <c r="GU27" s="1">
        <f>VC_NEW!GP10</f>
        <v>0</v>
      </c>
      <c r="GV27" s="1">
        <f>VC_NEW!GQ10</f>
        <v>0</v>
      </c>
      <c r="GW27" s="1">
        <f>VC_NEW!GR10</f>
        <v>0</v>
      </c>
      <c r="GX27" s="1" t="str">
        <f>VC_NEW!GS10</f>
        <v>nt742∆1</v>
      </c>
      <c r="GY27" s="1" t="str">
        <f>VC_NEW!GT10</f>
        <v>nt991InsAC</v>
      </c>
      <c r="GZ27" s="1">
        <f>VC_NEW!GU10</f>
        <v>0</v>
      </c>
      <c r="HA27" s="1">
        <f>VC_NEW!GV10</f>
        <v>0</v>
      </c>
      <c r="HB27" s="1" t="str">
        <f>VC_NEW!GW10</f>
        <v>Q142X</v>
      </c>
      <c r="HC27" s="1">
        <f>VC_NEW!GX10</f>
        <v>0</v>
      </c>
    </row>
    <row r="28" spans="1:211" s="7" customFormat="1" ht="15" hidden="1" customHeight="1" x14ac:dyDescent="0.25">
      <c r="A28" s="7" t="s">
        <v>45</v>
      </c>
      <c r="B28" s="7" t="s">
        <v>46</v>
      </c>
      <c r="C28" s="8" t="s">
        <v>0</v>
      </c>
      <c r="D28" s="7" t="s">
        <v>76</v>
      </c>
      <c r="E28" s="7" t="s">
        <v>138</v>
      </c>
      <c r="F28" s="7" t="s">
        <v>73</v>
      </c>
      <c r="G28" s="7" t="s">
        <v>140</v>
      </c>
      <c r="H28" s="7" t="str">
        <f>VC_NEW!C14</f>
        <v>L79P</v>
      </c>
      <c r="I28" s="7">
        <f>VC_NEW!D14</f>
        <v>0</v>
      </c>
      <c r="J28" s="7" t="str">
        <f>VC_NEW!E14</f>
        <v>V238L</v>
      </c>
      <c r="K28" s="7">
        <f>VC_NEW!F14</f>
        <v>0</v>
      </c>
      <c r="L28" s="7">
        <f>VC_NEW!G14</f>
        <v>0</v>
      </c>
      <c r="M28" s="7">
        <f>VC_NEW!H14</f>
        <v>0</v>
      </c>
      <c r="N28" s="7" t="str">
        <f>VC_NEW!I14</f>
        <v>L137P; V216A</v>
      </c>
      <c r="O28" s="7">
        <f>VC_NEW!J14</f>
        <v>0</v>
      </c>
      <c r="P28" s="7">
        <f>VC_NEW!K14</f>
        <v>0</v>
      </c>
      <c r="Q28" s="7">
        <f>VC_NEW!L14</f>
        <v>0</v>
      </c>
      <c r="R28" s="7" t="str">
        <f>VC_NEW!M14</f>
        <v>S352I</v>
      </c>
      <c r="S28" s="7">
        <f>VC_NEW!N14</f>
        <v>0</v>
      </c>
      <c r="T28" s="7">
        <f>VC_NEW!O14</f>
        <v>0</v>
      </c>
      <c r="U28" s="7">
        <f>VC_NEW!P14</f>
        <v>0</v>
      </c>
      <c r="V28" s="7">
        <f>VC_NEW!Q14</f>
        <v>0</v>
      </c>
      <c r="W28" s="7">
        <f>VC_NEW!R14</f>
        <v>0</v>
      </c>
      <c r="X28" s="7">
        <f>VC_NEW!S14</f>
        <v>0</v>
      </c>
      <c r="Y28" s="7">
        <f>VC_NEW!T14</f>
        <v>0</v>
      </c>
      <c r="Z28" s="7">
        <f>VC_NEW!U14</f>
        <v>0</v>
      </c>
      <c r="AA28" s="7">
        <f>VC_NEW!V14</f>
        <v>0</v>
      </c>
      <c r="AB28" s="7">
        <f>VC_NEW!W14</f>
        <v>0</v>
      </c>
      <c r="AC28" s="7">
        <f>VC_NEW!X14</f>
        <v>0</v>
      </c>
      <c r="AD28" s="7">
        <f>VC_NEW!Y14</f>
        <v>0</v>
      </c>
      <c r="AE28" s="7" t="str">
        <f>VC_NEW!Z14</f>
        <v>A345T</v>
      </c>
      <c r="AF28" s="7">
        <f>VC_NEW!AA14</f>
        <v>0</v>
      </c>
      <c r="AG28" s="7">
        <f>VC_NEW!AB14</f>
        <v>0</v>
      </c>
      <c r="AH28" s="7">
        <f>VC_NEW!AC14</f>
        <v>0</v>
      </c>
      <c r="AI28" s="7">
        <f>VC_NEW!AD14</f>
        <v>0</v>
      </c>
      <c r="AJ28" s="7">
        <f>VC_NEW!AE14</f>
        <v>0</v>
      </c>
      <c r="AK28" s="7">
        <f>VC_NEW!AF14</f>
        <v>0</v>
      </c>
      <c r="AL28" s="7">
        <f>VC_NEW!AG14</f>
        <v>0</v>
      </c>
      <c r="AM28" s="7">
        <f>VC_NEW!AH14</f>
        <v>0</v>
      </c>
      <c r="AN28" s="7">
        <f>VC_NEW!AI14</f>
        <v>0</v>
      </c>
      <c r="AO28" s="7" t="str">
        <f>VC_NEW!AJ14</f>
        <v>R83K; V216A</v>
      </c>
      <c r="AP28" s="7">
        <f>VC_NEW!AK14</f>
        <v>0</v>
      </c>
      <c r="AQ28" s="7">
        <f>VC_NEW!AL14</f>
        <v>0</v>
      </c>
      <c r="AR28" s="7">
        <f>VC_NEW!AM14</f>
        <v>0</v>
      </c>
      <c r="AS28" s="7">
        <f>VC_NEW!AN14</f>
        <v>0</v>
      </c>
      <c r="AT28" s="7">
        <f>VC_NEW!AO14</f>
        <v>0</v>
      </c>
      <c r="AU28" s="7">
        <f>VC_NEW!AP14</f>
        <v>0</v>
      </c>
      <c r="AV28" s="7">
        <f>VC_NEW!AQ14</f>
        <v>0</v>
      </c>
      <c r="AW28" s="7">
        <f>VC_NEW!AR14</f>
        <v>0</v>
      </c>
      <c r="AX28" s="7">
        <f>VC_NEW!AS14</f>
        <v>0</v>
      </c>
      <c r="AY28" s="7">
        <f>VC_NEW!AT14</f>
        <v>0</v>
      </c>
      <c r="AZ28" s="7">
        <f>VC_NEW!AU14</f>
        <v>0</v>
      </c>
      <c r="BA28" s="7">
        <f>VC_NEW!AV14</f>
        <v>0</v>
      </c>
      <c r="BB28" s="7">
        <f>VC_NEW!AW14</f>
        <v>0</v>
      </c>
      <c r="BC28" s="7">
        <f>VC_NEW!AX14</f>
        <v>0</v>
      </c>
      <c r="BD28" s="7">
        <f>VC_NEW!AY14</f>
        <v>0</v>
      </c>
      <c r="BE28" s="7">
        <f>VC_NEW!AZ14</f>
        <v>0</v>
      </c>
      <c r="BF28" s="7">
        <f>VC_NEW!BA14</f>
        <v>0</v>
      </c>
      <c r="BG28" s="7">
        <f>VC_NEW!BB14</f>
        <v>0</v>
      </c>
      <c r="BH28" s="7">
        <f>VC_NEW!BC14</f>
        <v>0</v>
      </c>
      <c r="BI28" s="7">
        <f>VC_NEW!BD14</f>
        <v>0</v>
      </c>
      <c r="BJ28" s="7" t="str">
        <f>VC_NEW!BE14</f>
        <v>R385H</v>
      </c>
      <c r="BK28" s="7">
        <f>VC_NEW!BF14</f>
        <v>0</v>
      </c>
      <c r="BL28" s="7">
        <f>VC_NEW!BG14</f>
        <v>0</v>
      </c>
      <c r="BM28" s="7">
        <f>VC_NEW!BH14</f>
        <v>0</v>
      </c>
      <c r="BN28" s="7">
        <f>VC_NEW!BI14</f>
        <v>0</v>
      </c>
      <c r="BO28" s="7">
        <f>VC_NEW!BJ14</f>
        <v>0</v>
      </c>
      <c r="BP28" s="7" t="str">
        <f>VC_NEW!BK14</f>
        <v>aa118∆4</v>
      </c>
      <c r="BQ28" s="7">
        <f>VC_NEW!BL14</f>
        <v>0</v>
      </c>
      <c r="BR28" s="7" t="str">
        <f>VC_NEW!BM14</f>
        <v>L137P; nt998∆1</v>
      </c>
      <c r="BS28" s="7">
        <f>VC_NEW!BN14</f>
        <v>0</v>
      </c>
      <c r="BT28" s="7">
        <f>VC_NEW!BO14</f>
        <v>0</v>
      </c>
      <c r="BU28" s="7">
        <f>VC_NEW!BP14</f>
        <v>0</v>
      </c>
      <c r="BV28" s="7">
        <f>VC_NEW!BQ14</f>
        <v>0</v>
      </c>
      <c r="BW28" s="7">
        <f>VC_NEW!BR14</f>
        <v>0</v>
      </c>
      <c r="BX28" s="7" t="str">
        <f>VC_NEW!BS14</f>
        <v>G303R</v>
      </c>
      <c r="BY28" s="7">
        <f>VC_NEW!BT14</f>
        <v>0</v>
      </c>
      <c r="BZ28" s="7">
        <f>VC_NEW!BU14</f>
        <v>0</v>
      </c>
      <c r="CA28" s="7">
        <f>VC_NEW!BV14</f>
        <v>0</v>
      </c>
      <c r="CB28" s="7">
        <f>VC_NEW!BW14</f>
        <v>0</v>
      </c>
      <c r="CC28" s="7">
        <f>VC_NEW!BX14</f>
        <v>0</v>
      </c>
      <c r="CD28" s="7">
        <f>VC_NEW!BY14</f>
        <v>0</v>
      </c>
      <c r="CE28" s="7">
        <f>VC_NEW!BZ14</f>
        <v>0</v>
      </c>
      <c r="CF28" s="7">
        <f>VC_NEW!CA14</f>
        <v>0</v>
      </c>
      <c r="CG28" s="7">
        <f>VC_NEW!CB14</f>
        <v>0</v>
      </c>
      <c r="CH28" s="7">
        <f>VC_NEW!CC14</f>
        <v>0</v>
      </c>
      <c r="CI28" s="7">
        <f>VC_NEW!CD14</f>
        <v>0</v>
      </c>
      <c r="CJ28" s="7">
        <f>VC_NEW!CE14</f>
        <v>0</v>
      </c>
      <c r="CK28" s="7">
        <f>VC_NEW!CF14</f>
        <v>0</v>
      </c>
      <c r="CL28" s="7">
        <f>VC_NEW!CG14</f>
        <v>0</v>
      </c>
      <c r="CM28" s="7">
        <f>VC_NEW!CH14</f>
        <v>0</v>
      </c>
      <c r="CN28" s="7">
        <f>VC_NEW!CI14</f>
        <v>0</v>
      </c>
      <c r="CO28" s="7">
        <f>VC_NEW!CJ14</f>
        <v>0</v>
      </c>
      <c r="CP28" s="7">
        <f>VC_NEW!CK14</f>
        <v>0</v>
      </c>
      <c r="CQ28" s="7">
        <f>VC_NEW!CL14</f>
        <v>0</v>
      </c>
      <c r="CR28" s="7" t="str">
        <f>VC_NEW!CM14</f>
        <v>S352I</v>
      </c>
      <c r="CS28" s="7">
        <f>VC_NEW!CN14</f>
        <v>0</v>
      </c>
      <c r="CT28" s="7">
        <f>VC_NEW!CO14</f>
        <v>0</v>
      </c>
      <c r="CU28" s="7">
        <f>VC_NEW!CP14</f>
        <v>0</v>
      </c>
      <c r="CV28" s="7">
        <f>VC_NEW!CQ14</f>
        <v>0</v>
      </c>
      <c r="CW28" s="7">
        <f>VC_NEW!CR14</f>
        <v>0</v>
      </c>
      <c r="CX28" s="7">
        <f>VC_NEW!CS14</f>
        <v>0</v>
      </c>
      <c r="CY28" s="7">
        <f>VC_NEW!CT14</f>
        <v>0</v>
      </c>
      <c r="CZ28" s="7">
        <f>VC_NEW!CU14</f>
        <v>0</v>
      </c>
      <c r="DA28" s="7">
        <f>VC_NEW!CV14</f>
        <v>0</v>
      </c>
      <c r="DB28" s="7">
        <f>VC_NEW!CW14</f>
        <v>0</v>
      </c>
      <c r="DC28" s="7">
        <f>VC_NEW!CX14</f>
        <v>0</v>
      </c>
      <c r="DD28" s="7">
        <f>VC_NEW!CY14</f>
        <v>0</v>
      </c>
      <c r="DE28" s="7">
        <f>VC_NEW!CZ14</f>
        <v>0</v>
      </c>
      <c r="DF28" s="7">
        <f>VC_NEW!DA14</f>
        <v>0</v>
      </c>
      <c r="DG28" s="7">
        <f>VC_NEW!DB14</f>
        <v>0</v>
      </c>
      <c r="DH28" s="7">
        <f>VC_NEW!DC14</f>
        <v>0</v>
      </c>
      <c r="DI28" s="7">
        <f>VC_NEW!DD14</f>
        <v>0</v>
      </c>
      <c r="DJ28" s="7">
        <f>VC_NEW!DE14</f>
        <v>0</v>
      </c>
      <c r="DK28" s="7">
        <f>VC_NEW!DF14</f>
        <v>0</v>
      </c>
      <c r="DL28" s="7">
        <f>VC_NEW!DG14</f>
        <v>0</v>
      </c>
      <c r="DM28" s="7">
        <f>VC_NEW!DH14</f>
        <v>0</v>
      </c>
      <c r="DN28" s="7">
        <f>VC_NEW!DI14</f>
        <v>0</v>
      </c>
      <c r="DO28" s="7">
        <f>VC_NEW!DJ14</f>
        <v>0</v>
      </c>
      <c r="DP28" s="7">
        <f>VC_NEW!DK14</f>
        <v>0</v>
      </c>
      <c r="DQ28" s="7">
        <f>VC_NEW!DL14</f>
        <v>0</v>
      </c>
      <c r="DR28" s="7">
        <f>VC_NEW!DM14</f>
        <v>0</v>
      </c>
      <c r="DS28" s="7">
        <f>VC_NEW!DN14</f>
        <v>0</v>
      </c>
      <c r="DT28" s="7">
        <f>VC_NEW!DO14</f>
        <v>0</v>
      </c>
      <c r="DU28" s="7">
        <f>VC_NEW!DP14</f>
        <v>0</v>
      </c>
      <c r="DV28" s="7">
        <f>VC_NEW!DQ14</f>
        <v>0</v>
      </c>
      <c r="DW28" s="7">
        <f>VC_NEW!DR14</f>
        <v>0</v>
      </c>
      <c r="DX28" s="7" t="str">
        <f>VC_NEW!DS14</f>
        <v>V238L</v>
      </c>
      <c r="DY28" s="7" t="str">
        <f>VC_NEW!DT14</f>
        <v>Y73C</v>
      </c>
      <c r="DZ28" s="7">
        <f>VC_NEW!DU14</f>
        <v>0</v>
      </c>
      <c r="EA28" s="7">
        <f>VC_NEW!DV14</f>
        <v>0</v>
      </c>
      <c r="EB28" s="7">
        <f>VC_NEW!DW14</f>
        <v>0</v>
      </c>
      <c r="EC28" s="7">
        <f>VC_NEW!DX14</f>
        <v>0</v>
      </c>
      <c r="ED28" s="7" t="str">
        <f>VC_NEW!DY14</f>
        <v>S33R</v>
      </c>
      <c r="EE28" s="7">
        <f>VC_NEW!DZ14</f>
        <v>0</v>
      </c>
      <c r="EF28" s="7">
        <f>VC_NEW!EA14</f>
        <v>0</v>
      </c>
      <c r="EG28" s="7">
        <f>VC_NEW!EB14</f>
        <v>0</v>
      </c>
      <c r="EH28" s="7">
        <f>VC_NEW!EC14</f>
        <v>0</v>
      </c>
      <c r="EI28" s="7" t="str">
        <f>VC_NEW!ED14</f>
        <v>A293V</v>
      </c>
      <c r="EJ28" s="7">
        <f>VC_NEW!EE14</f>
        <v>0</v>
      </c>
      <c r="EK28" s="7">
        <f>VC_NEW!EF14</f>
        <v>0</v>
      </c>
      <c r="EL28" s="7">
        <f>VC_NEW!EG14</f>
        <v>0</v>
      </c>
      <c r="EM28" s="7">
        <f>VC_NEW!EH14</f>
        <v>0</v>
      </c>
      <c r="EN28" s="7">
        <f>VC_NEW!EI14</f>
        <v>0</v>
      </c>
      <c r="EO28" s="7">
        <f>VC_NEW!EJ14</f>
        <v>0</v>
      </c>
      <c r="EP28" s="7">
        <f>VC_NEW!EK14</f>
        <v>0</v>
      </c>
      <c r="EQ28" s="7">
        <f>VC_NEW!EL14</f>
        <v>0</v>
      </c>
      <c r="ER28" s="7" t="str">
        <f>VC_NEW!EM14</f>
        <v>L346P</v>
      </c>
      <c r="ES28" s="7">
        <f>VC_NEW!EN14</f>
        <v>0</v>
      </c>
      <c r="ET28" s="7">
        <f>VC_NEW!EO14</f>
        <v>0</v>
      </c>
      <c r="EU28" s="7">
        <f>VC_NEW!EP14</f>
        <v>0</v>
      </c>
      <c r="EV28" s="7">
        <f>VC_NEW!EQ14</f>
        <v>0</v>
      </c>
      <c r="EW28" s="7">
        <f>VC_NEW!ER14</f>
        <v>0</v>
      </c>
      <c r="EX28" s="7">
        <f>VC_NEW!ES14</f>
        <v>0</v>
      </c>
      <c r="EY28" s="7">
        <f>VC_NEW!ET14</f>
        <v>0</v>
      </c>
      <c r="EZ28" s="7">
        <f>VC_NEW!EU14</f>
        <v>0</v>
      </c>
      <c r="FA28" s="7">
        <f>VC_NEW!EV14</f>
        <v>0</v>
      </c>
      <c r="FB28" s="7">
        <f>VC_NEW!EW14</f>
        <v>0</v>
      </c>
      <c r="FC28" s="7">
        <f>VC_NEW!EX14</f>
        <v>0</v>
      </c>
      <c r="FD28" s="7">
        <f>VC_NEW!EY14</f>
        <v>0</v>
      </c>
      <c r="FE28" s="7" t="str">
        <f>VC_NEW!EZ14</f>
        <v>V216A</v>
      </c>
      <c r="FF28" s="7">
        <f>VC_NEW!FA14</f>
        <v>0</v>
      </c>
      <c r="FG28" s="7">
        <f>VC_NEW!FB14</f>
        <v>0</v>
      </c>
      <c r="FH28" s="7">
        <f>VC_NEW!FC14</f>
        <v>0</v>
      </c>
      <c r="FI28" s="7" t="str">
        <f>VC_NEW!FD14</f>
        <v>S277N</v>
      </c>
      <c r="FJ28" s="7">
        <f>VC_NEW!FE14</f>
        <v>0</v>
      </c>
      <c r="FK28" s="7">
        <f>VC_NEW!FF14</f>
        <v>0</v>
      </c>
      <c r="FL28" s="7" t="str">
        <f>VC_NEW!FG14</f>
        <v>R7H</v>
      </c>
      <c r="FM28" s="7">
        <f>VC_NEW!FH14</f>
        <v>0</v>
      </c>
      <c r="FN28" s="7">
        <f>VC_NEW!FI14</f>
        <v>0</v>
      </c>
      <c r="FO28" s="7">
        <f>VC_NEW!FJ14</f>
        <v>0</v>
      </c>
      <c r="FP28" s="7">
        <f>VC_NEW!FK14</f>
        <v>0</v>
      </c>
      <c r="FQ28" s="7">
        <f>VC_NEW!FL14</f>
        <v>0</v>
      </c>
      <c r="FR28" s="7">
        <f>VC_NEW!FM14</f>
        <v>0</v>
      </c>
      <c r="FS28" s="7">
        <f>VC_NEW!FN14</f>
        <v>0</v>
      </c>
      <c r="FT28" s="7">
        <f>VC_NEW!FO14</f>
        <v>0</v>
      </c>
      <c r="FU28" s="7">
        <f>VC_NEW!FP14</f>
        <v>0</v>
      </c>
      <c r="FV28" s="7">
        <f>VC_NEW!FQ14</f>
        <v>0</v>
      </c>
      <c r="FW28" s="7">
        <f>VC_NEW!FR14</f>
        <v>0</v>
      </c>
      <c r="FX28" s="7" t="str">
        <f>VC_NEW!FS14</f>
        <v>D348N</v>
      </c>
      <c r="FY28" s="7">
        <f>VC_NEW!FT14</f>
        <v>0</v>
      </c>
      <c r="FZ28" s="7">
        <f>VC_NEW!FU14</f>
        <v>0</v>
      </c>
      <c r="GA28" s="7">
        <f>VC_NEW!FV14</f>
        <v>0</v>
      </c>
      <c r="GB28" s="7">
        <f>VC_NEW!FW14</f>
        <v>0</v>
      </c>
      <c r="GC28" s="7" t="str">
        <f>VC_NEW!FX14</f>
        <v>Q349K</v>
      </c>
      <c r="GD28" s="7">
        <f>VC_NEW!FY14</f>
        <v>0</v>
      </c>
      <c r="GE28" s="7" t="str">
        <f>VC_NEW!FZ14</f>
        <v>V238L</v>
      </c>
      <c r="GF28" s="7">
        <f>VC_NEW!GA14</f>
        <v>0</v>
      </c>
      <c r="GG28" s="7">
        <f>VC_NEW!GB14</f>
        <v>0</v>
      </c>
      <c r="GH28" s="7" t="str">
        <f>VC_NEW!GC14</f>
        <v>D351N</v>
      </c>
      <c r="GI28" s="7">
        <f>VC_NEW!GD14</f>
        <v>0</v>
      </c>
      <c r="GJ28" s="7" t="str">
        <f>VC_NEW!GE14</f>
        <v>A395T</v>
      </c>
      <c r="GK28" s="7" t="str">
        <f>VC_NEW!GF14</f>
        <v>V152A</v>
      </c>
      <c r="GL28" s="7">
        <f>VC_NEW!GG14</f>
        <v>0</v>
      </c>
      <c r="GM28" s="7">
        <f>VC_NEW!GH14</f>
        <v>0</v>
      </c>
      <c r="GN28" s="7">
        <f>VC_NEW!GI14</f>
        <v>0</v>
      </c>
      <c r="GO28" s="7">
        <f>VC_NEW!GJ14</f>
        <v>0</v>
      </c>
      <c r="GP28" s="7">
        <f>VC_NEW!GK14</f>
        <v>0</v>
      </c>
      <c r="GQ28" s="7">
        <f>VC_NEW!GL14</f>
        <v>0</v>
      </c>
      <c r="GR28" s="7">
        <f>VC_NEW!GM14</f>
        <v>0</v>
      </c>
      <c r="GS28" s="7">
        <f>VC_NEW!GN14</f>
        <v>0</v>
      </c>
      <c r="GT28" s="7">
        <f>VC_NEW!GO14</f>
        <v>0</v>
      </c>
      <c r="GU28" s="7" t="str">
        <f>VC_NEW!GP14</f>
        <v>A29V</v>
      </c>
      <c r="GV28" s="7">
        <f>VC_NEW!GQ14</f>
        <v>0</v>
      </c>
      <c r="GW28" s="7">
        <f>VC_NEW!GR14</f>
        <v>0</v>
      </c>
      <c r="GX28" s="7">
        <f>VC_NEW!GS14</f>
        <v>0</v>
      </c>
      <c r="GY28" s="7" t="str">
        <f>VC_NEW!GT14</f>
        <v>L137P</v>
      </c>
      <c r="GZ28" s="7">
        <f>VC_NEW!GU14</f>
        <v>0</v>
      </c>
      <c r="HA28" s="7">
        <f>VC_NEW!GV14</f>
        <v>0</v>
      </c>
      <c r="HB28" s="7">
        <f>VC_NEW!GW14</f>
        <v>0</v>
      </c>
      <c r="HC28" s="7">
        <f>VC_NEW!GX14</f>
        <v>0</v>
      </c>
    </row>
    <row r="29" spans="1:211" s="7" customFormat="1" ht="15" hidden="1" customHeight="1" x14ac:dyDescent="0.25">
      <c r="A29" s="7" t="s">
        <v>45</v>
      </c>
      <c r="B29" s="7" t="s">
        <v>46</v>
      </c>
      <c r="C29" s="8" t="s">
        <v>2</v>
      </c>
      <c r="D29" s="7" t="s">
        <v>76</v>
      </c>
      <c r="E29" s="7" t="s">
        <v>138</v>
      </c>
      <c r="F29" s="7" t="s">
        <v>73</v>
      </c>
      <c r="G29" s="7" t="s">
        <v>140</v>
      </c>
      <c r="H29" s="7" t="str">
        <f>VC_NEW!C14</f>
        <v>L79P</v>
      </c>
      <c r="I29" s="7">
        <f>VC_NEW!D14</f>
        <v>0</v>
      </c>
      <c r="J29" s="7" t="str">
        <f>VC_NEW!E14</f>
        <v>V238L</v>
      </c>
      <c r="K29" s="7">
        <f>VC_NEW!F14</f>
        <v>0</v>
      </c>
      <c r="L29" s="7">
        <f>VC_NEW!G14</f>
        <v>0</v>
      </c>
      <c r="M29" s="7">
        <f>VC_NEW!H14</f>
        <v>0</v>
      </c>
      <c r="N29" s="7" t="str">
        <f>VC_NEW!I14</f>
        <v>L137P; V216A</v>
      </c>
      <c r="O29" s="7">
        <f>VC_NEW!J14</f>
        <v>0</v>
      </c>
      <c r="P29" s="7">
        <f>VC_NEW!K14</f>
        <v>0</v>
      </c>
      <c r="Q29" s="7">
        <f>VC_NEW!L14</f>
        <v>0</v>
      </c>
      <c r="R29" s="7" t="str">
        <f>VC_NEW!M14</f>
        <v>S352I</v>
      </c>
      <c r="S29" s="7">
        <f>VC_NEW!N14</f>
        <v>0</v>
      </c>
      <c r="T29" s="7">
        <f>VC_NEW!O14</f>
        <v>0</v>
      </c>
      <c r="U29" s="7">
        <f>VC_NEW!P14</f>
        <v>0</v>
      </c>
      <c r="V29" s="7">
        <f>VC_NEW!Q14</f>
        <v>0</v>
      </c>
      <c r="W29" s="7">
        <f>VC_NEW!R14</f>
        <v>0</v>
      </c>
      <c r="X29" s="7">
        <f>VC_NEW!S14</f>
        <v>0</v>
      </c>
      <c r="Y29" s="7">
        <f>VC_NEW!T14</f>
        <v>0</v>
      </c>
      <c r="Z29" s="7">
        <f>VC_NEW!U14</f>
        <v>0</v>
      </c>
      <c r="AA29" s="7">
        <f>VC_NEW!V14</f>
        <v>0</v>
      </c>
      <c r="AB29" s="7">
        <f>VC_NEW!W14</f>
        <v>0</v>
      </c>
      <c r="AC29" s="7">
        <f>VC_NEW!X14</f>
        <v>0</v>
      </c>
      <c r="AD29" s="7">
        <f>VC_NEW!Y14</f>
        <v>0</v>
      </c>
      <c r="AE29" s="7" t="str">
        <f>VC_NEW!Z14</f>
        <v>A345T</v>
      </c>
      <c r="AF29" s="7">
        <f>VC_NEW!AA14</f>
        <v>0</v>
      </c>
      <c r="AG29" s="7">
        <f>VC_NEW!AB14</f>
        <v>0</v>
      </c>
      <c r="AH29" s="7">
        <f>VC_NEW!AC14</f>
        <v>0</v>
      </c>
      <c r="AI29" s="7">
        <f>VC_NEW!AD14</f>
        <v>0</v>
      </c>
      <c r="AJ29" s="7">
        <f>VC_NEW!AE14</f>
        <v>0</v>
      </c>
      <c r="AK29" s="7">
        <f>VC_NEW!AF14</f>
        <v>0</v>
      </c>
      <c r="AL29" s="7">
        <f>VC_NEW!AG14</f>
        <v>0</v>
      </c>
      <c r="AM29" s="7">
        <f>VC_NEW!AH14</f>
        <v>0</v>
      </c>
      <c r="AN29" s="7">
        <f>VC_NEW!AI14</f>
        <v>0</v>
      </c>
      <c r="AO29" s="7" t="str">
        <f>VC_NEW!AJ14</f>
        <v>R83K; V216A</v>
      </c>
      <c r="AP29" s="7">
        <f>VC_NEW!AK14</f>
        <v>0</v>
      </c>
      <c r="AQ29" s="7">
        <f>VC_NEW!AL14</f>
        <v>0</v>
      </c>
      <c r="AR29" s="7">
        <f>VC_NEW!AM14</f>
        <v>0</v>
      </c>
      <c r="AS29" s="7">
        <f>VC_NEW!AN14</f>
        <v>0</v>
      </c>
      <c r="AT29" s="7">
        <f>VC_NEW!AO14</f>
        <v>0</v>
      </c>
      <c r="AU29" s="7">
        <f>VC_NEW!AP14</f>
        <v>0</v>
      </c>
      <c r="AV29" s="7">
        <f>VC_NEW!AQ14</f>
        <v>0</v>
      </c>
      <c r="AW29" s="7">
        <f>VC_NEW!AR14</f>
        <v>0</v>
      </c>
      <c r="AX29" s="7">
        <f>VC_NEW!AS14</f>
        <v>0</v>
      </c>
      <c r="AY29" s="7">
        <f>VC_NEW!AT14</f>
        <v>0</v>
      </c>
      <c r="AZ29" s="7">
        <f>VC_NEW!AU14</f>
        <v>0</v>
      </c>
      <c r="BA29" s="7">
        <f>VC_NEW!AV14</f>
        <v>0</v>
      </c>
      <c r="BB29" s="7">
        <f>VC_NEW!AW14</f>
        <v>0</v>
      </c>
      <c r="BC29" s="7">
        <f>VC_NEW!AX14</f>
        <v>0</v>
      </c>
      <c r="BD29" s="7">
        <f>VC_NEW!AY14</f>
        <v>0</v>
      </c>
      <c r="BE29" s="7">
        <f>VC_NEW!AZ14</f>
        <v>0</v>
      </c>
      <c r="BF29" s="7">
        <f>VC_NEW!BA14</f>
        <v>0</v>
      </c>
      <c r="BG29" s="7">
        <f>VC_NEW!BB14</f>
        <v>0</v>
      </c>
      <c r="BH29" s="7">
        <f>VC_NEW!BC14</f>
        <v>0</v>
      </c>
      <c r="BI29" s="7">
        <f>VC_NEW!BD14</f>
        <v>0</v>
      </c>
      <c r="BJ29" s="7" t="str">
        <f>VC_NEW!BE14</f>
        <v>R385H</v>
      </c>
      <c r="BK29" s="7">
        <f>VC_NEW!BF14</f>
        <v>0</v>
      </c>
      <c r="BL29" s="7">
        <f>VC_NEW!BG14</f>
        <v>0</v>
      </c>
      <c r="BM29" s="7">
        <f>VC_NEW!BH14</f>
        <v>0</v>
      </c>
      <c r="BN29" s="7">
        <f>VC_NEW!BI14</f>
        <v>0</v>
      </c>
      <c r="BO29" s="7">
        <f>VC_NEW!BJ14</f>
        <v>0</v>
      </c>
      <c r="BP29" s="7" t="str">
        <f>VC_NEW!BK14</f>
        <v>aa118∆4</v>
      </c>
      <c r="BQ29" s="7">
        <f>VC_NEW!BL14</f>
        <v>0</v>
      </c>
      <c r="BR29" s="7" t="str">
        <f>VC_NEW!BM14</f>
        <v>L137P; nt998∆1</v>
      </c>
      <c r="BS29" s="7">
        <f>VC_NEW!BN14</f>
        <v>0</v>
      </c>
      <c r="BT29" s="7">
        <f>VC_NEW!BO14</f>
        <v>0</v>
      </c>
      <c r="BU29" s="7">
        <f>VC_NEW!BP14</f>
        <v>0</v>
      </c>
      <c r="BV29" s="7">
        <f>VC_NEW!BQ14</f>
        <v>0</v>
      </c>
      <c r="BW29" s="7">
        <f>VC_NEW!BR14</f>
        <v>0</v>
      </c>
      <c r="BX29" s="7" t="str">
        <f>VC_NEW!BS14</f>
        <v>G303R</v>
      </c>
      <c r="BY29" s="7">
        <f>VC_NEW!BT14</f>
        <v>0</v>
      </c>
      <c r="BZ29" s="7">
        <f>VC_NEW!BU14</f>
        <v>0</v>
      </c>
      <c r="CA29" s="7">
        <f>VC_NEW!BV14</f>
        <v>0</v>
      </c>
      <c r="CB29" s="7">
        <f>VC_NEW!BW14</f>
        <v>0</v>
      </c>
      <c r="CC29" s="7">
        <f>VC_NEW!BX14</f>
        <v>0</v>
      </c>
      <c r="CD29" s="7">
        <f>VC_NEW!BY14</f>
        <v>0</v>
      </c>
      <c r="CE29" s="7">
        <f>VC_NEW!BZ14</f>
        <v>0</v>
      </c>
      <c r="CF29" s="7">
        <f>VC_NEW!CA14</f>
        <v>0</v>
      </c>
      <c r="CG29" s="7">
        <f>VC_NEW!CB14</f>
        <v>0</v>
      </c>
      <c r="CH29" s="7">
        <f>VC_NEW!CC14</f>
        <v>0</v>
      </c>
      <c r="CI29" s="7">
        <f>VC_NEW!CD14</f>
        <v>0</v>
      </c>
      <c r="CJ29" s="7">
        <f>VC_NEW!CE14</f>
        <v>0</v>
      </c>
      <c r="CK29" s="7">
        <f>VC_NEW!CF14</f>
        <v>0</v>
      </c>
      <c r="CL29" s="7">
        <f>VC_NEW!CG14</f>
        <v>0</v>
      </c>
      <c r="CM29" s="7">
        <f>VC_NEW!CH14</f>
        <v>0</v>
      </c>
      <c r="CN29" s="7">
        <f>VC_NEW!CI14</f>
        <v>0</v>
      </c>
      <c r="CO29" s="7">
        <f>VC_NEW!CJ14</f>
        <v>0</v>
      </c>
      <c r="CP29" s="7">
        <f>VC_NEW!CK14</f>
        <v>0</v>
      </c>
      <c r="CQ29" s="7">
        <f>VC_NEW!CL14</f>
        <v>0</v>
      </c>
      <c r="CR29" s="7" t="str">
        <f>VC_NEW!CM14</f>
        <v>S352I</v>
      </c>
      <c r="CS29" s="7">
        <f>VC_NEW!CN14</f>
        <v>0</v>
      </c>
      <c r="CT29" s="7">
        <f>VC_NEW!CO14</f>
        <v>0</v>
      </c>
      <c r="CU29" s="7">
        <f>VC_NEW!CP14</f>
        <v>0</v>
      </c>
      <c r="CV29" s="7">
        <f>VC_NEW!CQ14</f>
        <v>0</v>
      </c>
      <c r="CW29" s="7">
        <f>VC_NEW!CR14</f>
        <v>0</v>
      </c>
      <c r="CX29" s="7">
        <f>VC_NEW!CS14</f>
        <v>0</v>
      </c>
      <c r="CY29" s="7">
        <f>VC_NEW!CT14</f>
        <v>0</v>
      </c>
      <c r="CZ29" s="7">
        <f>VC_NEW!CU14</f>
        <v>0</v>
      </c>
      <c r="DA29" s="7">
        <f>VC_NEW!CV14</f>
        <v>0</v>
      </c>
      <c r="DB29" s="7">
        <f>VC_NEW!CW14</f>
        <v>0</v>
      </c>
      <c r="DC29" s="7">
        <f>VC_NEW!CX14</f>
        <v>0</v>
      </c>
      <c r="DD29" s="7">
        <f>VC_NEW!CY14</f>
        <v>0</v>
      </c>
      <c r="DE29" s="7">
        <f>VC_NEW!CZ14</f>
        <v>0</v>
      </c>
      <c r="DF29" s="7">
        <f>VC_NEW!DA14</f>
        <v>0</v>
      </c>
      <c r="DG29" s="7">
        <f>VC_NEW!DB14</f>
        <v>0</v>
      </c>
      <c r="DH29" s="7">
        <f>VC_NEW!DC14</f>
        <v>0</v>
      </c>
      <c r="DI29" s="7">
        <f>VC_NEW!DD14</f>
        <v>0</v>
      </c>
      <c r="DJ29" s="7">
        <f>VC_NEW!DE14</f>
        <v>0</v>
      </c>
      <c r="DK29" s="7">
        <f>VC_NEW!DF14</f>
        <v>0</v>
      </c>
      <c r="DL29" s="7">
        <f>VC_NEW!DG14</f>
        <v>0</v>
      </c>
      <c r="DM29" s="7">
        <f>VC_NEW!DH14</f>
        <v>0</v>
      </c>
      <c r="DN29" s="7">
        <f>VC_NEW!DI14</f>
        <v>0</v>
      </c>
      <c r="DO29" s="7">
        <f>VC_NEW!DJ14</f>
        <v>0</v>
      </c>
      <c r="DP29" s="7">
        <f>VC_NEW!DK14</f>
        <v>0</v>
      </c>
      <c r="DQ29" s="7">
        <f>VC_NEW!DL14</f>
        <v>0</v>
      </c>
      <c r="DR29" s="7">
        <f>VC_NEW!DM14</f>
        <v>0</v>
      </c>
      <c r="DS29" s="7">
        <f>VC_NEW!DN14</f>
        <v>0</v>
      </c>
      <c r="DT29" s="7">
        <f>VC_NEW!DO14</f>
        <v>0</v>
      </c>
      <c r="DU29" s="7">
        <f>VC_NEW!DP14</f>
        <v>0</v>
      </c>
      <c r="DV29" s="7">
        <f>VC_NEW!DQ14</f>
        <v>0</v>
      </c>
      <c r="DW29" s="7">
        <f>VC_NEW!DR14</f>
        <v>0</v>
      </c>
      <c r="DX29" s="7" t="str">
        <f>VC_NEW!DS14</f>
        <v>V238L</v>
      </c>
      <c r="DY29" s="7" t="str">
        <f>VC_NEW!DT14</f>
        <v>Y73C</v>
      </c>
      <c r="DZ29" s="7">
        <f>VC_NEW!DU14</f>
        <v>0</v>
      </c>
      <c r="EA29" s="7">
        <f>VC_NEW!DV14</f>
        <v>0</v>
      </c>
      <c r="EB29" s="7">
        <f>VC_NEW!DW14</f>
        <v>0</v>
      </c>
      <c r="EC29" s="7">
        <f>VC_NEW!DX14</f>
        <v>0</v>
      </c>
      <c r="ED29" s="7" t="str">
        <f>VC_NEW!DY14</f>
        <v>S33R</v>
      </c>
      <c r="EE29" s="7">
        <f>VC_NEW!DZ14</f>
        <v>0</v>
      </c>
      <c r="EF29" s="7">
        <f>VC_NEW!EA14</f>
        <v>0</v>
      </c>
      <c r="EG29" s="7">
        <f>VC_NEW!EB14</f>
        <v>0</v>
      </c>
      <c r="EH29" s="7">
        <f>VC_NEW!EC14</f>
        <v>0</v>
      </c>
      <c r="EI29" s="7" t="str">
        <f>VC_NEW!ED14</f>
        <v>A293V</v>
      </c>
      <c r="EJ29" s="7">
        <f>VC_NEW!EE14</f>
        <v>0</v>
      </c>
      <c r="EK29" s="7">
        <f>VC_NEW!EF14</f>
        <v>0</v>
      </c>
      <c r="EL29" s="7">
        <f>VC_NEW!EG14</f>
        <v>0</v>
      </c>
      <c r="EM29" s="7">
        <f>VC_NEW!EH14</f>
        <v>0</v>
      </c>
      <c r="EN29" s="7">
        <f>VC_NEW!EI14</f>
        <v>0</v>
      </c>
      <c r="EO29" s="7">
        <f>VC_NEW!EJ14</f>
        <v>0</v>
      </c>
      <c r="EP29" s="7">
        <f>VC_NEW!EK14</f>
        <v>0</v>
      </c>
      <c r="EQ29" s="7">
        <f>VC_NEW!EL14</f>
        <v>0</v>
      </c>
      <c r="ER29" s="7" t="str">
        <f>VC_NEW!EM14</f>
        <v>L346P</v>
      </c>
      <c r="ES29" s="7">
        <f>VC_NEW!EN14</f>
        <v>0</v>
      </c>
      <c r="ET29" s="7">
        <f>VC_NEW!EO14</f>
        <v>0</v>
      </c>
      <c r="EU29" s="7">
        <f>VC_NEW!EP14</f>
        <v>0</v>
      </c>
      <c r="EV29" s="7">
        <f>VC_NEW!EQ14</f>
        <v>0</v>
      </c>
      <c r="EW29" s="7">
        <f>VC_NEW!ER14</f>
        <v>0</v>
      </c>
      <c r="EX29" s="7">
        <f>VC_NEW!ES14</f>
        <v>0</v>
      </c>
      <c r="EY29" s="7">
        <f>VC_NEW!ET14</f>
        <v>0</v>
      </c>
      <c r="EZ29" s="7">
        <f>VC_NEW!EU14</f>
        <v>0</v>
      </c>
      <c r="FA29" s="7">
        <f>VC_NEW!EV14</f>
        <v>0</v>
      </c>
      <c r="FB29" s="7">
        <f>VC_NEW!EW14</f>
        <v>0</v>
      </c>
      <c r="FC29" s="7">
        <f>VC_NEW!EX14</f>
        <v>0</v>
      </c>
      <c r="FD29" s="7">
        <f>VC_NEW!EY14</f>
        <v>0</v>
      </c>
      <c r="FE29" s="7" t="str">
        <f>VC_NEW!EZ14</f>
        <v>V216A</v>
      </c>
      <c r="FF29" s="7">
        <f>VC_NEW!FA14</f>
        <v>0</v>
      </c>
      <c r="FG29" s="7">
        <f>VC_NEW!FB14</f>
        <v>0</v>
      </c>
      <c r="FH29" s="7">
        <f>VC_NEW!FC14</f>
        <v>0</v>
      </c>
      <c r="FI29" s="7" t="str">
        <f>VC_NEW!FD14</f>
        <v>S277N</v>
      </c>
      <c r="FJ29" s="7">
        <f>VC_NEW!FE14</f>
        <v>0</v>
      </c>
      <c r="FK29" s="7">
        <f>VC_NEW!FF14</f>
        <v>0</v>
      </c>
      <c r="FL29" s="7" t="str">
        <f>VC_NEW!FG14</f>
        <v>R7H</v>
      </c>
      <c r="FM29" s="7">
        <f>VC_NEW!FH14</f>
        <v>0</v>
      </c>
      <c r="FN29" s="7">
        <f>VC_NEW!FI14</f>
        <v>0</v>
      </c>
      <c r="FO29" s="7">
        <f>VC_NEW!FJ14</f>
        <v>0</v>
      </c>
      <c r="FP29" s="7">
        <f>VC_NEW!FK14</f>
        <v>0</v>
      </c>
      <c r="FQ29" s="7">
        <f>VC_NEW!FL14</f>
        <v>0</v>
      </c>
      <c r="FR29" s="7">
        <f>VC_NEW!FM14</f>
        <v>0</v>
      </c>
      <c r="FS29" s="7">
        <f>VC_NEW!FN14</f>
        <v>0</v>
      </c>
      <c r="FT29" s="7">
        <f>VC_NEW!FO14</f>
        <v>0</v>
      </c>
      <c r="FU29" s="7">
        <f>VC_NEW!FP14</f>
        <v>0</v>
      </c>
      <c r="FV29" s="7">
        <f>VC_NEW!FQ14</f>
        <v>0</v>
      </c>
      <c r="FW29" s="7">
        <f>VC_NEW!FR14</f>
        <v>0</v>
      </c>
      <c r="FX29" s="7" t="str">
        <f>VC_NEW!FS14</f>
        <v>D348N</v>
      </c>
      <c r="FY29" s="7">
        <f>VC_NEW!FT14</f>
        <v>0</v>
      </c>
      <c r="FZ29" s="7">
        <f>VC_NEW!FU14</f>
        <v>0</v>
      </c>
      <c r="GA29" s="7">
        <f>VC_NEW!FV14</f>
        <v>0</v>
      </c>
      <c r="GB29" s="7">
        <f>VC_NEW!FW14</f>
        <v>0</v>
      </c>
      <c r="GC29" s="7" t="str">
        <f>VC_NEW!FX14</f>
        <v>Q349K</v>
      </c>
      <c r="GD29" s="7">
        <f>VC_NEW!FY14</f>
        <v>0</v>
      </c>
      <c r="GE29" s="7" t="str">
        <f>VC_NEW!FZ14</f>
        <v>V238L</v>
      </c>
      <c r="GF29" s="7">
        <f>VC_NEW!GA14</f>
        <v>0</v>
      </c>
      <c r="GG29" s="7">
        <f>VC_NEW!GB14</f>
        <v>0</v>
      </c>
      <c r="GH29" s="7" t="str">
        <f>VC_NEW!GC14</f>
        <v>D351N</v>
      </c>
      <c r="GI29" s="7">
        <f>VC_NEW!GD14</f>
        <v>0</v>
      </c>
      <c r="GJ29" s="7" t="str">
        <f>VC_NEW!GE14</f>
        <v>A395T</v>
      </c>
      <c r="GK29" s="7" t="str">
        <f>VC_NEW!GF14</f>
        <v>V152A</v>
      </c>
      <c r="GL29" s="7">
        <f>VC_NEW!GG14</f>
        <v>0</v>
      </c>
      <c r="GM29" s="7">
        <f>VC_NEW!GH14</f>
        <v>0</v>
      </c>
      <c r="GN29" s="7">
        <f>VC_NEW!GI14</f>
        <v>0</v>
      </c>
      <c r="GO29" s="7">
        <f>VC_NEW!GJ14</f>
        <v>0</v>
      </c>
      <c r="GP29" s="7">
        <f>VC_NEW!GK14</f>
        <v>0</v>
      </c>
      <c r="GQ29" s="7">
        <f>VC_NEW!GL14</f>
        <v>0</v>
      </c>
      <c r="GR29" s="7">
        <f>VC_NEW!GM14</f>
        <v>0</v>
      </c>
      <c r="GS29" s="7">
        <f>VC_NEW!GN14</f>
        <v>0</v>
      </c>
      <c r="GT29" s="7">
        <f>VC_NEW!GO14</f>
        <v>0</v>
      </c>
      <c r="GU29" s="7" t="str">
        <f>VC_NEW!GP14</f>
        <v>A29V</v>
      </c>
      <c r="GV29" s="7">
        <f>VC_NEW!GQ14</f>
        <v>0</v>
      </c>
      <c r="GW29" s="7">
        <f>VC_NEW!GR14</f>
        <v>0</v>
      </c>
      <c r="GX29" s="7">
        <f>VC_NEW!GS14</f>
        <v>0</v>
      </c>
      <c r="GY29" s="7" t="str">
        <f>VC_NEW!GT14</f>
        <v>L137P</v>
      </c>
      <c r="GZ29" s="7">
        <f>VC_NEW!GU14</f>
        <v>0</v>
      </c>
      <c r="HA29" s="7">
        <f>VC_NEW!GV14</f>
        <v>0</v>
      </c>
      <c r="HB29" s="7">
        <f>VC_NEW!GW14</f>
        <v>0</v>
      </c>
      <c r="HC29" s="7">
        <f>VC_NEW!GX14</f>
        <v>0</v>
      </c>
    </row>
    <row r="30" spans="1:211" s="7" customFormat="1" ht="15" hidden="1" customHeight="1" x14ac:dyDescent="0.25">
      <c r="A30" s="7" t="s">
        <v>45</v>
      </c>
      <c r="B30" s="7" t="s">
        <v>46</v>
      </c>
      <c r="C30" s="8" t="s">
        <v>4</v>
      </c>
      <c r="D30" s="7" t="s">
        <v>76</v>
      </c>
      <c r="E30" s="7" t="s">
        <v>139</v>
      </c>
      <c r="F30" s="7" t="s">
        <v>73</v>
      </c>
      <c r="G30" s="7" t="s">
        <v>140</v>
      </c>
      <c r="H30" s="7" t="str">
        <f>VC_NEW!C14</f>
        <v>L79P</v>
      </c>
      <c r="I30" s="7">
        <f>VC_NEW!D14</f>
        <v>0</v>
      </c>
      <c r="J30" s="7" t="str">
        <f>VC_NEW!E14</f>
        <v>V238L</v>
      </c>
      <c r="K30" s="7">
        <f>VC_NEW!F14</f>
        <v>0</v>
      </c>
      <c r="L30" s="7">
        <f>VC_NEW!G14</f>
        <v>0</v>
      </c>
      <c r="M30" s="7">
        <f>VC_NEW!H14</f>
        <v>0</v>
      </c>
      <c r="N30" s="7" t="str">
        <f>VC_NEW!I14</f>
        <v>L137P; V216A</v>
      </c>
      <c r="O30" s="7">
        <f>VC_NEW!J14</f>
        <v>0</v>
      </c>
      <c r="P30" s="7">
        <f>VC_NEW!K14</f>
        <v>0</v>
      </c>
      <c r="Q30" s="7">
        <f>VC_NEW!L14</f>
        <v>0</v>
      </c>
      <c r="R30" s="7" t="str">
        <f>VC_NEW!M14</f>
        <v>S352I</v>
      </c>
      <c r="S30" s="7">
        <f>VC_NEW!N14</f>
        <v>0</v>
      </c>
      <c r="T30" s="7">
        <f>VC_NEW!O14</f>
        <v>0</v>
      </c>
      <c r="U30" s="7">
        <f>VC_NEW!P14</f>
        <v>0</v>
      </c>
      <c r="V30" s="7">
        <f>VC_NEW!Q14</f>
        <v>0</v>
      </c>
      <c r="W30" s="7">
        <f>VC_NEW!R14</f>
        <v>0</v>
      </c>
      <c r="X30" s="7">
        <f>VC_NEW!S14</f>
        <v>0</v>
      </c>
      <c r="Y30" s="7">
        <f>VC_NEW!T14</f>
        <v>0</v>
      </c>
      <c r="Z30" s="7">
        <f>VC_NEW!U14</f>
        <v>0</v>
      </c>
      <c r="AA30" s="7">
        <f>VC_NEW!V14</f>
        <v>0</v>
      </c>
      <c r="AB30" s="7">
        <f>VC_NEW!W14</f>
        <v>0</v>
      </c>
      <c r="AC30" s="7">
        <f>VC_NEW!X14</f>
        <v>0</v>
      </c>
      <c r="AD30" s="7">
        <f>VC_NEW!Y14</f>
        <v>0</v>
      </c>
      <c r="AE30" s="7" t="str">
        <f>VC_NEW!Z14</f>
        <v>A345T</v>
      </c>
      <c r="AF30" s="7">
        <f>VC_NEW!AA14</f>
        <v>0</v>
      </c>
      <c r="AG30" s="7">
        <f>VC_NEW!AB14</f>
        <v>0</v>
      </c>
      <c r="AH30" s="7">
        <f>VC_NEW!AC14</f>
        <v>0</v>
      </c>
      <c r="AI30" s="7">
        <f>VC_NEW!AD14</f>
        <v>0</v>
      </c>
      <c r="AJ30" s="7">
        <f>VC_NEW!AE14</f>
        <v>0</v>
      </c>
      <c r="AK30" s="7">
        <f>VC_NEW!AF14</f>
        <v>0</v>
      </c>
      <c r="AL30" s="7">
        <f>VC_NEW!AG14</f>
        <v>0</v>
      </c>
      <c r="AM30" s="7">
        <f>VC_NEW!AH14</f>
        <v>0</v>
      </c>
      <c r="AN30" s="7">
        <f>VC_NEW!AI14</f>
        <v>0</v>
      </c>
      <c r="AO30" s="7" t="str">
        <f>VC_NEW!AJ14</f>
        <v>R83K; V216A</v>
      </c>
      <c r="AP30" s="7">
        <f>VC_NEW!AK14</f>
        <v>0</v>
      </c>
      <c r="AQ30" s="7">
        <f>VC_NEW!AL14</f>
        <v>0</v>
      </c>
      <c r="AR30" s="7">
        <f>VC_NEW!AM14</f>
        <v>0</v>
      </c>
      <c r="AS30" s="7">
        <f>VC_NEW!AN14</f>
        <v>0</v>
      </c>
      <c r="AT30" s="7">
        <f>VC_NEW!AO14</f>
        <v>0</v>
      </c>
      <c r="AU30" s="7">
        <f>VC_NEW!AP14</f>
        <v>0</v>
      </c>
      <c r="AV30" s="7">
        <f>VC_NEW!AQ14</f>
        <v>0</v>
      </c>
      <c r="AW30" s="7">
        <f>VC_NEW!AR14</f>
        <v>0</v>
      </c>
      <c r="AX30" s="7">
        <f>VC_NEW!AS14</f>
        <v>0</v>
      </c>
      <c r="AY30" s="7">
        <f>VC_NEW!AT14</f>
        <v>0</v>
      </c>
      <c r="AZ30" s="7">
        <f>VC_NEW!AU14</f>
        <v>0</v>
      </c>
      <c r="BA30" s="7">
        <f>VC_NEW!AV14</f>
        <v>0</v>
      </c>
      <c r="BB30" s="7">
        <f>VC_NEW!AW14</f>
        <v>0</v>
      </c>
      <c r="BC30" s="7">
        <f>VC_NEW!AX14</f>
        <v>0</v>
      </c>
      <c r="BD30" s="7">
        <f>VC_NEW!AY14</f>
        <v>0</v>
      </c>
      <c r="BE30" s="7">
        <f>VC_NEW!AZ14</f>
        <v>0</v>
      </c>
      <c r="BF30" s="7">
        <f>VC_NEW!BA14</f>
        <v>0</v>
      </c>
      <c r="BG30" s="7">
        <f>VC_NEW!BB14</f>
        <v>0</v>
      </c>
      <c r="BH30" s="7">
        <f>VC_NEW!BC14</f>
        <v>0</v>
      </c>
      <c r="BI30" s="7">
        <f>VC_NEW!BD14</f>
        <v>0</v>
      </c>
      <c r="BJ30" s="7" t="str">
        <f>VC_NEW!BE14</f>
        <v>R385H</v>
      </c>
      <c r="BK30" s="7">
        <f>VC_NEW!BF14</f>
        <v>0</v>
      </c>
      <c r="BL30" s="7">
        <f>VC_NEW!BG14</f>
        <v>0</v>
      </c>
      <c r="BM30" s="7">
        <f>VC_NEW!BH14</f>
        <v>0</v>
      </c>
      <c r="BN30" s="7">
        <f>VC_NEW!BI14</f>
        <v>0</v>
      </c>
      <c r="BO30" s="7">
        <f>VC_NEW!BJ14</f>
        <v>0</v>
      </c>
      <c r="BP30" s="7" t="str">
        <f>VC_NEW!BK14</f>
        <v>aa118∆4</v>
      </c>
      <c r="BQ30" s="7">
        <f>VC_NEW!BL14</f>
        <v>0</v>
      </c>
      <c r="BR30" s="7" t="str">
        <f>VC_NEW!BM14</f>
        <v>L137P; nt998∆1</v>
      </c>
      <c r="BS30" s="7">
        <f>VC_NEW!BN14</f>
        <v>0</v>
      </c>
      <c r="BT30" s="7">
        <f>VC_NEW!BO14</f>
        <v>0</v>
      </c>
      <c r="BU30" s="7">
        <f>VC_NEW!BP14</f>
        <v>0</v>
      </c>
      <c r="BV30" s="7">
        <f>VC_NEW!BQ14</f>
        <v>0</v>
      </c>
      <c r="BW30" s="7">
        <f>VC_NEW!BR14</f>
        <v>0</v>
      </c>
      <c r="BX30" s="7" t="str">
        <f>VC_NEW!BS14</f>
        <v>G303R</v>
      </c>
      <c r="BY30" s="7">
        <f>VC_NEW!BT14</f>
        <v>0</v>
      </c>
      <c r="BZ30" s="7">
        <f>VC_NEW!BU14</f>
        <v>0</v>
      </c>
      <c r="CA30" s="7">
        <f>VC_NEW!BV14</f>
        <v>0</v>
      </c>
      <c r="CB30" s="7">
        <f>VC_NEW!BW14</f>
        <v>0</v>
      </c>
      <c r="CC30" s="7">
        <f>VC_NEW!BX14</f>
        <v>0</v>
      </c>
      <c r="CD30" s="7">
        <f>VC_NEW!BY14</f>
        <v>0</v>
      </c>
      <c r="CE30" s="7">
        <f>VC_NEW!BZ14</f>
        <v>0</v>
      </c>
      <c r="CF30" s="7">
        <f>VC_NEW!CA14</f>
        <v>0</v>
      </c>
      <c r="CG30" s="7">
        <f>VC_NEW!CB14</f>
        <v>0</v>
      </c>
      <c r="CH30" s="7">
        <f>VC_NEW!CC14</f>
        <v>0</v>
      </c>
      <c r="CI30" s="7">
        <f>VC_NEW!CD14</f>
        <v>0</v>
      </c>
      <c r="CJ30" s="7">
        <f>VC_NEW!CE14</f>
        <v>0</v>
      </c>
      <c r="CK30" s="7">
        <f>VC_NEW!CF14</f>
        <v>0</v>
      </c>
      <c r="CL30" s="7">
        <f>VC_NEW!CG14</f>
        <v>0</v>
      </c>
      <c r="CM30" s="7">
        <f>VC_NEW!CH14</f>
        <v>0</v>
      </c>
      <c r="CN30" s="7">
        <f>VC_NEW!CI14</f>
        <v>0</v>
      </c>
      <c r="CO30" s="7">
        <f>VC_NEW!CJ14</f>
        <v>0</v>
      </c>
      <c r="CP30" s="7">
        <f>VC_NEW!CK14</f>
        <v>0</v>
      </c>
      <c r="CQ30" s="7">
        <f>VC_NEW!CL14</f>
        <v>0</v>
      </c>
      <c r="CR30" s="7" t="str">
        <f>VC_NEW!CM14</f>
        <v>S352I</v>
      </c>
      <c r="CS30" s="7">
        <f>VC_NEW!CN14</f>
        <v>0</v>
      </c>
      <c r="CT30" s="7">
        <f>VC_NEW!CO14</f>
        <v>0</v>
      </c>
      <c r="CU30" s="7">
        <f>VC_NEW!CP14</f>
        <v>0</v>
      </c>
      <c r="CV30" s="7">
        <f>VC_NEW!CQ14</f>
        <v>0</v>
      </c>
      <c r="CW30" s="7">
        <f>VC_NEW!CR14</f>
        <v>0</v>
      </c>
      <c r="CX30" s="7">
        <f>VC_NEW!CS14</f>
        <v>0</v>
      </c>
      <c r="CY30" s="7">
        <f>VC_NEW!CT14</f>
        <v>0</v>
      </c>
      <c r="CZ30" s="7">
        <f>VC_NEW!CU14</f>
        <v>0</v>
      </c>
      <c r="DA30" s="7">
        <f>VC_NEW!CV14</f>
        <v>0</v>
      </c>
      <c r="DB30" s="7">
        <f>VC_NEW!CW14</f>
        <v>0</v>
      </c>
      <c r="DC30" s="7">
        <f>VC_NEW!CX14</f>
        <v>0</v>
      </c>
      <c r="DD30" s="7">
        <f>VC_NEW!CY14</f>
        <v>0</v>
      </c>
      <c r="DE30" s="7">
        <f>VC_NEW!CZ14</f>
        <v>0</v>
      </c>
      <c r="DF30" s="7">
        <f>VC_NEW!DA14</f>
        <v>0</v>
      </c>
      <c r="DG30" s="7">
        <f>VC_NEW!DB14</f>
        <v>0</v>
      </c>
      <c r="DH30" s="7">
        <f>VC_NEW!DC14</f>
        <v>0</v>
      </c>
      <c r="DI30" s="7">
        <f>VC_NEW!DD14</f>
        <v>0</v>
      </c>
      <c r="DJ30" s="7">
        <f>VC_NEW!DE14</f>
        <v>0</v>
      </c>
      <c r="DK30" s="7">
        <f>VC_NEW!DF14</f>
        <v>0</v>
      </c>
      <c r="DL30" s="7">
        <f>VC_NEW!DG14</f>
        <v>0</v>
      </c>
      <c r="DM30" s="7">
        <f>VC_NEW!DH14</f>
        <v>0</v>
      </c>
      <c r="DN30" s="7">
        <f>VC_NEW!DI14</f>
        <v>0</v>
      </c>
      <c r="DO30" s="7">
        <f>VC_NEW!DJ14</f>
        <v>0</v>
      </c>
      <c r="DP30" s="7">
        <f>VC_NEW!DK14</f>
        <v>0</v>
      </c>
      <c r="DQ30" s="7">
        <f>VC_NEW!DL14</f>
        <v>0</v>
      </c>
      <c r="DR30" s="7">
        <f>VC_NEW!DM14</f>
        <v>0</v>
      </c>
      <c r="DS30" s="7">
        <f>VC_NEW!DN14</f>
        <v>0</v>
      </c>
      <c r="DT30" s="7">
        <f>VC_NEW!DO14</f>
        <v>0</v>
      </c>
      <c r="DU30" s="7">
        <f>VC_NEW!DP14</f>
        <v>0</v>
      </c>
      <c r="DV30" s="7">
        <f>VC_NEW!DQ14</f>
        <v>0</v>
      </c>
      <c r="DW30" s="7">
        <f>VC_NEW!DR14</f>
        <v>0</v>
      </c>
      <c r="DX30" s="7" t="str">
        <f>VC_NEW!DS14</f>
        <v>V238L</v>
      </c>
      <c r="DY30" s="7" t="str">
        <f>VC_NEW!DT14</f>
        <v>Y73C</v>
      </c>
      <c r="DZ30" s="7">
        <f>VC_NEW!DU14</f>
        <v>0</v>
      </c>
      <c r="EA30" s="7">
        <f>VC_NEW!DV14</f>
        <v>0</v>
      </c>
      <c r="EB30" s="7">
        <f>VC_NEW!DW14</f>
        <v>0</v>
      </c>
      <c r="EC30" s="7">
        <f>VC_NEW!DX14</f>
        <v>0</v>
      </c>
      <c r="ED30" s="7" t="str">
        <f>VC_NEW!DY14</f>
        <v>S33R</v>
      </c>
      <c r="EE30" s="7">
        <f>VC_NEW!DZ14</f>
        <v>0</v>
      </c>
      <c r="EF30" s="7">
        <f>VC_NEW!EA14</f>
        <v>0</v>
      </c>
      <c r="EG30" s="7">
        <f>VC_NEW!EB14</f>
        <v>0</v>
      </c>
      <c r="EH30" s="7">
        <f>VC_NEW!EC14</f>
        <v>0</v>
      </c>
      <c r="EI30" s="7" t="str">
        <f>VC_NEW!ED14</f>
        <v>A293V</v>
      </c>
      <c r="EJ30" s="7">
        <f>VC_NEW!EE14</f>
        <v>0</v>
      </c>
      <c r="EK30" s="7">
        <f>VC_NEW!EF14</f>
        <v>0</v>
      </c>
      <c r="EL30" s="7">
        <f>VC_NEW!EG14</f>
        <v>0</v>
      </c>
      <c r="EM30" s="7">
        <f>VC_NEW!EH14</f>
        <v>0</v>
      </c>
      <c r="EN30" s="7">
        <f>VC_NEW!EI14</f>
        <v>0</v>
      </c>
      <c r="EO30" s="7">
        <f>VC_NEW!EJ14</f>
        <v>0</v>
      </c>
      <c r="EP30" s="7">
        <f>VC_NEW!EK14</f>
        <v>0</v>
      </c>
      <c r="EQ30" s="7">
        <f>VC_NEW!EL14</f>
        <v>0</v>
      </c>
      <c r="ER30" s="7" t="str">
        <f>VC_NEW!EM14</f>
        <v>L346P</v>
      </c>
      <c r="ES30" s="7">
        <f>VC_NEW!EN14</f>
        <v>0</v>
      </c>
      <c r="ET30" s="7">
        <f>VC_NEW!EO14</f>
        <v>0</v>
      </c>
      <c r="EU30" s="7">
        <f>VC_NEW!EP14</f>
        <v>0</v>
      </c>
      <c r="EV30" s="7">
        <f>VC_NEW!EQ14</f>
        <v>0</v>
      </c>
      <c r="EW30" s="7">
        <f>VC_NEW!ER14</f>
        <v>0</v>
      </c>
      <c r="EX30" s="7">
        <f>VC_NEW!ES14</f>
        <v>0</v>
      </c>
      <c r="EY30" s="7">
        <f>VC_NEW!ET14</f>
        <v>0</v>
      </c>
      <c r="EZ30" s="7">
        <f>VC_NEW!EU14</f>
        <v>0</v>
      </c>
      <c r="FA30" s="7">
        <f>VC_NEW!EV14</f>
        <v>0</v>
      </c>
      <c r="FB30" s="7">
        <f>VC_NEW!EW14</f>
        <v>0</v>
      </c>
      <c r="FC30" s="7">
        <f>VC_NEW!EX14</f>
        <v>0</v>
      </c>
      <c r="FD30" s="7">
        <f>VC_NEW!EY14</f>
        <v>0</v>
      </c>
      <c r="FE30" s="7" t="str">
        <f>VC_NEW!EZ14</f>
        <v>V216A</v>
      </c>
      <c r="FF30" s="7">
        <f>VC_NEW!FA14</f>
        <v>0</v>
      </c>
      <c r="FG30" s="7">
        <f>VC_NEW!FB14</f>
        <v>0</v>
      </c>
      <c r="FH30" s="7">
        <f>VC_NEW!FC14</f>
        <v>0</v>
      </c>
      <c r="FI30" s="7" t="str">
        <f>VC_NEW!FD14</f>
        <v>S277N</v>
      </c>
      <c r="FJ30" s="7">
        <f>VC_NEW!FE14</f>
        <v>0</v>
      </c>
      <c r="FK30" s="7">
        <f>VC_NEW!FF14</f>
        <v>0</v>
      </c>
      <c r="FL30" s="7" t="str">
        <f>VC_NEW!FG14</f>
        <v>R7H</v>
      </c>
      <c r="FM30" s="7">
        <f>VC_NEW!FH14</f>
        <v>0</v>
      </c>
      <c r="FN30" s="7">
        <f>VC_NEW!FI14</f>
        <v>0</v>
      </c>
      <c r="FO30" s="7">
        <f>VC_NEW!FJ14</f>
        <v>0</v>
      </c>
      <c r="FP30" s="7">
        <f>VC_NEW!FK14</f>
        <v>0</v>
      </c>
      <c r="FQ30" s="7">
        <f>VC_NEW!FL14</f>
        <v>0</v>
      </c>
      <c r="FR30" s="7">
        <f>VC_NEW!FM14</f>
        <v>0</v>
      </c>
      <c r="FS30" s="7">
        <f>VC_NEW!FN14</f>
        <v>0</v>
      </c>
      <c r="FT30" s="7">
        <f>VC_NEW!FO14</f>
        <v>0</v>
      </c>
      <c r="FU30" s="7">
        <f>VC_NEW!FP14</f>
        <v>0</v>
      </c>
      <c r="FV30" s="7">
        <f>VC_NEW!FQ14</f>
        <v>0</v>
      </c>
      <c r="FW30" s="7">
        <f>VC_NEW!FR14</f>
        <v>0</v>
      </c>
      <c r="FX30" s="7" t="str">
        <f>VC_NEW!FS14</f>
        <v>D348N</v>
      </c>
      <c r="FY30" s="7">
        <f>VC_NEW!FT14</f>
        <v>0</v>
      </c>
      <c r="FZ30" s="7">
        <f>VC_NEW!FU14</f>
        <v>0</v>
      </c>
      <c r="GA30" s="7">
        <f>VC_NEW!FV14</f>
        <v>0</v>
      </c>
      <c r="GB30" s="7">
        <f>VC_NEW!FW14</f>
        <v>0</v>
      </c>
      <c r="GC30" s="7" t="str">
        <f>VC_NEW!FX14</f>
        <v>Q349K</v>
      </c>
      <c r="GD30" s="7">
        <f>VC_NEW!FY14</f>
        <v>0</v>
      </c>
      <c r="GE30" s="7" t="str">
        <f>VC_NEW!FZ14</f>
        <v>V238L</v>
      </c>
      <c r="GF30" s="7">
        <f>VC_NEW!GA14</f>
        <v>0</v>
      </c>
      <c r="GG30" s="7">
        <f>VC_NEW!GB14</f>
        <v>0</v>
      </c>
      <c r="GH30" s="7" t="str">
        <f>VC_NEW!GC14</f>
        <v>D351N</v>
      </c>
      <c r="GI30" s="7">
        <f>VC_NEW!GD14</f>
        <v>0</v>
      </c>
      <c r="GJ30" s="7" t="str">
        <f>VC_NEW!GE14</f>
        <v>A395T</v>
      </c>
      <c r="GK30" s="7" t="str">
        <f>VC_NEW!GF14</f>
        <v>V152A</v>
      </c>
      <c r="GL30" s="7">
        <f>VC_NEW!GG14</f>
        <v>0</v>
      </c>
      <c r="GM30" s="7">
        <f>VC_NEW!GH14</f>
        <v>0</v>
      </c>
      <c r="GN30" s="7">
        <f>VC_NEW!GI14</f>
        <v>0</v>
      </c>
      <c r="GO30" s="7">
        <f>VC_NEW!GJ14</f>
        <v>0</v>
      </c>
      <c r="GP30" s="7">
        <f>VC_NEW!GK14</f>
        <v>0</v>
      </c>
      <c r="GQ30" s="7">
        <f>VC_NEW!GL14</f>
        <v>0</v>
      </c>
      <c r="GR30" s="7">
        <f>VC_NEW!GM14</f>
        <v>0</v>
      </c>
      <c r="GS30" s="7">
        <f>VC_NEW!GN14</f>
        <v>0</v>
      </c>
      <c r="GT30" s="7">
        <f>VC_NEW!GO14</f>
        <v>0</v>
      </c>
      <c r="GU30" s="7" t="str">
        <f>VC_NEW!GP14</f>
        <v>A29V</v>
      </c>
      <c r="GV30" s="7">
        <f>VC_NEW!GQ14</f>
        <v>0</v>
      </c>
      <c r="GW30" s="7">
        <f>VC_NEW!GR14</f>
        <v>0</v>
      </c>
      <c r="GX30" s="7">
        <f>VC_NEW!GS14</f>
        <v>0</v>
      </c>
      <c r="GY30" s="7" t="str">
        <f>VC_NEW!GT14</f>
        <v>L137P</v>
      </c>
      <c r="GZ30" s="7">
        <f>VC_NEW!GU14</f>
        <v>0</v>
      </c>
      <c r="HA30" s="7">
        <f>VC_NEW!GV14</f>
        <v>0</v>
      </c>
      <c r="HB30" s="7">
        <f>VC_NEW!GW14</f>
        <v>0</v>
      </c>
      <c r="HC30" s="7">
        <f>VC_NEW!GX14</f>
        <v>0</v>
      </c>
    </row>
    <row r="31" spans="1:211" s="1" customFormat="1" ht="15" hidden="1" customHeight="1" thickBot="1" x14ac:dyDescent="0.3">
      <c r="A31" s="1" t="s">
        <v>47</v>
      </c>
      <c r="B31" s="1" t="s">
        <v>48</v>
      </c>
      <c r="C31" s="4" t="s">
        <v>0</v>
      </c>
      <c r="D31" s="1" t="s">
        <v>76</v>
      </c>
      <c r="E31" s="1" t="s">
        <v>138</v>
      </c>
      <c r="F31" s="1" t="s">
        <v>73</v>
      </c>
      <c r="G31" s="1" t="s">
        <v>142</v>
      </c>
      <c r="H31" s="1">
        <f>VC_NEW!C15</f>
        <v>0</v>
      </c>
      <c r="I31" s="1">
        <f>VC_NEW!D15</f>
        <v>0</v>
      </c>
      <c r="J31" s="1">
        <f>VC_NEW!E15</f>
        <v>0</v>
      </c>
      <c r="K31" s="1">
        <f>VC_NEW!F15</f>
        <v>0</v>
      </c>
      <c r="L31" s="1">
        <f>VC_NEW!G15</f>
        <v>0</v>
      </c>
      <c r="M31" s="1">
        <f>VC_NEW!H15</f>
        <v>0</v>
      </c>
      <c r="N31" s="1">
        <f>VC_NEW!I15</f>
        <v>0</v>
      </c>
      <c r="O31" s="1">
        <f>VC_NEW!J15</f>
        <v>0</v>
      </c>
      <c r="P31" s="1">
        <f>VC_NEW!K15</f>
        <v>0</v>
      </c>
      <c r="Q31" s="1">
        <f>VC_NEW!L15</f>
        <v>0</v>
      </c>
      <c r="R31" s="1">
        <f>VC_NEW!M15</f>
        <v>0</v>
      </c>
      <c r="S31" s="1">
        <f>VC_NEW!N15</f>
        <v>0</v>
      </c>
      <c r="T31" s="1">
        <f>VC_NEW!O15</f>
        <v>0</v>
      </c>
      <c r="U31" s="1">
        <f>VC_NEW!P15</f>
        <v>0</v>
      </c>
      <c r="V31" s="1">
        <f>VC_NEW!Q15</f>
        <v>0</v>
      </c>
      <c r="W31" s="1">
        <f>VC_NEW!R15</f>
        <v>0</v>
      </c>
      <c r="X31" s="1">
        <f>VC_NEW!S15</f>
        <v>0</v>
      </c>
      <c r="Y31" s="1">
        <f>VC_NEW!T15</f>
        <v>0</v>
      </c>
      <c r="Z31" s="1">
        <f>VC_NEW!U15</f>
        <v>0</v>
      </c>
      <c r="AA31" s="1">
        <f>VC_NEW!V15</f>
        <v>0</v>
      </c>
      <c r="AB31" s="1">
        <f>VC_NEW!W15</f>
        <v>0</v>
      </c>
      <c r="AC31" s="1">
        <f>VC_NEW!X15</f>
        <v>0</v>
      </c>
      <c r="AD31" s="1">
        <f>VC_NEW!Y15</f>
        <v>0</v>
      </c>
      <c r="AE31" s="1">
        <f>VC_NEW!Z15</f>
        <v>0</v>
      </c>
      <c r="AF31" s="1">
        <f>VC_NEW!AA15</f>
        <v>0</v>
      </c>
      <c r="AG31" s="1">
        <f>VC_NEW!AB15</f>
        <v>0</v>
      </c>
      <c r="AH31" s="1">
        <f>VC_NEW!AC15</f>
        <v>0</v>
      </c>
      <c r="AI31" s="1">
        <f>VC_NEW!AD15</f>
        <v>0</v>
      </c>
      <c r="AJ31" s="1">
        <f>VC_NEW!AE15</f>
        <v>0</v>
      </c>
      <c r="AK31" s="1">
        <f>VC_NEW!AF15</f>
        <v>0</v>
      </c>
      <c r="AL31" s="1">
        <f>VC_NEW!AG15</f>
        <v>0</v>
      </c>
      <c r="AM31" s="1">
        <f>VC_NEW!AH15</f>
        <v>0</v>
      </c>
      <c r="AN31" s="1">
        <f>VC_NEW!AI15</f>
        <v>0</v>
      </c>
      <c r="AO31" s="1">
        <f>VC_NEW!AJ15</f>
        <v>0</v>
      </c>
      <c r="AP31" s="1">
        <f>VC_NEW!AK15</f>
        <v>0</v>
      </c>
      <c r="AQ31" s="1">
        <f>VC_NEW!AL15</f>
        <v>0</v>
      </c>
      <c r="AR31" s="1">
        <f>VC_NEW!AM15</f>
        <v>0</v>
      </c>
      <c r="AS31" s="1">
        <f>VC_NEW!AN15</f>
        <v>0</v>
      </c>
      <c r="AT31" s="1">
        <f>VC_NEW!AO15</f>
        <v>0</v>
      </c>
      <c r="AU31" s="1">
        <f>VC_NEW!AP15</f>
        <v>0</v>
      </c>
      <c r="AV31" s="1">
        <f>VC_NEW!AQ15</f>
        <v>0</v>
      </c>
      <c r="AW31" s="1">
        <f>VC_NEW!AR15</f>
        <v>0</v>
      </c>
      <c r="AX31" s="1">
        <f>VC_NEW!AS15</f>
        <v>0</v>
      </c>
      <c r="AY31" s="1">
        <f>VC_NEW!AT15</f>
        <v>0</v>
      </c>
      <c r="AZ31" s="1">
        <f>VC_NEW!AU15</f>
        <v>0</v>
      </c>
      <c r="BA31" s="1">
        <f>VC_NEW!AV15</f>
        <v>0</v>
      </c>
      <c r="BB31" s="1">
        <f>VC_NEW!AW15</f>
        <v>0</v>
      </c>
      <c r="BC31" s="1">
        <f>VC_NEW!AX15</f>
        <v>0</v>
      </c>
      <c r="BD31" s="1">
        <f>VC_NEW!AY15</f>
        <v>0</v>
      </c>
      <c r="BE31" s="1">
        <f>VC_NEW!AZ15</f>
        <v>0</v>
      </c>
      <c r="BF31" s="1">
        <f>VC_NEW!BA15</f>
        <v>0</v>
      </c>
      <c r="BG31" s="1">
        <f>VC_NEW!BB15</f>
        <v>0</v>
      </c>
      <c r="BH31" s="1">
        <f>VC_NEW!BC15</f>
        <v>0</v>
      </c>
      <c r="BI31" s="1">
        <f>VC_NEW!BD15</f>
        <v>0</v>
      </c>
      <c r="BJ31" s="1">
        <f>VC_NEW!BE15</f>
        <v>0</v>
      </c>
      <c r="BK31" s="1">
        <f>VC_NEW!BF15</f>
        <v>0</v>
      </c>
      <c r="BL31" s="1">
        <f>VC_NEW!BG15</f>
        <v>0</v>
      </c>
      <c r="BM31" s="1">
        <f>VC_NEW!BH15</f>
        <v>0</v>
      </c>
      <c r="BN31" s="1">
        <f>VC_NEW!BI15</f>
        <v>0</v>
      </c>
      <c r="BO31" s="1">
        <f>VC_NEW!BJ15</f>
        <v>0</v>
      </c>
      <c r="BP31" s="1">
        <f>VC_NEW!BK15</f>
        <v>0</v>
      </c>
      <c r="BQ31" s="1">
        <f>VC_NEW!BL15</f>
        <v>0</v>
      </c>
      <c r="BR31" s="1">
        <f>VC_NEW!BM15</f>
        <v>0</v>
      </c>
      <c r="BS31" s="1">
        <f>VC_NEW!BN15</f>
        <v>0</v>
      </c>
      <c r="BT31" s="1" t="str">
        <f>VC_NEW!BO15</f>
        <v>L90I</v>
      </c>
      <c r="BU31" s="1">
        <f>VC_NEW!BP15</f>
        <v>0</v>
      </c>
      <c r="BV31" s="1">
        <f>VC_NEW!BQ15</f>
        <v>0</v>
      </c>
      <c r="BW31" s="1">
        <f>VC_NEW!BR15</f>
        <v>0</v>
      </c>
      <c r="BX31" s="1">
        <f>VC_NEW!BS15</f>
        <v>0</v>
      </c>
      <c r="BY31" s="1">
        <f>VC_NEW!BT15</f>
        <v>0</v>
      </c>
      <c r="BZ31" s="1">
        <f>VC_NEW!BU15</f>
        <v>0</v>
      </c>
      <c r="CA31" s="1">
        <f>VC_NEW!BV15</f>
        <v>0</v>
      </c>
      <c r="CB31" s="1">
        <f>VC_NEW!BW15</f>
        <v>0</v>
      </c>
      <c r="CC31" s="1">
        <f>VC_NEW!BX15</f>
        <v>0</v>
      </c>
      <c r="CD31" s="1">
        <f>VC_NEW!BY15</f>
        <v>0</v>
      </c>
      <c r="CE31" s="1">
        <f>VC_NEW!BZ15</f>
        <v>0</v>
      </c>
      <c r="CF31" s="1">
        <f>VC_NEW!CA15</f>
        <v>0</v>
      </c>
      <c r="CG31" s="1">
        <f>VC_NEW!CB15</f>
        <v>0</v>
      </c>
      <c r="CH31" s="1">
        <f>VC_NEW!CC15</f>
        <v>0</v>
      </c>
      <c r="CI31" s="1">
        <f>VC_NEW!CD15</f>
        <v>0</v>
      </c>
      <c r="CJ31" s="1">
        <f>VC_NEW!CE15</f>
        <v>0</v>
      </c>
      <c r="CK31" s="1">
        <f>VC_NEW!CF15</f>
        <v>0</v>
      </c>
      <c r="CL31" s="1">
        <f>VC_NEW!CG15</f>
        <v>0</v>
      </c>
      <c r="CM31" s="1">
        <f>VC_NEW!CH15</f>
        <v>0</v>
      </c>
      <c r="CN31" s="1">
        <f>VC_NEW!CI15</f>
        <v>0</v>
      </c>
      <c r="CO31" s="1">
        <f>VC_NEW!CJ15</f>
        <v>0</v>
      </c>
      <c r="CP31" s="1">
        <f>VC_NEW!CK15</f>
        <v>0</v>
      </c>
      <c r="CQ31" s="1">
        <f>VC_NEW!CL15</f>
        <v>0</v>
      </c>
      <c r="CR31" s="1">
        <f>VC_NEW!CM15</f>
        <v>0</v>
      </c>
      <c r="CS31" s="1">
        <f>VC_NEW!CN15</f>
        <v>0</v>
      </c>
      <c r="CT31" s="1">
        <f>VC_NEW!CO15</f>
        <v>0</v>
      </c>
      <c r="CU31" s="1">
        <f>VC_NEW!CP15</f>
        <v>0</v>
      </c>
      <c r="CV31" s="1">
        <f>VC_NEW!CQ15</f>
        <v>0</v>
      </c>
      <c r="CW31" s="1">
        <f>VC_NEW!CR15</f>
        <v>0</v>
      </c>
      <c r="CX31" s="1">
        <f>VC_NEW!CS15</f>
        <v>0</v>
      </c>
      <c r="CY31" s="1">
        <f>VC_NEW!CT15</f>
        <v>0</v>
      </c>
      <c r="CZ31" s="1">
        <f>VC_NEW!CU15</f>
        <v>0</v>
      </c>
      <c r="DA31" s="1">
        <f>VC_NEW!CV15</f>
        <v>0</v>
      </c>
      <c r="DB31" s="1">
        <f>VC_NEW!CW15</f>
        <v>0</v>
      </c>
      <c r="DC31" s="1">
        <f>VC_NEW!CX15</f>
        <v>0</v>
      </c>
      <c r="DD31" s="1">
        <f>VC_NEW!CY15</f>
        <v>0</v>
      </c>
      <c r="DE31" s="1">
        <f>VC_NEW!CZ15</f>
        <v>0</v>
      </c>
      <c r="DF31" s="1">
        <f>VC_NEW!DA15</f>
        <v>0</v>
      </c>
      <c r="DG31" s="1">
        <f>VC_NEW!DB15</f>
        <v>0</v>
      </c>
      <c r="DH31" s="1">
        <f>VC_NEW!DC15</f>
        <v>0</v>
      </c>
      <c r="DI31" s="1">
        <f>VC_NEW!DD15</f>
        <v>0</v>
      </c>
      <c r="DJ31" s="1">
        <f>VC_NEW!DE15</f>
        <v>0</v>
      </c>
      <c r="DK31" s="1">
        <f>VC_NEW!DF15</f>
        <v>0</v>
      </c>
      <c r="DL31" s="1">
        <f>VC_NEW!DG15</f>
        <v>0</v>
      </c>
      <c r="DM31" s="1">
        <f>VC_NEW!DH15</f>
        <v>0</v>
      </c>
      <c r="DN31" s="1">
        <f>VC_NEW!DI15</f>
        <v>0</v>
      </c>
      <c r="DO31" s="1" t="str">
        <f>VC_NEW!DJ15</f>
        <v>aa214∆1</v>
      </c>
      <c r="DP31" s="1">
        <f>VC_NEW!DK15</f>
        <v>0</v>
      </c>
      <c r="DQ31" s="1">
        <f>VC_NEW!DL15</f>
        <v>0</v>
      </c>
      <c r="DR31" s="1">
        <f>VC_NEW!DM15</f>
        <v>0</v>
      </c>
      <c r="DS31" s="1">
        <f>VC_NEW!DN15</f>
        <v>0</v>
      </c>
      <c r="DT31" s="1">
        <f>VC_NEW!DO15</f>
        <v>0</v>
      </c>
      <c r="DU31" s="1">
        <f>VC_NEW!DP15</f>
        <v>0</v>
      </c>
      <c r="DV31" s="1">
        <f>VC_NEW!DQ15</f>
        <v>0</v>
      </c>
      <c r="DW31" s="1">
        <f>VC_NEW!DR15</f>
        <v>0</v>
      </c>
      <c r="DX31" s="1">
        <f>VC_NEW!DS15</f>
        <v>0</v>
      </c>
      <c r="DY31" s="1">
        <f>VC_NEW!DT15</f>
        <v>0</v>
      </c>
      <c r="DZ31" s="1">
        <f>VC_NEW!DU15</f>
        <v>0</v>
      </c>
      <c r="EA31" s="1">
        <f>VC_NEW!DV15</f>
        <v>0</v>
      </c>
      <c r="EB31" s="1">
        <f>VC_NEW!DW15</f>
        <v>0</v>
      </c>
      <c r="EC31" s="1">
        <f>VC_NEW!DX15</f>
        <v>0</v>
      </c>
      <c r="ED31" s="1">
        <f>VC_NEW!DY15</f>
        <v>0</v>
      </c>
      <c r="EE31" s="1">
        <f>VC_NEW!DZ15</f>
        <v>0</v>
      </c>
      <c r="EF31" s="1">
        <f>VC_NEW!EA15</f>
        <v>0</v>
      </c>
      <c r="EG31" s="1">
        <f>VC_NEW!EB15</f>
        <v>0</v>
      </c>
      <c r="EH31" s="1">
        <f>VC_NEW!EC15</f>
        <v>0</v>
      </c>
      <c r="EI31" s="1">
        <f>VC_NEW!ED15</f>
        <v>0</v>
      </c>
      <c r="EJ31" s="1">
        <f>VC_NEW!EE15</f>
        <v>0</v>
      </c>
      <c r="EK31" s="1">
        <f>VC_NEW!EF15</f>
        <v>0</v>
      </c>
      <c r="EL31" s="1">
        <f>VC_NEW!EG15</f>
        <v>0</v>
      </c>
      <c r="EM31" s="1">
        <f>VC_NEW!EH15</f>
        <v>0</v>
      </c>
      <c r="EN31" s="1">
        <f>VC_NEW!EI15</f>
        <v>0</v>
      </c>
      <c r="EO31" s="1">
        <f>VC_NEW!EJ15</f>
        <v>0</v>
      </c>
      <c r="EP31" s="1">
        <f>VC_NEW!EK15</f>
        <v>0</v>
      </c>
      <c r="EQ31" s="1">
        <f>VC_NEW!EL15</f>
        <v>0</v>
      </c>
      <c r="ER31" s="1">
        <f>VC_NEW!EM15</f>
        <v>0</v>
      </c>
      <c r="ES31" s="1">
        <f>VC_NEW!EN15</f>
        <v>0</v>
      </c>
      <c r="ET31" s="1">
        <f>VC_NEW!EO15</f>
        <v>0</v>
      </c>
      <c r="EU31" s="1">
        <f>VC_NEW!EP15</f>
        <v>0</v>
      </c>
      <c r="EV31" s="1">
        <f>VC_NEW!EQ15</f>
        <v>0</v>
      </c>
      <c r="EW31" s="1">
        <f>VC_NEW!ER15</f>
        <v>0</v>
      </c>
      <c r="EX31" s="1">
        <f>VC_NEW!ES15</f>
        <v>0</v>
      </c>
      <c r="EY31" s="1">
        <f>VC_NEW!ET15</f>
        <v>0</v>
      </c>
      <c r="EZ31" s="1">
        <f>VC_NEW!EU15</f>
        <v>0</v>
      </c>
      <c r="FA31" s="1">
        <f>VC_NEW!EV15</f>
        <v>0</v>
      </c>
      <c r="FB31" s="1">
        <f>VC_NEW!EW15</f>
        <v>0</v>
      </c>
      <c r="FC31" s="1">
        <f>VC_NEW!EX15</f>
        <v>0</v>
      </c>
      <c r="FD31" s="1">
        <f>VC_NEW!EY15</f>
        <v>0</v>
      </c>
      <c r="FE31" s="1">
        <f>VC_NEW!EZ15</f>
        <v>0</v>
      </c>
      <c r="FF31" s="1">
        <f>VC_NEW!FA15</f>
        <v>0</v>
      </c>
      <c r="FG31" s="1">
        <f>VC_NEW!FB15</f>
        <v>0</v>
      </c>
      <c r="FH31" s="1">
        <f>VC_NEW!FC15</f>
        <v>0</v>
      </c>
      <c r="FI31" s="1">
        <f>VC_NEW!FD15</f>
        <v>0</v>
      </c>
      <c r="FJ31" s="1">
        <f>VC_NEW!FE15</f>
        <v>0</v>
      </c>
      <c r="FK31" s="1">
        <f>VC_NEW!FF15</f>
        <v>0</v>
      </c>
      <c r="FL31" s="1">
        <f>VC_NEW!FG15</f>
        <v>0</v>
      </c>
      <c r="FM31" s="1">
        <f>VC_NEW!FH15</f>
        <v>0</v>
      </c>
      <c r="FN31" s="1">
        <f>VC_NEW!FI15</f>
        <v>0</v>
      </c>
      <c r="FO31" s="1">
        <f>VC_NEW!FJ15</f>
        <v>0</v>
      </c>
      <c r="FP31" s="1">
        <f>VC_NEW!FK15</f>
        <v>0</v>
      </c>
      <c r="FQ31" s="1">
        <f>VC_NEW!FL15</f>
        <v>0</v>
      </c>
      <c r="FR31" s="1">
        <f>VC_NEW!FM15</f>
        <v>0</v>
      </c>
      <c r="FS31" s="1" t="str">
        <f>VC_NEW!FN15</f>
        <v>P128S</v>
      </c>
      <c r="FT31" s="1">
        <f>VC_NEW!FO15</f>
        <v>0</v>
      </c>
      <c r="FU31" s="1">
        <f>VC_NEW!FP15</f>
        <v>0</v>
      </c>
      <c r="FV31" s="1">
        <f>VC_NEW!FQ15</f>
        <v>0</v>
      </c>
      <c r="FW31" s="1">
        <f>VC_NEW!FR15</f>
        <v>0</v>
      </c>
      <c r="FX31" s="1">
        <f>VC_NEW!FS15</f>
        <v>0</v>
      </c>
      <c r="FY31" s="1">
        <f>VC_NEW!FT15</f>
        <v>0</v>
      </c>
      <c r="FZ31" s="1">
        <f>VC_NEW!FU15</f>
        <v>0</v>
      </c>
      <c r="GA31" s="1">
        <f>VC_NEW!FV15</f>
        <v>0</v>
      </c>
      <c r="GB31" s="1">
        <f>VC_NEW!FW15</f>
        <v>0</v>
      </c>
      <c r="GC31" s="1">
        <f>VC_NEW!FX15</f>
        <v>0</v>
      </c>
      <c r="GD31" s="1">
        <f>VC_NEW!FY15</f>
        <v>0</v>
      </c>
      <c r="GE31" s="1">
        <f>VC_NEW!FZ15</f>
        <v>0</v>
      </c>
      <c r="GF31" s="1">
        <f>VC_NEW!GA15</f>
        <v>0</v>
      </c>
      <c r="GG31" s="1">
        <f>VC_NEW!GB15</f>
        <v>0</v>
      </c>
      <c r="GH31" s="1">
        <f>VC_NEW!GC15</f>
        <v>0</v>
      </c>
      <c r="GI31" s="1">
        <f>VC_NEW!GD15</f>
        <v>0</v>
      </c>
      <c r="GJ31" s="1">
        <f>VC_NEW!GE15</f>
        <v>0</v>
      </c>
      <c r="GK31" s="1">
        <f>VC_NEW!GF15</f>
        <v>0</v>
      </c>
      <c r="GL31" s="1">
        <f>VC_NEW!GG15</f>
        <v>0</v>
      </c>
      <c r="GM31" s="1">
        <f>VC_NEW!GH15</f>
        <v>0</v>
      </c>
      <c r="GN31" s="1" t="str">
        <f>VC_NEW!GI15</f>
        <v>V55I; I80L</v>
      </c>
      <c r="GO31" s="1">
        <f>VC_NEW!GJ15</f>
        <v>0</v>
      </c>
      <c r="GP31" s="1">
        <f>VC_NEW!GK15</f>
        <v>0</v>
      </c>
      <c r="GQ31" s="1">
        <f>VC_NEW!GL15</f>
        <v>0</v>
      </c>
      <c r="GR31" s="1">
        <f>VC_NEW!GM15</f>
        <v>0</v>
      </c>
      <c r="GS31" s="1">
        <f>VC_NEW!GN15</f>
        <v>0</v>
      </c>
      <c r="GT31" s="1">
        <f>VC_NEW!GO15</f>
        <v>0</v>
      </c>
      <c r="GU31" s="1">
        <f>VC_NEW!GP15</f>
        <v>0</v>
      </c>
      <c r="GV31" s="1">
        <f>VC_NEW!GQ15</f>
        <v>0</v>
      </c>
      <c r="GW31" s="1">
        <f>VC_NEW!GR15</f>
        <v>0</v>
      </c>
      <c r="GX31" s="1">
        <f>VC_NEW!GS15</f>
        <v>0</v>
      </c>
      <c r="GY31" s="1">
        <f>VC_NEW!GT15</f>
        <v>0</v>
      </c>
      <c r="GZ31" s="1">
        <f>VC_NEW!GU15</f>
        <v>0</v>
      </c>
      <c r="HA31" s="1">
        <f>VC_NEW!GV15</f>
        <v>0</v>
      </c>
      <c r="HB31" s="1">
        <f>VC_NEW!GW15</f>
        <v>0</v>
      </c>
      <c r="HC31" s="1" t="str">
        <f>VC_NEW!GX15</f>
        <v>R178C</v>
      </c>
    </row>
    <row r="32" spans="1:211" s="1" customFormat="1" ht="15" hidden="1" customHeight="1" x14ac:dyDescent="0.25">
      <c r="A32" s="2" t="s">
        <v>47</v>
      </c>
      <c r="B32" s="1" t="s">
        <v>48</v>
      </c>
      <c r="C32" s="4" t="s">
        <v>2</v>
      </c>
      <c r="D32" s="1" t="s">
        <v>76</v>
      </c>
      <c r="E32" s="1" t="s">
        <v>138</v>
      </c>
      <c r="F32" s="1" t="s">
        <v>73</v>
      </c>
      <c r="G32" s="1" t="s">
        <v>142</v>
      </c>
      <c r="H32" s="1">
        <f>VC_NEW!C15</f>
        <v>0</v>
      </c>
      <c r="I32" s="1">
        <f>VC_NEW!D15</f>
        <v>0</v>
      </c>
      <c r="J32" s="1">
        <f>VC_NEW!E15</f>
        <v>0</v>
      </c>
      <c r="K32" s="1">
        <f>VC_NEW!F15</f>
        <v>0</v>
      </c>
      <c r="L32" s="1">
        <f>VC_NEW!G15</f>
        <v>0</v>
      </c>
      <c r="M32" s="1">
        <f>VC_NEW!H15</f>
        <v>0</v>
      </c>
      <c r="N32" s="1">
        <f>VC_NEW!I15</f>
        <v>0</v>
      </c>
      <c r="O32" s="1">
        <f>VC_NEW!J15</f>
        <v>0</v>
      </c>
      <c r="P32" s="1">
        <f>VC_NEW!K15</f>
        <v>0</v>
      </c>
      <c r="Q32" s="1">
        <f>VC_NEW!L15</f>
        <v>0</v>
      </c>
      <c r="R32" s="1">
        <f>VC_NEW!M15</f>
        <v>0</v>
      </c>
      <c r="S32" s="1">
        <f>VC_NEW!N15</f>
        <v>0</v>
      </c>
      <c r="T32" s="1">
        <f>VC_NEW!O15</f>
        <v>0</v>
      </c>
      <c r="U32" s="1">
        <f>VC_NEW!P15</f>
        <v>0</v>
      </c>
      <c r="V32" s="1">
        <f>VC_NEW!Q15</f>
        <v>0</v>
      </c>
      <c r="W32" s="1">
        <f>VC_NEW!R15</f>
        <v>0</v>
      </c>
      <c r="X32" s="1">
        <f>VC_NEW!S15</f>
        <v>0</v>
      </c>
      <c r="Y32" s="1">
        <f>VC_NEW!T15</f>
        <v>0</v>
      </c>
      <c r="Z32" s="1">
        <f>VC_NEW!U15</f>
        <v>0</v>
      </c>
      <c r="AA32" s="1">
        <f>VC_NEW!V15</f>
        <v>0</v>
      </c>
      <c r="AB32" s="1">
        <f>VC_NEW!W15</f>
        <v>0</v>
      </c>
      <c r="AC32" s="1">
        <f>VC_NEW!X15</f>
        <v>0</v>
      </c>
      <c r="AD32" s="1">
        <f>VC_NEW!Y15</f>
        <v>0</v>
      </c>
      <c r="AE32" s="1">
        <f>VC_NEW!Z15</f>
        <v>0</v>
      </c>
      <c r="AF32" s="1">
        <f>VC_NEW!AA15</f>
        <v>0</v>
      </c>
      <c r="AG32" s="1">
        <f>VC_NEW!AB15</f>
        <v>0</v>
      </c>
      <c r="AH32" s="1">
        <f>VC_NEW!AC15</f>
        <v>0</v>
      </c>
      <c r="AI32" s="1">
        <f>VC_NEW!AD15</f>
        <v>0</v>
      </c>
      <c r="AJ32" s="1">
        <f>VC_NEW!AE15</f>
        <v>0</v>
      </c>
      <c r="AK32" s="1">
        <f>VC_NEW!AF15</f>
        <v>0</v>
      </c>
      <c r="AL32" s="1">
        <f>VC_NEW!AG15</f>
        <v>0</v>
      </c>
      <c r="AM32" s="1">
        <f>VC_NEW!AH15</f>
        <v>0</v>
      </c>
      <c r="AN32" s="1">
        <f>VC_NEW!AI15</f>
        <v>0</v>
      </c>
      <c r="AO32" s="1">
        <f>VC_NEW!AJ15</f>
        <v>0</v>
      </c>
      <c r="AP32" s="1">
        <f>VC_NEW!AK15</f>
        <v>0</v>
      </c>
      <c r="AQ32" s="1">
        <f>VC_NEW!AL15</f>
        <v>0</v>
      </c>
      <c r="AR32" s="1">
        <f>VC_NEW!AM15</f>
        <v>0</v>
      </c>
      <c r="AS32" s="1">
        <f>VC_NEW!AN15</f>
        <v>0</v>
      </c>
      <c r="AT32" s="1">
        <f>VC_NEW!AO15</f>
        <v>0</v>
      </c>
      <c r="AU32" s="1">
        <f>VC_NEW!AP15</f>
        <v>0</v>
      </c>
      <c r="AV32" s="1">
        <f>VC_NEW!AQ15</f>
        <v>0</v>
      </c>
      <c r="AW32" s="1">
        <f>VC_NEW!AR15</f>
        <v>0</v>
      </c>
      <c r="AX32" s="1">
        <f>VC_NEW!AS15</f>
        <v>0</v>
      </c>
      <c r="AY32" s="1">
        <f>VC_NEW!AT15</f>
        <v>0</v>
      </c>
      <c r="AZ32" s="1">
        <f>VC_NEW!AU15</f>
        <v>0</v>
      </c>
      <c r="BA32" s="1">
        <f>VC_NEW!AV15</f>
        <v>0</v>
      </c>
      <c r="BB32" s="1">
        <f>VC_NEW!AW15</f>
        <v>0</v>
      </c>
      <c r="BC32" s="1">
        <f>VC_NEW!AX15</f>
        <v>0</v>
      </c>
      <c r="BD32" s="1">
        <f>VC_NEW!AY15</f>
        <v>0</v>
      </c>
      <c r="BE32" s="1">
        <f>VC_NEW!AZ15</f>
        <v>0</v>
      </c>
      <c r="BF32" s="1">
        <f>VC_NEW!BA15</f>
        <v>0</v>
      </c>
      <c r="BG32" s="1">
        <f>VC_NEW!BB15</f>
        <v>0</v>
      </c>
      <c r="BH32" s="1">
        <f>VC_NEW!BC15</f>
        <v>0</v>
      </c>
      <c r="BI32" s="1">
        <f>VC_NEW!BD15</f>
        <v>0</v>
      </c>
      <c r="BJ32" s="1">
        <f>VC_NEW!BE15</f>
        <v>0</v>
      </c>
      <c r="BK32" s="1">
        <f>VC_NEW!BF15</f>
        <v>0</v>
      </c>
      <c r="BL32" s="1">
        <f>VC_NEW!BG15</f>
        <v>0</v>
      </c>
      <c r="BM32" s="1">
        <f>VC_NEW!BH15</f>
        <v>0</v>
      </c>
      <c r="BN32" s="1">
        <f>VC_NEW!BI15</f>
        <v>0</v>
      </c>
      <c r="BO32" s="1">
        <f>VC_NEW!BJ15</f>
        <v>0</v>
      </c>
      <c r="BP32" s="1">
        <f>VC_NEW!BK15</f>
        <v>0</v>
      </c>
      <c r="BQ32" s="1">
        <f>VC_NEW!BL15</f>
        <v>0</v>
      </c>
      <c r="BR32" s="1">
        <f>VC_NEW!BM15</f>
        <v>0</v>
      </c>
      <c r="BS32" s="1">
        <f>VC_NEW!BN15</f>
        <v>0</v>
      </c>
      <c r="BT32" s="1" t="str">
        <f>VC_NEW!BO15</f>
        <v>L90I</v>
      </c>
      <c r="BU32" s="1">
        <f>VC_NEW!BP15</f>
        <v>0</v>
      </c>
      <c r="BV32" s="1">
        <f>VC_NEW!BQ15</f>
        <v>0</v>
      </c>
      <c r="BW32" s="1">
        <f>VC_NEW!BR15</f>
        <v>0</v>
      </c>
      <c r="BX32" s="1">
        <f>VC_NEW!BS15</f>
        <v>0</v>
      </c>
      <c r="BY32" s="1">
        <f>VC_NEW!BT15</f>
        <v>0</v>
      </c>
      <c r="BZ32" s="1">
        <f>VC_NEW!BU15</f>
        <v>0</v>
      </c>
      <c r="CA32" s="1">
        <f>VC_NEW!BV15</f>
        <v>0</v>
      </c>
      <c r="CB32" s="1">
        <f>VC_NEW!BW15</f>
        <v>0</v>
      </c>
      <c r="CC32" s="1">
        <f>VC_NEW!BX15</f>
        <v>0</v>
      </c>
      <c r="CD32" s="1">
        <f>VC_NEW!BY15</f>
        <v>0</v>
      </c>
      <c r="CE32" s="1">
        <f>VC_NEW!BZ15</f>
        <v>0</v>
      </c>
      <c r="CF32" s="1">
        <f>VC_NEW!CA15</f>
        <v>0</v>
      </c>
      <c r="CG32" s="1">
        <f>VC_NEW!CB15</f>
        <v>0</v>
      </c>
      <c r="CH32" s="1">
        <f>VC_NEW!CC15</f>
        <v>0</v>
      </c>
      <c r="CI32" s="1">
        <f>VC_NEW!CD15</f>
        <v>0</v>
      </c>
      <c r="CJ32" s="1">
        <f>VC_NEW!CE15</f>
        <v>0</v>
      </c>
      <c r="CK32" s="1">
        <f>VC_NEW!CF15</f>
        <v>0</v>
      </c>
      <c r="CL32" s="1">
        <f>VC_NEW!CG15</f>
        <v>0</v>
      </c>
      <c r="CM32" s="1">
        <f>VC_NEW!CH15</f>
        <v>0</v>
      </c>
      <c r="CN32" s="1">
        <f>VC_NEW!CI15</f>
        <v>0</v>
      </c>
      <c r="CO32" s="1">
        <f>VC_NEW!CJ15</f>
        <v>0</v>
      </c>
      <c r="CP32" s="1">
        <f>VC_NEW!CK15</f>
        <v>0</v>
      </c>
      <c r="CQ32" s="1">
        <f>VC_NEW!CL15</f>
        <v>0</v>
      </c>
      <c r="CR32" s="1">
        <f>VC_NEW!CM15</f>
        <v>0</v>
      </c>
      <c r="CS32" s="1">
        <f>VC_NEW!CN15</f>
        <v>0</v>
      </c>
      <c r="CT32" s="1">
        <f>VC_NEW!CO15</f>
        <v>0</v>
      </c>
      <c r="CU32" s="1">
        <f>VC_NEW!CP15</f>
        <v>0</v>
      </c>
      <c r="CV32" s="1">
        <f>VC_NEW!CQ15</f>
        <v>0</v>
      </c>
      <c r="CW32" s="1">
        <f>VC_NEW!CR15</f>
        <v>0</v>
      </c>
      <c r="CX32" s="1">
        <f>VC_NEW!CS15</f>
        <v>0</v>
      </c>
      <c r="CY32" s="1">
        <f>VC_NEW!CT15</f>
        <v>0</v>
      </c>
      <c r="CZ32" s="1">
        <f>VC_NEW!CU15</f>
        <v>0</v>
      </c>
      <c r="DA32" s="1">
        <f>VC_NEW!CV15</f>
        <v>0</v>
      </c>
      <c r="DB32" s="1">
        <f>VC_NEW!CW15</f>
        <v>0</v>
      </c>
      <c r="DC32" s="1">
        <f>VC_NEW!CX15</f>
        <v>0</v>
      </c>
      <c r="DD32" s="1">
        <f>VC_NEW!CY15</f>
        <v>0</v>
      </c>
      <c r="DE32" s="1">
        <f>VC_NEW!CZ15</f>
        <v>0</v>
      </c>
      <c r="DF32" s="1">
        <f>VC_NEW!DA15</f>
        <v>0</v>
      </c>
      <c r="DG32" s="1">
        <f>VC_NEW!DB15</f>
        <v>0</v>
      </c>
      <c r="DH32" s="1">
        <f>VC_NEW!DC15</f>
        <v>0</v>
      </c>
      <c r="DI32" s="1">
        <f>VC_NEW!DD15</f>
        <v>0</v>
      </c>
      <c r="DJ32" s="1">
        <f>VC_NEW!DE15</f>
        <v>0</v>
      </c>
      <c r="DK32" s="1">
        <f>VC_NEW!DF15</f>
        <v>0</v>
      </c>
      <c r="DL32" s="1">
        <f>VC_NEW!DG15</f>
        <v>0</v>
      </c>
      <c r="DM32" s="1">
        <f>VC_NEW!DH15</f>
        <v>0</v>
      </c>
      <c r="DN32" s="1">
        <f>VC_NEW!DI15</f>
        <v>0</v>
      </c>
      <c r="DO32" s="1" t="str">
        <f>VC_NEW!DJ15</f>
        <v>aa214∆1</v>
      </c>
      <c r="DP32" s="1">
        <f>VC_NEW!DK15</f>
        <v>0</v>
      </c>
      <c r="DQ32" s="1">
        <f>VC_NEW!DL15</f>
        <v>0</v>
      </c>
      <c r="DR32" s="1">
        <f>VC_NEW!DM15</f>
        <v>0</v>
      </c>
      <c r="DS32" s="1">
        <f>VC_NEW!DN15</f>
        <v>0</v>
      </c>
      <c r="DT32" s="1">
        <f>VC_NEW!DO15</f>
        <v>0</v>
      </c>
      <c r="DU32" s="1">
        <f>VC_NEW!DP15</f>
        <v>0</v>
      </c>
      <c r="DV32" s="1">
        <f>VC_NEW!DQ15</f>
        <v>0</v>
      </c>
      <c r="DW32" s="1">
        <f>VC_NEW!DR15</f>
        <v>0</v>
      </c>
      <c r="DX32" s="1">
        <f>VC_NEW!DS15</f>
        <v>0</v>
      </c>
      <c r="DY32" s="1">
        <f>VC_NEW!DT15</f>
        <v>0</v>
      </c>
      <c r="DZ32" s="1">
        <f>VC_NEW!DU15</f>
        <v>0</v>
      </c>
      <c r="EA32" s="1">
        <f>VC_NEW!DV15</f>
        <v>0</v>
      </c>
      <c r="EB32" s="1">
        <f>VC_NEW!DW15</f>
        <v>0</v>
      </c>
      <c r="EC32" s="1">
        <f>VC_NEW!DX15</f>
        <v>0</v>
      </c>
      <c r="ED32" s="1">
        <f>VC_NEW!DY15</f>
        <v>0</v>
      </c>
      <c r="EE32" s="1">
        <f>VC_NEW!DZ15</f>
        <v>0</v>
      </c>
      <c r="EF32" s="1">
        <f>VC_NEW!EA15</f>
        <v>0</v>
      </c>
      <c r="EG32" s="1">
        <f>VC_NEW!EB15</f>
        <v>0</v>
      </c>
      <c r="EH32" s="1">
        <f>VC_NEW!EC15</f>
        <v>0</v>
      </c>
      <c r="EI32" s="1">
        <f>VC_NEW!ED15</f>
        <v>0</v>
      </c>
      <c r="EJ32" s="1">
        <f>VC_NEW!EE15</f>
        <v>0</v>
      </c>
      <c r="EK32" s="1">
        <f>VC_NEW!EF15</f>
        <v>0</v>
      </c>
      <c r="EL32" s="1">
        <f>VC_NEW!EG15</f>
        <v>0</v>
      </c>
      <c r="EM32" s="1">
        <f>VC_NEW!EH15</f>
        <v>0</v>
      </c>
      <c r="EN32" s="1">
        <f>VC_NEW!EI15</f>
        <v>0</v>
      </c>
      <c r="EO32" s="1">
        <f>VC_NEW!EJ15</f>
        <v>0</v>
      </c>
      <c r="EP32" s="1">
        <f>VC_NEW!EK15</f>
        <v>0</v>
      </c>
      <c r="EQ32" s="1">
        <f>VC_NEW!EL15</f>
        <v>0</v>
      </c>
      <c r="ER32" s="1">
        <f>VC_NEW!EM15</f>
        <v>0</v>
      </c>
      <c r="ES32" s="1">
        <f>VC_NEW!EN15</f>
        <v>0</v>
      </c>
      <c r="ET32" s="1">
        <f>VC_NEW!EO15</f>
        <v>0</v>
      </c>
      <c r="EU32" s="1">
        <f>VC_NEW!EP15</f>
        <v>0</v>
      </c>
      <c r="EV32" s="1">
        <f>VC_NEW!EQ15</f>
        <v>0</v>
      </c>
      <c r="EW32" s="1">
        <f>VC_NEW!ER15</f>
        <v>0</v>
      </c>
      <c r="EX32" s="1">
        <f>VC_NEW!ES15</f>
        <v>0</v>
      </c>
      <c r="EY32" s="1">
        <f>VC_NEW!ET15</f>
        <v>0</v>
      </c>
      <c r="EZ32" s="1">
        <f>VC_NEW!EU15</f>
        <v>0</v>
      </c>
      <c r="FA32" s="1">
        <f>VC_NEW!EV15</f>
        <v>0</v>
      </c>
      <c r="FB32" s="1">
        <f>VC_NEW!EW15</f>
        <v>0</v>
      </c>
      <c r="FC32" s="1">
        <f>VC_NEW!EX15</f>
        <v>0</v>
      </c>
      <c r="FD32" s="1">
        <f>VC_NEW!EY15</f>
        <v>0</v>
      </c>
      <c r="FE32" s="1">
        <f>VC_NEW!EZ15</f>
        <v>0</v>
      </c>
      <c r="FF32" s="1">
        <f>VC_NEW!FA15</f>
        <v>0</v>
      </c>
      <c r="FG32" s="1">
        <f>VC_NEW!FB15</f>
        <v>0</v>
      </c>
      <c r="FH32" s="1">
        <f>VC_NEW!FC15</f>
        <v>0</v>
      </c>
      <c r="FI32" s="1">
        <f>VC_NEW!FD15</f>
        <v>0</v>
      </c>
      <c r="FJ32" s="1">
        <f>VC_NEW!FE15</f>
        <v>0</v>
      </c>
      <c r="FK32" s="1">
        <f>VC_NEW!FF15</f>
        <v>0</v>
      </c>
      <c r="FL32" s="1">
        <f>VC_NEW!FG15</f>
        <v>0</v>
      </c>
      <c r="FM32" s="1">
        <f>VC_NEW!FH15</f>
        <v>0</v>
      </c>
      <c r="FN32" s="1">
        <f>VC_NEW!FI15</f>
        <v>0</v>
      </c>
      <c r="FO32" s="1">
        <f>VC_NEW!FJ15</f>
        <v>0</v>
      </c>
      <c r="FP32" s="1">
        <f>VC_NEW!FK15</f>
        <v>0</v>
      </c>
      <c r="FQ32" s="1">
        <f>VC_NEW!FL15</f>
        <v>0</v>
      </c>
      <c r="FR32" s="1">
        <f>VC_NEW!FM15</f>
        <v>0</v>
      </c>
      <c r="FS32" s="1" t="str">
        <f>VC_NEW!FN15</f>
        <v>P128S</v>
      </c>
      <c r="FT32" s="1">
        <f>VC_NEW!FO15</f>
        <v>0</v>
      </c>
      <c r="FU32" s="1">
        <f>VC_NEW!FP15</f>
        <v>0</v>
      </c>
      <c r="FV32" s="1">
        <f>VC_NEW!FQ15</f>
        <v>0</v>
      </c>
      <c r="FW32" s="1">
        <f>VC_NEW!FR15</f>
        <v>0</v>
      </c>
      <c r="FX32" s="1">
        <f>VC_NEW!FS15</f>
        <v>0</v>
      </c>
      <c r="FY32" s="1">
        <f>VC_NEW!FT15</f>
        <v>0</v>
      </c>
      <c r="FZ32" s="1">
        <f>VC_NEW!FU15</f>
        <v>0</v>
      </c>
      <c r="GA32" s="1">
        <f>VC_NEW!FV15</f>
        <v>0</v>
      </c>
      <c r="GB32" s="1">
        <f>VC_NEW!FW15</f>
        <v>0</v>
      </c>
      <c r="GC32" s="1">
        <f>VC_NEW!FX15</f>
        <v>0</v>
      </c>
      <c r="GD32" s="1">
        <f>VC_NEW!FY15</f>
        <v>0</v>
      </c>
      <c r="GE32" s="1">
        <f>VC_NEW!FZ15</f>
        <v>0</v>
      </c>
      <c r="GF32" s="1">
        <f>VC_NEW!GA15</f>
        <v>0</v>
      </c>
      <c r="GG32" s="1">
        <f>VC_NEW!GB15</f>
        <v>0</v>
      </c>
      <c r="GH32" s="1">
        <f>VC_NEW!GC15</f>
        <v>0</v>
      </c>
      <c r="GI32" s="1">
        <f>VC_NEW!GD15</f>
        <v>0</v>
      </c>
      <c r="GJ32" s="1">
        <f>VC_NEW!GE15</f>
        <v>0</v>
      </c>
      <c r="GK32" s="1">
        <f>VC_NEW!GF15</f>
        <v>0</v>
      </c>
      <c r="GL32" s="1">
        <f>VC_NEW!GG15</f>
        <v>0</v>
      </c>
      <c r="GM32" s="1">
        <f>VC_NEW!GH15</f>
        <v>0</v>
      </c>
      <c r="GN32" s="1" t="str">
        <f>VC_NEW!GI15</f>
        <v>V55I; I80L</v>
      </c>
      <c r="GO32" s="1">
        <f>VC_NEW!GJ15</f>
        <v>0</v>
      </c>
      <c r="GP32" s="1">
        <f>VC_NEW!GK15</f>
        <v>0</v>
      </c>
      <c r="GQ32" s="1">
        <f>VC_NEW!GL15</f>
        <v>0</v>
      </c>
      <c r="GR32" s="1">
        <f>VC_NEW!GM15</f>
        <v>0</v>
      </c>
      <c r="GS32" s="1">
        <f>VC_NEW!GN15</f>
        <v>0</v>
      </c>
      <c r="GT32" s="1">
        <f>VC_NEW!GO15</f>
        <v>0</v>
      </c>
      <c r="GU32" s="1">
        <f>VC_NEW!GP15</f>
        <v>0</v>
      </c>
      <c r="GV32" s="1">
        <f>VC_NEW!GQ15</f>
        <v>0</v>
      </c>
      <c r="GW32" s="1">
        <f>VC_NEW!GR15</f>
        <v>0</v>
      </c>
      <c r="GX32" s="1">
        <f>VC_NEW!GS15</f>
        <v>0</v>
      </c>
      <c r="GY32" s="1">
        <f>VC_NEW!GT15</f>
        <v>0</v>
      </c>
      <c r="GZ32" s="1">
        <f>VC_NEW!GU15</f>
        <v>0</v>
      </c>
      <c r="HA32" s="1">
        <f>VC_NEW!GV15</f>
        <v>0</v>
      </c>
      <c r="HB32" s="1">
        <f>VC_NEW!GW15</f>
        <v>0</v>
      </c>
      <c r="HC32" s="1" t="str">
        <f>VC_NEW!GX15</f>
        <v>R178C</v>
      </c>
    </row>
    <row r="33" spans="1:211" s="1" customFormat="1" ht="15" hidden="1" customHeight="1" x14ac:dyDescent="0.25">
      <c r="A33" s="2" t="s">
        <v>47</v>
      </c>
      <c r="B33" s="1" t="s">
        <v>48</v>
      </c>
      <c r="C33" s="4" t="s">
        <v>4</v>
      </c>
      <c r="D33" s="1" t="s">
        <v>76</v>
      </c>
      <c r="E33" s="1" t="s">
        <v>139</v>
      </c>
      <c r="F33" s="1" t="s">
        <v>73</v>
      </c>
      <c r="G33" s="1" t="s">
        <v>142</v>
      </c>
      <c r="H33" s="1">
        <f>VC_NEW!C15</f>
        <v>0</v>
      </c>
      <c r="I33" s="1">
        <f>VC_NEW!D15</f>
        <v>0</v>
      </c>
      <c r="J33" s="1">
        <f>VC_NEW!E15</f>
        <v>0</v>
      </c>
      <c r="K33" s="1">
        <f>VC_NEW!F15</f>
        <v>0</v>
      </c>
      <c r="L33" s="1">
        <f>VC_NEW!G15</f>
        <v>0</v>
      </c>
      <c r="M33" s="1">
        <f>VC_NEW!H15</f>
        <v>0</v>
      </c>
      <c r="N33" s="1">
        <f>VC_NEW!I15</f>
        <v>0</v>
      </c>
      <c r="O33" s="1">
        <f>VC_NEW!J15</f>
        <v>0</v>
      </c>
      <c r="P33" s="1">
        <f>VC_NEW!K15</f>
        <v>0</v>
      </c>
      <c r="Q33" s="1">
        <f>VC_NEW!L15</f>
        <v>0</v>
      </c>
      <c r="R33" s="1">
        <f>VC_NEW!M15</f>
        <v>0</v>
      </c>
      <c r="S33" s="1">
        <f>VC_NEW!N15</f>
        <v>0</v>
      </c>
      <c r="T33" s="1">
        <f>VC_NEW!O15</f>
        <v>0</v>
      </c>
      <c r="U33" s="1">
        <f>VC_NEW!P15</f>
        <v>0</v>
      </c>
      <c r="V33" s="1">
        <f>VC_NEW!Q15</f>
        <v>0</v>
      </c>
      <c r="W33" s="1">
        <f>VC_NEW!R15</f>
        <v>0</v>
      </c>
      <c r="X33" s="1">
        <f>VC_NEW!S15</f>
        <v>0</v>
      </c>
      <c r="Y33" s="1">
        <f>VC_NEW!T15</f>
        <v>0</v>
      </c>
      <c r="Z33" s="1">
        <f>VC_NEW!U15</f>
        <v>0</v>
      </c>
      <c r="AA33" s="1">
        <f>VC_NEW!V15</f>
        <v>0</v>
      </c>
      <c r="AB33" s="1">
        <f>VC_NEW!W15</f>
        <v>0</v>
      </c>
      <c r="AC33" s="1">
        <f>VC_NEW!X15</f>
        <v>0</v>
      </c>
      <c r="AD33" s="1">
        <f>VC_NEW!Y15</f>
        <v>0</v>
      </c>
      <c r="AE33" s="1">
        <f>VC_NEW!Z15</f>
        <v>0</v>
      </c>
      <c r="AF33" s="1">
        <f>VC_NEW!AA15</f>
        <v>0</v>
      </c>
      <c r="AG33" s="1">
        <f>VC_NEW!AB15</f>
        <v>0</v>
      </c>
      <c r="AH33" s="1">
        <f>VC_NEW!AC15</f>
        <v>0</v>
      </c>
      <c r="AI33" s="1">
        <f>VC_NEW!AD15</f>
        <v>0</v>
      </c>
      <c r="AJ33" s="1">
        <f>VC_NEW!AE15</f>
        <v>0</v>
      </c>
      <c r="AK33" s="1">
        <f>VC_NEW!AF15</f>
        <v>0</v>
      </c>
      <c r="AL33" s="1">
        <f>VC_NEW!AG15</f>
        <v>0</v>
      </c>
      <c r="AM33" s="1">
        <f>VC_NEW!AH15</f>
        <v>0</v>
      </c>
      <c r="AN33" s="1">
        <f>VC_NEW!AI15</f>
        <v>0</v>
      </c>
      <c r="AO33" s="1">
        <f>VC_NEW!AJ15</f>
        <v>0</v>
      </c>
      <c r="AP33" s="1">
        <f>VC_NEW!AK15</f>
        <v>0</v>
      </c>
      <c r="AQ33" s="1">
        <f>VC_NEW!AL15</f>
        <v>0</v>
      </c>
      <c r="AR33" s="1">
        <f>VC_NEW!AM15</f>
        <v>0</v>
      </c>
      <c r="AS33" s="1">
        <f>VC_NEW!AN15</f>
        <v>0</v>
      </c>
      <c r="AT33" s="1">
        <f>VC_NEW!AO15</f>
        <v>0</v>
      </c>
      <c r="AU33" s="1">
        <f>VC_NEW!AP15</f>
        <v>0</v>
      </c>
      <c r="AV33" s="1">
        <f>VC_NEW!AQ15</f>
        <v>0</v>
      </c>
      <c r="AW33" s="1">
        <f>VC_NEW!AR15</f>
        <v>0</v>
      </c>
      <c r="AX33" s="1">
        <f>VC_NEW!AS15</f>
        <v>0</v>
      </c>
      <c r="AY33" s="1">
        <f>VC_NEW!AT15</f>
        <v>0</v>
      </c>
      <c r="AZ33" s="1">
        <f>VC_NEW!AU15</f>
        <v>0</v>
      </c>
      <c r="BA33" s="1">
        <f>VC_NEW!AV15</f>
        <v>0</v>
      </c>
      <c r="BB33" s="1">
        <f>VC_NEW!AW15</f>
        <v>0</v>
      </c>
      <c r="BC33" s="1">
        <f>VC_NEW!AX15</f>
        <v>0</v>
      </c>
      <c r="BD33" s="1">
        <f>VC_NEW!AY15</f>
        <v>0</v>
      </c>
      <c r="BE33" s="1">
        <f>VC_NEW!AZ15</f>
        <v>0</v>
      </c>
      <c r="BF33" s="1">
        <f>VC_NEW!BA15</f>
        <v>0</v>
      </c>
      <c r="BG33" s="1">
        <f>VC_NEW!BB15</f>
        <v>0</v>
      </c>
      <c r="BH33" s="1">
        <f>VC_NEW!BC15</f>
        <v>0</v>
      </c>
      <c r="BI33" s="1">
        <f>VC_NEW!BD15</f>
        <v>0</v>
      </c>
      <c r="BJ33" s="1">
        <f>VC_NEW!BE15</f>
        <v>0</v>
      </c>
      <c r="BK33" s="1">
        <f>VC_NEW!BF15</f>
        <v>0</v>
      </c>
      <c r="BL33" s="1">
        <f>VC_NEW!BG15</f>
        <v>0</v>
      </c>
      <c r="BM33" s="1">
        <f>VC_NEW!BH15</f>
        <v>0</v>
      </c>
      <c r="BN33" s="1">
        <f>VC_NEW!BI15</f>
        <v>0</v>
      </c>
      <c r="BO33" s="1">
        <f>VC_NEW!BJ15</f>
        <v>0</v>
      </c>
      <c r="BP33" s="1">
        <f>VC_NEW!BK15</f>
        <v>0</v>
      </c>
      <c r="BQ33" s="1">
        <f>VC_NEW!BL15</f>
        <v>0</v>
      </c>
      <c r="BR33" s="1">
        <f>VC_NEW!BM15</f>
        <v>0</v>
      </c>
      <c r="BS33" s="1">
        <f>VC_NEW!BN15</f>
        <v>0</v>
      </c>
      <c r="BT33" s="1" t="str">
        <f>VC_NEW!BO15</f>
        <v>L90I</v>
      </c>
      <c r="BU33" s="1">
        <f>VC_NEW!BP15</f>
        <v>0</v>
      </c>
      <c r="BV33" s="1">
        <f>VC_NEW!BQ15</f>
        <v>0</v>
      </c>
      <c r="BW33" s="1">
        <f>VC_NEW!BR15</f>
        <v>0</v>
      </c>
      <c r="BX33" s="1">
        <f>VC_NEW!BS15</f>
        <v>0</v>
      </c>
      <c r="BY33" s="1">
        <f>VC_NEW!BT15</f>
        <v>0</v>
      </c>
      <c r="BZ33" s="1">
        <f>VC_NEW!BU15</f>
        <v>0</v>
      </c>
      <c r="CA33" s="1">
        <f>VC_NEW!BV15</f>
        <v>0</v>
      </c>
      <c r="CB33" s="1">
        <f>VC_NEW!BW15</f>
        <v>0</v>
      </c>
      <c r="CC33" s="1">
        <f>VC_NEW!BX15</f>
        <v>0</v>
      </c>
      <c r="CD33" s="1">
        <f>VC_NEW!BY15</f>
        <v>0</v>
      </c>
      <c r="CE33" s="1">
        <f>VC_NEW!BZ15</f>
        <v>0</v>
      </c>
      <c r="CF33" s="1">
        <f>VC_NEW!CA15</f>
        <v>0</v>
      </c>
      <c r="CG33" s="1">
        <f>VC_NEW!CB15</f>
        <v>0</v>
      </c>
      <c r="CH33" s="1">
        <f>VC_NEW!CC15</f>
        <v>0</v>
      </c>
      <c r="CI33" s="1">
        <f>VC_NEW!CD15</f>
        <v>0</v>
      </c>
      <c r="CJ33" s="1">
        <f>VC_NEW!CE15</f>
        <v>0</v>
      </c>
      <c r="CK33" s="1">
        <f>VC_NEW!CF15</f>
        <v>0</v>
      </c>
      <c r="CL33" s="1">
        <f>VC_NEW!CG15</f>
        <v>0</v>
      </c>
      <c r="CM33" s="1">
        <f>VC_NEW!CH15</f>
        <v>0</v>
      </c>
      <c r="CN33" s="1">
        <f>VC_NEW!CI15</f>
        <v>0</v>
      </c>
      <c r="CO33" s="1">
        <f>VC_NEW!CJ15</f>
        <v>0</v>
      </c>
      <c r="CP33" s="1">
        <f>VC_NEW!CK15</f>
        <v>0</v>
      </c>
      <c r="CQ33" s="1">
        <f>VC_NEW!CL15</f>
        <v>0</v>
      </c>
      <c r="CR33" s="1">
        <f>VC_NEW!CM15</f>
        <v>0</v>
      </c>
      <c r="CS33" s="1">
        <f>VC_NEW!CN15</f>
        <v>0</v>
      </c>
      <c r="CT33" s="1">
        <f>VC_NEW!CO15</f>
        <v>0</v>
      </c>
      <c r="CU33" s="1">
        <f>VC_NEW!CP15</f>
        <v>0</v>
      </c>
      <c r="CV33" s="1">
        <f>VC_NEW!CQ15</f>
        <v>0</v>
      </c>
      <c r="CW33" s="1">
        <f>VC_NEW!CR15</f>
        <v>0</v>
      </c>
      <c r="CX33" s="1">
        <f>VC_NEW!CS15</f>
        <v>0</v>
      </c>
      <c r="CY33" s="1">
        <f>VC_NEW!CT15</f>
        <v>0</v>
      </c>
      <c r="CZ33" s="1">
        <f>VC_NEW!CU15</f>
        <v>0</v>
      </c>
      <c r="DA33" s="1">
        <f>VC_NEW!CV15</f>
        <v>0</v>
      </c>
      <c r="DB33" s="1">
        <f>VC_NEW!CW15</f>
        <v>0</v>
      </c>
      <c r="DC33" s="1">
        <f>VC_NEW!CX15</f>
        <v>0</v>
      </c>
      <c r="DD33" s="1">
        <f>VC_NEW!CY15</f>
        <v>0</v>
      </c>
      <c r="DE33" s="1">
        <f>VC_NEW!CZ15</f>
        <v>0</v>
      </c>
      <c r="DF33" s="1">
        <f>VC_NEW!DA15</f>
        <v>0</v>
      </c>
      <c r="DG33" s="1">
        <f>VC_NEW!DB15</f>
        <v>0</v>
      </c>
      <c r="DH33" s="1">
        <f>VC_NEW!DC15</f>
        <v>0</v>
      </c>
      <c r="DI33" s="1">
        <f>VC_NEW!DD15</f>
        <v>0</v>
      </c>
      <c r="DJ33" s="1">
        <f>VC_NEW!DE15</f>
        <v>0</v>
      </c>
      <c r="DK33" s="1">
        <f>VC_NEW!DF15</f>
        <v>0</v>
      </c>
      <c r="DL33" s="1">
        <f>VC_NEW!DG15</f>
        <v>0</v>
      </c>
      <c r="DM33" s="1">
        <f>VC_NEW!DH15</f>
        <v>0</v>
      </c>
      <c r="DN33" s="1">
        <f>VC_NEW!DI15</f>
        <v>0</v>
      </c>
      <c r="DO33" s="1" t="str">
        <f>VC_NEW!DJ15</f>
        <v>aa214∆1</v>
      </c>
      <c r="DP33" s="1">
        <f>VC_NEW!DK15</f>
        <v>0</v>
      </c>
      <c r="DQ33" s="1">
        <f>VC_NEW!DL15</f>
        <v>0</v>
      </c>
      <c r="DR33" s="1">
        <f>VC_NEW!DM15</f>
        <v>0</v>
      </c>
      <c r="DS33" s="1">
        <f>VC_NEW!DN15</f>
        <v>0</v>
      </c>
      <c r="DT33" s="1">
        <f>VC_NEW!DO15</f>
        <v>0</v>
      </c>
      <c r="DU33" s="1">
        <f>VC_NEW!DP15</f>
        <v>0</v>
      </c>
      <c r="DV33" s="1">
        <f>VC_NEW!DQ15</f>
        <v>0</v>
      </c>
      <c r="DW33" s="1">
        <f>VC_NEW!DR15</f>
        <v>0</v>
      </c>
      <c r="DX33" s="1">
        <f>VC_NEW!DS15</f>
        <v>0</v>
      </c>
      <c r="DY33" s="1">
        <f>VC_NEW!DT15</f>
        <v>0</v>
      </c>
      <c r="DZ33" s="1">
        <f>VC_NEW!DU15</f>
        <v>0</v>
      </c>
      <c r="EA33" s="1">
        <f>VC_NEW!DV15</f>
        <v>0</v>
      </c>
      <c r="EB33" s="1">
        <f>VC_NEW!DW15</f>
        <v>0</v>
      </c>
      <c r="EC33" s="1">
        <f>VC_NEW!DX15</f>
        <v>0</v>
      </c>
      <c r="ED33" s="1">
        <f>VC_NEW!DY15</f>
        <v>0</v>
      </c>
      <c r="EE33" s="1">
        <f>VC_NEW!DZ15</f>
        <v>0</v>
      </c>
      <c r="EF33" s="1">
        <f>VC_NEW!EA15</f>
        <v>0</v>
      </c>
      <c r="EG33" s="1">
        <f>VC_NEW!EB15</f>
        <v>0</v>
      </c>
      <c r="EH33" s="1">
        <f>VC_NEW!EC15</f>
        <v>0</v>
      </c>
      <c r="EI33" s="1">
        <f>VC_NEW!ED15</f>
        <v>0</v>
      </c>
      <c r="EJ33" s="1">
        <f>VC_NEW!EE15</f>
        <v>0</v>
      </c>
      <c r="EK33" s="1">
        <f>VC_NEW!EF15</f>
        <v>0</v>
      </c>
      <c r="EL33" s="1">
        <f>VC_NEW!EG15</f>
        <v>0</v>
      </c>
      <c r="EM33" s="1">
        <f>VC_NEW!EH15</f>
        <v>0</v>
      </c>
      <c r="EN33" s="1">
        <f>VC_NEW!EI15</f>
        <v>0</v>
      </c>
      <c r="EO33" s="1">
        <f>VC_NEW!EJ15</f>
        <v>0</v>
      </c>
      <c r="EP33" s="1">
        <f>VC_NEW!EK15</f>
        <v>0</v>
      </c>
      <c r="EQ33" s="1">
        <f>VC_NEW!EL15</f>
        <v>0</v>
      </c>
      <c r="ER33" s="1">
        <f>VC_NEW!EM15</f>
        <v>0</v>
      </c>
      <c r="ES33" s="1">
        <f>VC_NEW!EN15</f>
        <v>0</v>
      </c>
      <c r="ET33" s="1">
        <f>VC_NEW!EO15</f>
        <v>0</v>
      </c>
      <c r="EU33" s="1">
        <f>VC_NEW!EP15</f>
        <v>0</v>
      </c>
      <c r="EV33" s="1">
        <f>VC_NEW!EQ15</f>
        <v>0</v>
      </c>
      <c r="EW33" s="1">
        <f>VC_NEW!ER15</f>
        <v>0</v>
      </c>
      <c r="EX33" s="1">
        <f>VC_NEW!ES15</f>
        <v>0</v>
      </c>
      <c r="EY33" s="1">
        <f>VC_NEW!ET15</f>
        <v>0</v>
      </c>
      <c r="EZ33" s="1">
        <f>VC_NEW!EU15</f>
        <v>0</v>
      </c>
      <c r="FA33" s="1">
        <f>VC_NEW!EV15</f>
        <v>0</v>
      </c>
      <c r="FB33" s="1">
        <f>VC_NEW!EW15</f>
        <v>0</v>
      </c>
      <c r="FC33" s="1">
        <f>VC_NEW!EX15</f>
        <v>0</v>
      </c>
      <c r="FD33" s="1">
        <f>VC_NEW!EY15</f>
        <v>0</v>
      </c>
      <c r="FE33" s="1">
        <f>VC_NEW!EZ15</f>
        <v>0</v>
      </c>
      <c r="FF33" s="1">
        <f>VC_NEW!FA15</f>
        <v>0</v>
      </c>
      <c r="FG33" s="1">
        <f>VC_NEW!FB15</f>
        <v>0</v>
      </c>
      <c r="FH33" s="1">
        <f>VC_NEW!FC15</f>
        <v>0</v>
      </c>
      <c r="FI33" s="1">
        <f>VC_NEW!FD15</f>
        <v>0</v>
      </c>
      <c r="FJ33" s="1">
        <f>VC_NEW!FE15</f>
        <v>0</v>
      </c>
      <c r="FK33" s="1">
        <f>VC_NEW!FF15</f>
        <v>0</v>
      </c>
      <c r="FL33" s="1">
        <f>VC_NEW!FG15</f>
        <v>0</v>
      </c>
      <c r="FM33" s="1">
        <f>VC_NEW!FH15</f>
        <v>0</v>
      </c>
      <c r="FN33" s="1">
        <f>VC_NEW!FI15</f>
        <v>0</v>
      </c>
      <c r="FO33" s="1">
        <f>VC_NEW!FJ15</f>
        <v>0</v>
      </c>
      <c r="FP33" s="1">
        <f>VC_NEW!FK15</f>
        <v>0</v>
      </c>
      <c r="FQ33" s="1">
        <f>VC_NEW!FL15</f>
        <v>0</v>
      </c>
      <c r="FR33" s="1">
        <f>VC_NEW!FM15</f>
        <v>0</v>
      </c>
      <c r="FS33" s="1" t="str">
        <f>VC_NEW!FN15</f>
        <v>P128S</v>
      </c>
      <c r="FT33" s="1">
        <f>VC_NEW!FO15</f>
        <v>0</v>
      </c>
      <c r="FU33" s="1">
        <f>VC_NEW!FP15</f>
        <v>0</v>
      </c>
      <c r="FV33" s="1">
        <f>VC_NEW!FQ15</f>
        <v>0</v>
      </c>
      <c r="FW33" s="1">
        <f>VC_NEW!FR15</f>
        <v>0</v>
      </c>
      <c r="FX33" s="1">
        <f>VC_NEW!FS15</f>
        <v>0</v>
      </c>
      <c r="FY33" s="1">
        <f>VC_NEW!FT15</f>
        <v>0</v>
      </c>
      <c r="FZ33" s="1">
        <f>VC_NEW!FU15</f>
        <v>0</v>
      </c>
      <c r="GA33" s="1">
        <f>VC_NEW!FV15</f>
        <v>0</v>
      </c>
      <c r="GB33" s="1">
        <f>VC_NEW!FW15</f>
        <v>0</v>
      </c>
      <c r="GC33" s="1">
        <f>VC_NEW!FX15</f>
        <v>0</v>
      </c>
      <c r="GD33" s="1">
        <f>VC_NEW!FY15</f>
        <v>0</v>
      </c>
      <c r="GE33" s="1">
        <f>VC_NEW!FZ15</f>
        <v>0</v>
      </c>
      <c r="GF33" s="1">
        <f>VC_NEW!GA15</f>
        <v>0</v>
      </c>
      <c r="GG33" s="1">
        <f>VC_NEW!GB15</f>
        <v>0</v>
      </c>
      <c r="GH33" s="1">
        <f>VC_NEW!GC15</f>
        <v>0</v>
      </c>
      <c r="GI33" s="1">
        <f>VC_NEW!GD15</f>
        <v>0</v>
      </c>
      <c r="GJ33" s="1">
        <f>VC_NEW!GE15</f>
        <v>0</v>
      </c>
      <c r="GK33" s="1">
        <f>VC_NEW!GF15</f>
        <v>0</v>
      </c>
      <c r="GL33" s="1">
        <f>VC_NEW!GG15</f>
        <v>0</v>
      </c>
      <c r="GM33" s="1">
        <f>VC_NEW!GH15</f>
        <v>0</v>
      </c>
      <c r="GN33" s="1" t="str">
        <f>VC_NEW!GI15</f>
        <v>V55I; I80L</v>
      </c>
      <c r="GO33" s="1">
        <f>VC_NEW!GJ15</f>
        <v>0</v>
      </c>
      <c r="GP33" s="1">
        <f>VC_NEW!GK15</f>
        <v>0</v>
      </c>
      <c r="GQ33" s="1">
        <f>VC_NEW!GL15</f>
        <v>0</v>
      </c>
      <c r="GR33" s="1">
        <f>VC_NEW!GM15</f>
        <v>0</v>
      </c>
      <c r="GS33" s="1">
        <f>VC_NEW!GN15</f>
        <v>0</v>
      </c>
      <c r="GT33" s="1">
        <f>VC_NEW!GO15</f>
        <v>0</v>
      </c>
      <c r="GU33" s="1">
        <f>VC_NEW!GP15</f>
        <v>0</v>
      </c>
      <c r="GV33" s="1">
        <f>VC_NEW!GQ15</f>
        <v>0</v>
      </c>
      <c r="GW33" s="1">
        <f>VC_NEW!GR15</f>
        <v>0</v>
      </c>
      <c r="GX33" s="1">
        <f>VC_NEW!GS15</f>
        <v>0</v>
      </c>
      <c r="GY33" s="1">
        <f>VC_NEW!GT15</f>
        <v>0</v>
      </c>
      <c r="GZ33" s="1">
        <f>VC_NEW!GU15</f>
        <v>0</v>
      </c>
      <c r="HA33" s="1">
        <f>VC_NEW!GV15</f>
        <v>0</v>
      </c>
      <c r="HB33" s="1">
        <f>VC_NEW!GW15</f>
        <v>0</v>
      </c>
      <c r="HC33" s="1" t="str">
        <f>VC_NEW!GX15</f>
        <v>R178C</v>
      </c>
    </row>
    <row r="34" spans="1:211" s="7" customFormat="1" ht="15" hidden="1" customHeight="1" x14ac:dyDescent="0.25">
      <c r="A34" s="65" t="s">
        <v>49</v>
      </c>
      <c r="B34" s="66" t="s">
        <v>50</v>
      </c>
      <c r="C34" s="67" t="s">
        <v>0</v>
      </c>
      <c r="D34" s="66" t="s">
        <v>77</v>
      </c>
      <c r="E34" s="66">
        <v>-0.5</v>
      </c>
      <c r="F34" s="66" t="s">
        <v>74</v>
      </c>
      <c r="G34" s="68" t="s">
        <v>143</v>
      </c>
      <c r="H34" s="7" t="str">
        <f>VC_NEW!C16</f>
        <v>D428N</v>
      </c>
      <c r="I34" s="7">
        <f>VC_NEW!D16</f>
        <v>0</v>
      </c>
      <c r="J34" s="7">
        <f>VC_NEW!E16</f>
        <v>0</v>
      </c>
      <c r="K34" s="7" t="str">
        <f>VC_NEW!F16</f>
        <v>A708T</v>
      </c>
      <c r="L34" s="7" t="str">
        <f>VC_NEW!G16</f>
        <v>D428N</v>
      </c>
      <c r="M34" s="7" t="str">
        <f>VC_NEW!H16</f>
        <v>L239P</v>
      </c>
      <c r="N34" s="7">
        <f>VC_NEW!I16</f>
        <v>0</v>
      </c>
      <c r="O34" s="7">
        <f>VC_NEW!J16</f>
        <v>0</v>
      </c>
      <c r="P34" s="7" t="str">
        <f>VC_NEW!K16</f>
        <v>T742I</v>
      </c>
      <c r="Q34" s="7">
        <f>VC_NEW!L16</f>
        <v>0</v>
      </c>
      <c r="R34" s="7">
        <f>VC_NEW!M16</f>
        <v>0</v>
      </c>
      <c r="S34" s="7">
        <f>VC_NEW!N16</f>
        <v>0</v>
      </c>
      <c r="T34" s="7" t="str">
        <f>VC_NEW!O16</f>
        <v>A131T; P1032S</v>
      </c>
      <c r="U34" s="7">
        <f>VC_NEW!P16</f>
        <v>0</v>
      </c>
      <c r="V34" s="7">
        <f>VC_NEW!Q16</f>
        <v>0</v>
      </c>
      <c r="W34" s="7">
        <f>VC_NEW!R16</f>
        <v>0</v>
      </c>
      <c r="X34" s="7">
        <f>VC_NEW!S16</f>
        <v>0</v>
      </c>
      <c r="Y34" s="7">
        <f>VC_NEW!T16</f>
        <v>0</v>
      </c>
      <c r="Z34" s="7" t="str">
        <f>VC_NEW!U16</f>
        <v>V875M; N1036S</v>
      </c>
      <c r="AA34" s="7">
        <f>VC_NEW!V16</f>
        <v>0</v>
      </c>
      <c r="AB34" s="7">
        <f>VC_NEW!W16</f>
        <v>0</v>
      </c>
      <c r="AC34" s="7">
        <f>VC_NEW!X16</f>
        <v>0</v>
      </c>
      <c r="AD34" s="7">
        <f>VC_NEW!Y16</f>
        <v>0</v>
      </c>
      <c r="AE34" s="7" t="str">
        <f>VC_NEW!Z16</f>
        <v>N709S</v>
      </c>
      <c r="AF34" s="7">
        <f>VC_NEW!AA16</f>
        <v>0</v>
      </c>
      <c r="AG34" s="7">
        <f>VC_NEW!AB16</f>
        <v>0</v>
      </c>
      <c r="AH34" s="7" t="str">
        <f>VC_NEW!AC16</f>
        <v>A586T; N709H</v>
      </c>
      <c r="AI34" s="7">
        <f>VC_NEW!AD16</f>
        <v>0</v>
      </c>
      <c r="AJ34" s="7">
        <f>VC_NEW!AE16</f>
        <v>0</v>
      </c>
      <c r="AK34" s="7">
        <f>VC_NEW!AF16</f>
        <v>0</v>
      </c>
      <c r="AL34" s="7">
        <f>VC_NEW!AG16</f>
        <v>0</v>
      </c>
      <c r="AM34" s="7" t="str">
        <f>VC_NEW!AH16</f>
        <v>R706H</v>
      </c>
      <c r="AN34" s="7">
        <f>VC_NEW!AI16</f>
        <v>0</v>
      </c>
      <c r="AO34" s="7">
        <f>VC_NEW!AJ16</f>
        <v>0</v>
      </c>
      <c r="AP34" s="7">
        <f>VC_NEW!AK16</f>
        <v>0</v>
      </c>
      <c r="AQ34" s="7">
        <f>VC_NEW!AL16</f>
        <v>0</v>
      </c>
      <c r="AR34" s="7">
        <f>VC_NEW!AM16</f>
        <v>0</v>
      </c>
      <c r="AS34" s="7">
        <f>VC_NEW!AN16</f>
        <v>0</v>
      </c>
      <c r="AT34" s="7">
        <f>VC_NEW!AO16</f>
        <v>0</v>
      </c>
      <c r="AU34" s="7">
        <f>VC_NEW!AP16</f>
        <v>0</v>
      </c>
      <c r="AV34" s="7">
        <f>VC_NEW!AQ16</f>
        <v>0</v>
      </c>
      <c r="AW34" s="7">
        <f>VC_NEW!AR16</f>
        <v>0</v>
      </c>
      <c r="AX34" s="7" t="str">
        <f>VC_NEW!AS16</f>
        <v>A772T</v>
      </c>
      <c r="AY34" s="7">
        <f>VC_NEW!AT16</f>
        <v>0</v>
      </c>
      <c r="AZ34" s="7">
        <f>VC_NEW!AU16</f>
        <v>0</v>
      </c>
      <c r="BA34" s="7">
        <f>VC_NEW!AV16</f>
        <v>0</v>
      </c>
      <c r="BB34" s="7">
        <f>VC_NEW!AW16</f>
        <v>0</v>
      </c>
      <c r="BC34" s="7">
        <f>VC_NEW!AX16</f>
        <v>0</v>
      </c>
      <c r="BD34" s="7">
        <f>VC_NEW!AY16</f>
        <v>0</v>
      </c>
      <c r="BE34" s="7">
        <f>VC_NEW!AZ16</f>
        <v>0</v>
      </c>
      <c r="BF34" s="7">
        <f>VC_NEW!BA16</f>
        <v>0</v>
      </c>
      <c r="BG34" s="7" t="str">
        <f>VC_NEW!BB16</f>
        <v xml:space="preserve">R251H; I543V </v>
      </c>
      <c r="BH34" s="7">
        <f>VC_NEW!BC16</f>
        <v>0</v>
      </c>
      <c r="BI34" s="7">
        <f>VC_NEW!BD16</f>
        <v>0</v>
      </c>
      <c r="BJ34" s="7">
        <f>VC_NEW!BE16</f>
        <v>0</v>
      </c>
      <c r="BK34" s="7">
        <f>VC_NEW!BF16</f>
        <v>0</v>
      </c>
      <c r="BL34" s="7">
        <f>VC_NEW!BG16</f>
        <v>0</v>
      </c>
      <c r="BM34" s="7" t="str">
        <f>VC_NEW!BH16</f>
        <v>P1032S</v>
      </c>
      <c r="BN34" s="7">
        <f>VC_NEW!BI16</f>
        <v>0</v>
      </c>
      <c r="BO34" s="7">
        <f>VC_NEW!BJ16</f>
        <v>0</v>
      </c>
      <c r="BP34" s="7">
        <f>VC_NEW!BK16</f>
        <v>0</v>
      </c>
      <c r="BQ34" s="7" t="str">
        <f>VC_NEW!BL16</f>
        <v>G530S</v>
      </c>
      <c r="BR34" s="7" t="str">
        <f>VC_NEW!BM16</f>
        <v>G530S</v>
      </c>
      <c r="BS34" s="7">
        <f>VC_NEW!BN16</f>
        <v>0</v>
      </c>
      <c r="BT34" s="7">
        <f>VC_NEW!BO16</f>
        <v>0</v>
      </c>
      <c r="BU34" s="7">
        <f>VC_NEW!BP16</f>
        <v>0</v>
      </c>
      <c r="BV34" s="7">
        <f>VC_NEW!BQ16</f>
        <v>0</v>
      </c>
      <c r="BW34" s="7">
        <f>VC_NEW!BR16</f>
        <v>0</v>
      </c>
      <c r="BX34" s="7">
        <f>VC_NEW!BS16</f>
        <v>0</v>
      </c>
      <c r="BY34" s="7">
        <f>VC_NEW!BT16</f>
        <v>0</v>
      </c>
      <c r="BZ34" s="7">
        <f>VC_NEW!BU16</f>
        <v>0</v>
      </c>
      <c r="CA34" s="7">
        <f>VC_NEW!BV16</f>
        <v>0</v>
      </c>
      <c r="CB34" s="7">
        <f>VC_NEW!BW16</f>
        <v>0</v>
      </c>
      <c r="CC34" s="7">
        <f>VC_NEW!BX16</f>
        <v>0</v>
      </c>
      <c r="CD34" s="7">
        <f>VC_NEW!BY16</f>
        <v>0</v>
      </c>
      <c r="CE34" s="7">
        <f>VC_NEW!BZ16</f>
        <v>0</v>
      </c>
      <c r="CF34" s="7">
        <f>VC_NEW!CA16</f>
        <v>0</v>
      </c>
      <c r="CG34" s="7">
        <f>VC_NEW!CB16</f>
        <v>0</v>
      </c>
      <c r="CH34" s="7">
        <f>VC_NEW!CC16</f>
        <v>0</v>
      </c>
      <c r="CI34" s="7">
        <f>VC_NEW!CD16</f>
        <v>0</v>
      </c>
      <c r="CJ34" s="7">
        <f>VC_NEW!CE16</f>
        <v>0</v>
      </c>
      <c r="CK34" s="7">
        <f>VC_NEW!CF16</f>
        <v>0</v>
      </c>
      <c r="CL34" s="7">
        <f>VC_NEW!CG16</f>
        <v>0</v>
      </c>
      <c r="CM34" s="7">
        <f>VC_NEW!CH16</f>
        <v>0</v>
      </c>
      <c r="CN34" s="7">
        <f>VC_NEW!CI16</f>
        <v>0</v>
      </c>
      <c r="CO34" s="7">
        <f>VC_NEW!CJ16</f>
        <v>0</v>
      </c>
      <c r="CP34" s="7">
        <f>VC_NEW!CK16</f>
        <v>0</v>
      </c>
      <c r="CQ34" s="7">
        <f>VC_NEW!CL16</f>
        <v>0</v>
      </c>
      <c r="CR34" s="7">
        <f>VC_NEW!CM16</f>
        <v>0</v>
      </c>
      <c r="CS34" s="7">
        <f>VC_NEW!CN16</f>
        <v>0</v>
      </c>
      <c r="CT34" s="7">
        <f>VC_NEW!CO16</f>
        <v>0</v>
      </c>
      <c r="CU34" s="7">
        <f>VC_NEW!CP16</f>
        <v>0</v>
      </c>
      <c r="CV34" s="7">
        <f>VC_NEW!CQ16</f>
        <v>0</v>
      </c>
      <c r="CW34" s="7">
        <f>VC_NEW!CR16</f>
        <v>0</v>
      </c>
      <c r="CX34" s="7">
        <f>VC_NEW!CS16</f>
        <v>0</v>
      </c>
      <c r="CY34" s="7">
        <f>VC_NEW!CT16</f>
        <v>0</v>
      </c>
      <c r="CZ34" s="7">
        <f>VC_NEW!CU16</f>
        <v>0</v>
      </c>
      <c r="DA34" s="7">
        <f>VC_NEW!CV16</f>
        <v>0</v>
      </c>
      <c r="DB34" s="7">
        <f>VC_NEW!CW16</f>
        <v>0</v>
      </c>
      <c r="DC34" s="7">
        <f>VC_NEW!CX16</f>
        <v>0</v>
      </c>
      <c r="DD34" s="7" t="str">
        <f>VC_NEW!CY16</f>
        <v>A285T</v>
      </c>
      <c r="DE34" s="7">
        <f>VC_NEW!CZ16</f>
        <v>0</v>
      </c>
      <c r="DF34" s="7">
        <f>VC_NEW!DA16</f>
        <v>0</v>
      </c>
      <c r="DG34" s="7">
        <f>VC_NEW!DB16</f>
        <v>0</v>
      </c>
      <c r="DH34" s="7">
        <f>VC_NEW!DC16</f>
        <v>0</v>
      </c>
      <c r="DI34" s="7">
        <f>VC_NEW!DD16</f>
        <v>0</v>
      </c>
      <c r="DJ34" s="7">
        <f>VC_NEW!DE16</f>
        <v>0</v>
      </c>
      <c r="DK34" s="7" t="str">
        <f>VC_NEW!DF16</f>
        <v>P1032S</v>
      </c>
      <c r="DL34" s="7">
        <f>VC_NEW!DG16</f>
        <v>0</v>
      </c>
      <c r="DM34" s="7">
        <f>VC_NEW!DH16</f>
        <v>0</v>
      </c>
      <c r="DN34" s="7" t="str">
        <f>VC_NEW!DI16</f>
        <v>DELETED</v>
      </c>
      <c r="DO34" s="7">
        <f>VC_NEW!DJ16</f>
        <v>0</v>
      </c>
      <c r="DP34" s="7">
        <f>VC_NEW!DK16</f>
        <v>0</v>
      </c>
      <c r="DQ34" s="7">
        <f>VC_NEW!DL16</f>
        <v>0</v>
      </c>
      <c r="DR34" s="7">
        <f>VC_NEW!DM16</f>
        <v>0</v>
      </c>
      <c r="DS34" s="7" t="str">
        <f>VC_NEW!DN16</f>
        <v>D628H</v>
      </c>
      <c r="DT34" s="7">
        <f>VC_NEW!DO16</f>
        <v>0</v>
      </c>
      <c r="DU34" s="7">
        <f>VC_NEW!DP16</f>
        <v>0</v>
      </c>
      <c r="DV34" s="7">
        <f>VC_NEW!DQ16</f>
        <v>0</v>
      </c>
      <c r="DW34" s="7">
        <f>VC_NEW!DR16</f>
        <v>0</v>
      </c>
      <c r="DX34" s="7">
        <f>VC_NEW!DS16</f>
        <v>0</v>
      </c>
      <c r="DY34" s="7">
        <f>VC_NEW!DT16</f>
        <v>0</v>
      </c>
      <c r="DZ34" s="7" t="str">
        <f>VC_NEW!DU16</f>
        <v>R1024S</v>
      </c>
      <c r="EA34" s="7">
        <f>VC_NEW!DV16</f>
        <v>0</v>
      </c>
      <c r="EB34" s="7" t="str">
        <f>VC_NEW!DW16</f>
        <v>R706H</v>
      </c>
      <c r="EC34" s="7">
        <f>VC_NEW!DX16</f>
        <v>0</v>
      </c>
      <c r="ED34" s="7" t="str">
        <f>VC_NEW!DY16</f>
        <v>T472P; P1032S</v>
      </c>
      <c r="EE34" s="7">
        <f>VC_NEW!DZ16</f>
        <v>0</v>
      </c>
      <c r="EF34" s="7">
        <f>VC_NEW!EA16</f>
        <v>0</v>
      </c>
      <c r="EG34" s="7">
        <f>VC_NEW!EB16</f>
        <v>0</v>
      </c>
      <c r="EH34" s="7">
        <f>VC_NEW!EC16</f>
        <v>0</v>
      </c>
      <c r="EI34" s="7" t="str">
        <f>VC_NEW!ED16</f>
        <v>E505G</v>
      </c>
      <c r="EJ34" s="7">
        <f>VC_NEW!EE16</f>
        <v>0</v>
      </c>
      <c r="EK34" s="7">
        <f>VC_NEW!EF16</f>
        <v>0</v>
      </c>
      <c r="EL34" s="7" t="str">
        <f>VC_NEW!EG16</f>
        <v>D724V</v>
      </c>
      <c r="EM34" s="7">
        <f>VC_NEW!EH16</f>
        <v>0</v>
      </c>
      <c r="EN34" s="7">
        <f>VC_NEW!EI16</f>
        <v>0</v>
      </c>
      <c r="EO34" s="7">
        <f>VC_NEW!EJ16</f>
        <v>0</v>
      </c>
      <c r="EP34" s="7">
        <f>VC_NEW!EK16</f>
        <v>0</v>
      </c>
      <c r="EQ34" s="7">
        <f>VC_NEW!EL16</f>
        <v>0</v>
      </c>
      <c r="ER34" s="7">
        <f>VC_NEW!EM16</f>
        <v>0</v>
      </c>
      <c r="ES34" s="7">
        <f>VC_NEW!EN16</f>
        <v>0</v>
      </c>
      <c r="ET34" s="7">
        <f>VC_NEW!EO16</f>
        <v>0</v>
      </c>
      <c r="EU34" s="7">
        <f>VC_NEW!EP16</f>
        <v>0</v>
      </c>
      <c r="EV34" s="7" t="str">
        <f>VC_NEW!EQ16</f>
        <v>P1032S</v>
      </c>
      <c r="EW34" s="7" t="str">
        <f>VC_NEW!ER16</f>
        <v>S48N; T472A; D502G; R519H; Q843R; I849V; A865D</v>
      </c>
      <c r="EX34" s="7">
        <f>VC_NEW!ES16</f>
        <v>0</v>
      </c>
      <c r="EY34" s="7">
        <f>VC_NEW!ET16</f>
        <v>0</v>
      </c>
      <c r="EZ34" s="7">
        <f>VC_NEW!EU16</f>
        <v>0</v>
      </c>
      <c r="FA34" s="7">
        <f>VC_NEW!EV16</f>
        <v>0</v>
      </c>
      <c r="FB34" s="7">
        <f>VC_NEW!EW16</f>
        <v>0</v>
      </c>
      <c r="FC34" s="7">
        <f>VC_NEW!EX16</f>
        <v>0</v>
      </c>
      <c r="FD34" s="7">
        <f>VC_NEW!EY16</f>
        <v>0</v>
      </c>
      <c r="FE34" s="7">
        <f>VC_NEW!EZ16</f>
        <v>0</v>
      </c>
      <c r="FF34" s="7">
        <f>VC_NEW!FA16</f>
        <v>0</v>
      </c>
      <c r="FG34" s="7">
        <f>VC_NEW!FB16</f>
        <v>0</v>
      </c>
      <c r="FH34" s="7">
        <f>VC_NEW!FC16</f>
        <v>0</v>
      </c>
      <c r="FI34" s="7">
        <f>VC_NEW!FD16</f>
        <v>0</v>
      </c>
      <c r="FJ34" s="7">
        <f>VC_NEW!FE16</f>
        <v>0</v>
      </c>
      <c r="FK34" s="7" t="str">
        <f>VC_NEW!FF16</f>
        <v>A772T</v>
      </c>
      <c r="FL34" s="7">
        <f>VC_NEW!FG16</f>
        <v>0</v>
      </c>
      <c r="FM34" s="7">
        <f>VC_NEW!FH16</f>
        <v>0</v>
      </c>
      <c r="FN34" s="7" t="str">
        <f>VC_NEW!FI16</f>
        <v>R706H</v>
      </c>
      <c r="FO34" s="7" t="str">
        <f>VC_NEW!FJ16</f>
        <v>D428N</v>
      </c>
      <c r="FP34" s="7">
        <f>VC_NEW!FK16</f>
        <v>0</v>
      </c>
      <c r="FQ34" s="7">
        <f>VC_NEW!FL16</f>
        <v>0</v>
      </c>
      <c r="FR34" s="7">
        <f>VC_NEW!FM16</f>
        <v>0</v>
      </c>
      <c r="FS34" s="7" t="str">
        <f>VC_NEW!FN16</f>
        <v>I531T</v>
      </c>
      <c r="FT34" s="7">
        <f>VC_NEW!FO16</f>
        <v>0</v>
      </c>
      <c r="FU34" s="7">
        <f>VC_NEW!FP16</f>
        <v>0</v>
      </c>
      <c r="FV34" s="7">
        <f>VC_NEW!FQ16</f>
        <v>0</v>
      </c>
      <c r="FW34" s="7" t="str">
        <f>VC_NEW!FR16</f>
        <v>A772T</v>
      </c>
      <c r="FX34" s="7">
        <f>VC_NEW!FS16</f>
        <v>0</v>
      </c>
      <c r="FY34" s="7">
        <f>VC_NEW!FT16</f>
        <v>0</v>
      </c>
      <c r="FZ34" s="7">
        <f>VC_NEW!FU16</f>
        <v>0</v>
      </c>
      <c r="GA34" s="7">
        <f>VC_NEW!FV16</f>
        <v>0</v>
      </c>
      <c r="GB34" s="7">
        <f>VC_NEW!FW16</f>
        <v>0</v>
      </c>
      <c r="GC34" s="7">
        <f>VC_NEW!FX16</f>
        <v>0</v>
      </c>
      <c r="GD34" s="7">
        <f>VC_NEW!FY16</f>
        <v>0</v>
      </c>
      <c r="GE34" s="7">
        <f>VC_NEW!FZ16</f>
        <v>0</v>
      </c>
      <c r="GF34" s="7">
        <f>VC_NEW!GA16</f>
        <v>0</v>
      </c>
      <c r="GG34" s="7">
        <f>VC_NEW!GB16</f>
        <v>0</v>
      </c>
      <c r="GH34" s="7">
        <f>VC_NEW!GC16</f>
        <v>0</v>
      </c>
      <c r="GI34" s="7">
        <f>VC_NEW!GD16</f>
        <v>0</v>
      </c>
      <c r="GJ34" s="7">
        <f>VC_NEW!GE16</f>
        <v>0</v>
      </c>
      <c r="GK34" s="7" t="str">
        <f>VC_NEW!GF16</f>
        <v>T238I</v>
      </c>
      <c r="GL34" s="7">
        <f>VC_NEW!GG16</f>
        <v>0</v>
      </c>
      <c r="GM34" s="7">
        <f>VC_NEW!GH16</f>
        <v>0</v>
      </c>
      <c r="GN34" s="7" t="str">
        <f>VC_NEW!GI16</f>
        <v>G1002A</v>
      </c>
      <c r="GO34" s="7">
        <f>VC_NEW!GJ16</f>
        <v>0</v>
      </c>
      <c r="GP34" s="7">
        <f>VC_NEW!GK16</f>
        <v>0</v>
      </c>
      <c r="GQ34" s="7" t="str">
        <f>VC_NEW!GL16</f>
        <v>T393A</v>
      </c>
      <c r="GR34" s="7">
        <f>VC_NEW!GM16</f>
        <v>0</v>
      </c>
      <c r="GS34" s="7">
        <f>VC_NEW!GN16</f>
        <v>0</v>
      </c>
      <c r="GT34" s="7" t="str">
        <f>VC_NEW!GO16</f>
        <v>A527V;V548M</v>
      </c>
      <c r="GU34" s="7">
        <f>VC_NEW!GP16</f>
        <v>0</v>
      </c>
      <c r="GV34" s="7">
        <f>VC_NEW!GQ16</f>
        <v>0</v>
      </c>
      <c r="GW34" s="7">
        <f>VC_NEW!GR16</f>
        <v>0</v>
      </c>
      <c r="GX34" s="7">
        <f>VC_NEW!GS16</f>
        <v>0</v>
      </c>
      <c r="GY34" s="7" t="str">
        <f>VC_NEW!GT16</f>
        <v>G530S</v>
      </c>
      <c r="GZ34" s="7">
        <f>VC_NEW!GU16</f>
        <v>0</v>
      </c>
      <c r="HA34" s="7" t="str">
        <f>VC_NEW!GV16</f>
        <v>G530S</v>
      </c>
      <c r="HB34" s="7">
        <f>VC_NEW!GW16</f>
        <v>0</v>
      </c>
      <c r="HC34" s="7">
        <f>VC_NEW!GX16</f>
        <v>0</v>
      </c>
    </row>
    <row r="35" spans="1:211" s="7" customFormat="1" ht="15" hidden="1" customHeight="1" x14ac:dyDescent="0.25">
      <c r="A35" s="44" t="s">
        <v>49</v>
      </c>
      <c r="B35" s="45" t="s">
        <v>50</v>
      </c>
      <c r="C35" s="46" t="s">
        <v>2</v>
      </c>
      <c r="D35" s="45" t="s">
        <v>77</v>
      </c>
      <c r="E35" s="45">
        <v>-0.5</v>
      </c>
      <c r="F35" s="45" t="s">
        <v>74</v>
      </c>
      <c r="G35" s="47" t="s">
        <v>143</v>
      </c>
      <c r="H35" s="7" t="str">
        <f>VC_NEW!C16</f>
        <v>D428N</v>
      </c>
      <c r="I35" s="7">
        <f>VC_NEW!D16</f>
        <v>0</v>
      </c>
      <c r="J35" s="7">
        <f>VC_NEW!E16</f>
        <v>0</v>
      </c>
      <c r="K35" s="7" t="str">
        <f>VC_NEW!F16</f>
        <v>A708T</v>
      </c>
      <c r="L35" s="7" t="str">
        <f>VC_NEW!G16</f>
        <v>D428N</v>
      </c>
      <c r="M35" s="7" t="str">
        <f>VC_NEW!H16</f>
        <v>L239P</v>
      </c>
      <c r="N35" s="7">
        <f>VC_NEW!I16</f>
        <v>0</v>
      </c>
      <c r="O35" s="7">
        <f>VC_NEW!J16</f>
        <v>0</v>
      </c>
      <c r="P35" s="7" t="str">
        <f>VC_NEW!K16</f>
        <v>T742I</v>
      </c>
      <c r="Q35" s="7">
        <f>VC_NEW!L16</f>
        <v>0</v>
      </c>
      <c r="R35" s="7">
        <f>VC_NEW!M16</f>
        <v>0</v>
      </c>
      <c r="S35" s="7">
        <f>VC_NEW!N16</f>
        <v>0</v>
      </c>
      <c r="T35" s="7" t="str">
        <f>VC_NEW!O16</f>
        <v>A131T; P1032S</v>
      </c>
      <c r="U35" s="7">
        <f>VC_NEW!P16</f>
        <v>0</v>
      </c>
      <c r="V35" s="7">
        <f>VC_NEW!Q16</f>
        <v>0</v>
      </c>
      <c r="W35" s="7">
        <f>VC_NEW!R16</f>
        <v>0</v>
      </c>
      <c r="X35" s="7">
        <f>VC_NEW!S16</f>
        <v>0</v>
      </c>
      <c r="Y35" s="7">
        <f>VC_NEW!T16</f>
        <v>0</v>
      </c>
      <c r="Z35" s="7" t="str">
        <f>VC_NEW!U16</f>
        <v>V875M; N1036S</v>
      </c>
      <c r="AA35" s="7">
        <f>VC_NEW!V16</f>
        <v>0</v>
      </c>
      <c r="AB35" s="7">
        <f>VC_NEW!W16</f>
        <v>0</v>
      </c>
      <c r="AC35" s="7">
        <f>VC_NEW!X16</f>
        <v>0</v>
      </c>
      <c r="AD35" s="7">
        <f>VC_NEW!Y16</f>
        <v>0</v>
      </c>
      <c r="AE35" s="7" t="str">
        <f>VC_NEW!Z16</f>
        <v>N709S</v>
      </c>
      <c r="AF35" s="7">
        <f>VC_NEW!AA16</f>
        <v>0</v>
      </c>
      <c r="AG35" s="7">
        <f>VC_NEW!AB16</f>
        <v>0</v>
      </c>
      <c r="AH35" s="7" t="str">
        <f>VC_NEW!AC16</f>
        <v>A586T; N709H</v>
      </c>
      <c r="AI35" s="7">
        <f>VC_NEW!AD16</f>
        <v>0</v>
      </c>
      <c r="AJ35" s="7">
        <f>VC_NEW!AE16</f>
        <v>0</v>
      </c>
      <c r="AK35" s="7">
        <f>VC_NEW!AF16</f>
        <v>0</v>
      </c>
      <c r="AL35" s="7">
        <f>VC_NEW!AG16</f>
        <v>0</v>
      </c>
      <c r="AM35" s="7" t="str">
        <f>VC_NEW!AH16</f>
        <v>R706H</v>
      </c>
      <c r="AN35" s="7">
        <f>VC_NEW!AI16</f>
        <v>0</v>
      </c>
      <c r="AO35" s="7">
        <f>VC_NEW!AJ16</f>
        <v>0</v>
      </c>
      <c r="AP35" s="7">
        <f>VC_NEW!AK16</f>
        <v>0</v>
      </c>
      <c r="AQ35" s="7">
        <f>VC_NEW!AL16</f>
        <v>0</v>
      </c>
      <c r="AR35" s="7">
        <f>VC_NEW!AM16</f>
        <v>0</v>
      </c>
      <c r="AS35" s="7">
        <f>VC_NEW!AN16</f>
        <v>0</v>
      </c>
      <c r="AT35" s="7">
        <f>VC_NEW!AO16</f>
        <v>0</v>
      </c>
      <c r="AU35" s="7">
        <f>VC_NEW!AP16</f>
        <v>0</v>
      </c>
      <c r="AV35" s="7">
        <f>VC_NEW!AQ16</f>
        <v>0</v>
      </c>
      <c r="AW35" s="7">
        <f>VC_NEW!AR16</f>
        <v>0</v>
      </c>
      <c r="AX35" s="7" t="str">
        <f>VC_NEW!AS16</f>
        <v>A772T</v>
      </c>
      <c r="AY35" s="7">
        <f>VC_NEW!AT16</f>
        <v>0</v>
      </c>
      <c r="AZ35" s="7">
        <f>VC_NEW!AU16</f>
        <v>0</v>
      </c>
      <c r="BA35" s="7">
        <f>VC_NEW!AV16</f>
        <v>0</v>
      </c>
      <c r="BB35" s="7">
        <f>VC_NEW!AW16</f>
        <v>0</v>
      </c>
      <c r="BC35" s="7">
        <f>VC_NEW!AX16</f>
        <v>0</v>
      </c>
      <c r="BD35" s="7">
        <f>VC_NEW!AY16</f>
        <v>0</v>
      </c>
      <c r="BE35" s="7">
        <f>VC_NEW!AZ16</f>
        <v>0</v>
      </c>
      <c r="BF35" s="7">
        <f>VC_NEW!BA16</f>
        <v>0</v>
      </c>
      <c r="BG35" s="7" t="str">
        <f>VC_NEW!BB16</f>
        <v xml:space="preserve">R251H; I543V </v>
      </c>
      <c r="BH35" s="7">
        <f>VC_NEW!BC16</f>
        <v>0</v>
      </c>
      <c r="BI35" s="7">
        <f>VC_NEW!BD16</f>
        <v>0</v>
      </c>
      <c r="BJ35" s="7">
        <f>VC_NEW!BE16</f>
        <v>0</v>
      </c>
      <c r="BK35" s="7">
        <f>VC_NEW!BF16</f>
        <v>0</v>
      </c>
      <c r="BL35" s="7">
        <f>VC_NEW!BG16</f>
        <v>0</v>
      </c>
      <c r="BM35" s="7" t="str">
        <f>VC_NEW!BH16</f>
        <v>P1032S</v>
      </c>
      <c r="BN35" s="7">
        <f>VC_NEW!BI16</f>
        <v>0</v>
      </c>
      <c r="BO35" s="7">
        <f>VC_NEW!BJ16</f>
        <v>0</v>
      </c>
      <c r="BP35" s="7">
        <f>VC_NEW!BK16</f>
        <v>0</v>
      </c>
      <c r="BQ35" s="7" t="str">
        <f>VC_NEW!BL16</f>
        <v>G530S</v>
      </c>
      <c r="BR35" s="7" t="str">
        <f>VC_NEW!BM16</f>
        <v>G530S</v>
      </c>
      <c r="BS35" s="7">
        <f>VC_NEW!BN16</f>
        <v>0</v>
      </c>
      <c r="BT35" s="7">
        <f>VC_NEW!BO16</f>
        <v>0</v>
      </c>
      <c r="BU35" s="7">
        <f>VC_NEW!BP16</f>
        <v>0</v>
      </c>
      <c r="BV35" s="7">
        <f>VC_NEW!BQ16</f>
        <v>0</v>
      </c>
      <c r="BW35" s="7">
        <f>VC_NEW!BR16</f>
        <v>0</v>
      </c>
      <c r="BX35" s="7">
        <f>VC_NEW!BS16</f>
        <v>0</v>
      </c>
      <c r="BY35" s="7">
        <f>VC_NEW!BT16</f>
        <v>0</v>
      </c>
      <c r="BZ35" s="7">
        <f>VC_NEW!BU16</f>
        <v>0</v>
      </c>
      <c r="CA35" s="7">
        <f>VC_NEW!BV16</f>
        <v>0</v>
      </c>
      <c r="CB35" s="7">
        <f>VC_NEW!BW16</f>
        <v>0</v>
      </c>
      <c r="CC35" s="7">
        <f>VC_NEW!BX16</f>
        <v>0</v>
      </c>
      <c r="CD35" s="7">
        <f>VC_NEW!BY16</f>
        <v>0</v>
      </c>
      <c r="CE35" s="7">
        <f>VC_NEW!BZ16</f>
        <v>0</v>
      </c>
      <c r="CF35" s="7">
        <f>VC_NEW!CA16</f>
        <v>0</v>
      </c>
      <c r="CG35" s="7">
        <f>VC_NEW!CB16</f>
        <v>0</v>
      </c>
      <c r="CH35" s="7">
        <f>VC_NEW!CC16</f>
        <v>0</v>
      </c>
      <c r="CI35" s="7">
        <f>VC_NEW!CD16</f>
        <v>0</v>
      </c>
      <c r="CJ35" s="7">
        <f>VC_NEW!CE16</f>
        <v>0</v>
      </c>
      <c r="CK35" s="7">
        <f>VC_NEW!CF16</f>
        <v>0</v>
      </c>
      <c r="CL35" s="7">
        <f>VC_NEW!CG16</f>
        <v>0</v>
      </c>
      <c r="CM35" s="7">
        <f>VC_NEW!CH16</f>
        <v>0</v>
      </c>
      <c r="CN35" s="7">
        <f>VC_NEW!CI16</f>
        <v>0</v>
      </c>
      <c r="CO35" s="7">
        <f>VC_NEW!CJ16</f>
        <v>0</v>
      </c>
      <c r="CP35" s="7">
        <f>VC_NEW!CK16</f>
        <v>0</v>
      </c>
      <c r="CQ35" s="7">
        <f>VC_NEW!CL16</f>
        <v>0</v>
      </c>
      <c r="CR35" s="7">
        <f>VC_NEW!CM16</f>
        <v>0</v>
      </c>
      <c r="CS35" s="7">
        <f>VC_NEW!CN16</f>
        <v>0</v>
      </c>
      <c r="CT35" s="7">
        <f>VC_NEW!CO16</f>
        <v>0</v>
      </c>
      <c r="CU35" s="7">
        <f>VC_NEW!CP16</f>
        <v>0</v>
      </c>
      <c r="CV35" s="7">
        <f>VC_NEW!CQ16</f>
        <v>0</v>
      </c>
      <c r="CW35" s="7">
        <f>VC_NEW!CR16</f>
        <v>0</v>
      </c>
      <c r="CX35" s="7">
        <f>VC_NEW!CS16</f>
        <v>0</v>
      </c>
      <c r="CY35" s="7">
        <f>VC_NEW!CT16</f>
        <v>0</v>
      </c>
      <c r="CZ35" s="7">
        <f>VC_NEW!CU16</f>
        <v>0</v>
      </c>
      <c r="DA35" s="7">
        <f>VC_NEW!CV16</f>
        <v>0</v>
      </c>
      <c r="DB35" s="7">
        <f>VC_NEW!CW16</f>
        <v>0</v>
      </c>
      <c r="DC35" s="7">
        <f>VC_NEW!CX16</f>
        <v>0</v>
      </c>
      <c r="DD35" s="7" t="str">
        <f>VC_NEW!CY16</f>
        <v>A285T</v>
      </c>
      <c r="DE35" s="7">
        <f>VC_NEW!CZ16</f>
        <v>0</v>
      </c>
      <c r="DF35" s="7">
        <f>VC_NEW!DA16</f>
        <v>0</v>
      </c>
      <c r="DG35" s="7">
        <f>VC_NEW!DB16</f>
        <v>0</v>
      </c>
      <c r="DH35" s="7">
        <f>VC_NEW!DC16</f>
        <v>0</v>
      </c>
      <c r="DI35" s="7">
        <f>VC_NEW!DD16</f>
        <v>0</v>
      </c>
      <c r="DJ35" s="7">
        <f>VC_NEW!DE16</f>
        <v>0</v>
      </c>
      <c r="DK35" s="7" t="str">
        <f>VC_NEW!DF16</f>
        <v>P1032S</v>
      </c>
      <c r="DL35" s="7">
        <f>VC_NEW!DG16</f>
        <v>0</v>
      </c>
      <c r="DM35" s="7">
        <f>VC_NEW!DH16</f>
        <v>0</v>
      </c>
      <c r="DN35" s="7" t="str">
        <f>VC_NEW!DI16</f>
        <v>DELETED</v>
      </c>
      <c r="DO35" s="7">
        <f>VC_NEW!DJ16</f>
        <v>0</v>
      </c>
      <c r="DP35" s="7">
        <f>VC_NEW!DK16</f>
        <v>0</v>
      </c>
      <c r="DQ35" s="7">
        <f>VC_NEW!DL16</f>
        <v>0</v>
      </c>
      <c r="DR35" s="7">
        <f>VC_NEW!DM16</f>
        <v>0</v>
      </c>
      <c r="DS35" s="7" t="str">
        <f>VC_NEW!DN16</f>
        <v>D628H</v>
      </c>
      <c r="DT35" s="7">
        <f>VC_NEW!DO16</f>
        <v>0</v>
      </c>
      <c r="DU35" s="7">
        <f>VC_NEW!DP16</f>
        <v>0</v>
      </c>
      <c r="DV35" s="7">
        <f>VC_NEW!DQ16</f>
        <v>0</v>
      </c>
      <c r="DW35" s="7">
        <f>VC_NEW!DR16</f>
        <v>0</v>
      </c>
      <c r="DX35" s="7">
        <f>VC_NEW!DS16</f>
        <v>0</v>
      </c>
      <c r="DY35" s="7">
        <f>VC_NEW!DT16</f>
        <v>0</v>
      </c>
      <c r="DZ35" s="7" t="str">
        <f>VC_NEW!DU16</f>
        <v>R1024S</v>
      </c>
      <c r="EA35" s="7">
        <f>VC_NEW!DV16</f>
        <v>0</v>
      </c>
      <c r="EB35" s="7" t="str">
        <f>VC_NEW!DW16</f>
        <v>R706H</v>
      </c>
      <c r="EC35" s="7">
        <f>VC_NEW!DX16</f>
        <v>0</v>
      </c>
      <c r="ED35" s="7" t="str">
        <f>VC_NEW!DY16</f>
        <v>T472P; P1032S</v>
      </c>
      <c r="EE35" s="7">
        <f>VC_NEW!DZ16</f>
        <v>0</v>
      </c>
      <c r="EF35" s="7">
        <f>VC_NEW!EA16</f>
        <v>0</v>
      </c>
      <c r="EG35" s="7">
        <f>VC_NEW!EB16</f>
        <v>0</v>
      </c>
      <c r="EH35" s="7">
        <f>VC_NEW!EC16</f>
        <v>0</v>
      </c>
      <c r="EI35" s="7" t="str">
        <f>VC_NEW!ED16</f>
        <v>E505G</v>
      </c>
      <c r="EJ35" s="7">
        <f>VC_NEW!EE16</f>
        <v>0</v>
      </c>
      <c r="EK35" s="7">
        <f>VC_NEW!EF16</f>
        <v>0</v>
      </c>
      <c r="EL35" s="7" t="str">
        <f>VC_NEW!EG16</f>
        <v>D724V</v>
      </c>
      <c r="EM35" s="7">
        <f>VC_NEW!EH16</f>
        <v>0</v>
      </c>
      <c r="EN35" s="7">
        <f>VC_NEW!EI16</f>
        <v>0</v>
      </c>
      <c r="EO35" s="7">
        <f>VC_NEW!EJ16</f>
        <v>0</v>
      </c>
      <c r="EP35" s="7">
        <f>VC_NEW!EK16</f>
        <v>0</v>
      </c>
      <c r="EQ35" s="7">
        <f>VC_NEW!EL16</f>
        <v>0</v>
      </c>
      <c r="ER35" s="7">
        <f>VC_NEW!EM16</f>
        <v>0</v>
      </c>
      <c r="ES35" s="7">
        <f>VC_NEW!EN16</f>
        <v>0</v>
      </c>
      <c r="ET35" s="7">
        <f>VC_NEW!EO16</f>
        <v>0</v>
      </c>
      <c r="EU35" s="7">
        <f>VC_NEW!EP16</f>
        <v>0</v>
      </c>
      <c r="EV35" s="7" t="str">
        <f>VC_NEW!EQ16</f>
        <v>P1032S</v>
      </c>
      <c r="EW35" s="7" t="str">
        <f>VC_NEW!ER16</f>
        <v>S48N; T472A; D502G; R519H; Q843R; I849V; A865D</v>
      </c>
      <c r="EX35" s="7">
        <f>VC_NEW!ES16</f>
        <v>0</v>
      </c>
      <c r="EY35" s="7">
        <f>VC_NEW!ET16</f>
        <v>0</v>
      </c>
      <c r="EZ35" s="7">
        <f>VC_NEW!EU16</f>
        <v>0</v>
      </c>
      <c r="FA35" s="7">
        <f>VC_NEW!EV16</f>
        <v>0</v>
      </c>
      <c r="FB35" s="7">
        <f>VC_NEW!EW16</f>
        <v>0</v>
      </c>
      <c r="FC35" s="7">
        <f>VC_NEW!EX16</f>
        <v>0</v>
      </c>
      <c r="FD35" s="7">
        <f>VC_NEW!EY16</f>
        <v>0</v>
      </c>
      <c r="FE35" s="7">
        <f>VC_NEW!EZ16</f>
        <v>0</v>
      </c>
      <c r="FF35" s="7">
        <f>VC_NEW!FA16</f>
        <v>0</v>
      </c>
      <c r="FG35" s="7">
        <f>VC_NEW!FB16</f>
        <v>0</v>
      </c>
      <c r="FH35" s="7">
        <f>VC_NEW!FC16</f>
        <v>0</v>
      </c>
      <c r="FI35" s="7">
        <f>VC_NEW!FD16</f>
        <v>0</v>
      </c>
      <c r="FJ35" s="7">
        <f>VC_NEW!FE16</f>
        <v>0</v>
      </c>
      <c r="FK35" s="7" t="str">
        <f>VC_NEW!FF16</f>
        <v>A772T</v>
      </c>
      <c r="FL35" s="7">
        <f>VC_NEW!FG16</f>
        <v>0</v>
      </c>
      <c r="FM35" s="7">
        <f>VC_NEW!FH16</f>
        <v>0</v>
      </c>
      <c r="FN35" s="7" t="str">
        <f>VC_NEW!FI16</f>
        <v>R706H</v>
      </c>
      <c r="FO35" s="7" t="str">
        <f>VC_NEW!FJ16</f>
        <v>D428N</v>
      </c>
      <c r="FP35" s="7">
        <f>VC_NEW!FK16</f>
        <v>0</v>
      </c>
      <c r="FQ35" s="7">
        <f>VC_NEW!FL16</f>
        <v>0</v>
      </c>
      <c r="FR35" s="7">
        <f>VC_NEW!FM16</f>
        <v>0</v>
      </c>
      <c r="FS35" s="7" t="str">
        <f>VC_NEW!FN16</f>
        <v>I531T</v>
      </c>
      <c r="FT35" s="7">
        <f>VC_NEW!FO16</f>
        <v>0</v>
      </c>
      <c r="FU35" s="7">
        <f>VC_NEW!FP16</f>
        <v>0</v>
      </c>
      <c r="FV35" s="7">
        <f>VC_NEW!FQ16</f>
        <v>0</v>
      </c>
      <c r="FW35" s="7" t="str">
        <f>VC_NEW!FR16</f>
        <v>A772T</v>
      </c>
      <c r="FX35" s="7">
        <f>VC_NEW!FS16</f>
        <v>0</v>
      </c>
      <c r="FY35" s="7">
        <f>VC_NEW!FT16</f>
        <v>0</v>
      </c>
      <c r="FZ35" s="7">
        <f>VC_NEW!FU16</f>
        <v>0</v>
      </c>
      <c r="GA35" s="7">
        <f>VC_NEW!FV16</f>
        <v>0</v>
      </c>
      <c r="GB35" s="7">
        <f>VC_NEW!FW16</f>
        <v>0</v>
      </c>
      <c r="GC35" s="7">
        <f>VC_NEW!FX16</f>
        <v>0</v>
      </c>
      <c r="GD35" s="7">
        <f>VC_NEW!FY16</f>
        <v>0</v>
      </c>
      <c r="GE35" s="7">
        <f>VC_NEW!FZ16</f>
        <v>0</v>
      </c>
      <c r="GF35" s="7">
        <f>VC_NEW!GA16</f>
        <v>0</v>
      </c>
      <c r="GG35" s="7">
        <f>VC_NEW!GB16</f>
        <v>0</v>
      </c>
      <c r="GH35" s="7">
        <f>VC_NEW!GC16</f>
        <v>0</v>
      </c>
      <c r="GI35" s="7">
        <f>VC_NEW!GD16</f>
        <v>0</v>
      </c>
      <c r="GJ35" s="7">
        <f>VC_NEW!GE16</f>
        <v>0</v>
      </c>
      <c r="GK35" s="7" t="str">
        <f>VC_NEW!GF16</f>
        <v>T238I</v>
      </c>
      <c r="GL35" s="7">
        <f>VC_NEW!GG16</f>
        <v>0</v>
      </c>
      <c r="GM35" s="7">
        <f>VC_NEW!GH16</f>
        <v>0</v>
      </c>
      <c r="GN35" s="7" t="str">
        <f>VC_NEW!GI16</f>
        <v>G1002A</v>
      </c>
      <c r="GO35" s="7">
        <f>VC_NEW!GJ16</f>
        <v>0</v>
      </c>
      <c r="GP35" s="7">
        <f>VC_NEW!GK16</f>
        <v>0</v>
      </c>
      <c r="GQ35" s="7" t="str">
        <f>VC_NEW!GL16</f>
        <v>T393A</v>
      </c>
      <c r="GR35" s="7">
        <f>VC_NEW!GM16</f>
        <v>0</v>
      </c>
      <c r="GS35" s="7">
        <f>VC_NEW!GN16</f>
        <v>0</v>
      </c>
      <c r="GT35" s="7" t="str">
        <f>VC_NEW!GO16</f>
        <v>A527V;V548M</v>
      </c>
      <c r="GU35" s="7">
        <f>VC_NEW!GP16</f>
        <v>0</v>
      </c>
      <c r="GV35" s="7">
        <f>VC_NEW!GQ16</f>
        <v>0</v>
      </c>
      <c r="GW35" s="7">
        <f>VC_NEW!GR16</f>
        <v>0</v>
      </c>
      <c r="GX35" s="7">
        <f>VC_NEW!GS16</f>
        <v>0</v>
      </c>
      <c r="GY35" s="7" t="str">
        <f>VC_NEW!GT16</f>
        <v>G530S</v>
      </c>
      <c r="GZ35" s="7">
        <f>VC_NEW!GU16</f>
        <v>0</v>
      </c>
      <c r="HA35" s="7" t="str">
        <f>VC_NEW!GV16</f>
        <v>G530S</v>
      </c>
      <c r="HB35" s="7">
        <f>VC_NEW!GW16</f>
        <v>0</v>
      </c>
      <c r="HC35" s="7">
        <f>VC_NEW!GX16</f>
        <v>0</v>
      </c>
    </row>
    <row r="36" spans="1:211" s="7" customFormat="1" ht="15" hidden="1" customHeight="1" x14ac:dyDescent="0.25">
      <c r="A36" s="44" t="s">
        <v>49</v>
      </c>
      <c r="B36" s="45" t="s">
        <v>50</v>
      </c>
      <c r="C36" s="46" t="s">
        <v>4</v>
      </c>
      <c r="D36" s="45" t="s">
        <v>77</v>
      </c>
      <c r="E36" s="45">
        <v>-0.25</v>
      </c>
      <c r="F36" s="45" t="s">
        <v>74</v>
      </c>
      <c r="G36" s="47" t="s">
        <v>143</v>
      </c>
      <c r="H36" s="7" t="str">
        <f>VC_NEW!C16</f>
        <v>D428N</v>
      </c>
      <c r="I36" s="7">
        <f>VC_NEW!D16</f>
        <v>0</v>
      </c>
      <c r="J36" s="7">
        <f>VC_NEW!E16</f>
        <v>0</v>
      </c>
      <c r="K36" s="7" t="str">
        <f>VC_NEW!F16</f>
        <v>A708T</v>
      </c>
      <c r="L36" s="7" t="str">
        <f>VC_NEW!G16</f>
        <v>D428N</v>
      </c>
      <c r="M36" s="7" t="str">
        <f>VC_NEW!H16</f>
        <v>L239P</v>
      </c>
      <c r="N36" s="7">
        <f>VC_NEW!I16</f>
        <v>0</v>
      </c>
      <c r="O36" s="7">
        <f>VC_NEW!J16</f>
        <v>0</v>
      </c>
      <c r="P36" s="7" t="str">
        <f>VC_NEW!K16</f>
        <v>T742I</v>
      </c>
      <c r="Q36" s="7">
        <f>VC_NEW!L16</f>
        <v>0</v>
      </c>
      <c r="R36" s="7">
        <f>VC_NEW!M16</f>
        <v>0</v>
      </c>
      <c r="S36" s="7">
        <f>VC_NEW!N16</f>
        <v>0</v>
      </c>
      <c r="T36" s="7" t="str">
        <f>VC_NEW!O16</f>
        <v>A131T; P1032S</v>
      </c>
      <c r="U36" s="7">
        <f>VC_NEW!P16</f>
        <v>0</v>
      </c>
      <c r="V36" s="7">
        <f>VC_NEW!Q16</f>
        <v>0</v>
      </c>
      <c r="W36" s="7">
        <f>VC_NEW!R16</f>
        <v>0</v>
      </c>
      <c r="X36" s="7">
        <f>VC_NEW!S16</f>
        <v>0</v>
      </c>
      <c r="Y36" s="7">
        <f>VC_NEW!T16</f>
        <v>0</v>
      </c>
      <c r="Z36" s="7" t="str">
        <f>VC_NEW!U16</f>
        <v>V875M; N1036S</v>
      </c>
      <c r="AA36" s="7">
        <f>VC_NEW!V16</f>
        <v>0</v>
      </c>
      <c r="AB36" s="7">
        <f>VC_NEW!W16</f>
        <v>0</v>
      </c>
      <c r="AC36" s="7">
        <f>VC_NEW!X16</f>
        <v>0</v>
      </c>
      <c r="AD36" s="7">
        <f>VC_NEW!Y16</f>
        <v>0</v>
      </c>
      <c r="AE36" s="7" t="str">
        <f>VC_NEW!Z16</f>
        <v>N709S</v>
      </c>
      <c r="AF36" s="7">
        <f>VC_NEW!AA16</f>
        <v>0</v>
      </c>
      <c r="AG36" s="7">
        <f>VC_NEW!AB16</f>
        <v>0</v>
      </c>
      <c r="AH36" s="7" t="str">
        <f>VC_NEW!AC16</f>
        <v>A586T; N709H</v>
      </c>
      <c r="AI36" s="7">
        <f>VC_NEW!AD16</f>
        <v>0</v>
      </c>
      <c r="AJ36" s="7">
        <f>VC_NEW!AE16</f>
        <v>0</v>
      </c>
      <c r="AK36" s="7">
        <f>VC_NEW!AF16</f>
        <v>0</v>
      </c>
      <c r="AL36" s="7">
        <f>VC_NEW!AG16</f>
        <v>0</v>
      </c>
      <c r="AM36" s="7" t="str">
        <f>VC_NEW!AH16</f>
        <v>R706H</v>
      </c>
      <c r="AN36" s="7">
        <f>VC_NEW!AI16</f>
        <v>0</v>
      </c>
      <c r="AO36" s="7">
        <f>VC_NEW!AJ16</f>
        <v>0</v>
      </c>
      <c r="AP36" s="7">
        <f>VC_NEW!AK16</f>
        <v>0</v>
      </c>
      <c r="AQ36" s="7">
        <f>VC_NEW!AL16</f>
        <v>0</v>
      </c>
      <c r="AR36" s="7">
        <f>VC_NEW!AM16</f>
        <v>0</v>
      </c>
      <c r="AS36" s="7">
        <f>VC_NEW!AN16</f>
        <v>0</v>
      </c>
      <c r="AT36" s="7">
        <f>VC_NEW!AO16</f>
        <v>0</v>
      </c>
      <c r="AU36" s="7">
        <f>VC_NEW!AP16</f>
        <v>0</v>
      </c>
      <c r="AV36" s="7">
        <f>VC_NEW!AQ16</f>
        <v>0</v>
      </c>
      <c r="AW36" s="7">
        <f>VC_NEW!AR16</f>
        <v>0</v>
      </c>
      <c r="AX36" s="7" t="str">
        <f>VC_NEW!AS16</f>
        <v>A772T</v>
      </c>
      <c r="AY36" s="7">
        <f>VC_NEW!AT16</f>
        <v>0</v>
      </c>
      <c r="AZ36" s="7">
        <f>VC_NEW!AU16</f>
        <v>0</v>
      </c>
      <c r="BA36" s="7">
        <f>VC_NEW!AV16</f>
        <v>0</v>
      </c>
      <c r="BB36" s="7">
        <f>VC_NEW!AW16</f>
        <v>0</v>
      </c>
      <c r="BC36" s="7">
        <f>VC_NEW!AX16</f>
        <v>0</v>
      </c>
      <c r="BD36" s="7">
        <f>VC_NEW!AY16</f>
        <v>0</v>
      </c>
      <c r="BE36" s="7">
        <f>VC_NEW!AZ16</f>
        <v>0</v>
      </c>
      <c r="BF36" s="7">
        <f>VC_NEW!BA16</f>
        <v>0</v>
      </c>
      <c r="BG36" s="7" t="str">
        <f>VC_NEW!BB16</f>
        <v xml:space="preserve">R251H; I543V </v>
      </c>
      <c r="BH36" s="7">
        <f>VC_NEW!BC16</f>
        <v>0</v>
      </c>
      <c r="BI36" s="7">
        <f>VC_NEW!BD16</f>
        <v>0</v>
      </c>
      <c r="BJ36" s="7">
        <f>VC_NEW!BE16</f>
        <v>0</v>
      </c>
      <c r="BK36" s="7">
        <f>VC_NEW!BF16</f>
        <v>0</v>
      </c>
      <c r="BL36" s="7">
        <f>VC_NEW!BG16</f>
        <v>0</v>
      </c>
      <c r="BM36" s="7" t="str">
        <f>VC_NEW!BH16</f>
        <v>P1032S</v>
      </c>
      <c r="BN36" s="7">
        <f>VC_NEW!BI16</f>
        <v>0</v>
      </c>
      <c r="BO36" s="7">
        <f>VC_NEW!BJ16</f>
        <v>0</v>
      </c>
      <c r="BP36" s="7">
        <f>VC_NEW!BK16</f>
        <v>0</v>
      </c>
      <c r="BQ36" s="7" t="str">
        <f>VC_NEW!BL16</f>
        <v>G530S</v>
      </c>
      <c r="BR36" s="7" t="str">
        <f>VC_NEW!BM16</f>
        <v>G530S</v>
      </c>
      <c r="BS36" s="7">
        <f>VC_NEW!BN16</f>
        <v>0</v>
      </c>
      <c r="BT36" s="7">
        <f>VC_NEW!BO16</f>
        <v>0</v>
      </c>
      <c r="BU36" s="7">
        <f>VC_NEW!BP16</f>
        <v>0</v>
      </c>
      <c r="BV36" s="7">
        <f>VC_NEW!BQ16</f>
        <v>0</v>
      </c>
      <c r="BW36" s="7">
        <f>VC_NEW!BR16</f>
        <v>0</v>
      </c>
      <c r="BX36" s="7">
        <f>VC_NEW!BS16</f>
        <v>0</v>
      </c>
      <c r="BY36" s="7">
        <f>VC_NEW!BT16</f>
        <v>0</v>
      </c>
      <c r="BZ36" s="7">
        <f>VC_NEW!BU16</f>
        <v>0</v>
      </c>
      <c r="CA36" s="7">
        <f>VC_NEW!BV16</f>
        <v>0</v>
      </c>
      <c r="CB36" s="7">
        <f>VC_NEW!BW16</f>
        <v>0</v>
      </c>
      <c r="CC36" s="7">
        <f>VC_NEW!BX16</f>
        <v>0</v>
      </c>
      <c r="CD36" s="7">
        <f>VC_NEW!BY16</f>
        <v>0</v>
      </c>
      <c r="CE36" s="7">
        <f>VC_NEW!BZ16</f>
        <v>0</v>
      </c>
      <c r="CF36" s="7">
        <f>VC_NEW!CA16</f>
        <v>0</v>
      </c>
      <c r="CG36" s="7">
        <f>VC_NEW!CB16</f>
        <v>0</v>
      </c>
      <c r="CH36" s="7">
        <f>VC_NEW!CC16</f>
        <v>0</v>
      </c>
      <c r="CI36" s="7">
        <f>VC_NEW!CD16</f>
        <v>0</v>
      </c>
      <c r="CJ36" s="7">
        <f>VC_NEW!CE16</f>
        <v>0</v>
      </c>
      <c r="CK36" s="7">
        <f>VC_NEW!CF16</f>
        <v>0</v>
      </c>
      <c r="CL36" s="7">
        <f>VC_NEW!CG16</f>
        <v>0</v>
      </c>
      <c r="CM36" s="7">
        <f>VC_NEW!CH16</f>
        <v>0</v>
      </c>
      <c r="CN36" s="7">
        <f>VC_NEW!CI16</f>
        <v>0</v>
      </c>
      <c r="CO36" s="7">
        <f>VC_NEW!CJ16</f>
        <v>0</v>
      </c>
      <c r="CP36" s="7">
        <f>VC_NEW!CK16</f>
        <v>0</v>
      </c>
      <c r="CQ36" s="7">
        <f>VC_NEW!CL16</f>
        <v>0</v>
      </c>
      <c r="CR36" s="7">
        <f>VC_NEW!CM16</f>
        <v>0</v>
      </c>
      <c r="CS36" s="7">
        <f>VC_NEW!CN16</f>
        <v>0</v>
      </c>
      <c r="CT36" s="7">
        <f>VC_NEW!CO16</f>
        <v>0</v>
      </c>
      <c r="CU36" s="7">
        <f>VC_NEW!CP16</f>
        <v>0</v>
      </c>
      <c r="CV36" s="7">
        <f>VC_NEW!CQ16</f>
        <v>0</v>
      </c>
      <c r="CW36" s="7">
        <f>VC_NEW!CR16</f>
        <v>0</v>
      </c>
      <c r="CX36" s="7">
        <f>VC_NEW!CS16</f>
        <v>0</v>
      </c>
      <c r="CY36" s="7">
        <f>VC_NEW!CT16</f>
        <v>0</v>
      </c>
      <c r="CZ36" s="7">
        <f>VC_NEW!CU16</f>
        <v>0</v>
      </c>
      <c r="DA36" s="7">
        <f>VC_NEW!CV16</f>
        <v>0</v>
      </c>
      <c r="DB36" s="7">
        <f>VC_NEW!CW16</f>
        <v>0</v>
      </c>
      <c r="DC36" s="7">
        <f>VC_NEW!CX16</f>
        <v>0</v>
      </c>
      <c r="DD36" s="7" t="str">
        <f>VC_NEW!CY16</f>
        <v>A285T</v>
      </c>
      <c r="DE36" s="7">
        <f>VC_NEW!CZ16</f>
        <v>0</v>
      </c>
      <c r="DF36" s="7">
        <f>VC_NEW!DA16</f>
        <v>0</v>
      </c>
      <c r="DG36" s="7">
        <f>VC_NEW!DB16</f>
        <v>0</v>
      </c>
      <c r="DH36" s="7">
        <f>VC_NEW!DC16</f>
        <v>0</v>
      </c>
      <c r="DI36" s="7">
        <f>VC_NEW!DD16</f>
        <v>0</v>
      </c>
      <c r="DJ36" s="7">
        <f>VC_NEW!DE16</f>
        <v>0</v>
      </c>
      <c r="DK36" s="7" t="str">
        <f>VC_NEW!DF16</f>
        <v>P1032S</v>
      </c>
      <c r="DL36" s="7">
        <f>VC_NEW!DG16</f>
        <v>0</v>
      </c>
      <c r="DM36" s="7">
        <f>VC_NEW!DH16</f>
        <v>0</v>
      </c>
      <c r="DN36" s="7" t="str">
        <f>VC_NEW!DI16</f>
        <v>DELETED</v>
      </c>
      <c r="DO36" s="7">
        <f>VC_NEW!DJ16</f>
        <v>0</v>
      </c>
      <c r="DP36" s="7">
        <f>VC_NEW!DK16</f>
        <v>0</v>
      </c>
      <c r="DQ36" s="7">
        <f>VC_NEW!DL16</f>
        <v>0</v>
      </c>
      <c r="DR36" s="7">
        <f>VC_NEW!DM16</f>
        <v>0</v>
      </c>
      <c r="DS36" s="7" t="str">
        <f>VC_NEW!DN16</f>
        <v>D628H</v>
      </c>
      <c r="DT36" s="7">
        <f>VC_NEW!DO16</f>
        <v>0</v>
      </c>
      <c r="DU36" s="7">
        <f>VC_NEW!DP16</f>
        <v>0</v>
      </c>
      <c r="DV36" s="7">
        <f>VC_NEW!DQ16</f>
        <v>0</v>
      </c>
      <c r="DW36" s="7">
        <f>VC_NEW!DR16</f>
        <v>0</v>
      </c>
      <c r="DX36" s="7">
        <f>VC_NEW!DS16</f>
        <v>0</v>
      </c>
      <c r="DY36" s="7">
        <f>VC_NEW!DT16</f>
        <v>0</v>
      </c>
      <c r="DZ36" s="7" t="str">
        <f>VC_NEW!DU16</f>
        <v>R1024S</v>
      </c>
      <c r="EA36" s="7">
        <f>VC_NEW!DV16</f>
        <v>0</v>
      </c>
      <c r="EB36" s="7" t="str">
        <f>VC_NEW!DW16</f>
        <v>R706H</v>
      </c>
      <c r="EC36" s="7">
        <f>VC_NEW!DX16</f>
        <v>0</v>
      </c>
      <c r="ED36" s="7" t="str">
        <f>VC_NEW!DY16</f>
        <v>T472P; P1032S</v>
      </c>
      <c r="EE36" s="7">
        <f>VC_NEW!DZ16</f>
        <v>0</v>
      </c>
      <c r="EF36" s="7">
        <f>VC_NEW!EA16</f>
        <v>0</v>
      </c>
      <c r="EG36" s="7">
        <f>VC_NEW!EB16</f>
        <v>0</v>
      </c>
      <c r="EH36" s="7">
        <f>VC_NEW!EC16</f>
        <v>0</v>
      </c>
      <c r="EI36" s="7" t="str">
        <f>VC_NEW!ED16</f>
        <v>E505G</v>
      </c>
      <c r="EJ36" s="7">
        <f>VC_NEW!EE16</f>
        <v>0</v>
      </c>
      <c r="EK36" s="7">
        <f>VC_NEW!EF16</f>
        <v>0</v>
      </c>
      <c r="EL36" s="7" t="str">
        <f>VC_NEW!EG16</f>
        <v>D724V</v>
      </c>
      <c r="EM36" s="7">
        <f>VC_NEW!EH16</f>
        <v>0</v>
      </c>
      <c r="EN36" s="7">
        <f>VC_NEW!EI16</f>
        <v>0</v>
      </c>
      <c r="EO36" s="7">
        <f>VC_NEW!EJ16</f>
        <v>0</v>
      </c>
      <c r="EP36" s="7">
        <f>VC_NEW!EK16</f>
        <v>0</v>
      </c>
      <c r="EQ36" s="7">
        <f>VC_NEW!EL16</f>
        <v>0</v>
      </c>
      <c r="ER36" s="7">
        <f>VC_NEW!EM16</f>
        <v>0</v>
      </c>
      <c r="ES36" s="7">
        <f>VC_NEW!EN16</f>
        <v>0</v>
      </c>
      <c r="ET36" s="7">
        <f>VC_NEW!EO16</f>
        <v>0</v>
      </c>
      <c r="EU36" s="7">
        <f>VC_NEW!EP16</f>
        <v>0</v>
      </c>
      <c r="EV36" s="7" t="str">
        <f>VC_NEW!EQ16</f>
        <v>P1032S</v>
      </c>
      <c r="EW36" s="7" t="str">
        <f>VC_NEW!ER16</f>
        <v>S48N; T472A; D502G; R519H; Q843R; I849V; A865D</v>
      </c>
      <c r="EX36" s="7">
        <f>VC_NEW!ES16</f>
        <v>0</v>
      </c>
      <c r="EY36" s="7">
        <f>VC_NEW!ET16</f>
        <v>0</v>
      </c>
      <c r="EZ36" s="7">
        <f>VC_NEW!EU16</f>
        <v>0</v>
      </c>
      <c r="FA36" s="7">
        <f>VC_NEW!EV16</f>
        <v>0</v>
      </c>
      <c r="FB36" s="7">
        <f>VC_NEW!EW16</f>
        <v>0</v>
      </c>
      <c r="FC36" s="7">
        <f>VC_NEW!EX16</f>
        <v>0</v>
      </c>
      <c r="FD36" s="7">
        <f>VC_NEW!EY16</f>
        <v>0</v>
      </c>
      <c r="FE36" s="7">
        <f>VC_NEW!EZ16</f>
        <v>0</v>
      </c>
      <c r="FF36" s="7">
        <f>VC_NEW!FA16</f>
        <v>0</v>
      </c>
      <c r="FG36" s="7">
        <f>VC_NEW!FB16</f>
        <v>0</v>
      </c>
      <c r="FH36" s="7">
        <f>VC_NEW!FC16</f>
        <v>0</v>
      </c>
      <c r="FI36" s="7">
        <f>VC_NEW!FD16</f>
        <v>0</v>
      </c>
      <c r="FJ36" s="7">
        <f>VC_NEW!FE16</f>
        <v>0</v>
      </c>
      <c r="FK36" s="7" t="str">
        <f>VC_NEW!FF16</f>
        <v>A772T</v>
      </c>
      <c r="FL36" s="7">
        <f>VC_NEW!FG16</f>
        <v>0</v>
      </c>
      <c r="FM36" s="7">
        <f>VC_NEW!FH16</f>
        <v>0</v>
      </c>
      <c r="FN36" s="7" t="str">
        <f>VC_NEW!FI16</f>
        <v>R706H</v>
      </c>
      <c r="FO36" s="7" t="str">
        <f>VC_NEW!FJ16</f>
        <v>D428N</v>
      </c>
      <c r="FP36" s="7">
        <f>VC_NEW!FK16</f>
        <v>0</v>
      </c>
      <c r="FQ36" s="7">
        <f>VC_NEW!FL16</f>
        <v>0</v>
      </c>
      <c r="FR36" s="7">
        <f>VC_NEW!FM16</f>
        <v>0</v>
      </c>
      <c r="FS36" s="7" t="str">
        <f>VC_NEW!FN16</f>
        <v>I531T</v>
      </c>
      <c r="FT36" s="7">
        <f>VC_NEW!FO16</f>
        <v>0</v>
      </c>
      <c r="FU36" s="7">
        <f>VC_NEW!FP16</f>
        <v>0</v>
      </c>
      <c r="FV36" s="7">
        <f>VC_NEW!FQ16</f>
        <v>0</v>
      </c>
      <c r="FW36" s="7" t="str">
        <f>VC_NEW!FR16</f>
        <v>A772T</v>
      </c>
      <c r="FX36" s="7">
        <f>VC_NEW!FS16</f>
        <v>0</v>
      </c>
      <c r="FY36" s="7">
        <f>VC_NEW!FT16</f>
        <v>0</v>
      </c>
      <c r="FZ36" s="7">
        <f>VC_NEW!FU16</f>
        <v>0</v>
      </c>
      <c r="GA36" s="7">
        <f>VC_NEW!FV16</f>
        <v>0</v>
      </c>
      <c r="GB36" s="7">
        <f>VC_NEW!FW16</f>
        <v>0</v>
      </c>
      <c r="GC36" s="7">
        <f>VC_NEW!FX16</f>
        <v>0</v>
      </c>
      <c r="GD36" s="7">
        <f>VC_NEW!FY16</f>
        <v>0</v>
      </c>
      <c r="GE36" s="7">
        <f>VC_NEW!FZ16</f>
        <v>0</v>
      </c>
      <c r="GF36" s="7">
        <f>VC_NEW!GA16</f>
        <v>0</v>
      </c>
      <c r="GG36" s="7">
        <f>VC_NEW!GB16</f>
        <v>0</v>
      </c>
      <c r="GH36" s="7">
        <f>VC_NEW!GC16</f>
        <v>0</v>
      </c>
      <c r="GI36" s="7">
        <f>VC_NEW!GD16</f>
        <v>0</v>
      </c>
      <c r="GJ36" s="7">
        <f>VC_NEW!GE16</f>
        <v>0</v>
      </c>
      <c r="GK36" s="7" t="str">
        <f>VC_NEW!GF16</f>
        <v>T238I</v>
      </c>
      <c r="GL36" s="7">
        <f>VC_NEW!GG16</f>
        <v>0</v>
      </c>
      <c r="GM36" s="7">
        <f>VC_NEW!GH16</f>
        <v>0</v>
      </c>
      <c r="GN36" s="7" t="str">
        <f>VC_NEW!GI16</f>
        <v>G1002A</v>
      </c>
      <c r="GO36" s="7">
        <f>VC_NEW!GJ16</f>
        <v>0</v>
      </c>
      <c r="GP36" s="7">
        <f>VC_NEW!GK16</f>
        <v>0</v>
      </c>
      <c r="GQ36" s="7" t="str">
        <f>VC_NEW!GL16</f>
        <v>T393A</v>
      </c>
      <c r="GR36" s="7">
        <f>VC_NEW!GM16</f>
        <v>0</v>
      </c>
      <c r="GS36" s="7">
        <f>VC_NEW!GN16</f>
        <v>0</v>
      </c>
      <c r="GT36" s="7" t="str">
        <f>VC_NEW!GO16</f>
        <v>A527V;V548M</v>
      </c>
      <c r="GU36" s="7">
        <f>VC_NEW!GP16</f>
        <v>0</v>
      </c>
      <c r="GV36" s="7">
        <f>VC_NEW!GQ16</f>
        <v>0</v>
      </c>
      <c r="GW36" s="7">
        <f>VC_NEW!GR16</f>
        <v>0</v>
      </c>
      <c r="GX36" s="7">
        <f>VC_NEW!GS16</f>
        <v>0</v>
      </c>
      <c r="GY36" s="7" t="str">
        <f>VC_NEW!GT16</f>
        <v>G530S</v>
      </c>
      <c r="GZ36" s="7">
        <f>VC_NEW!GU16</f>
        <v>0</v>
      </c>
      <c r="HA36" s="7" t="str">
        <f>VC_NEW!GV16</f>
        <v>G530S</v>
      </c>
      <c r="HB36" s="7">
        <f>VC_NEW!GW16</f>
        <v>0</v>
      </c>
      <c r="HC36" s="7">
        <f>VC_NEW!GX16</f>
        <v>0</v>
      </c>
    </row>
    <row r="37" spans="1:211" s="1" customFormat="1" ht="15" hidden="1" customHeight="1" thickBot="1" x14ac:dyDescent="0.3">
      <c r="A37" s="44" t="s">
        <v>51</v>
      </c>
      <c r="B37" s="45" t="s">
        <v>52</v>
      </c>
      <c r="C37" s="46" t="s">
        <v>0</v>
      </c>
      <c r="D37" s="45" t="s">
        <v>77</v>
      </c>
      <c r="E37" s="45">
        <v>-0.5</v>
      </c>
      <c r="F37" s="45" t="s">
        <v>74</v>
      </c>
      <c r="G37" s="47" t="s">
        <v>143</v>
      </c>
      <c r="H37" s="1">
        <f>VC_NEW!C31</f>
        <v>0</v>
      </c>
      <c r="I37" s="1">
        <f>VC_NEW!D17</f>
        <v>0</v>
      </c>
      <c r="J37" s="1">
        <f>VC_NEW!E17</f>
        <v>0</v>
      </c>
      <c r="K37" s="1">
        <f>VC_NEW!F17</f>
        <v>0</v>
      </c>
      <c r="L37" s="1">
        <f>VC_NEW!G17</f>
        <v>0</v>
      </c>
      <c r="M37" s="1">
        <f>VC_NEW!H17</f>
        <v>0</v>
      </c>
      <c r="N37" s="1">
        <f>VC_NEW!I17</f>
        <v>0</v>
      </c>
      <c r="O37" s="1">
        <f>VC_NEW!J17</f>
        <v>0</v>
      </c>
      <c r="P37" s="1" t="str">
        <f>VC_NEW!K17</f>
        <v>S320P</v>
      </c>
      <c r="Q37" s="1">
        <f>VC_NEW!L17</f>
        <v>0</v>
      </c>
      <c r="R37" s="1" t="str">
        <f>VC_NEW!M17</f>
        <v>I212L</v>
      </c>
      <c r="S37" s="1">
        <f>VC_NEW!N17</f>
        <v>0</v>
      </c>
      <c r="T37" s="1">
        <f>VC_NEW!O17</f>
        <v>0</v>
      </c>
      <c r="U37" s="1">
        <f>VC_NEW!P17</f>
        <v>0</v>
      </c>
      <c r="V37" s="1">
        <f>VC_NEW!Q17</f>
        <v>0</v>
      </c>
      <c r="W37" s="1">
        <f>VC_NEW!R17</f>
        <v>0</v>
      </c>
      <c r="X37" s="1">
        <f>VC_NEW!S17</f>
        <v>0</v>
      </c>
      <c r="Y37" s="1">
        <f>VC_NEW!T17</f>
        <v>0</v>
      </c>
      <c r="Z37" s="1">
        <f>VC_NEW!U17</f>
        <v>0</v>
      </c>
      <c r="AA37" s="1">
        <f>VC_NEW!V17</f>
        <v>0</v>
      </c>
      <c r="AB37" s="1" t="str">
        <f>VC_NEW!W17</f>
        <v>S382G</v>
      </c>
      <c r="AC37" s="1">
        <f>VC_NEW!X17</f>
        <v>0</v>
      </c>
      <c r="AD37" s="1">
        <f>VC_NEW!Y17</f>
        <v>0</v>
      </c>
      <c r="AE37" s="1">
        <f>VC_NEW!Z17</f>
        <v>0</v>
      </c>
      <c r="AF37" s="1">
        <f>VC_NEW!AA17</f>
        <v>0</v>
      </c>
      <c r="AG37" s="1">
        <f>VC_NEW!AB17</f>
        <v>0</v>
      </c>
      <c r="AH37" s="1" t="str">
        <f>VC_NEW!AC17</f>
        <v>S382G</v>
      </c>
      <c r="AI37" s="1">
        <f>VC_NEW!AD17</f>
        <v>0</v>
      </c>
      <c r="AJ37" s="1">
        <f>VC_NEW!AE17</f>
        <v>0</v>
      </c>
      <c r="AK37" s="1">
        <f>VC_NEW!AF17</f>
        <v>0</v>
      </c>
      <c r="AL37" s="1">
        <f>VC_NEW!AG17</f>
        <v>0</v>
      </c>
      <c r="AM37" s="1">
        <f>VC_NEW!AH17</f>
        <v>0</v>
      </c>
      <c r="AN37" s="1">
        <f>VC_NEW!AI17</f>
        <v>0</v>
      </c>
      <c r="AO37" s="1">
        <f>VC_NEW!AJ17</f>
        <v>0</v>
      </c>
      <c r="AP37" s="1">
        <f>VC_NEW!AK17</f>
        <v>0</v>
      </c>
      <c r="AQ37" s="1">
        <f>VC_NEW!AL17</f>
        <v>0</v>
      </c>
      <c r="AR37" s="1">
        <f>VC_NEW!AM17</f>
        <v>0</v>
      </c>
      <c r="AS37" s="1">
        <f>VC_NEW!AN17</f>
        <v>0</v>
      </c>
      <c r="AT37" s="1">
        <f>VC_NEW!AO17</f>
        <v>0</v>
      </c>
      <c r="AU37" s="1">
        <f>VC_NEW!AP17</f>
        <v>0</v>
      </c>
      <c r="AV37" s="1">
        <f>VC_NEW!AQ17</f>
        <v>0</v>
      </c>
      <c r="AW37" s="1">
        <f>VC_NEW!AR17</f>
        <v>0</v>
      </c>
      <c r="AX37" s="1">
        <f>VC_NEW!AS17</f>
        <v>0</v>
      </c>
      <c r="AY37" s="1">
        <f>VC_NEW!AT17</f>
        <v>0</v>
      </c>
      <c r="AZ37" s="1">
        <f>VC_NEW!AU17</f>
        <v>0</v>
      </c>
      <c r="BA37" s="1">
        <f>VC_NEW!AV17</f>
        <v>0</v>
      </c>
      <c r="BB37" s="1">
        <f>VC_NEW!AW17</f>
        <v>0</v>
      </c>
      <c r="BC37" s="1">
        <f>VC_NEW!AX17</f>
        <v>0</v>
      </c>
      <c r="BD37" s="1">
        <f>VC_NEW!AY17</f>
        <v>0</v>
      </c>
      <c r="BE37" s="1">
        <f>VC_NEW!AZ17</f>
        <v>0</v>
      </c>
      <c r="BF37" s="1">
        <f>VC_NEW!BA17</f>
        <v>0</v>
      </c>
      <c r="BG37" s="1" t="str">
        <f>VC_NEW!BB17</f>
        <v>A38T</v>
      </c>
      <c r="BH37" s="1" t="str">
        <f>VC_NEW!BC17</f>
        <v>S382G</v>
      </c>
      <c r="BI37" s="1">
        <f>VC_NEW!BD17</f>
        <v>0</v>
      </c>
      <c r="BJ37" s="1">
        <f>VC_NEW!BE17</f>
        <v>0</v>
      </c>
      <c r="BK37" s="1">
        <f>VC_NEW!BF17</f>
        <v>0</v>
      </c>
      <c r="BL37" s="1">
        <f>VC_NEW!BG17</f>
        <v>0</v>
      </c>
      <c r="BM37" s="1">
        <f>VC_NEW!BH17</f>
        <v>0</v>
      </c>
      <c r="BN37" s="1" t="str">
        <f>VC_NEW!BI17</f>
        <v>A375P; A383P</v>
      </c>
      <c r="BO37" s="1">
        <f>VC_NEW!BJ17</f>
        <v>0</v>
      </c>
      <c r="BP37" s="1">
        <f>VC_NEW!BK17</f>
        <v>0</v>
      </c>
      <c r="BQ37" s="1">
        <f>VC_NEW!BL17</f>
        <v>0</v>
      </c>
      <c r="BR37" s="1">
        <f>VC_NEW!BM17</f>
        <v>0</v>
      </c>
      <c r="BS37" s="1">
        <f>VC_NEW!BN17</f>
        <v>0</v>
      </c>
      <c r="BT37" s="1">
        <f>VC_NEW!BO17</f>
        <v>0</v>
      </c>
      <c r="BU37" s="1">
        <f>VC_NEW!BP17</f>
        <v>0</v>
      </c>
      <c r="BV37" s="1">
        <f>VC_NEW!BQ17</f>
        <v>0</v>
      </c>
      <c r="BW37" s="1">
        <f>VC_NEW!BR17</f>
        <v>0</v>
      </c>
      <c r="BX37" s="1">
        <f>VC_NEW!BS17</f>
        <v>0</v>
      </c>
      <c r="BY37" s="1">
        <f>VC_NEW!BT17</f>
        <v>0</v>
      </c>
      <c r="BZ37" s="1">
        <f>VC_NEW!BU17</f>
        <v>0</v>
      </c>
      <c r="CA37" s="1">
        <f>VC_NEW!BV17</f>
        <v>0</v>
      </c>
      <c r="CB37" s="1">
        <f>VC_NEW!BW17</f>
        <v>0</v>
      </c>
      <c r="CC37" s="1">
        <f>VC_NEW!BX17</f>
        <v>0</v>
      </c>
      <c r="CD37" s="1">
        <f>VC_NEW!BY17</f>
        <v>0</v>
      </c>
      <c r="CE37" s="1">
        <f>VC_NEW!BZ17</f>
        <v>0</v>
      </c>
      <c r="CF37" s="1">
        <f>VC_NEW!CA17</f>
        <v>0</v>
      </c>
      <c r="CG37" s="1">
        <f>VC_NEW!CB17</f>
        <v>0</v>
      </c>
      <c r="CH37" s="1">
        <f>VC_NEW!CC17</f>
        <v>0</v>
      </c>
      <c r="CI37" s="1">
        <f>VC_NEW!CD17</f>
        <v>0</v>
      </c>
      <c r="CJ37" s="1">
        <f>VC_NEW!CE17</f>
        <v>0</v>
      </c>
      <c r="CK37" s="1">
        <f>VC_NEW!CF17</f>
        <v>0</v>
      </c>
      <c r="CL37" s="1">
        <f>VC_NEW!CG17</f>
        <v>0</v>
      </c>
      <c r="CM37" s="1">
        <f>VC_NEW!CH17</f>
        <v>0</v>
      </c>
      <c r="CN37" s="1">
        <f>VC_NEW!CI17</f>
        <v>0</v>
      </c>
      <c r="CO37" s="1" t="str">
        <f>VC_NEW!CJ17</f>
        <v>V376M</v>
      </c>
      <c r="CP37" s="1">
        <f>VC_NEW!CK17</f>
        <v>0</v>
      </c>
      <c r="CQ37" s="1">
        <f>VC_NEW!CL17</f>
        <v>0</v>
      </c>
      <c r="CR37" s="1">
        <f>VC_NEW!CM17</f>
        <v>0</v>
      </c>
      <c r="CS37" s="1">
        <f>VC_NEW!CN17</f>
        <v>0</v>
      </c>
      <c r="CT37" s="1">
        <f>VC_NEW!CO17</f>
        <v>0</v>
      </c>
      <c r="CU37" s="1">
        <f>VC_NEW!CP17</f>
        <v>0</v>
      </c>
      <c r="CV37" s="1">
        <f>VC_NEW!CQ17</f>
        <v>0</v>
      </c>
      <c r="CW37" s="1">
        <f>VC_NEW!CR17</f>
        <v>0</v>
      </c>
      <c r="CX37" s="1">
        <f>VC_NEW!CS17</f>
        <v>0</v>
      </c>
      <c r="CY37" s="1">
        <f>VC_NEW!CT17</f>
        <v>0</v>
      </c>
      <c r="CZ37" s="1">
        <f>VC_NEW!CU17</f>
        <v>0</v>
      </c>
      <c r="DA37" s="1">
        <f>VC_NEW!CV17</f>
        <v>0</v>
      </c>
      <c r="DB37" s="1">
        <f>VC_NEW!CW17</f>
        <v>0</v>
      </c>
      <c r="DC37" s="1">
        <f>VC_NEW!CX17</f>
        <v>0</v>
      </c>
      <c r="DD37" s="1">
        <f>VC_NEW!CY17</f>
        <v>0</v>
      </c>
      <c r="DE37" s="1">
        <f>VC_NEW!CZ17</f>
        <v>0</v>
      </c>
      <c r="DF37" s="1">
        <f>VC_NEW!DA17</f>
        <v>0</v>
      </c>
      <c r="DG37" s="1">
        <f>VC_NEW!DB17</f>
        <v>0</v>
      </c>
      <c r="DH37" s="1">
        <f>VC_NEW!DC17</f>
        <v>0</v>
      </c>
      <c r="DI37" s="1">
        <f>VC_NEW!DD17</f>
        <v>0</v>
      </c>
      <c r="DJ37" s="1">
        <f>VC_NEW!DE17</f>
        <v>0</v>
      </c>
      <c r="DK37" s="1">
        <f>VC_NEW!DF17</f>
        <v>0</v>
      </c>
      <c r="DL37" s="1">
        <f>VC_NEW!DG17</f>
        <v>0</v>
      </c>
      <c r="DM37" s="1">
        <f>VC_NEW!DH17</f>
        <v>0</v>
      </c>
      <c r="DN37" s="1" t="str">
        <f>VC_NEW!DI17</f>
        <v>DELETED</v>
      </c>
      <c r="DO37" s="1">
        <f>VC_NEW!DJ17</f>
        <v>0</v>
      </c>
      <c r="DP37" s="1">
        <f>VC_NEW!DK17</f>
        <v>0</v>
      </c>
      <c r="DQ37" s="1">
        <f>VC_NEW!DL17</f>
        <v>0</v>
      </c>
      <c r="DR37" s="1">
        <f>VC_NEW!DM17</f>
        <v>0</v>
      </c>
      <c r="DS37" s="1">
        <f>VC_NEW!DN17</f>
        <v>0</v>
      </c>
      <c r="DT37" s="1">
        <f>VC_NEW!DO17</f>
        <v>0</v>
      </c>
      <c r="DU37" s="1">
        <f>VC_NEW!DP17</f>
        <v>0</v>
      </c>
      <c r="DV37" s="1">
        <f>VC_NEW!DQ17</f>
        <v>0</v>
      </c>
      <c r="DW37" s="1">
        <f>VC_NEW!DR17</f>
        <v>0</v>
      </c>
      <c r="DX37" s="1">
        <f>VC_NEW!DS17</f>
        <v>0</v>
      </c>
      <c r="DY37" s="1">
        <f>VC_NEW!DT17</f>
        <v>0</v>
      </c>
      <c r="DZ37" s="1" t="str">
        <f>VC_NEW!DU17</f>
        <v>L154Q</v>
      </c>
      <c r="EA37" s="1">
        <f>VC_NEW!DV17</f>
        <v>0</v>
      </c>
      <c r="EB37" s="1">
        <f>VC_NEW!DW17</f>
        <v>0</v>
      </c>
      <c r="EC37" s="1">
        <f>VC_NEW!DX17</f>
        <v>0</v>
      </c>
      <c r="ED37" s="1">
        <f>VC_NEW!DY17</f>
        <v>0</v>
      </c>
      <c r="EE37" s="1">
        <f>VC_NEW!DZ17</f>
        <v>0</v>
      </c>
      <c r="EF37" s="1">
        <f>VC_NEW!EA17</f>
        <v>0</v>
      </c>
      <c r="EG37" s="1">
        <f>VC_NEW!EB17</f>
        <v>0</v>
      </c>
      <c r="EH37" s="1">
        <f>VC_NEW!EC17</f>
        <v>0</v>
      </c>
      <c r="EI37" s="1" t="str">
        <f>VC_NEW!ED17</f>
        <v>R151H</v>
      </c>
      <c r="EJ37" s="1">
        <f>VC_NEW!EE17</f>
        <v>0</v>
      </c>
      <c r="EK37" s="1">
        <f>VC_NEW!EF17</f>
        <v>0</v>
      </c>
      <c r="EL37" s="1">
        <f>VC_NEW!EG17</f>
        <v>0</v>
      </c>
      <c r="EM37" s="1">
        <f>VC_NEW!EH17</f>
        <v>0</v>
      </c>
      <c r="EN37" s="1">
        <f>VC_NEW!EI17</f>
        <v>0</v>
      </c>
      <c r="EO37" s="1">
        <f>VC_NEW!EJ17</f>
        <v>0</v>
      </c>
      <c r="EP37" s="1">
        <f>VC_NEW!EK17</f>
        <v>0</v>
      </c>
      <c r="EQ37" s="1" t="str">
        <f>VC_NEW!EL17</f>
        <v>Y255X</v>
      </c>
      <c r="ER37" s="1">
        <f>VC_NEW!EM17</f>
        <v>0</v>
      </c>
      <c r="ES37" s="1">
        <f>VC_NEW!EN17</f>
        <v>0</v>
      </c>
      <c r="ET37" s="1">
        <f>VC_NEW!EO17</f>
        <v>0</v>
      </c>
      <c r="EU37" s="1">
        <f>VC_NEW!EP17</f>
        <v>0</v>
      </c>
      <c r="EV37" s="1">
        <f>VC_NEW!EQ17</f>
        <v>0</v>
      </c>
      <c r="EW37" s="1" t="str">
        <f>VC_NEW!ER17</f>
        <v>A15T; A48V; E142K; D384G</v>
      </c>
      <c r="EX37" s="1">
        <f>VC_NEW!ES17</f>
        <v>0</v>
      </c>
      <c r="EY37" s="1">
        <f>VC_NEW!ET17</f>
        <v>0</v>
      </c>
      <c r="EZ37" s="1">
        <f>VC_NEW!EU17</f>
        <v>0</v>
      </c>
      <c r="FA37" s="1">
        <f>VC_NEW!EV17</f>
        <v>0</v>
      </c>
      <c r="FB37" s="1">
        <f>VC_NEW!EW17</f>
        <v>0</v>
      </c>
      <c r="FC37" s="1">
        <f>VC_NEW!EX17</f>
        <v>0</v>
      </c>
      <c r="FD37" s="1">
        <f>VC_NEW!EY17</f>
        <v>0</v>
      </c>
      <c r="FE37" s="1">
        <f>VC_NEW!EZ17</f>
        <v>0</v>
      </c>
      <c r="FF37" s="1">
        <f>VC_NEW!FA17</f>
        <v>0</v>
      </c>
      <c r="FG37" s="1">
        <f>VC_NEW!FB17</f>
        <v>0</v>
      </c>
      <c r="FH37" s="1">
        <f>VC_NEW!FC17</f>
        <v>0</v>
      </c>
      <c r="FI37" s="1">
        <f>VC_NEW!FD17</f>
        <v>0</v>
      </c>
      <c r="FJ37" s="1">
        <f>VC_NEW!FE17</f>
        <v>0</v>
      </c>
      <c r="FK37" s="1">
        <f>VC_NEW!FF17</f>
        <v>0</v>
      </c>
      <c r="FL37" s="1">
        <f>VC_NEW!FG17</f>
        <v>0</v>
      </c>
      <c r="FM37" s="1">
        <f>VC_NEW!FH17</f>
        <v>0</v>
      </c>
      <c r="FN37" s="1">
        <f>VC_NEW!FI17</f>
        <v>0</v>
      </c>
      <c r="FO37" s="1">
        <f>VC_NEW!FJ17</f>
        <v>0</v>
      </c>
      <c r="FP37" s="1">
        <f>VC_NEW!FK17</f>
        <v>0</v>
      </c>
      <c r="FQ37" s="1">
        <f>VC_NEW!FL17</f>
        <v>0</v>
      </c>
      <c r="FR37" s="1">
        <f>VC_NEW!FM17</f>
        <v>0</v>
      </c>
      <c r="FS37" s="1" t="str">
        <f>VC_NEW!FN17</f>
        <v>Q4H</v>
      </c>
      <c r="FT37" s="1">
        <f>VC_NEW!FO17</f>
        <v>0</v>
      </c>
      <c r="FU37" s="1">
        <f>VC_NEW!FP17</f>
        <v>0</v>
      </c>
      <c r="FV37" s="1">
        <f>VC_NEW!FQ17</f>
        <v>0</v>
      </c>
      <c r="FW37" s="1">
        <f>VC_NEW!FR17</f>
        <v>0</v>
      </c>
      <c r="FX37" s="1">
        <f>VC_NEW!FS17</f>
        <v>0</v>
      </c>
      <c r="FY37" s="1">
        <f>VC_NEW!FT17</f>
        <v>0</v>
      </c>
      <c r="FZ37" s="1">
        <f>VC_NEW!FU17</f>
        <v>0</v>
      </c>
      <c r="GA37" s="1">
        <f>VC_NEW!FV17</f>
        <v>0</v>
      </c>
      <c r="GB37" s="1">
        <f>VC_NEW!FW17</f>
        <v>0</v>
      </c>
      <c r="GC37" s="1" t="str">
        <f>VC_NEW!FX17</f>
        <v>W358C</v>
      </c>
      <c r="GD37" s="1" t="str">
        <f>VC_NEW!FY17</f>
        <v>Q396X</v>
      </c>
      <c r="GE37" s="1">
        <f>VC_NEW!FZ17</f>
        <v>0</v>
      </c>
      <c r="GF37" s="1">
        <f>VC_NEW!GA17</f>
        <v>0</v>
      </c>
      <c r="GG37" s="1">
        <f>VC_NEW!GB17</f>
        <v>0</v>
      </c>
      <c r="GH37" s="1">
        <f>VC_NEW!GC17</f>
        <v>0</v>
      </c>
      <c r="GI37" s="1">
        <f>VC_NEW!GD17</f>
        <v>0</v>
      </c>
      <c r="GJ37" s="1">
        <f>VC_NEW!GE17</f>
        <v>0</v>
      </c>
      <c r="GK37" s="1">
        <f>VC_NEW!GF17</f>
        <v>0</v>
      </c>
      <c r="GL37" s="1" t="str">
        <f>VC_NEW!GG17</f>
        <v>W358C</v>
      </c>
      <c r="GM37" s="1">
        <f>VC_NEW!GH17</f>
        <v>0</v>
      </c>
      <c r="GN37" s="1">
        <f>VC_NEW!GI17</f>
        <v>0</v>
      </c>
      <c r="GO37" s="1">
        <f>VC_NEW!GJ17</f>
        <v>0</v>
      </c>
      <c r="GP37" s="1">
        <f>VC_NEW!GK17</f>
        <v>0</v>
      </c>
      <c r="GQ37" s="1">
        <f>VC_NEW!GL17</f>
        <v>0</v>
      </c>
      <c r="GR37" s="1">
        <f>VC_NEW!GM17</f>
        <v>0</v>
      </c>
      <c r="GS37" s="1">
        <f>VC_NEW!GN17</f>
        <v>0</v>
      </c>
      <c r="GT37" s="1">
        <f>VC_NEW!GO17</f>
        <v>0</v>
      </c>
      <c r="GU37" s="1" t="str">
        <f>VC_NEW!GP17</f>
        <v>R69Q</v>
      </c>
      <c r="GV37" s="1">
        <f>VC_NEW!GQ17</f>
        <v>0</v>
      </c>
      <c r="GW37" s="1">
        <f>VC_NEW!GR17</f>
        <v>0</v>
      </c>
      <c r="GX37" s="1">
        <f>VC_NEW!GS17</f>
        <v>0</v>
      </c>
      <c r="GY37" s="1">
        <f>VC_NEW!GT17</f>
        <v>0</v>
      </c>
      <c r="GZ37" s="1">
        <f>VC_NEW!GU17</f>
        <v>0</v>
      </c>
      <c r="HA37" s="1">
        <f>VC_NEW!GV17</f>
        <v>0</v>
      </c>
      <c r="HB37" s="1">
        <f>VC_NEW!GW17</f>
        <v>0</v>
      </c>
      <c r="HC37" s="1">
        <f>VC_NEW!GX17</f>
        <v>0</v>
      </c>
    </row>
    <row r="38" spans="1:211" s="1" customFormat="1" ht="15" hidden="1" customHeight="1" x14ac:dyDescent="0.25">
      <c r="A38" s="44" t="s">
        <v>51</v>
      </c>
      <c r="B38" s="45" t="s">
        <v>52</v>
      </c>
      <c r="C38" s="46" t="s">
        <v>2</v>
      </c>
      <c r="D38" s="45" t="s">
        <v>77</v>
      </c>
      <c r="E38" s="45">
        <v>-0.5</v>
      </c>
      <c r="F38" s="45" t="s">
        <v>74</v>
      </c>
      <c r="G38" s="47" t="s">
        <v>143</v>
      </c>
      <c r="H38" s="1">
        <f>VC_NEW!C32</f>
        <v>0</v>
      </c>
      <c r="I38" s="1">
        <f>VC_NEW!D17</f>
        <v>0</v>
      </c>
      <c r="J38" s="1">
        <f>VC_NEW!E17</f>
        <v>0</v>
      </c>
      <c r="K38" s="1">
        <f>VC_NEW!F17</f>
        <v>0</v>
      </c>
      <c r="L38" s="1">
        <f>VC_NEW!G17</f>
        <v>0</v>
      </c>
      <c r="M38" s="1">
        <f>VC_NEW!H17</f>
        <v>0</v>
      </c>
      <c r="N38" s="1">
        <f>VC_NEW!I17</f>
        <v>0</v>
      </c>
      <c r="O38" s="1">
        <f>VC_NEW!J17</f>
        <v>0</v>
      </c>
      <c r="P38" s="1" t="str">
        <f>VC_NEW!K17</f>
        <v>S320P</v>
      </c>
      <c r="Q38" s="1">
        <f>VC_NEW!L17</f>
        <v>0</v>
      </c>
      <c r="R38" s="1" t="str">
        <f>VC_NEW!M17</f>
        <v>I212L</v>
      </c>
      <c r="S38" s="1">
        <f>VC_NEW!N17</f>
        <v>0</v>
      </c>
      <c r="T38" s="1">
        <f>VC_NEW!O17</f>
        <v>0</v>
      </c>
      <c r="U38" s="1">
        <f>VC_NEW!P17</f>
        <v>0</v>
      </c>
      <c r="V38" s="1">
        <f>VC_NEW!Q17</f>
        <v>0</v>
      </c>
      <c r="W38" s="1">
        <f>VC_NEW!R17</f>
        <v>0</v>
      </c>
      <c r="X38" s="1">
        <f>VC_NEW!S17</f>
        <v>0</v>
      </c>
      <c r="Y38" s="1">
        <f>VC_NEW!T17</f>
        <v>0</v>
      </c>
      <c r="Z38" s="1">
        <f>VC_NEW!U17</f>
        <v>0</v>
      </c>
      <c r="AA38" s="1">
        <f>VC_NEW!V17</f>
        <v>0</v>
      </c>
      <c r="AB38" s="1" t="str">
        <f>VC_NEW!W17</f>
        <v>S382G</v>
      </c>
      <c r="AC38" s="1">
        <f>VC_NEW!X17</f>
        <v>0</v>
      </c>
      <c r="AD38" s="1">
        <f>VC_NEW!Y17</f>
        <v>0</v>
      </c>
      <c r="AE38" s="1">
        <f>VC_NEW!Z17</f>
        <v>0</v>
      </c>
      <c r="AF38" s="1">
        <f>VC_NEW!AA17</f>
        <v>0</v>
      </c>
      <c r="AG38" s="1">
        <f>VC_NEW!AB17</f>
        <v>0</v>
      </c>
      <c r="AH38" s="1" t="str">
        <f>VC_NEW!AC17</f>
        <v>S382G</v>
      </c>
      <c r="AI38" s="1">
        <f>VC_NEW!AD17</f>
        <v>0</v>
      </c>
      <c r="AJ38" s="1">
        <f>VC_NEW!AE17</f>
        <v>0</v>
      </c>
      <c r="AK38" s="1">
        <f>VC_NEW!AF17</f>
        <v>0</v>
      </c>
      <c r="AL38" s="1">
        <f>VC_NEW!AG17</f>
        <v>0</v>
      </c>
      <c r="AM38" s="1">
        <f>VC_NEW!AH17</f>
        <v>0</v>
      </c>
      <c r="AN38" s="1">
        <f>VC_NEW!AI17</f>
        <v>0</v>
      </c>
      <c r="AO38" s="1">
        <f>VC_NEW!AJ17</f>
        <v>0</v>
      </c>
      <c r="AP38" s="1">
        <f>VC_NEW!AK17</f>
        <v>0</v>
      </c>
      <c r="AQ38" s="1">
        <f>VC_NEW!AL17</f>
        <v>0</v>
      </c>
      <c r="AR38" s="1">
        <f>VC_NEW!AM17</f>
        <v>0</v>
      </c>
      <c r="AS38" s="1">
        <f>VC_NEW!AN17</f>
        <v>0</v>
      </c>
      <c r="AT38" s="1">
        <f>VC_NEW!AO17</f>
        <v>0</v>
      </c>
      <c r="AU38" s="1">
        <f>VC_NEW!AP17</f>
        <v>0</v>
      </c>
      <c r="AV38" s="1">
        <f>VC_NEW!AQ17</f>
        <v>0</v>
      </c>
      <c r="AW38" s="1">
        <f>VC_NEW!AR17</f>
        <v>0</v>
      </c>
      <c r="AX38" s="1">
        <f>VC_NEW!AS17</f>
        <v>0</v>
      </c>
      <c r="AY38" s="1">
        <f>VC_NEW!AT17</f>
        <v>0</v>
      </c>
      <c r="AZ38" s="1">
        <f>VC_NEW!AU17</f>
        <v>0</v>
      </c>
      <c r="BA38" s="1">
        <f>VC_NEW!AV17</f>
        <v>0</v>
      </c>
      <c r="BB38" s="1">
        <f>VC_NEW!AW17</f>
        <v>0</v>
      </c>
      <c r="BC38" s="1">
        <f>VC_NEW!AX17</f>
        <v>0</v>
      </c>
      <c r="BD38" s="1">
        <f>VC_NEW!AY17</f>
        <v>0</v>
      </c>
      <c r="BE38" s="1">
        <f>VC_NEW!AZ17</f>
        <v>0</v>
      </c>
      <c r="BF38" s="1">
        <f>VC_NEW!BA17</f>
        <v>0</v>
      </c>
      <c r="BG38" s="1" t="str">
        <f>VC_NEW!BB17</f>
        <v>A38T</v>
      </c>
      <c r="BH38" s="1" t="str">
        <f>VC_NEW!BC17</f>
        <v>S382G</v>
      </c>
      <c r="BI38" s="1">
        <f>VC_NEW!BD17</f>
        <v>0</v>
      </c>
      <c r="BJ38" s="1">
        <f>VC_NEW!BE17</f>
        <v>0</v>
      </c>
      <c r="BK38" s="1">
        <f>VC_NEW!BF17</f>
        <v>0</v>
      </c>
      <c r="BL38" s="1">
        <f>VC_NEW!BG17</f>
        <v>0</v>
      </c>
      <c r="BM38" s="1">
        <f>VC_NEW!BH17</f>
        <v>0</v>
      </c>
      <c r="BN38" s="1" t="str">
        <f>VC_NEW!BI17</f>
        <v>A375P; A383P</v>
      </c>
      <c r="BO38" s="1">
        <f>VC_NEW!BJ17</f>
        <v>0</v>
      </c>
      <c r="BP38" s="1">
        <f>VC_NEW!BK17</f>
        <v>0</v>
      </c>
      <c r="BQ38" s="1">
        <f>VC_NEW!BL17</f>
        <v>0</v>
      </c>
      <c r="BR38" s="1">
        <f>VC_NEW!BM17</f>
        <v>0</v>
      </c>
      <c r="BS38" s="1">
        <f>VC_NEW!BN17</f>
        <v>0</v>
      </c>
      <c r="BT38" s="1">
        <f>VC_NEW!BO17</f>
        <v>0</v>
      </c>
      <c r="BU38" s="1">
        <f>VC_NEW!BP17</f>
        <v>0</v>
      </c>
      <c r="BV38" s="1">
        <f>VC_NEW!BQ17</f>
        <v>0</v>
      </c>
      <c r="BW38" s="1">
        <f>VC_NEW!BR17</f>
        <v>0</v>
      </c>
      <c r="BX38" s="1">
        <f>VC_NEW!BS17</f>
        <v>0</v>
      </c>
      <c r="BY38" s="1">
        <f>VC_NEW!BT17</f>
        <v>0</v>
      </c>
      <c r="BZ38" s="1">
        <f>VC_NEW!BU17</f>
        <v>0</v>
      </c>
      <c r="CA38" s="1">
        <f>VC_NEW!BV17</f>
        <v>0</v>
      </c>
      <c r="CB38" s="1">
        <f>VC_NEW!BW17</f>
        <v>0</v>
      </c>
      <c r="CC38" s="1">
        <f>VC_NEW!BX17</f>
        <v>0</v>
      </c>
      <c r="CD38" s="1">
        <f>VC_NEW!BY17</f>
        <v>0</v>
      </c>
      <c r="CE38" s="1">
        <f>VC_NEW!BZ17</f>
        <v>0</v>
      </c>
      <c r="CF38" s="1">
        <f>VC_NEW!CA17</f>
        <v>0</v>
      </c>
      <c r="CG38" s="1">
        <f>VC_NEW!CB17</f>
        <v>0</v>
      </c>
      <c r="CH38" s="1">
        <f>VC_NEW!CC17</f>
        <v>0</v>
      </c>
      <c r="CI38" s="1">
        <f>VC_NEW!CD17</f>
        <v>0</v>
      </c>
      <c r="CJ38" s="1">
        <f>VC_NEW!CE17</f>
        <v>0</v>
      </c>
      <c r="CK38" s="1">
        <f>VC_NEW!CF17</f>
        <v>0</v>
      </c>
      <c r="CL38" s="1">
        <f>VC_NEW!CG17</f>
        <v>0</v>
      </c>
      <c r="CM38" s="1">
        <f>VC_NEW!CH17</f>
        <v>0</v>
      </c>
      <c r="CN38" s="1">
        <f>VC_NEW!CI17</f>
        <v>0</v>
      </c>
      <c r="CO38" s="1" t="str">
        <f>VC_NEW!CJ17</f>
        <v>V376M</v>
      </c>
      <c r="CP38" s="1">
        <f>VC_NEW!CK17</f>
        <v>0</v>
      </c>
      <c r="CQ38" s="1">
        <f>VC_NEW!CL17</f>
        <v>0</v>
      </c>
      <c r="CR38" s="1">
        <f>VC_NEW!CM17</f>
        <v>0</v>
      </c>
      <c r="CS38" s="1">
        <f>VC_NEW!CN17</f>
        <v>0</v>
      </c>
      <c r="CT38" s="1">
        <f>VC_NEW!CO17</f>
        <v>0</v>
      </c>
      <c r="CU38" s="1">
        <f>VC_NEW!CP17</f>
        <v>0</v>
      </c>
      <c r="CV38" s="1">
        <f>VC_NEW!CQ17</f>
        <v>0</v>
      </c>
      <c r="CW38" s="1">
        <f>VC_NEW!CR17</f>
        <v>0</v>
      </c>
      <c r="CX38" s="1">
        <f>VC_NEW!CS17</f>
        <v>0</v>
      </c>
      <c r="CY38" s="1">
        <f>VC_NEW!CT17</f>
        <v>0</v>
      </c>
      <c r="CZ38" s="1">
        <f>VC_NEW!CU17</f>
        <v>0</v>
      </c>
      <c r="DA38" s="1">
        <f>VC_NEW!CV17</f>
        <v>0</v>
      </c>
      <c r="DB38" s="1">
        <f>VC_NEW!CW17</f>
        <v>0</v>
      </c>
      <c r="DC38" s="1">
        <f>VC_NEW!CX17</f>
        <v>0</v>
      </c>
      <c r="DD38" s="1">
        <f>VC_NEW!CY17</f>
        <v>0</v>
      </c>
      <c r="DE38" s="1">
        <f>VC_NEW!CZ17</f>
        <v>0</v>
      </c>
      <c r="DF38" s="1">
        <f>VC_NEW!DA17</f>
        <v>0</v>
      </c>
      <c r="DG38" s="1">
        <f>VC_NEW!DB17</f>
        <v>0</v>
      </c>
      <c r="DH38" s="1">
        <f>VC_NEW!DC17</f>
        <v>0</v>
      </c>
      <c r="DI38" s="1">
        <f>VC_NEW!DD17</f>
        <v>0</v>
      </c>
      <c r="DJ38" s="1">
        <f>VC_NEW!DE17</f>
        <v>0</v>
      </c>
      <c r="DK38" s="1">
        <f>VC_NEW!DF17</f>
        <v>0</v>
      </c>
      <c r="DL38" s="1">
        <f>VC_NEW!DG17</f>
        <v>0</v>
      </c>
      <c r="DM38" s="1">
        <f>VC_NEW!DH17</f>
        <v>0</v>
      </c>
      <c r="DN38" s="1" t="str">
        <f>VC_NEW!DI17</f>
        <v>DELETED</v>
      </c>
      <c r="DO38" s="1">
        <f>VC_NEW!DJ17</f>
        <v>0</v>
      </c>
      <c r="DP38" s="1">
        <f>VC_NEW!DK17</f>
        <v>0</v>
      </c>
      <c r="DQ38" s="1">
        <f>VC_NEW!DL17</f>
        <v>0</v>
      </c>
      <c r="DR38" s="1">
        <f>VC_NEW!DM17</f>
        <v>0</v>
      </c>
      <c r="DS38" s="1">
        <f>VC_NEW!DN17</f>
        <v>0</v>
      </c>
      <c r="DT38" s="1">
        <f>VC_NEW!DO17</f>
        <v>0</v>
      </c>
      <c r="DU38" s="1">
        <f>VC_NEW!DP17</f>
        <v>0</v>
      </c>
      <c r="DV38" s="1">
        <f>VC_NEW!DQ17</f>
        <v>0</v>
      </c>
      <c r="DW38" s="1">
        <f>VC_NEW!DR17</f>
        <v>0</v>
      </c>
      <c r="DX38" s="1">
        <f>VC_NEW!DS17</f>
        <v>0</v>
      </c>
      <c r="DY38" s="1">
        <f>VC_NEW!DT17</f>
        <v>0</v>
      </c>
      <c r="DZ38" s="1" t="str">
        <f>VC_NEW!DU17</f>
        <v>L154Q</v>
      </c>
      <c r="EA38" s="1">
        <f>VC_NEW!DV17</f>
        <v>0</v>
      </c>
      <c r="EB38" s="1">
        <f>VC_NEW!DW17</f>
        <v>0</v>
      </c>
      <c r="EC38" s="1">
        <f>VC_NEW!DX17</f>
        <v>0</v>
      </c>
      <c r="ED38" s="1">
        <f>VC_NEW!DY17</f>
        <v>0</v>
      </c>
      <c r="EE38" s="1">
        <f>VC_NEW!DZ17</f>
        <v>0</v>
      </c>
      <c r="EF38" s="1">
        <f>VC_NEW!EA17</f>
        <v>0</v>
      </c>
      <c r="EG38" s="1">
        <f>VC_NEW!EB17</f>
        <v>0</v>
      </c>
      <c r="EH38" s="1">
        <f>VC_NEW!EC17</f>
        <v>0</v>
      </c>
      <c r="EI38" s="1" t="str">
        <f>VC_NEW!ED17</f>
        <v>R151H</v>
      </c>
      <c r="EJ38" s="1">
        <f>VC_NEW!EE17</f>
        <v>0</v>
      </c>
      <c r="EK38" s="1">
        <f>VC_NEW!EF17</f>
        <v>0</v>
      </c>
      <c r="EL38" s="1">
        <f>VC_NEW!EG17</f>
        <v>0</v>
      </c>
      <c r="EM38" s="1">
        <f>VC_NEW!EH17</f>
        <v>0</v>
      </c>
      <c r="EN38" s="1">
        <f>VC_NEW!EI17</f>
        <v>0</v>
      </c>
      <c r="EO38" s="1">
        <f>VC_NEW!EJ17</f>
        <v>0</v>
      </c>
      <c r="EP38" s="1">
        <f>VC_NEW!EK17</f>
        <v>0</v>
      </c>
      <c r="EQ38" s="1" t="str">
        <f>VC_NEW!EL17</f>
        <v>Y255X</v>
      </c>
      <c r="ER38" s="1">
        <f>VC_NEW!EM17</f>
        <v>0</v>
      </c>
      <c r="ES38" s="1">
        <f>VC_NEW!EN17</f>
        <v>0</v>
      </c>
      <c r="ET38" s="1">
        <f>VC_NEW!EO17</f>
        <v>0</v>
      </c>
      <c r="EU38" s="1">
        <f>VC_NEW!EP17</f>
        <v>0</v>
      </c>
      <c r="EV38" s="1">
        <f>VC_NEW!EQ17</f>
        <v>0</v>
      </c>
      <c r="EW38" s="1" t="str">
        <f>VC_NEW!ER17</f>
        <v>A15T; A48V; E142K; D384G</v>
      </c>
      <c r="EX38" s="1">
        <f>VC_NEW!ES17</f>
        <v>0</v>
      </c>
      <c r="EY38" s="1">
        <f>VC_NEW!ET17</f>
        <v>0</v>
      </c>
      <c r="EZ38" s="1">
        <f>VC_NEW!EU17</f>
        <v>0</v>
      </c>
      <c r="FA38" s="1">
        <f>VC_NEW!EV17</f>
        <v>0</v>
      </c>
      <c r="FB38" s="1">
        <f>VC_NEW!EW17</f>
        <v>0</v>
      </c>
      <c r="FC38" s="1">
        <f>VC_NEW!EX17</f>
        <v>0</v>
      </c>
      <c r="FD38" s="1">
        <f>VC_NEW!EY17</f>
        <v>0</v>
      </c>
      <c r="FE38" s="1">
        <f>VC_NEW!EZ17</f>
        <v>0</v>
      </c>
      <c r="FF38" s="1">
        <f>VC_NEW!FA17</f>
        <v>0</v>
      </c>
      <c r="FG38" s="1">
        <f>VC_NEW!FB17</f>
        <v>0</v>
      </c>
      <c r="FH38" s="1">
        <f>VC_NEW!FC17</f>
        <v>0</v>
      </c>
      <c r="FI38" s="1">
        <f>VC_NEW!FD17</f>
        <v>0</v>
      </c>
      <c r="FJ38" s="1">
        <f>VC_NEW!FE17</f>
        <v>0</v>
      </c>
      <c r="FK38" s="1">
        <f>VC_NEW!FF17</f>
        <v>0</v>
      </c>
      <c r="FL38" s="1">
        <f>VC_NEW!FG17</f>
        <v>0</v>
      </c>
      <c r="FM38" s="1">
        <f>VC_NEW!FH17</f>
        <v>0</v>
      </c>
      <c r="FN38" s="1">
        <f>VC_NEW!FI17</f>
        <v>0</v>
      </c>
      <c r="FO38" s="1">
        <f>VC_NEW!FJ17</f>
        <v>0</v>
      </c>
      <c r="FP38" s="1">
        <f>VC_NEW!FK17</f>
        <v>0</v>
      </c>
      <c r="FQ38" s="1">
        <f>VC_NEW!FL17</f>
        <v>0</v>
      </c>
      <c r="FR38" s="1">
        <f>VC_NEW!FM17</f>
        <v>0</v>
      </c>
      <c r="FS38" s="1" t="str">
        <f>VC_NEW!FN17</f>
        <v>Q4H</v>
      </c>
      <c r="FT38" s="1">
        <f>VC_NEW!FO17</f>
        <v>0</v>
      </c>
      <c r="FU38" s="1">
        <f>VC_NEW!FP17</f>
        <v>0</v>
      </c>
      <c r="FV38" s="1">
        <f>VC_NEW!FQ17</f>
        <v>0</v>
      </c>
      <c r="FW38" s="1">
        <f>VC_NEW!FR17</f>
        <v>0</v>
      </c>
      <c r="FX38" s="1">
        <f>VC_NEW!FS17</f>
        <v>0</v>
      </c>
      <c r="FY38" s="1">
        <f>VC_NEW!FT17</f>
        <v>0</v>
      </c>
      <c r="FZ38" s="1">
        <f>VC_NEW!FU17</f>
        <v>0</v>
      </c>
      <c r="GA38" s="1">
        <f>VC_NEW!FV17</f>
        <v>0</v>
      </c>
      <c r="GB38" s="1">
        <f>VC_NEW!FW17</f>
        <v>0</v>
      </c>
      <c r="GC38" s="1" t="str">
        <f>VC_NEW!FX17</f>
        <v>W358C</v>
      </c>
      <c r="GD38" s="1" t="str">
        <f>VC_NEW!FY17</f>
        <v>Q396X</v>
      </c>
      <c r="GE38" s="1">
        <f>VC_NEW!FZ17</f>
        <v>0</v>
      </c>
      <c r="GF38" s="1">
        <f>VC_NEW!GA17</f>
        <v>0</v>
      </c>
      <c r="GG38" s="1">
        <f>VC_NEW!GB17</f>
        <v>0</v>
      </c>
      <c r="GH38" s="1">
        <f>VC_NEW!GC17</f>
        <v>0</v>
      </c>
      <c r="GI38" s="1">
        <f>VC_NEW!GD17</f>
        <v>0</v>
      </c>
      <c r="GJ38" s="1">
        <f>VC_NEW!GE17</f>
        <v>0</v>
      </c>
      <c r="GK38" s="1">
        <f>VC_NEW!GF17</f>
        <v>0</v>
      </c>
      <c r="GL38" s="1" t="str">
        <f>VC_NEW!GG17</f>
        <v>W358C</v>
      </c>
      <c r="GM38" s="1">
        <f>VC_NEW!GH17</f>
        <v>0</v>
      </c>
      <c r="GN38" s="1">
        <f>VC_NEW!GI17</f>
        <v>0</v>
      </c>
      <c r="GO38" s="1">
        <f>VC_NEW!GJ17</f>
        <v>0</v>
      </c>
      <c r="GP38" s="1">
        <f>VC_NEW!GK17</f>
        <v>0</v>
      </c>
      <c r="GQ38" s="1">
        <f>VC_NEW!GL17</f>
        <v>0</v>
      </c>
      <c r="GR38" s="1">
        <f>VC_NEW!GM17</f>
        <v>0</v>
      </c>
      <c r="GS38" s="1">
        <f>VC_NEW!GN17</f>
        <v>0</v>
      </c>
      <c r="GT38" s="1">
        <f>VC_NEW!GO17</f>
        <v>0</v>
      </c>
      <c r="GU38" s="1" t="str">
        <f>VC_NEW!GP17</f>
        <v>R69Q</v>
      </c>
      <c r="GV38" s="1">
        <f>VC_NEW!GQ17</f>
        <v>0</v>
      </c>
      <c r="GW38" s="1">
        <f>VC_NEW!GR17</f>
        <v>0</v>
      </c>
      <c r="GX38" s="1">
        <f>VC_NEW!GS17</f>
        <v>0</v>
      </c>
      <c r="GY38" s="1">
        <f>VC_NEW!GT17</f>
        <v>0</v>
      </c>
      <c r="GZ38" s="1">
        <f>VC_NEW!GU17</f>
        <v>0</v>
      </c>
      <c r="HA38" s="1">
        <f>VC_NEW!GV17</f>
        <v>0</v>
      </c>
      <c r="HB38" s="1">
        <f>VC_NEW!GW17</f>
        <v>0</v>
      </c>
      <c r="HC38" s="1">
        <f>VC_NEW!GX17</f>
        <v>0</v>
      </c>
    </row>
    <row r="39" spans="1:211" s="1" customFormat="1" ht="15.75" hidden="1" customHeight="1" thickBot="1" x14ac:dyDescent="0.3">
      <c r="A39" s="69" t="s">
        <v>51</v>
      </c>
      <c r="B39" s="70" t="s">
        <v>52</v>
      </c>
      <c r="C39" s="71" t="s">
        <v>4</v>
      </c>
      <c r="D39" s="70" t="s">
        <v>77</v>
      </c>
      <c r="E39" s="70">
        <v>-0.25</v>
      </c>
      <c r="F39" s="70" t="s">
        <v>74</v>
      </c>
      <c r="G39" s="72" t="s">
        <v>143</v>
      </c>
      <c r="H39" s="1">
        <f>VC_NEW!C33</f>
        <v>0</v>
      </c>
      <c r="I39" s="1">
        <f>VC_NEW!D17</f>
        <v>0</v>
      </c>
      <c r="J39" s="1">
        <f>VC_NEW!E17</f>
        <v>0</v>
      </c>
      <c r="K39" s="1">
        <f>VC_NEW!F17</f>
        <v>0</v>
      </c>
      <c r="L39" s="1">
        <f>VC_NEW!G17</f>
        <v>0</v>
      </c>
      <c r="M39" s="1">
        <f>VC_NEW!H17</f>
        <v>0</v>
      </c>
      <c r="N39" s="1">
        <f>VC_NEW!I17</f>
        <v>0</v>
      </c>
      <c r="O39" s="1">
        <f>VC_NEW!J17</f>
        <v>0</v>
      </c>
      <c r="P39" s="1" t="str">
        <f>VC_NEW!K17</f>
        <v>S320P</v>
      </c>
      <c r="Q39" s="1">
        <f>VC_NEW!L17</f>
        <v>0</v>
      </c>
      <c r="R39" s="1" t="str">
        <f>VC_NEW!M17</f>
        <v>I212L</v>
      </c>
      <c r="S39" s="1">
        <f>VC_NEW!N17</f>
        <v>0</v>
      </c>
      <c r="T39" s="1">
        <f>VC_NEW!O17</f>
        <v>0</v>
      </c>
      <c r="U39" s="1">
        <f>VC_NEW!P17</f>
        <v>0</v>
      </c>
      <c r="V39" s="1">
        <f>VC_NEW!Q17</f>
        <v>0</v>
      </c>
      <c r="W39" s="1">
        <f>VC_NEW!R17</f>
        <v>0</v>
      </c>
      <c r="X39" s="1">
        <f>VC_NEW!S17</f>
        <v>0</v>
      </c>
      <c r="Y39" s="1">
        <f>VC_NEW!T17</f>
        <v>0</v>
      </c>
      <c r="Z39" s="1">
        <f>VC_NEW!U17</f>
        <v>0</v>
      </c>
      <c r="AA39" s="1">
        <f>VC_NEW!V17</f>
        <v>0</v>
      </c>
      <c r="AB39" s="1" t="str">
        <f>VC_NEW!W17</f>
        <v>S382G</v>
      </c>
      <c r="AC39" s="1">
        <f>VC_NEW!X17</f>
        <v>0</v>
      </c>
      <c r="AD39" s="1">
        <f>VC_NEW!Y17</f>
        <v>0</v>
      </c>
      <c r="AE39" s="1">
        <f>VC_NEW!Z17</f>
        <v>0</v>
      </c>
      <c r="AF39" s="1">
        <f>VC_NEW!AA17</f>
        <v>0</v>
      </c>
      <c r="AG39" s="1">
        <f>VC_NEW!AB17</f>
        <v>0</v>
      </c>
      <c r="AH39" s="1" t="str">
        <f>VC_NEW!AC17</f>
        <v>S382G</v>
      </c>
      <c r="AI39" s="1">
        <f>VC_NEW!AD17</f>
        <v>0</v>
      </c>
      <c r="AJ39" s="1">
        <f>VC_NEW!AE17</f>
        <v>0</v>
      </c>
      <c r="AK39" s="1">
        <f>VC_NEW!AF17</f>
        <v>0</v>
      </c>
      <c r="AL39" s="1">
        <f>VC_NEW!AG17</f>
        <v>0</v>
      </c>
      <c r="AM39" s="1">
        <f>VC_NEW!AH17</f>
        <v>0</v>
      </c>
      <c r="AN39" s="1">
        <f>VC_NEW!AI17</f>
        <v>0</v>
      </c>
      <c r="AO39" s="1">
        <f>VC_NEW!AJ17</f>
        <v>0</v>
      </c>
      <c r="AP39" s="1">
        <f>VC_NEW!AK17</f>
        <v>0</v>
      </c>
      <c r="AQ39" s="1">
        <f>VC_NEW!AL17</f>
        <v>0</v>
      </c>
      <c r="AR39" s="1">
        <f>VC_NEW!AM17</f>
        <v>0</v>
      </c>
      <c r="AS39" s="1">
        <f>VC_NEW!AN17</f>
        <v>0</v>
      </c>
      <c r="AT39" s="1">
        <f>VC_NEW!AO17</f>
        <v>0</v>
      </c>
      <c r="AU39" s="1">
        <f>VC_NEW!AP17</f>
        <v>0</v>
      </c>
      <c r="AV39" s="1">
        <f>VC_NEW!AQ17</f>
        <v>0</v>
      </c>
      <c r="AW39" s="1">
        <f>VC_NEW!AR17</f>
        <v>0</v>
      </c>
      <c r="AX39" s="1">
        <f>VC_NEW!AS17</f>
        <v>0</v>
      </c>
      <c r="AY39" s="1">
        <f>VC_NEW!AT17</f>
        <v>0</v>
      </c>
      <c r="AZ39" s="1">
        <f>VC_NEW!AU17</f>
        <v>0</v>
      </c>
      <c r="BA39" s="1">
        <f>VC_NEW!AV17</f>
        <v>0</v>
      </c>
      <c r="BB39" s="1">
        <f>VC_NEW!AW17</f>
        <v>0</v>
      </c>
      <c r="BC39" s="1">
        <f>VC_NEW!AX17</f>
        <v>0</v>
      </c>
      <c r="BD39" s="1">
        <f>VC_NEW!AY17</f>
        <v>0</v>
      </c>
      <c r="BE39" s="1">
        <f>VC_NEW!AZ17</f>
        <v>0</v>
      </c>
      <c r="BF39" s="1">
        <f>VC_NEW!BA17</f>
        <v>0</v>
      </c>
      <c r="BG39" s="1" t="str">
        <f>VC_NEW!BB17</f>
        <v>A38T</v>
      </c>
      <c r="BH39" s="1" t="str">
        <f>VC_NEW!BC17</f>
        <v>S382G</v>
      </c>
      <c r="BI39" s="1">
        <f>VC_NEW!BD17</f>
        <v>0</v>
      </c>
      <c r="BJ39" s="1">
        <f>VC_NEW!BE17</f>
        <v>0</v>
      </c>
      <c r="BK39" s="1">
        <f>VC_NEW!BF17</f>
        <v>0</v>
      </c>
      <c r="BL39" s="1">
        <f>VC_NEW!BG17</f>
        <v>0</v>
      </c>
      <c r="BM39" s="1">
        <f>VC_NEW!BH17</f>
        <v>0</v>
      </c>
      <c r="BN39" s="1" t="str">
        <f>VC_NEW!BI17</f>
        <v>A375P; A383P</v>
      </c>
      <c r="BO39" s="1">
        <f>VC_NEW!BJ17</f>
        <v>0</v>
      </c>
      <c r="BP39" s="1">
        <f>VC_NEW!BK17</f>
        <v>0</v>
      </c>
      <c r="BQ39" s="1">
        <f>VC_NEW!BL17</f>
        <v>0</v>
      </c>
      <c r="BR39" s="1">
        <f>VC_NEW!BM17</f>
        <v>0</v>
      </c>
      <c r="BS39" s="1">
        <f>VC_NEW!BN17</f>
        <v>0</v>
      </c>
      <c r="BT39" s="1">
        <f>VC_NEW!BO17</f>
        <v>0</v>
      </c>
      <c r="BU39" s="1">
        <f>VC_NEW!BP17</f>
        <v>0</v>
      </c>
      <c r="BV39" s="1">
        <f>VC_NEW!BQ17</f>
        <v>0</v>
      </c>
      <c r="BW39" s="1">
        <f>VC_NEW!BR17</f>
        <v>0</v>
      </c>
      <c r="BX39" s="1">
        <f>VC_NEW!BS17</f>
        <v>0</v>
      </c>
      <c r="BY39" s="1">
        <f>VC_NEW!BT17</f>
        <v>0</v>
      </c>
      <c r="BZ39" s="1">
        <f>VC_NEW!BU17</f>
        <v>0</v>
      </c>
      <c r="CA39" s="1">
        <f>VC_NEW!BV17</f>
        <v>0</v>
      </c>
      <c r="CB39" s="1">
        <f>VC_NEW!BW17</f>
        <v>0</v>
      </c>
      <c r="CC39" s="1">
        <f>VC_NEW!BX17</f>
        <v>0</v>
      </c>
      <c r="CD39" s="1">
        <f>VC_NEW!BY17</f>
        <v>0</v>
      </c>
      <c r="CE39" s="1">
        <f>VC_NEW!BZ17</f>
        <v>0</v>
      </c>
      <c r="CF39" s="1">
        <f>VC_NEW!CA17</f>
        <v>0</v>
      </c>
      <c r="CG39" s="1">
        <f>VC_NEW!CB17</f>
        <v>0</v>
      </c>
      <c r="CH39" s="1">
        <f>VC_NEW!CC17</f>
        <v>0</v>
      </c>
      <c r="CI39" s="1">
        <f>VC_NEW!CD17</f>
        <v>0</v>
      </c>
      <c r="CJ39" s="1">
        <f>VC_NEW!CE17</f>
        <v>0</v>
      </c>
      <c r="CK39" s="1">
        <f>VC_NEW!CF17</f>
        <v>0</v>
      </c>
      <c r="CL39" s="1">
        <f>VC_NEW!CG17</f>
        <v>0</v>
      </c>
      <c r="CM39" s="1">
        <f>VC_NEW!CH17</f>
        <v>0</v>
      </c>
      <c r="CN39" s="1">
        <f>VC_NEW!CI17</f>
        <v>0</v>
      </c>
      <c r="CO39" s="1" t="str">
        <f>VC_NEW!CJ17</f>
        <v>V376M</v>
      </c>
      <c r="CP39" s="1">
        <f>VC_NEW!CK17</f>
        <v>0</v>
      </c>
      <c r="CQ39" s="1">
        <f>VC_NEW!CL17</f>
        <v>0</v>
      </c>
      <c r="CR39" s="1">
        <f>VC_NEW!CM17</f>
        <v>0</v>
      </c>
      <c r="CS39" s="1">
        <f>VC_NEW!CN17</f>
        <v>0</v>
      </c>
      <c r="CT39" s="1">
        <f>VC_NEW!CO17</f>
        <v>0</v>
      </c>
      <c r="CU39" s="1">
        <f>VC_NEW!CP17</f>
        <v>0</v>
      </c>
      <c r="CV39" s="1">
        <f>VC_NEW!CQ17</f>
        <v>0</v>
      </c>
      <c r="CW39" s="1">
        <f>VC_NEW!CR17</f>
        <v>0</v>
      </c>
      <c r="CX39" s="1">
        <f>VC_NEW!CS17</f>
        <v>0</v>
      </c>
      <c r="CY39" s="1">
        <f>VC_NEW!CT17</f>
        <v>0</v>
      </c>
      <c r="CZ39" s="1">
        <f>VC_NEW!CU17</f>
        <v>0</v>
      </c>
      <c r="DA39" s="1">
        <f>VC_NEW!CV17</f>
        <v>0</v>
      </c>
      <c r="DB39" s="1">
        <f>VC_NEW!CW17</f>
        <v>0</v>
      </c>
      <c r="DC39" s="1">
        <f>VC_NEW!CX17</f>
        <v>0</v>
      </c>
      <c r="DD39" s="1">
        <f>VC_NEW!CY17</f>
        <v>0</v>
      </c>
      <c r="DE39" s="1">
        <f>VC_NEW!CZ17</f>
        <v>0</v>
      </c>
      <c r="DF39" s="1">
        <f>VC_NEW!DA17</f>
        <v>0</v>
      </c>
      <c r="DG39" s="1">
        <f>VC_NEW!DB17</f>
        <v>0</v>
      </c>
      <c r="DH39" s="1">
        <f>VC_NEW!DC17</f>
        <v>0</v>
      </c>
      <c r="DI39" s="1">
        <f>VC_NEW!DD17</f>
        <v>0</v>
      </c>
      <c r="DJ39" s="1">
        <f>VC_NEW!DE17</f>
        <v>0</v>
      </c>
      <c r="DK39" s="1">
        <f>VC_NEW!DF17</f>
        <v>0</v>
      </c>
      <c r="DL39" s="1">
        <f>VC_NEW!DG17</f>
        <v>0</v>
      </c>
      <c r="DM39" s="1">
        <f>VC_NEW!DH17</f>
        <v>0</v>
      </c>
      <c r="DN39" s="1" t="str">
        <f>VC_NEW!DI17</f>
        <v>DELETED</v>
      </c>
      <c r="DO39" s="1">
        <f>VC_NEW!DJ17</f>
        <v>0</v>
      </c>
      <c r="DP39" s="1">
        <f>VC_NEW!DK17</f>
        <v>0</v>
      </c>
      <c r="DQ39" s="1">
        <f>VC_NEW!DL17</f>
        <v>0</v>
      </c>
      <c r="DR39" s="1">
        <f>VC_NEW!DM17</f>
        <v>0</v>
      </c>
      <c r="DS39" s="1">
        <f>VC_NEW!DN17</f>
        <v>0</v>
      </c>
      <c r="DT39" s="1">
        <f>VC_NEW!DO17</f>
        <v>0</v>
      </c>
      <c r="DU39" s="1">
        <f>VC_NEW!DP17</f>
        <v>0</v>
      </c>
      <c r="DV39" s="1">
        <f>VC_NEW!DQ17</f>
        <v>0</v>
      </c>
      <c r="DW39" s="1">
        <f>VC_NEW!DR17</f>
        <v>0</v>
      </c>
      <c r="DX39" s="1">
        <f>VC_NEW!DS17</f>
        <v>0</v>
      </c>
      <c r="DY39" s="1">
        <f>VC_NEW!DT17</f>
        <v>0</v>
      </c>
      <c r="DZ39" s="1" t="str">
        <f>VC_NEW!DU17</f>
        <v>L154Q</v>
      </c>
      <c r="EA39" s="1">
        <f>VC_NEW!DV17</f>
        <v>0</v>
      </c>
      <c r="EB39" s="1">
        <f>VC_NEW!DW17</f>
        <v>0</v>
      </c>
      <c r="EC39" s="1">
        <f>VC_NEW!DX17</f>
        <v>0</v>
      </c>
      <c r="ED39" s="1">
        <f>VC_NEW!DY17</f>
        <v>0</v>
      </c>
      <c r="EE39" s="1">
        <f>VC_NEW!DZ17</f>
        <v>0</v>
      </c>
      <c r="EF39" s="1">
        <f>VC_NEW!EA17</f>
        <v>0</v>
      </c>
      <c r="EG39" s="1">
        <f>VC_NEW!EB17</f>
        <v>0</v>
      </c>
      <c r="EH39" s="1">
        <f>VC_NEW!EC17</f>
        <v>0</v>
      </c>
      <c r="EI39" s="1" t="str">
        <f>VC_NEW!ED17</f>
        <v>R151H</v>
      </c>
      <c r="EJ39" s="1">
        <f>VC_NEW!EE17</f>
        <v>0</v>
      </c>
      <c r="EK39" s="1">
        <f>VC_NEW!EF17</f>
        <v>0</v>
      </c>
      <c r="EL39" s="1">
        <f>VC_NEW!EG17</f>
        <v>0</v>
      </c>
      <c r="EM39" s="1">
        <f>VC_NEW!EH17</f>
        <v>0</v>
      </c>
      <c r="EN39" s="1">
        <f>VC_NEW!EI17</f>
        <v>0</v>
      </c>
      <c r="EO39" s="1">
        <f>VC_NEW!EJ17</f>
        <v>0</v>
      </c>
      <c r="EP39" s="1">
        <f>VC_NEW!EK17</f>
        <v>0</v>
      </c>
      <c r="EQ39" s="1" t="str">
        <f>VC_NEW!EL17</f>
        <v>Y255X</v>
      </c>
      <c r="ER39" s="1">
        <f>VC_NEW!EM17</f>
        <v>0</v>
      </c>
      <c r="ES39" s="1">
        <f>VC_NEW!EN17</f>
        <v>0</v>
      </c>
      <c r="ET39" s="1">
        <f>VC_NEW!EO17</f>
        <v>0</v>
      </c>
      <c r="EU39" s="1">
        <f>VC_NEW!EP17</f>
        <v>0</v>
      </c>
      <c r="EV39" s="1">
        <f>VC_NEW!EQ17</f>
        <v>0</v>
      </c>
      <c r="EW39" s="1" t="str">
        <f>VC_NEW!ER17</f>
        <v>A15T; A48V; E142K; D384G</v>
      </c>
      <c r="EX39" s="1">
        <f>VC_NEW!ES17</f>
        <v>0</v>
      </c>
      <c r="EY39" s="1">
        <f>VC_NEW!ET17</f>
        <v>0</v>
      </c>
      <c r="EZ39" s="1">
        <f>VC_NEW!EU17</f>
        <v>0</v>
      </c>
      <c r="FA39" s="1">
        <f>VC_NEW!EV17</f>
        <v>0</v>
      </c>
      <c r="FB39" s="1">
        <f>VC_NEW!EW17</f>
        <v>0</v>
      </c>
      <c r="FC39" s="1">
        <f>VC_NEW!EX17</f>
        <v>0</v>
      </c>
      <c r="FD39" s="1">
        <f>VC_NEW!EY17</f>
        <v>0</v>
      </c>
      <c r="FE39" s="1">
        <f>VC_NEW!EZ17</f>
        <v>0</v>
      </c>
      <c r="FF39" s="1">
        <f>VC_NEW!FA17</f>
        <v>0</v>
      </c>
      <c r="FG39" s="1">
        <f>VC_NEW!FB17</f>
        <v>0</v>
      </c>
      <c r="FH39" s="1">
        <f>VC_NEW!FC17</f>
        <v>0</v>
      </c>
      <c r="FI39" s="1">
        <f>VC_NEW!FD17</f>
        <v>0</v>
      </c>
      <c r="FJ39" s="1">
        <f>VC_NEW!FE17</f>
        <v>0</v>
      </c>
      <c r="FK39" s="1">
        <f>VC_NEW!FF17</f>
        <v>0</v>
      </c>
      <c r="FL39" s="1">
        <f>VC_NEW!FG17</f>
        <v>0</v>
      </c>
      <c r="FM39" s="1">
        <f>VC_NEW!FH17</f>
        <v>0</v>
      </c>
      <c r="FN39" s="1">
        <f>VC_NEW!FI17</f>
        <v>0</v>
      </c>
      <c r="FO39" s="1">
        <f>VC_NEW!FJ17</f>
        <v>0</v>
      </c>
      <c r="FP39" s="1">
        <f>VC_NEW!FK17</f>
        <v>0</v>
      </c>
      <c r="FQ39" s="1">
        <f>VC_NEW!FL17</f>
        <v>0</v>
      </c>
      <c r="FR39" s="1">
        <f>VC_NEW!FM17</f>
        <v>0</v>
      </c>
      <c r="FS39" s="1" t="str">
        <f>VC_NEW!FN17</f>
        <v>Q4H</v>
      </c>
      <c r="FT39" s="1">
        <f>VC_NEW!FO17</f>
        <v>0</v>
      </c>
      <c r="FU39" s="1">
        <f>VC_NEW!FP17</f>
        <v>0</v>
      </c>
      <c r="FV39" s="1">
        <f>VC_NEW!FQ17</f>
        <v>0</v>
      </c>
      <c r="FW39" s="1">
        <f>VC_NEW!FR17</f>
        <v>0</v>
      </c>
      <c r="FX39" s="1">
        <f>VC_NEW!FS17</f>
        <v>0</v>
      </c>
      <c r="FY39" s="1">
        <f>VC_NEW!FT17</f>
        <v>0</v>
      </c>
      <c r="FZ39" s="1">
        <f>VC_NEW!FU17</f>
        <v>0</v>
      </c>
      <c r="GA39" s="1">
        <f>VC_NEW!FV17</f>
        <v>0</v>
      </c>
      <c r="GB39" s="1">
        <f>VC_NEW!FW17</f>
        <v>0</v>
      </c>
      <c r="GC39" s="1" t="str">
        <f>VC_NEW!FX17</f>
        <v>W358C</v>
      </c>
      <c r="GD39" s="1" t="str">
        <f>VC_NEW!FY17</f>
        <v>Q396X</v>
      </c>
      <c r="GE39" s="1">
        <f>VC_NEW!FZ17</f>
        <v>0</v>
      </c>
      <c r="GF39" s="1">
        <f>VC_NEW!GA17</f>
        <v>0</v>
      </c>
      <c r="GG39" s="1">
        <f>VC_NEW!GB17</f>
        <v>0</v>
      </c>
      <c r="GH39" s="1">
        <f>VC_NEW!GC17</f>
        <v>0</v>
      </c>
      <c r="GI39" s="1">
        <f>VC_NEW!GD17</f>
        <v>0</v>
      </c>
      <c r="GJ39" s="1">
        <f>VC_NEW!GE17</f>
        <v>0</v>
      </c>
      <c r="GK39" s="1">
        <f>VC_NEW!GF17</f>
        <v>0</v>
      </c>
      <c r="GL39" s="1" t="str">
        <f>VC_NEW!GG17</f>
        <v>W358C</v>
      </c>
      <c r="GM39" s="1">
        <f>VC_NEW!GH17</f>
        <v>0</v>
      </c>
      <c r="GN39" s="1">
        <f>VC_NEW!GI17</f>
        <v>0</v>
      </c>
      <c r="GO39" s="1">
        <f>VC_NEW!GJ17</f>
        <v>0</v>
      </c>
      <c r="GP39" s="1">
        <f>VC_NEW!GK17</f>
        <v>0</v>
      </c>
      <c r="GQ39" s="1">
        <f>VC_NEW!GL17</f>
        <v>0</v>
      </c>
      <c r="GR39" s="1">
        <f>VC_NEW!GM17</f>
        <v>0</v>
      </c>
      <c r="GS39" s="1">
        <f>VC_NEW!GN17</f>
        <v>0</v>
      </c>
      <c r="GT39" s="1">
        <f>VC_NEW!GO17</f>
        <v>0</v>
      </c>
      <c r="GU39" s="1" t="str">
        <f>VC_NEW!GP17</f>
        <v>R69Q</v>
      </c>
      <c r="GV39" s="1">
        <f>VC_NEW!GQ17</f>
        <v>0</v>
      </c>
      <c r="GW39" s="1">
        <f>VC_NEW!GR17</f>
        <v>0</v>
      </c>
      <c r="GX39" s="1">
        <f>VC_NEW!GS17</f>
        <v>0</v>
      </c>
      <c r="GY39" s="1">
        <f>VC_NEW!GT17</f>
        <v>0</v>
      </c>
      <c r="GZ39" s="1">
        <f>VC_NEW!GU17</f>
        <v>0</v>
      </c>
      <c r="HA39" s="1">
        <f>VC_NEW!GV17</f>
        <v>0</v>
      </c>
      <c r="HB39" s="1">
        <f>VC_NEW!GW17</f>
        <v>0</v>
      </c>
      <c r="HC39" s="1">
        <f>VC_NEW!GX17</f>
        <v>0</v>
      </c>
    </row>
    <row r="40" spans="1:211" s="7" customFormat="1" ht="15" hidden="1" customHeight="1" x14ac:dyDescent="0.25">
      <c r="A40" s="32" t="s">
        <v>53</v>
      </c>
      <c r="B40" s="33" t="s">
        <v>54</v>
      </c>
      <c r="C40" s="34" t="s">
        <v>0</v>
      </c>
      <c r="D40" s="33" t="s">
        <v>76</v>
      </c>
      <c r="E40" s="33" t="s">
        <v>138</v>
      </c>
      <c r="F40" s="33" t="s">
        <v>74</v>
      </c>
      <c r="G40" s="35" t="s">
        <v>136</v>
      </c>
      <c r="H40" s="7">
        <f>VC_NEW!C18</f>
        <v>0</v>
      </c>
      <c r="I40" s="7" t="str">
        <f>VC_NEW!D18</f>
        <v>D83E</v>
      </c>
      <c r="J40" s="7">
        <f>VC_NEW!E18</f>
        <v>0</v>
      </c>
      <c r="K40" s="7">
        <f>VC_NEW!F18</f>
        <v>0</v>
      </c>
      <c r="L40" s="7" t="str">
        <f>VC_NEW!G18</f>
        <v>aa103∆1</v>
      </c>
      <c r="M40" s="7">
        <f>VC_NEW!H18</f>
        <v>0</v>
      </c>
      <c r="N40" s="7" t="str">
        <f>VC_NEW!I18</f>
        <v>aa163InsY</v>
      </c>
      <c r="O40" s="7">
        <f>VC_NEW!J18</f>
        <v>0</v>
      </c>
      <c r="P40" s="7">
        <f>VC_NEW!K18</f>
        <v>0</v>
      </c>
      <c r="Q40" s="7">
        <f>VC_NEW!L18</f>
        <v>0</v>
      </c>
      <c r="R40" s="7">
        <f>VC_NEW!M18</f>
        <v>0</v>
      </c>
      <c r="S40" s="7">
        <f>VC_NEW!N18</f>
        <v>0</v>
      </c>
      <c r="T40" s="7">
        <f>VC_NEW!O18</f>
        <v>0</v>
      </c>
      <c r="U40" s="7">
        <f>VC_NEW!P18</f>
        <v>0</v>
      </c>
      <c r="V40" s="7">
        <f>VC_NEW!Q18</f>
        <v>0</v>
      </c>
      <c r="W40" s="7">
        <f>VC_NEW!R18</f>
        <v>0</v>
      </c>
      <c r="X40" s="7">
        <f>VC_NEW!S18</f>
        <v>0</v>
      </c>
      <c r="Y40" s="7">
        <f>VC_NEW!T18</f>
        <v>0</v>
      </c>
      <c r="Z40" s="7">
        <f>VC_NEW!U18</f>
        <v>0</v>
      </c>
      <c r="AA40" s="7">
        <f>VC_NEW!V18</f>
        <v>0</v>
      </c>
      <c r="AB40" s="7">
        <f>VC_NEW!W18</f>
        <v>0</v>
      </c>
      <c r="AC40" s="7" t="str">
        <f>VC_NEW!X18</f>
        <v>T12N</v>
      </c>
      <c r="AD40" s="7">
        <f>VC_NEW!Y18</f>
        <v>0</v>
      </c>
      <c r="AE40" s="7">
        <f>VC_NEW!Z18</f>
        <v>0</v>
      </c>
      <c r="AF40" s="7">
        <f>VC_NEW!AA18</f>
        <v>0</v>
      </c>
      <c r="AG40" s="7">
        <f>VC_NEW!AB18</f>
        <v>0</v>
      </c>
      <c r="AH40" s="7">
        <f>VC_NEW!AC18</f>
        <v>0</v>
      </c>
      <c r="AI40" s="7">
        <f>VC_NEW!AD18</f>
        <v>0</v>
      </c>
      <c r="AJ40" s="7">
        <f>VC_NEW!AE18</f>
        <v>0</v>
      </c>
      <c r="AK40" s="7">
        <f>VC_NEW!AF18</f>
        <v>0</v>
      </c>
      <c r="AL40" s="7" t="str">
        <f>VC_NEW!AG18</f>
        <v>W185X</v>
      </c>
      <c r="AM40" s="7">
        <f>VC_NEW!AH18</f>
        <v>0</v>
      </c>
      <c r="AN40" s="7">
        <f>VC_NEW!AI18</f>
        <v>0</v>
      </c>
      <c r="AO40" s="7">
        <f>VC_NEW!AJ18</f>
        <v>0</v>
      </c>
      <c r="AP40" s="7">
        <f>VC_NEW!AK18</f>
        <v>0</v>
      </c>
      <c r="AQ40" s="7" t="str">
        <f>VC_NEW!AL18</f>
        <v>nt484InsC</v>
      </c>
      <c r="AR40" s="7">
        <f>VC_NEW!AM18</f>
        <v>0</v>
      </c>
      <c r="AS40" s="7">
        <f>VC_NEW!AN18</f>
        <v>0</v>
      </c>
      <c r="AT40" s="7">
        <f>VC_NEW!AO18</f>
        <v>0</v>
      </c>
      <c r="AU40" s="7">
        <f>VC_NEW!AP18</f>
        <v>0</v>
      </c>
      <c r="AV40" s="7">
        <f>VC_NEW!AQ18</f>
        <v>0</v>
      </c>
      <c r="AW40" s="7">
        <f>VC_NEW!AR18</f>
        <v>0</v>
      </c>
      <c r="AX40" s="7">
        <f>VC_NEW!AS18</f>
        <v>0</v>
      </c>
      <c r="AY40" s="7">
        <f>VC_NEW!AT18</f>
        <v>0</v>
      </c>
      <c r="AZ40" s="7">
        <f>VC_NEW!AU18</f>
        <v>0</v>
      </c>
      <c r="BA40" s="7" t="str">
        <f>VC_NEW!AV18</f>
        <v>G195D</v>
      </c>
      <c r="BB40" s="7">
        <f>VC_NEW!AW18</f>
        <v>0</v>
      </c>
      <c r="BC40" s="7" t="str">
        <f>VC_NEW!AX18</f>
        <v>G195D</v>
      </c>
      <c r="BD40" s="7">
        <f>VC_NEW!AY18</f>
        <v>0</v>
      </c>
      <c r="BE40" s="7" t="str">
        <f>VC_NEW!AZ18</f>
        <v>aa187∆6</v>
      </c>
      <c r="BF40" s="7">
        <f>VC_NEW!BA18</f>
        <v>0</v>
      </c>
      <c r="BG40" s="7" t="str">
        <f>VC_NEW!BB18</f>
        <v>G68D</v>
      </c>
      <c r="BH40" s="7">
        <f>VC_NEW!BC18</f>
        <v>0</v>
      </c>
      <c r="BI40" s="7" t="str">
        <f>VC_NEW!BD18</f>
        <v>G195D</v>
      </c>
      <c r="BJ40" s="7">
        <f>VC_NEW!BE18</f>
        <v>0</v>
      </c>
      <c r="BK40" s="7">
        <f>VC_NEW!BF18</f>
        <v>0</v>
      </c>
      <c r="BL40" s="7">
        <f>VC_NEW!BG18</f>
        <v>0</v>
      </c>
      <c r="BM40" s="7">
        <f>VC_NEW!BH18</f>
        <v>0</v>
      </c>
      <c r="BN40" s="7">
        <f>VC_NEW!BI18</f>
        <v>0</v>
      </c>
      <c r="BO40" s="7">
        <f>VC_NEW!BJ18</f>
        <v>0</v>
      </c>
      <c r="BP40" s="7">
        <f>VC_NEW!BK18</f>
        <v>0</v>
      </c>
      <c r="BQ40" s="7" t="str">
        <f>VC_NEW!BL18</f>
        <v>Q140K</v>
      </c>
      <c r="BR40" s="7">
        <f>VC_NEW!BM18</f>
        <v>0</v>
      </c>
      <c r="BS40" s="7" t="str">
        <f>VC_NEW!BN18</f>
        <v>G195D</v>
      </c>
      <c r="BT40" s="7" t="str">
        <f>VC_NEW!BO18</f>
        <v>nt526∆8</v>
      </c>
      <c r="BU40" s="7">
        <f>VC_NEW!BP18</f>
        <v>0</v>
      </c>
      <c r="BV40" s="7">
        <f>VC_NEW!BQ18</f>
        <v>0</v>
      </c>
      <c r="BW40" s="7" t="str">
        <f>VC_NEW!BR18</f>
        <v>V105G</v>
      </c>
      <c r="BX40" s="7">
        <f>VC_NEW!BS18</f>
        <v>0</v>
      </c>
      <c r="BY40" s="7">
        <f>VC_NEW!BT18</f>
        <v>0</v>
      </c>
      <c r="BZ40" s="7">
        <f>VC_NEW!BU18</f>
        <v>0</v>
      </c>
      <c r="CA40" s="7">
        <f>VC_NEW!BV18</f>
        <v>0</v>
      </c>
      <c r="CB40" s="7">
        <f>VC_NEW!BW18</f>
        <v>0</v>
      </c>
      <c r="CC40" s="7">
        <f>VC_NEW!BX18</f>
        <v>0</v>
      </c>
      <c r="CD40" s="7" t="str">
        <f>VC_NEW!BY18</f>
        <v>G195D</v>
      </c>
      <c r="CE40" s="7">
        <f>VC_NEW!BZ18</f>
        <v>0</v>
      </c>
      <c r="CF40" s="7">
        <f>VC_NEW!CA18</f>
        <v>0</v>
      </c>
      <c r="CG40" s="7">
        <f>VC_NEW!CB18</f>
        <v>0</v>
      </c>
      <c r="CH40" s="7">
        <f>VC_NEW!CC18</f>
        <v>0</v>
      </c>
      <c r="CI40" s="7">
        <f>VC_NEW!CD18</f>
        <v>0</v>
      </c>
      <c r="CJ40" s="7" t="str">
        <f>VC_NEW!CE18</f>
        <v>G195D</v>
      </c>
      <c r="CK40" s="7" t="str">
        <f>VC_NEW!CF18</f>
        <v>G195D</v>
      </c>
      <c r="CL40" s="7">
        <f>VC_NEW!CG18</f>
        <v>0</v>
      </c>
      <c r="CM40" s="7" t="str">
        <f>VC_NEW!CH18</f>
        <v>V105G</v>
      </c>
      <c r="CN40" s="7">
        <f>VC_NEW!CI18</f>
        <v>0</v>
      </c>
      <c r="CO40" s="7">
        <f>VC_NEW!CJ18</f>
        <v>0</v>
      </c>
      <c r="CP40" s="7" t="str">
        <f>VC_NEW!CK18</f>
        <v>G195D</v>
      </c>
      <c r="CQ40" s="7" t="str">
        <f>VC_NEW!CL18</f>
        <v>G195D</v>
      </c>
      <c r="CR40" s="7">
        <f>VC_NEW!CM18</f>
        <v>0</v>
      </c>
      <c r="CS40" s="7">
        <f>VC_NEW!CN18</f>
        <v>0</v>
      </c>
      <c r="CT40" s="7">
        <f>VC_NEW!CO18</f>
        <v>0</v>
      </c>
      <c r="CU40" s="7">
        <f>VC_NEW!CP18</f>
        <v>0</v>
      </c>
      <c r="CV40" s="7">
        <f>VC_NEW!CQ18</f>
        <v>0</v>
      </c>
      <c r="CW40" s="7">
        <f>VC_NEW!CR18</f>
        <v>0</v>
      </c>
      <c r="CX40" s="7">
        <f>VC_NEW!CS18</f>
        <v>0</v>
      </c>
      <c r="CY40" s="7">
        <f>VC_NEW!CT18</f>
        <v>0</v>
      </c>
      <c r="CZ40" s="7" t="str">
        <f>VC_NEW!CU18</f>
        <v>aa48∆9</v>
      </c>
      <c r="DA40" s="7">
        <f>VC_NEW!CV18</f>
        <v>0</v>
      </c>
      <c r="DB40" s="7" t="str">
        <f>VC_NEW!CW18</f>
        <v>H51D</v>
      </c>
      <c r="DC40" s="7">
        <f>VC_NEW!CX18</f>
        <v>0</v>
      </c>
      <c r="DD40" s="7">
        <f>VC_NEW!CY18</f>
        <v>0</v>
      </c>
      <c r="DE40" s="7">
        <f>VC_NEW!CZ18</f>
        <v>0</v>
      </c>
      <c r="DF40" s="7">
        <f>VC_NEW!DA18</f>
        <v>0</v>
      </c>
      <c r="DG40" s="7">
        <f>VC_NEW!DB18</f>
        <v>0</v>
      </c>
      <c r="DH40" s="7">
        <f>VC_NEW!DC18</f>
        <v>0</v>
      </c>
      <c r="DI40" s="7">
        <f>VC_NEW!DD18</f>
        <v>0</v>
      </c>
      <c r="DJ40" s="7">
        <f>VC_NEW!DE18</f>
        <v>0</v>
      </c>
      <c r="DK40" s="7">
        <f>VC_NEW!DF18</f>
        <v>0</v>
      </c>
      <c r="DL40" s="7" t="str">
        <f>VC_NEW!DG18</f>
        <v>R45C</v>
      </c>
      <c r="DM40" s="7" t="str">
        <f>VC_NEW!DH18</f>
        <v>nt386∆1</v>
      </c>
      <c r="DN40" s="7" t="str">
        <f>VC_NEW!DI18</f>
        <v>DELETED</v>
      </c>
      <c r="DO40" s="7">
        <f>VC_NEW!DJ18</f>
        <v>0</v>
      </c>
      <c r="DP40" s="7">
        <f>VC_NEW!DK18</f>
        <v>0</v>
      </c>
      <c r="DQ40" s="7" t="str">
        <f>VC_NEW!DL18</f>
        <v>D83E</v>
      </c>
      <c r="DR40" s="7">
        <f>VC_NEW!DM18</f>
        <v>0</v>
      </c>
      <c r="DS40" s="7">
        <f>VC_NEW!DN18</f>
        <v>0</v>
      </c>
      <c r="DT40" s="7">
        <f>VC_NEW!DO18</f>
        <v>0</v>
      </c>
      <c r="DU40" s="7">
        <f>VC_NEW!DP18</f>
        <v>0</v>
      </c>
      <c r="DV40" s="7">
        <f>VC_NEW!DQ18</f>
        <v>0</v>
      </c>
      <c r="DW40" s="7" t="str">
        <f>VC_NEW!DR18</f>
        <v>G195D</v>
      </c>
      <c r="DX40" s="7">
        <f>VC_NEW!DS18</f>
        <v>0</v>
      </c>
      <c r="DY40" s="7">
        <f>VC_NEW!DT18</f>
        <v>0</v>
      </c>
      <c r="DZ40" s="7">
        <f>VC_NEW!DU18</f>
        <v>0</v>
      </c>
      <c r="EA40" s="7" t="str">
        <f>VC_NEW!DV18</f>
        <v>G195D</v>
      </c>
      <c r="EB40" s="7">
        <f>VC_NEW!DW18</f>
        <v>0</v>
      </c>
      <c r="EC40" s="7" t="str">
        <f>VC_NEW!DX18</f>
        <v>L37P</v>
      </c>
      <c r="ED40" s="7" t="str">
        <f>VC_NEW!DY18</f>
        <v>nt491∆10</v>
      </c>
      <c r="EE40" s="7" t="str">
        <f>VC_NEW!DZ18</f>
        <v>G195D</v>
      </c>
      <c r="EF40" s="7">
        <f>VC_NEW!EA18</f>
        <v>0</v>
      </c>
      <c r="EG40" s="7" t="str">
        <f>VC_NEW!EB18</f>
        <v>Q132X</v>
      </c>
      <c r="EH40" s="7" t="str">
        <f>VC_NEW!EC18</f>
        <v>nt320∆16</v>
      </c>
      <c r="EI40" s="7">
        <f>VC_NEW!ED18</f>
        <v>0</v>
      </c>
      <c r="EJ40" s="7">
        <f>VC_NEW!EE18</f>
        <v>0</v>
      </c>
      <c r="EK40" s="7">
        <f>VC_NEW!EF18</f>
        <v>0</v>
      </c>
      <c r="EL40" s="7">
        <f>VC_NEW!EG18</f>
        <v>0</v>
      </c>
      <c r="EM40" s="7">
        <f>VC_NEW!EH18</f>
        <v>0</v>
      </c>
      <c r="EN40" s="7">
        <f>VC_NEW!EI18</f>
        <v>0</v>
      </c>
      <c r="EO40" s="7">
        <f>VC_NEW!EJ18</f>
        <v>0</v>
      </c>
      <c r="EP40" s="7">
        <f>VC_NEW!EK18</f>
        <v>0</v>
      </c>
      <c r="EQ40" s="7">
        <f>VC_NEW!EL18</f>
        <v>0</v>
      </c>
      <c r="ER40" s="7">
        <f>VC_NEW!EM18</f>
        <v>0</v>
      </c>
      <c r="ES40" s="7" t="str">
        <f>VC_NEW!EN18</f>
        <v>Y204X</v>
      </c>
      <c r="ET40" s="7">
        <f>VC_NEW!EO18</f>
        <v>0</v>
      </c>
      <c r="EU40" s="7">
        <f>VC_NEW!EP18</f>
        <v>0</v>
      </c>
      <c r="EV40" s="7">
        <f>VC_NEW!EQ18</f>
        <v>0</v>
      </c>
      <c r="EW40" s="7" t="str">
        <f>VC_NEW!ER18</f>
        <v>F192L</v>
      </c>
      <c r="EX40" s="7">
        <f>VC_NEW!ES18</f>
        <v>0</v>
      </c>
      <c r="EY40" s="7">
        <f>VC_NEW!ET18</f>
        <v>0</v>
      </c>
      <c r="EZ40" s="7" t="str">
        <f>VC_NEW!EU18</f>
        <v>nt367∆10</v>
      </c>
      <c r="FA40" s="7" t="str">
        <f>VC_NEW!EV18</f>
        <v>nt100∆1</v>
      </c>
      <c r="FB40" s="7">
        <f>VC_NEW!EW18</f>
        <v>0</v>
      </c>
      <c r="FC40" s="7">
        <f>VC_NEW!EX18</f>
        <v>0</v>
      </c>
      <c r="FD40" s="7">
        <f>VC_NEW!EY18</f>
        <v>0</v>
      </c>
      <c r="FE40" s="7" t="str">
        <f>VC_NEW!EZ18</f>
        <v>aa163InsY</v>
      </c>
      <c r="FF40" s="7">
        <f>VC_NEW!FA18</f>
        <v>0</v>
      </c>
      <c r="FG40" s="7">
        <f>VC_NEW!FB18</f>
        <v>0</v>
      </c>
      <c r="FH40" s="7">
        <f>VC_NEW!FC18</f>
        <v>0</v>
      </c>
      <c r="FI40" s="7" t="str">
        <f>VC_NEW!FD18</f>
        <v>A47V</v>
      </c>
      <c r="FJ40" s="7">
        <f>VC_NEW!FE18</f>
        <v>0</v>
      </c>
      <c r="FK40" s="7">
        <f>VC_NEW!FF18</f>
        <v>0</v>
      </c>
      <c r="FL40" s="7">
        <f>VC_NEW!FG18</f>
        <v>0</v>
      </c>
      <c r="FM40" s="7">
        <f>VC_NEW!FH18</f>
        <v>0</v>
      </c>
      <c r="FN40" s="7">
        <f>VC_NEW!FI18</f>
        <v>0</v>
      </c>
      <c r="FO40" s="7">
        <f>VC_NEW!FJ18</f>
        <v>0</v>
      </c>
      <c r="FP40" s="7">
        <f>VC_NEW!FK18</f>
        <v>0</v>
      </c>
      <c r="FQ40" s="7" t="str">
        <f>VC_NEW!FL18</f>
        <v>G195D</v>
      </c>
      <c r="FR40" s="7">
        <f>VC_NEW!FM18</f>
        <v>0</v>
      </c>
      <c r="FS40" s="7" t="str">
        <f>VC_NEW!FN18</f>
        <v>A81V; Q134R</v>
      </c>
      <c r="FT40" s="7">
        <f>VC_NEW!FO18</f>
        <v>0</v>
      </c>
      <c r="FU40" s="7" t="str">
        <f>VC_NEW!FP18</f>
        <v>Q132P</v>
      </c>
      <c r="FV40" s="7">
        <f>VC_NEW!FQ18</f>
        <v>0</v>
      </c>
      <c r="FW40" s="7">
        <f>VC_NEW!FR18</f>
        <v>0</v>
      </c>
      <c r="FX40" s="7">
        <f>VC_NEW!FS18</f>
        <v>0</v>
      </c>
      <c r="FY40" s="7">
        <f>VC_NEW!FT18</f>
        <v>0</v>
      </c>
      <c r="FZ40" s="7">
        <f>VC_NEW!FU18</f>
        <v>0</v>
      </c>
      <c r="GA40" s="7" t="str">
        <f>VC_NEW!FV18</f>
        <v>G195D</v>
      </c>
      <c r="GB40" s="7">
        <f>VC_NEW!FW18</f>
        <v>0</v>
      </c>
      <c r="GC40" s="7">
        <f>VC_NEW!FX18</f>
        <v>0</v>
      </c>
      <c r="GD40" s="7">
        <f>VC_NEW!FY18</f>
        <v>0</v>
      </c>
      <c r="GE40" s="7">
        <f>VC_NEW!FZ18</f>
        <v>0</v>
      </c>
      <c r="GF40" s="7">
        <f>VC_NEW!GA18</f>
        <v>0</v>
      </c>
      <c r="GG40" s="7">
        <f>VC_NEW!GB18</f>
        <v>0</v>
      </c>
      <c r="GH40" s="7">
        <f>VC_NEW!GC18</f>
        <v>0</v>
      </c>
      <c r="GI40" s="7">
        <f>VC_NEW!GD18</f>
        <v>0</v>
      </c>
      <c r="GJ40" s="7">
        <f>VC_NEW!GE18</f>
        <v>0</v>
      </c>
      <c r="GK40" s="7">
        <f>VC_NEW!GF18</f>
        <v>0</v>
      </c>
      <c r="GL40" s="7" t="str">
        <f>VC_NEW!GG18</f>
        <v>A88P</v>
      </c>
      <c r="GM40" s="7" t="str">
        <f>VC_NEW!GH18</f>
        <v>G195D</v>
      </c>
      <c r="GN40" s="7" t="str">
        <f>VC_NEW!GI18</f>
        <v>nt227∆1</v>
      </c>
      <c r="GO40" s="7">
        <f>VC_NEW!GJ18</f>
        <v>0</v>
      </c>
      <c r="GP40" s="7">
        <f>VC_NEW!GK18</f>
        <v>0</v>
      </c>
      <c r="GQ40" s="7">
        <f>VC_NEW!GL18</f>
        <v>0</v>
      </c>
      <c r="GR40" s="7">
        <f>VC_NEW!GM18</f>
        <v>0</v>
      </c>
      <c r="GS40" s="7">
        <f>VC_NEW!GN18</f>
        <v>0</v>
      </c>
      <c r="GT40" s="7">
        <f>VC_NEW!GO18</f>
        <v>0</v>
      </c>
      <c r="GU40" s="7">
        <f>VC_NEW!GP18</f>
        <v>0</v>
      </c>
      <c r="GV40" s="7">
        <f>VC_NEW!GQ18</f>
        <v>0</v>
      </c>
      <c r="GW40" s="7">
        <f>VC_NEW!GR18</f>
        <v>0</v>
      </c>
      <c r="GX40" s="7" t="str">
        <f>VC_NEW!GS18</f>
        <v>R104W</v>
      </c>
      <c r="GY40" s="7">
        <f>VC_NEW!GT18</f>
        <v>0</v>
      </c>
      <c r="GZ40" s="7">
        <f>VC_NEW!GU18</f>
        <v>0</v>
      </c>
      <c r="HA40" s="7">
        <f>VC_NEW!GV18</f>
        <v>0</v>
      </c>
      <c r="HB40" s="7" t="str">
        <f>VC_NEW!GW18</f>
        <v>G195D</v>
      </c>
      <c r="HC40" s="7">
        <f>VC_NEW!GX18</f>
        <v>0</v>
      </c>
    </row>
    <row r="41" spans="1:211" s="7" customFormat="1" ht="15" hidden="1" customHeight="1" x14ac:dyDescent="0.25">
      <c r="A41" s="36" t="s">
        <v>53</v>
      </c>
      <c r="B41" s="37" t="s">
        <v>54</v>
      </c>
      <c r="C41" s="38" t="s">
        <v>2</v>
      </c>
      <c r="D41" s="37" t="s">
        <v>76</v>
      </c>
      <c r="E41" s="37" t="s">
        <v>138</v>
      </c>
      <c r="F41" s="37" t="s">
        <v>74</v>
      </c>
      <c r="G41" s="39" t="s">
        <v>136</v>
      </c>
      <c r="H41" s="7">
        <f>VC_NEW!C18</f>
        <v>0</v>
      </c>
      <c r="I41" s="7" t="str">
        <f>VC_NEW!D18</f>
        <v>D83E</v>
      </c>
      <c r="J41" s="7">
        <f>VC_NEW!E18</f>
        <v>0</v>
      </c>
      <c r="K41" s="7">
        <f>VC_NEW!F18</f>
        <v>0</v>
      </c>
      <c r="L41" s="7" t="str">
        <f>VC_NEW!G18</f>
        <v>aa103∆1</v>
      </c>
      <c r="M41" s="7">
        <f>VC_NEW!H18</f>
        <v>0</v>
      </c>
      <c r="N41" s="7" t="str">
        <f>VC_NEW!I18</f>
        <v>aa163InsY</v>
      </c>
      <c r="O41" s="7">
        <f>VC_NEW!J18</f>
        <v>0</v>
      </c>
      <c r="P41" s="7">
        <f>VC_NEW!K18</f>
        <v>0</v>
      </c>
      <c r="Q41" s="7">
        <f>VC_NEW!L18</f>
        <v>0</v>
      </c>
      <c r="R41" s="7">
        <f>VC_NEW!M18</f>
        <v>0</v>
      </c>
      <c r="S41" s="7">
        <f>VC_NEW!N18</f>
        <v>0</v>
      </c>
      <c r="T41" s="7">
        <f>VC_NEW!O18</f>
        <v>0</v>
      </c>
      <c r="U41" s="7">
        <f>VC_NEW!P18</f>
        <v>0</v>
      </c>
      <c r="V41" s="7">
        <f>VC_NEW!Q18</f>
        <v>0</v>
      </c>
      <c r="W41" s="7">
        <f>VC_NEW!R18</f>
        <v>0</v>
      </c>
      <c r="X41" s="7">
        <f>VC_NEW!S18</f>
        <v>0</v>
      </c>
      <c r="Y41" s="7">
        <f>VC_NEW!T18</f>
        <v>0</v>
      </c>
      <c r="Z41" s="7">
        <f>VC_NEW!U18</f>
        <v>0</v>
      </c>
      <c r="AA41" s="7">
        <f>VC_NEW!V18</f>
        <v>0</v>
      </c>
      <c r="AB41" s="7">
        <f>VC_NEW!W18</f>
        <v>0</v>
      </c>
      <c r="AC41" s="7" t="str">
        <f>VC_NEW!X18</f>
        <v>T12N</v>
      </c>
      <c r="AD41" s="7">
        <f>VC_NEW!Y18</f>
        <v>0</v>
      </c>
      <c r="AE41" s="7">
        <f>VC_NEW!Z18</f>
        <v>0</v>
      </c>
      <c r="AF41" s="7">
        <f>VC_NEW!AA18</f>
        <v>0</v>
      </c>
      <c r="AG41" s="7">
        <f>VC_NEW!AB18</f>
        <v>0</v>
      </c>
      <c r="AH41" s="7">
        <f>VC_NEW!AC18</f>
        <v>0</v>
      </c>
      <c r="AI41" s="7">
        <f>VC_NEW!AD18</f>
        <v>0</v>
      </c>
      <c r="AJ41" s="7">
        <f>VC_NEW!AE18</f>
        <v>0</v>
      </c>
      <c r="AK41" s="7">
        <f>VC_NEW!AF18</f>
        <v>0</v>
      </c>
      <c r="AL41" s="7" t="str">
        <f>VC_NEW!AG18</f>
        <v>W185X</v>
      </c>
      <c r="AM41" s="7">
        <f>VC_NEW!AH18</f>
        <v>0</v>
      </c>
      <c r="AN41" s="7">
        <f>VC_NEW!AI18</f>
        <v>0</v>
      </c>
      <c r="AO41" s="7">
        <f>VC_NEW!AJ18</f>
        <v>0</v>
      </c>
      <c r="AP41" s="7">
        <f>VC_NEW!AK18</f>
        <v>0</v>
      </c>
      <c r="AQ41" s="7" t="str">
        <f>VC_NEW!AL18</f>
        <v>nt484InsC</v>
      </c>
      <c r="AR41" s="7">
        <f>VC_NEW!AM18</f>
        <v>0</v>
      </c>
      <c r="AS41" s="7">
        <f>VC_NEW!AN18</f>
        <v>0</v>
      </c>
      <c r="AT41" s="7">
        <f>VC_NEW!AO18</f>
        <v>0</v>
      </c>
      <c r="AU41" s="7">
        <f>VC_NEW!AP18</f>
        <v>0</v>
      </c>
      <c r="AV41" s="7">
        <f>VC_NEW!AQ18</f>
        <v>0</v>
      </c>
      <c r="AW41" s="7">
        <f>VC_NEW!AR18</f>
        <v>0</v>
      </c>
      <c r="AX41" s="7">
        <f>VC_NEW!AS18</f>
        <v>0</v>
      </c>
      <c r="AY41" s="7">
        <f>VC_NEW!AT18</f>
        <v>0</v>
      </c>
      <c r="AZ41" s="7">
        <f>VC_NEW!AU18</f>
        <v>0</v>
      </c>
      <c r="BA41" s="7" t="str">
        <f>VC_NEW!AV18</f>
        <v>G195D</v>
      </c>
      <c r="BB41" s="7">
        <f>VC_NEW!AW18</f>
        <v>0</v>
      </c>
      <c r="BC41" s="7" t="str">
        <f>VC_NEW!AX18</f>
        <v>G195D</v>
      </c>
      <c r="BD41" s="7">
        <f>VC_NEW!AY18</f>
        <v>0</v>
      </c>
      <c r="BE41" s="7" t="str">
        <f>VC_NEW!AZ18</f>
        <v>aa187∆6</v>
      </c>
      <c r="BF41" s="7">
        <f>VC_NEW!BA18</f>
        <v>0</v>
      </c>
      <c r="BG41" s="7" t="str">
        <f>VC_NEW!BB18</f>
        <v>G68D</v>
      </c>
      <c r="BH41" s="7">
        <f>VC_NEW!BC18</f>
        <v>0</v>
      </c>
      <c r="BI41" s="7" t="str">
        <f>VC_NEW!BD18</f>
        <v>G195D</v>
      </c>
      <c r="BJ41" s="7">
        <f>VC_NEW!BE18</f>
        <v>0</v>
      </c>
      <c r="BK41" s="7">
        <f>VC_NEW!BF18</f>
        <v>0</v>
      </c>
      <c r="BL41" s="7">
        <f>VC_NEW!BG18</f>
        <v>0</v>
      </c>
      <c r="BM41" s="7">
        <f>VC_NEW!BH18</f>
        <v>0</v>
      </c>
      <c r="BN41" s="7">
        <f>VC_NEW!BI18</f>
        <v>0</v>
      </c>
      <c r="BO41" s="7">
        <f>VC_NEW!BJ18</f>
        <v>0</v>
      </c>
      <c r="BP41" s="7">
        <f>VC_NEW!BK18</f>
        <v>0</v>
      </c>
      <c r="BQ41" s="7" t="str">
        <f>VC_NEW!BL18</f>
        <v>Q140K</v>
      </c>
      <c r="BR41" s="7">
        <f>VC_NEW!BM18</f>
        <v>0</v>
      </c>
      <c r="BS41" s="7" t="str">
        <f>VC_NEW!BN18</f>
        <v>G195D</v>
      </c>
      <c r="BT41" s="7" t="str">
        <f>VC_NEW!BO18</f>
        <v>nt526∆8</v>
      </c>
      <c r="BU41" s="7">
        <f>VC_NEW!BP18</f>
        <v>0</v>
      </c>
      <c r="BV41" s="7">
        <f>VC_NEW!BQ18</f>
        <v>0</v>
      </c>
      <c r="BW41" s="7" t="str">
        <f>VC_NEW!BR18</f>
        <v>V105G</v>
      </c>
      <c r="BX41" s="7">
        <f>VC_NEW!BS18</f>
        <v>0</v>
      </c>
      <c r="BY41" s="7">
        <f>VC_NEW!BT18</f>
        <v>0</v>
      </c>
      <c r="BZ41" s="7">
        <f>VC_NEW!BU18</f>
        <v>0</v>
      </c>
      <c r="CA41" s="7">
        <f>VC_NEW!BV18</f>
        <v>0</v>
      </c>
      <c r="CB41" s="7">
        <f>VC_NEW!BW18</f>
        <v>0</v>
      </c>
      <c r="CC41" s="7">
        <f>VC_NEW!BX18</f>
        <v>0</v>
      </c>
      <c r="CD41" s="7" t="str">
        <f>VC_NEW!BY18</f>
        <v>G195D</v>
      </c>
      <c r="CE41" s="7">
        <f>VC_NEW!BZ18</f>
        <v>0</v>
      </c>
      <c r="CF41" s="7">
        <f>VC_NEW!CA18</f>
        <v>0</v>
      </c>
      <c r="CG41" s="7">
        <f>VC_NEW!CB18</f>
        <v>0</v>
      </c>
      <c r="CH41" s="7">
        <f>VC_NEW!CC18</f>
        <v>0</v>
      </c>
      <c r="CI41" s="7">
        <f>VC_NEW!CD18</f>
        <v>0</v>
      </c>
      <c r="CJ41" s="7" t="str">
        <f>VC_NEW!CE18</f>
        <v>G195D</v>
      </c>
      <c r="CK41" s="7" t="str">
        <f>VC_NEW!CF18</f>
        <v>G195D</v>
      </c>
      <c r="CL41" s="7">
        <f>VC_NEW!CG18</f>
        <v>0</v>
      </c>
      <c r="CM41" s="7" t="str">
        <f>VC_NEW!CH18</f>
        <v>V105G</v>
      </c>
      <c r="CN41" s="7">
        <f>VC_NEW!CI18</f>
        <v>0</v>
      </c>
      <c r="CO41" s="7">
        <f>VC_NEW!CJ18</f>
        <v>0</v>
      </c>
      <c r="CP41" s="7" t="str">
        <f>VC_NEW!CK18</f>
        <v>G195D</v>
      </c>
      <c r="CQ41" s="7" t="str">
        <f>VC_NEW!CL18</f>
        <v>G195D</v>
      </c>
      <c r="CR41" s="7">
        <f>VC_NEW!CM18</f>
        <v>0</v>
      </c>
      <c r="CS41" s="7">
        <f>VC_NEW!CN18</f>
        <v>0</v>
      </c>
      <c r="CT41" s="7">
        <f>VC_NEW!CO18</f>
        <v>0</v>
      </c>
      <c r="CU41" s="7">
        <f>VC_NEW!CP18</f>
        <v>0</v>
      </c>
      <c r="CV41" s="7">
        <f>VC_NEW!CQ18</f>
        <v>0</v>
      </c>
      <c r="CW41" s="7">
        <f>VC_NEW!CR18</f>
        <v>0</v>
      </c>
      <c r="CX41" s="7">
        <f>VC_NEW!CS18</f>
        <v>0</v>
      </c>
      <c r="CY41" s="7">
        <f>VC_NEW!CT18</f>
        <v>0</v>
      </c>
      <c r="CZ41" s="7" t="str">
        <f>VC_NEW!CU18</f>
        <v>aa48∆9</v>
      </c>
      <c r="DA41" s="7">
        <f>VC_NEW!CV18</f>
        <v>0</v>
      </c>
      <c r="DB41" s="7" t="str">
        <f>VC_NEW!CW18</f>
        <v>H51D</v>
      </c>
      <c r="DC41" s="7">
        <f>VC_NEW!CX18</f>
        <v>0</v>
      </c>
      <c r="DD41" s="7">
        <f>VC_NEW!CY18</f>
        <v>0</v>
      </c>
      <c r="DE41" s="7">
        <f>VC_NEW!CZ18</f>
        <v>0</v>
      </c>
      <c r="DF41" s="7">
        <f>VC_NEW!DA18</f>
        <v>0</v>
      </c>
      <c r="DG41" s="7">
        <f>VC_NEW!DB18</f>
        <v>0</v>
      </c>
      <c r="DH41" s="7">
        <f>VC_NEW!DC18</f>
        <v>0</v>
      </c>
      <c r="DI41" s="7">
        <f>VC_NEW!DD18</f>
        <v>0</v>
      </c>
      <c r="DJ41" s="7">
        <f>VC_NEW!DE18</f>
        <v>0</v>
      </c>
      <c r="DK41" s="7">
        <f>VC_NEW!DF18</f>
        <v>0</v>
      </c>
      <c r="DL41" s="7" t="str">
        <f>VC_NEW!DG18</f>
        <v>R45C</v>
      </c>
      <c r="DM41" s="7" t="str">
        <f>VC_NEW!DH18</f>
        <v>nt386∆1</v>
      </c>
      <c r="DN41" s="7" t="str">
        <f>VC_NEW!DI18</f>
        <v>DELETED</v>
      </c>
      <c r="DO41" s="7">
        <f>VC_NEW!DJ18</f>
        <v>0</v>
      </c>
      <c r="DP41" s="7">
        <f>VC_NEW!DK18</f>
        <v>0</v>
      </c>
      <c r="DQ41" s="7" t="str">
        <f>VC_NEW!DL18</f>
        <v>D83E</v>
      </c>
      <c r="DR41" s="7">
        <f>VC_NEW!DM18</f>
        <v>0</v>
      </c>
      <c r="DS41" s="7">
        <f>VC_NEW!DN18</f>
        <v>0</v>
      </c>
      <c r="DT41" s="7">
        <f>VC_NEW!DO18</f>
        <v>0</v>
      </c>
      <c r="DU41" s="7">
        <f>VC_NEW!DP18</f>
        <v>0</v>
      </c>
      <c r="DV41" s="7">
        <f>VC_NEW!DQ18</f>
        <v>0</v>
      </c>
      <c r="DW41" s="7" t="str">
        <f>VC_NEW!DR18</f>
        <v>G195D</v>
      </c>
      <c r="DX41" s="7">
        <f>VC_NEW!DS18</f>
        <v>0</v>
      </c>
      <c r="DY41" s="7">
        <f>VC_NEW!DT18</f>
        <v>0</v>
      </c>
      <c r="DZ41" s="7">
        <f>VC_NEW!DU18</f>
        <v>0</v>
      </c>
      <c r="EA41" s="7" t="str">
        <f>VC_NEW!DV18</f>
        <v>G195D</v>
      </c>
      <c r="EB41" s="7">
        <f>VC_NEW!DW18</f>
        <v>0</v>
      </c>
      <c r="EC41" s="7" t="str">
        <f>VC_NEW!DX18</f>
        <v>L37P</v>
      </c>
      <c r="ED41" s="7" t="str">
        <f>VC_NEW!DY18</f>
        <v>nt491∆10</v>
      </c>
      <c r="EE41" s="7" t="str">
        <f>VC_NEW!DZ18</f>
        <v>G195D</v>
      </c>
      <c r="EF41" s="7">
        <f>VC_NEW!EA18</f>
        <v>0</v>
      </c>
      <c r="EG41" s="7" t="str">
        <f>VC_NEW!EB18</f>
        <v>Q132X</v>
      </c>
      <c r="EH41" s="7" t="str">
        <f>VC_NEW!EC18</f>
        <v>nt320∆16</v>
      </c>
      <c r="EI41" s="7">
        <f>VC_NEW!ED18</f>
        <v>0</v>
      </c>
      <c r="EJ41" s="7">
        <f>VC_NEW!EE18</f>
        <v>0</v>
      </c>
      <c r="EK41" s="7">
        <f>VC_NEW!EF18</f>
        <v>0</v>
      </c>
      <c r="EL41" s="7">
        <f>VC_NEW!EG18</f>
        <v>0</v>
      </c>
      <c r="EM41" s="7">
        <f>VC_NEW!EH18</f>
        <v>0</v>
      </c>
      <c r="EN41" s="7">
        <f>VC_NEW!EI18</f>
        <v>0</v>
      </c>
      <c r="EO41" s="7">
        <f>VC_NEW!EJ18</f>
        <v>0</v>
      </c>
      <c r="EP41" s="7">
        <f>VC_NEW!EK18</f>
        <v>0</v>
      </c>
      <c r="EQ41" s="7">
        <f>VC_NEW!EL18</f>
        <v>0</v>
      </c>
      <c r="ER41" s="7">
        <f>VC_NEW!EM18</f>
        <v>0</v>
      </c>
      <c r="ES41" s="7" t="str">
        <f>VC_NEW!EN18</f>
        <v>Y204X</v>
      </c>
      <c r="ET41" s="7">
        <f>VC_NEW!EO18</f>
        <v>0</v>
      </c>
      <c r="EU41" s="7">
        <f>VC_NEW!EP18</f>
        <v>0</v>
      </c>
      <c r="EV41" s="7">
        <f>VC_NEW!EQ18</f>
        <v>0</v>
      </c>
      <c r="EW41" s="7" t="str">
        <f>VC_NEW!ER18</f>
        <v>F192L</v>
      </c>
      <c r="EX41" s="7">
        <f>VC_NEW!ES18</f>
        <v>0</v>
      </c>
      <c r="EY41" s="7">
        <f>VC_NEW!ET18</f>
        <v>0</v>
      </c>
      <c r="EZ41" s="7" t="str">
        <f>VC_NEW!EU18</f>
        <v>nt367∆10</v>
      </c>
      <c r="FA41" s="7" t="str">
        <f>VC_NEW!EV18</f>
        <v>nt100∆1</v>
      </c>
      <c r="FB41" s="7">
        <f>VC_NEW!EW18</f>
        <v>0</v>
      </c>
      <c r="FC41" s="7">
        <f>VC_NEW!EX18</f>
        <v>0</v>
      </c>
      <c r="FD41" s="7">
        <f>VC_NEW!EY18</f>
        <v>0</v>
      </c>
      <c r="FE41" s="7" t="str">
        <f>VC_NEW!EZ18</f>
        <v>aa163InsY</v>
      </c>
      <c r="FF41" s="7">
        <f>VC_NEW!FA18</f>
        <v>0</v>
      </c>
      <c r="FG41" s="7">
        <f>VC_NEW!FB18</f>
        <v>0</v>
      </c>
      <c r="FH41" s="7">
        <f>VC_NEW!FC18</f>
        <v>0</v>
      </c>
      <c r="FI41" s="7" t="str">
        <f>VC_NEW!FD18</f>
        <v>A47V</v>
      </c>
      <c r="FJ41" s="7">
        <f>VC_NEW!FE18</f>
        <v>0</v>
      </c>
      <c r="FK41" s="7">
        <f>VC_NEW!FF18</f>
        <v>0</v>
      </c>
      <c r="FL41" s="7">
        <f>VC_NEW!FG18</f>
        <v>0</v>
      </c>
      <c r="FM41" s="7">
        <f>VC_NEW!FH18</f>
        <v>0</v>
      </c>
      <c r="FN41" s="7">
        <f>VC_NEW!FI18</f>
        <v>0</v>
      </c>
      <c r="FO41" s="7">
        <f>VC_NEW!FJ18</f>
        <v>0</v>
      </c>
      <c r="FP41" s="7">
        <f>VC_NEW!FK18</f>
        <v>0</v>
      </c>
      <c r="FQ41" s="7" t="str">
        <f>VC_NEW!FL18</f>
        <v>G195D</v>
      </c>
      <c r="FR41" s="7">
        <f>VC_NEW!FM18</f>
        <v>0</v>
      </c>
      <c r="FS41" s="7" t="str">
        <f>VC_NEW!FN18</f>
        <v>A81V; Q134R</v>
      </c>
      <c r="FT41" s="7">
        <f>VC_NEW!FO18</f>
        <v>0</v>
      </c>
      <c r="FU41" s="7" t="str">
        <f>VC_NEW!FP18</f>
        <v>Q132P</v>
      </c>
      <c r="FV41" s="7">
        <f>VC_NEW!FQ18</f>
        <v>0</v>
      </c>
      <c r="FW41" s="7">
        <f>VC_NEW!FR18</f>
        <v>0</v>
      </c>
      <c r="FX41" s="7">
        <f>VC_NEW!FS18</f>
        <v>0</v>
      </c>
      <c r="FY41" s="7">
        <f>VC_NEW!FT18</f>
        <v>0</v>
      </c>
      <c r="FZ41" s="7">
        <f>VC_NEW!FU18</f>
        <v>0</v>
      </c>
      <c r="GA41" s="7" t="str">
        <f>VC_NEW!FV18</f>
        <v>G195D</v>
      </c>
      <c r="GB41" s="7">
        <f>VC_NEW!FW18</f>
        <v>0</v>
      </c>
      <c r="GC41" s="7">
        <f>VC_NEW!FX18</f>
        <v>0</v>
      </c>
      <c r="GD41" s="7">
        <f>VC_NEW!FY18</f>
        <v>0</v>
      </c>
      <c r="GE41" s="7">
        <f>VC_NEW!FZ18</f>
        <v>0</v>
      </c>
      <c r="GF41" s="7">
        <f>VC_NEW!GA18</f>
        <v>0</v>
      </c>
      <c r="GG41" s="7">
        <f>VC_NEW!GB18</f>
        <v>0</v>
      </c>
      <c r="GH41" s="7">
        <f>VC_NEW!GC18</f>
        <v>0</v>
      </c>
      <c r="GI41" s="7">
        <f>VC_NEW!GD18</f>
        <v>0</v>
      </c>
      <c r="GJ41" s="7">
        <f>VC_NEW!GE18</f>
        <v>0</v>
      </c>
      <c r="GK41" s="7">
        <f>VC_NEW!GF18</f>
        <v>0</v>
      </c>
      <c r="GL41" s="7" t="str">
        <f>VC_NEW!GG18</f>
        <v>A88P</v>
      </c>
      <c r="GM41" s="7" t="str">
        <f>VC_NEW!GH18</f>
        <v>G195D</v>
      </c>
      <c r="GN41" s="7" t="str">
        <f>VC_NEW!GI18</f>
        <v>nt227∆1</v>
      </c>
      <c r="GO41" s="7">
        <f>VC_NEW!GJ18</f>
        <v>0</v>
      </c>
      <c r="GP41" s="7">
        <f>VC_NEW!GK18</f>
        <v>0</v>
      </c>
      <c r="GQ41" s="7">
        <f>VC_NEW!GL18</f>
        <v>0</v>
      </c>
      <c r="GR41" s="7">
        <f>VC_NEW!GM18</f>
        <v>0</v>
      </c>
      <c r="GS41" s="7">
        <f>VC_NEW!GN18</f>
        <v>0</v>
      </c>
      <c r="GT41" s="7">
        <f>VC_NEW!GO18</f>
        <v>0</v>
      </c>
      <c r="GU41" s="7">
        <f>VC_NEW!GP18</f>
        <v>0</v>
      </c>
      <c r="GV41" s="7">
        <f>VC_NEW!GQ18</f>
        <v>0</v>
      </c>
      <c r="GW41" s="7">
        <f>VC_NEW!GR18</f>
        <v>0</v>
      </c>
      <c r="GX41" s="7" t="str">
        <f>VC_NEW!GS18</f>
        <v>R104W</v>
      </c>
      <c r="GY41" s="7">
        <f>VC_NEW!GT18</f>
        <v>0</v>
      </c>
      <c r="GZ41" s="7">
        <f>VC_NEW!GU18</f>
        <v>0</v>
      </c>
      <c r="HA41" s="7">
        <f>VC_NEW!GV18</f>
        <v>0</v>
      </c>
      <c r="HB41" s="7" t="str">
        <f>VC_NEW!GW18</f>
        <v>G195D</v>
      </c>
      <c r="HC41" s="7">
        <f>VC_NEW!GX18</f>
        <v>0</v>
      </c>
    </row>
    <row r="42" spans="1:211" s="7" customFormat="1" ht="15.75" hidden="1" customHeight="1" thickBot="1" x14ac:dyDescent="0.3">
      <c r="A42" s="40" t="s">
        <v>53</v>
      </c>
      <c r="B42" s="41" t="s">
        <v>54</v>
      </c>
      <c r="C42" s="42" t="s">
        <v>4</v>
      </c>
      <c r="D42" s="41" t="s">
        <v>76</v>
      </c>
      <c r="E42" s="41" t="s">
        <v>139</v>
      </c>
      <c r="F42" s="41" t="s">
        <v>74</v>
      </c>
      <c r="G42" s="43" t="s">
        <v>136</v>
      </c>
      <c r="H42" s="7">
        <f>VC_NEW!C18</f>
        <v>0</v>
      </c>
      <c r="I42" s="7" t="str">
        <f>VC_NEW!D18</f>
        <v>D83E</v>
      </c>
      <c r="J42" s="7">
        <f>VC_NEW!E18</f>
        <v>0</v>
      </c>
      <c r="K42" s="7">
        <f>VC_NEW!F18</f>
        <v>0</v>
      </c>
      <c r="L42" s="7" t="str">
        <f>VC_NEW!G18</f>
        <v>aa103∆1</v>
      </c>
      <c r="M42" s="7">
        <f>VC_NEW!H18</f>
        <v>0</v>
      </c>
      <c r="N42" s="7" t="str">
        <f>VC_NEW!I18</f>
        <v>aa163InsY</v>
      </c>
      <c r="O42" s="7">
        <f>VC_NEW!J18</f>
        <v>0</v>
      </c>
      <c r="P42" s="7">
        <f>VC_NEW!K18</f>
        <v>0</v>
      </c>
      <c r="Q42" s="7">
        <f>VC_NEW!L18</f>
        <v>0</v>
      </c>
      <c r="R42" s="7">
        <f>VC_NEW!M18</f>
        <v>0</v>
      </c>
      <c r="S42" s="7">
        <f>VC_NEW!N18</f>
        <v>0</v>
      </c>
      <c r="T42" s="7">
        <f>VC_NEW!O18</f>
        <v>0</v>
      </c>
      <c r="U42" s="7">
        <f>VC_NEW!P18</f>
        <v>0</v>
      </c>
      <c r="V42" s="7">
        <f>VC_NEW!Q18</f>
        <v>0</v>
      </c>
      <c r="W42" s="7">
        <f>VC_NEW!R18</f>
        <v>0</v>
      </c>
      <c r="X42" s="7">
        <f>VC_NEW!S18</f>
        <v>0</v>
      </c>
      <c r="Y42" s="7">
        <f>VC_NEW!T18</f>
        <v>0</v>
      </c>
      <c r="Z42" s="7">
        <f>VC_NEW!U18</f>
        <v>0</v>
      </c>
      <c r="AA42" s="7">
        <f>VC_NEW!V18</f>
        <v>0</v>
      </c>
      <c r="AB42" s="7">
        <f>VC_NEW!W18</f>
        <v>0</v>
      </c>
      <c r="AC42" s="7" t="str">
        <f>VC_NEW!X18</f>
        <v>T12N</v>
      </c>
      <c r="AD42" s="7">
        <f>VC_NEW!Y18</f>
        <v>0</v>
      </c>
      <c r="AE42" s="7">
        <f>VC_NEW!Z18</f>
        <v>0</v>
      </c>
      <c r="AF42" s="7">
        <f>VC_NEW!AA18</f>
        <v>0</v>
      </c>
      <c r="AG42" s="7">
        <f>VC_NEW!AB18</f>
        <v>0</v>
      </c>
      <c r="AH42" s="7">
        <f>VC_NEW!AC18</f>
        <v>0</v>
      </c>
      <c r="AI42" s="7">
        <f>VC_NEW!AD18</f>
        <v>0</v>
      </c>
      <c r="AJ42" s="7">
        <f>VC_NEW!AE18</f>
        <v>0</v>
      </c>
      <c r="AK42" s="7">
        <f>VC_NEW!AF18</f>
        <v>0</v>
      </c>
      <c r="AL42" s="7" t="str">
        <f>VC_NEW!AG18</f>
        <v>W185X</v>
      </c>
      <c r="AM42" s="7">
        <f>VC_NEW!AH18</f>
        <v>0</v>
      </c>
      <c r="AN42" s="7">
        <f>VC_NEW!AI18</f>
        <v>0</v>
      </c>
      <c r="AO42" s="7">
        <f>VC_NEW!AJ18</f>
        <v>0</v>
      </c>
      <c r="AP42" s="7">
        <f>VC_NEW!AK18</f>
        <v>0</v>
      </c>
      <c r="AQ42" s="7" t="str">
        <f>VC_NEW!AL18</f>
        <v>nt484InsC</v>
      </c>
      <c r="AR42" s="7">
        <f>VC_NEW!AM18</f>
        <v>0</v>
      </c>
      <c r="AS42" s="7">
        <f>VC_NEW!AN18</f>
        <v>0</v>
      </c>
      <c r="AT42" s="7">
        <f>VC_NEW!AO18</f>
        <v>0</v>
      </c>
      <c r="AU42" s="7">
        <f>VC_NEW!AP18</f>
        <v>0</v>
      </c>
      <c r="AV42" s="7">
        <f>VC_NEW!AQ18</f>
        <v>0</v>
      </c>
      <c r="AW42" s="7">
        <f>VC_NEW!AR18</f>
        <v>0</v>
      </c>
      <c r="AX42" s="7">
        <f>VC_NEW!AS18</f>
        <v>0</v>
      </c>
      <c r="AY42" s="7">
        <f>VC_NEW!AT18</f>
        <v>0</v>
      </c>
      <c r="AZ42" s="7">
        <f>VC_NEW!AU18</f>
        <v>0</v>
      </c>
      <c r="BA42" s="7" t="str">
        <f>VC_NEW!AV18</f>
        <v>G195D</v>
      </c>
      <c r="BB42" s="7">
        <f>VC_NEW!AW18</f>
        <v>0</v>
      </c>
      <c r="BC42" s="7" t="str">
        <f>VC_NEW!AX18</f>
        <v>G195D</v>
      </c>
      <c r="BD42" s="7">
        <f>VC_NEW!AY18</f>
        <v>0</v>
      </c>
      <c r="BE42" s="7" t="str">
        <f>VC_NEW!AZ18</f>
        <v>aa187∆6</v>
      </c>
      <c r="BF42" s="7">
        <f>VC_NEW!BA18</f>
        <v>0</v>
      </c>
      <c r="BG42" s="7" t="str">
        <f>VC_NEW!BB18</f>
        <v>G68D</v>
      </c>
      <c r="BH42" s="7">
        <f>VC_NEW!BC18</f>
        <v>0</v>
      </c>
      <c r="BI42" s="7" t="str">
        <f>VC_NEW!BD18</f>
        <v>G195D</v>
      </c>
      <c r="BJ42" s="7">
        <f>VC_NEW!BE18</f>
        <v>0</v>
      </c>
      <c r="BK42" s="7">
        <f>VC_NEW!BF18</f>
        <v>0</v>
      </c>
      <c r="BL42" s="7">
        <f>VC_NEW!BG18</f>
        <v>0</v>
      </c>
      <c r="BM42" s="7">
        <f>VC_NEW!BH18</f>
        <v>0</v>
      </c>
      <c r="BN42" s="7">
        <f>VC_NEW!BI18</f>
        <v>0</v>
      </c>
      <c r="BO42" s="7">
        <f>VC_NEW!BJ18</f>
        <v>0</v>
      </c>
      <c r="BP42" s="7">
        <f>VC_NEW!BK18</f>
        <v>0</v>
      </c>
      <c r="BQ42" s="7" t="str">
        <f>VC_NEW!BL18</f>
        <v>Q140K</v>
      </c>
      <c r="BR42" s="7">
        <f>VC_NEW!BM18</f>
        <v>0</v>
      </c>
      <c r="BS42" s="7" t="str">
        <f>VC_NEW!BN18</f>
        <v>G195D</v>
      </c>
      <c r="BT42" s="7" t="str">
        <f>VC_NEW!BO18</f>
        <v>nt526∆8</v>
      </c>
      <c r="BU42" s="7">
        <f>VC_NEW!BP18</f>
        <v>0</v>
      </c>
      <c r="BV42" s="7">
        <f>VC_NEW!BQ18</f>
        <v>0</v>
      </c>
      <c r="BW42" s="7" t="str">
        <f>VC_NEW!BR18</f>
        <v>V105G</v>
      </c>
      <c r="BX42" s="7">
        <f>VC_NEW!BS18</f>
        <v>0</v>
      </c>
      <c r="BY42" s="7">
        <f>VC_NEW!BT18</f>
        <v>0</v>
      </c>
      <c r="BZ42" s="7">
        <f>VC_NEW!BU18</f>
        <v>0</v>
      </c>
      <c r="CA42" s="7">
        <f>VC_NEW!BV18</f>
        <v>0</v>
      </c>
      <c r="CB42" s="7">
        <f>VC_NEW!BW18</f>
        <v>0</v>
      </c>
      <c r="CC42" s="7">
        <f>VC_NEW!BX18</f>
        <v>0</v>
      </c>
      <c r="CD42" s="7" t="str">
        <f>VC_NEW!BY18</f>
        <v>G195D</v>
      </c>
      <c r="CE42" s="7">
        <f>VC_NEW!BZ18</f>
        <v>0</v>
      </c>
      <c r="CF42" s="7">
        <f>VC_NEW!CA18</f>
        <v>0</v>
      </c>
      <c r="CG42" s="7">
        <f>VC_NEW!CB18</f>
        <v>0</v>
      </c>
      <c r="CH42" s="7">
        <f>VC_NEW!CC18</f>
        <v>0</v>
      </c>
      <c r="CI42" s="7">
        <f>VC_NEW!CD18</f>
        <v>0</v>
      </c>
      <c r="CJ42" s="7" t="str">
        <f>VC_NEW!CE18</f>
        <v>G195D</v>
      </c>
      <c r="CK42" s="7" t="str">
        <f>VC_NEW!CF18</f>
        <v>G195D</v>
      </c>
      <c r="CL42" s="7">
        <f>VC_NEW!CG18</f>
        <v>0</v>
      </c>
      <c r="CM42" s="7" t="str">
        <f>VC_NEW!CH18</f>
        <v>V105G</v>
      </c>
      <c r="CN42" s="7">
        <f>VC_NEW!CI18</f>
        <v>0</v>
      </c>
      <c r="CO42" s="7">
        <f>VC_NEW!CJ18</f>
        <v>0</v>
      </c>
      <c r="CP42" s="7" t="str">
        <f>VC_NEW!CK18</f>
        <v>G195D</v>
      </c>
      <c r="CQ42" s="7" t="str">
        <f>VC_NEW!CL18</f>
        <v>G195D</v>
      </c>
      <c r="CR42" s="7">
        <f>VC_NEW!CM18</f>
        <v>0</v>
      </c>
      <c r="CS42" s="7">
        <f>VC_NEW!CN18</f>
        <v>0</v>
      </c>
      <c r="CT42" s="7">
        <f>VC_NEW!CO18</f>
        <v>0</v>
      </c>
      <c r="CU42" s="7">
        <f>VC_NEW!CP18</f>
        <v>0</v>
      </c>
      <c r="CV42" s="7">
        <f>VC_NEW!CQ18</f>
        <v>0</v>
      </c>
      <c r="CW42" s="7">
        <f>VC_NEW!CR18</f>
        <v>0</v>
      </c>
      <c r="CX42" s="7">
        <f>VC_NEW!CS18</f>
        <v>0</v>
      </c>
      <c r="CY42" s="7">
        <f>VC_NEW!CT18</f>
        <v>0</v>
      </c>
      <c r="CZ42" s="7" t="str">
        <f>VC_NEW!CU18</f>
        <v>aa48∆9</v>
      </c>
      <c r="DA42" s="7">
        <f>VC_NEW!CV18</f>
        <v>0</v>
      </c>
      <c r="DB42" s="7" t="str">
        <f>VC_NEW!CW18</f>
        <v>H51D</v>
      </c>
      <c r="DC42" s="7">
        <f>VC_NEW!CX18</f>
        <v>0</v>
      </c>
      <c r="DD42" s="7">
        <f>VC_NEW!CY18</f>
        <v>0</v>
      </c>
      <c r="DE42" s="7">
        <f>VC_NEW!CZ18</f>
        <v>0</v>
      </c>
      <c r="DF42" s="7">
        <f>VC_NEW!DA18</f>
        <v>0</v>
      </c>
      <c r="DG42" s="7">
        <f>VC_NEW!DB18</f>
        <v>0</v>
      </c>
      <c r="DH42" s="7">
        <f>VC_NEW!DC18</f>
        <v>0</v>
      </c>
      <c r="DI42" s="7">
        <f>VC_NEW!DD18</f>
        <v>0</v>
      </c>
      <c r="DJ42" s="7">
        <f>VC_NEW!DE18</f>
        <v>0</v>
      </c>
      <c r="DK42" s="7">
        <f>VC_NEW!DF18</f>
        <v>0</v>
      </c>
      <c r="DL42" s="7" t="str">
        <f>VC_NEW!DG18</f>
        <v>R45C</v>
      </c>
      <c r="DM42" s="7" t="str">
        <f>VC_NEW!DH18</f>
        <v>nt386∆1</v>
      </c>
      <c r="DN42" s="7" t="str">
        <f>VC_NEW!DI18</f>
        <v>DELETED</v>
      </c>
      <c r="DO42" s="7">
        <f>VC_NEW!DJ18</f>
        <v>0</v>
      </c>
      <c r="DP42" s="7">
        <f>VC_NEW!DK18</f>
        <v>0</v>
      </c>
      <c r="DQ42" s="7" t="str">
        <f>VC_NEW!DL18</f>
        <v>D83E</v>
      </c>
      <c r="DR42" s="7">
        <f>VC_NEW!DM18</f>
        <v>0</v>
      </c>
      <c r="DS42" s="7">
        <f>VC_NEW!DN18</f>
        <v>0</v>
      </c>
      <c r="DT42" s="7">
        <f>VC_NEW!DO18</f>
        <v>0</v>
      </c>
      <c r="DU42" s="7">
        <f>VC_NEW!DP18</f>
        <v>0</v>
      </c>
      <c r="DV42" s="7">
        <f>VC_NEW!DQ18</f>
        <v>0</v>
      </c>
      <c r="DW42" s="7" t="str">
        <f>VC_NEW!DR18</f>
        <v>G195D</v>
      </c>
      <c r="DX42" s="7">
        <f>VC_NEW!DS18</f>
        <v>0</v>
      </c>
      <c r="DY42" s="7">
        <f>VC_NEW!DT18</f>
        <v>0</v>
      </c>
      <c r="DZ42" s="7">
        <f>VC_NEW!DU18</f>
        <v>0</v>
      </c>
      <c r="EA42" s="7" t="str">
        <f>VC_NEW!DV18</f>
        <v>G195D</v>
      </c>
      <c r="EB42" s="7">
        <f>VC_NEW!DW18</f>
        <v>0</v>
      </c>
      <c r="EC42" s="7" t="str">
        <f>VC_NEW!DX18</f>
        <v>L37P</v>
      </c>
      <c r="ED42" s="7" t="str">
        <f>VC_NEW!DY18</f>
        <v>nt491∆10</v>
      </c>
      <c r="EE42" s="7" t="str">
        <f>VC_NEW!DZ18</f>
        <v>G195D</v>
      </c>
      <c r="EF42" s="7">
        <f>VC_NEW!EA18</f>
        <v>0</v>
      </c>
      <c r="EG42" s="7" t="str">
        <f>VC_NEW!EB18</f>
        <v>Q132X</v>
      </c>
      <c r="EH42" s="7" t="str">
        <f>VC_NEW!EC18</f>
        <v>nt320∆16</v>
      </c>
      <c r="EI42" s="7">
        <f>VC_NEW!ED18</f>
        <v>0</v>
      </c>
      <c r="EJ42" s="7">
        <f>VC_NEW!EE18</f>
        <v>0</v>
      </c>
      <c r="EK42" s="7">
        <f>VC_NEW!EF18</f>
        <v>0</v>
      </c>
      <c r="EL42" s="7">
        <f>VC_NEW!EG18</f>
        <v>0</v>
      </c>
      <c r="EM42" s="7">
        <f>VC_NEW!EH18</f>
        <v>0</v>
      </c>
      <c r="EN42" s="7">
        <f>VC_NEW!EI18</f>
        <v>0</v>
      </c>
      <c r="EO42" s="7">
        <f>VC_NEW!EJ18</f>
        <v>0</v>
      </c>
      <c r="EP42" s="7">
        <f>VC_NEW!EK18</f>
        <v>0</v>
      </c>
      <c r="EQ42" s="7">
        <f>VC_NEW!EL18</f>
        <v>0</v>
      </c>
      <c r="ER42" s="7">
        <f>VC_NEW!EM18</f>
        <v>0</v>
      </c>
      <c r="ES42" s="7" t="str">
        <f>VC_NEW!EN18</f>
        <v>Y204X</v>
      </c>
      <c r="ET42" s="7">
        <f>VC_NEW!EO18</f>
        <v>0</v>
      </c>
      <c r="EU42" s="7">
        <f>VC_NEW!EP18</f>
        <v>0</v>
      </c>
      <c r="EV42" s="7">
        <f>VC_NEW!EQ18</f>
        <v>0</v>
      </c>
      <c r="EW42" s="7" t="str">
        <f>VC_NEW!ER18</f>
        <v>F192L</v>
      </c>
      <c r="EX42" s="7">
        <f>VC_NEW!ES18</f>
        <v>0</v>
      </c>
      <c r="EY42" s="7">
        <f>VC_NEW!ET18</f>
        <v>0</v>
      </c>
      <c r="EZ42" s="7" t="str">
        <f>VC_NEW!EU18</f>
        <v>nt367∆10</v>
      </c>
      <c r="FA42" s="7" t="str">
        <f>VC_NEW!EV18</f>
        <v>nt100∆1</v>
      </c>
      <c r="FB42" s="7">
        <f>VC_NEW!EW18</f>
        <v>0</v>
      </c>
      <c r="FC42" s="7">
        <f>VC_NEW!EX18</f>
        <v>0</v>
      </c>
      <c r="FD42" s="7">
        <f>VC_NEW!EY18</f>
        <v>0</v>
      </c>
      <c r="FE42" s="7" t="str">
        <f>VC_NEW!EZ18</f>
        <v>aa163InsY</v>
      </c>
      <c r="FF42" s="7">
        <f>VC_NEW!FA18</f>
        <v>0</v>
      </c>
      <c r="FG42" s="7">
        <f>VC_NEW!FB18</f>
        <v>0</v>
      </c>
      <c r="FH42" s="7">
        <f>VC_NEW!FC18</f>
        <v>0</v>
      </c>
      <c r="FI42" s="7" t="str">
        <f>VC_NEW!FD18</f>
        <v>A47V</v>
      </c>
      <c r="FJ42" s="7">
        <f>VC_NEW!FE18</f>
        <v>0</v>
      </c>
      <c r="FK42" s="7">
        <f>VC_NEW!FF18</f>
        <v>0</v>
      </c>
      <c r="FL42" s="7">
        <f>VC_NEW!FG18</f>
        <v>0</v>
      </c>
      <c r="FM42" s="7">
        <f>VC_NEW!FH18</f>
        <v>0</v>
      </c>
      <c r="FN42" s="7">
        <f>VC_NEW!FI18</f>
        <v>0</v>
      </c>
      <c r="FO42" s="7">
        <f>VC_NEW!FJ18</f>
        <v>0</v>
      </c>
      <c r="FP42" s="7">
        <f>VC_NEW!FK18</f>
        <v>0</v>
      </c>
      <c r="FQ42" s="7" t="str">
        <f>VC_NEW!FL18</f>
        <v>G195D</v>
      </c>
      <c r="FR42" s="7">
        <f>VC_NEW!FM18</f>
        <v>0</v>
      </c>
      <c r="FS42" s="7" t="str">
        <f>VC_NEW!FN18</f>
        <v>A81V; Q134R</v>
      </c>
      <c r="FT42" s="7">
        <f>VC_NEW!FO18</f>
        <v>0</v>
      </c>
      <c r="FU42" s="7" t="str">
        <f>VC_NEW!FP18</f>
        <v>Q132P</v>
      </c>
      <c r="FV42" s="7">
        <f>VC_NEW!FQ18</f>
        <v>0</v>
      </c>
      <c r="FW42" s="7">
        <f>VC_NEW!FR18</f>
        <v>0</v>
      </c>
      <c r="FX42" s="7">
        <f>VC_NEW!FS18</f>
        <v>0</v>
      </c>
      <c r="FY42" s="7">
        <f>VC_NEW!FT18</f>
        <v>0</v>
      </c>
      <c r="FZ42" s="7">
        <f>VC_NEW!FU18</f>
        <v>0</v>
      </c>
      <c r="GA42" s="7" t="str">
        <f>VC_NEW!FV18</f>
        <v>G195D</v>
      </c>
      <c r="GB42" s="7">
        <f>VC_NEW!FW18</f>
        <v>0</v>
      </c>
      <c r="GC42" s="7">
        <f>VC_NEW!FX18</f>
        <v>0</v>
      </c>
      <c r="GD42" s="7">
        <f>VC_NEW!FY18</f>
        <v>0</v>
      </c>
      <c r="GE42" s="7">
        <f>VC_NEW!FZ18</f>
        <v>0</v>
      </c>
      <c r="GF42" s="7">
        <f>VC_NEW!GA18</f>
        <v>0</v>
      </c>
      <c r="GG42" s="7">
        <f>VC_NEW!GB18</f>
        <v>0</v>
      </c>
      <c r="GH42" s="7">
        <f>VC_NEW!GC18</f>
        <v>0</v>
      </c>
      <c r="GI42" s="7">
        <f>VC_NEW!GD18</f>
        <v>0</v>
      </c>
      <c r="GJ42" s="7">
        <f>VC_NEW!GE18</f>
        <v>0</v>
      </c>
      <c r="GK42" s="7">
        <f>VC_NEW!GF18</f>
        <v>0</v>
      </c>
      <c r="GL42" s="7" t="str">
        <f>VC_NEW!GG18</f>
        <v>A88P</v>
      </c>
      <c r="GM42" s="7" t="str">
        <f>VC_NEW!GH18</f>
        <v>G195D</v>
      </c>
      <c r="GN42" s="7" t="str">
        <f>VC_NEW!GI18</f>
        <v>nt227∆1</v>
      </c>
      <c r="GO42" s="7">
        <f>VC_NEW!GJ18</f>
        <v>0</v>
      </c>
      <c r="GP42" s="7">
        <f>VC_NEW!GK18</f>
        <v>0</v>
      </c>
      <c r="GQ42" s="7">
        <f>VC_NEW!GL18</f>
        <v>0</v>
      </c>
      <c r="GR42" s="7">
        <f>VC_NEW!GM18</f>
        <v>0</v>
      </c>
      <c r="GS42" s="7">
        <f>VC_NEW!GN18</f>
        <v>0</v>
      </c>
      <c r="GT42" s="7">
        <f>VC_NEW!GO18</f>
        <v>0</v>
      </c>
      <c r="GU42" s="7">
        <f>VC_NEW!GP18</f>
        <v>0</v>
      </c>
      <c r="GV42" s="7">
        <f>VC_NEW!GQ18</f>
        <v>0</v>
      </c>
      <c r="GW42" s="7">
        <f>VC_NEW!GR18</f>
        <v>0</v>
      </c>
      <c r="GX42" s="7" t="str">
        <f>VC_NEW!GS18</f>
        <v>R104W</v>
      </c>
      <c r="GY42" s="7">
        <f>VC_NEW!GT18</f>
        <v>0</v>
      </c>
      <c r="GZ42" s="7">
        <f>VC_NEW!GU18</f>
        <v>0</v>
      </c>
      <c r="HA42" s="7">
        <f>VC_NEW!GV18</f>
        <v>0</v>
      </c>
      <c r="HB42" s="7" t="str">
        <f>VC_NEW!GW18</f>
        <v>G195D</v>
      </c>
      <c r="HC42" s="7">
        <f>VC_NEW!GX18</f>
        <v>0</v>
      </c>
    </row>
    <row r="43" spans="1:211" s="1" customFormat="1" ht="15" hidden="1" customHeight="1" x14ac:dyDescent="0.25">
      <c r="A43" s="1" t="s">
        <v>16</v>
      </c>
      <c r="B43" s="1" t="s">
        <v>17</v>
      </c>
      <c r="C43" s="4" t="s">
        <v>0</v>
      </c>
      <c r="D43" s="1" t="s">
        <v>77</v>
      </c>
      <c r="E43" s="17" t="s">
        <v>146</v>
      </c>
      <c r="F43" s="2" t="s">
        <v>74</v>
      </c>
      <c r="G43" s="2" t="s">
        <v>136</v>
      </c>
      <c r="H43" s="1">
        <f>VC_NEW!C19</f>
        <v>0</v>
      </c>
      <c r="I43" s="1">
        <f>VC_NEW!D19</f>
        <v>0</v>
      </c>
      <c r="J43" s="1">
        <f>VC_NEW!E19</f>
        <v>0</v>
      </c>
      <c r="K43" s="1">
        <f>VC_NEW!F19</f>
        <v>0</v>
      </c>
      <c r="L43" s="1">
        <f>VC_NEW!G19</f>
        <v>0</v>
      </c>
      <c r="M43" s="1">
        <f>VC_NEW!H19</f>
        <v>0</v>
      </c>
      <c r="N43" s="1">
        <f>VC_NEW!I19</f>
        <v>0</v>
      </c>
      <c r="O43" s="1">
        <f>VC_NEW!J19</f>
        <v>0</v>
      </c>
      <c r="P43" s="1">
        <f>VC_NEW!K19</f>
        <v>0</v>
      </c>
      <c r="Q43" s="1">
        <f>VC_NEW!L19</f>
        <v>0</v>
      </c>
      <c r="R43" s="1">
        <f>VC_NEW!M19</f>
        <v>0</v>
      </c>
      <c r="S43" s="1">
        <f>VC_NEW!N19</f>
        <v>0</v>
      </c>
      <c r="T43" s="1">
        <f>VC_NEW!O19</f>
        <v>0</v>
      </c>
      <c r="U43" s="1">
        <f>VC_NEW!P19</f>
        <v>0</v>
      </c>
      <c r="V43" s="1">
        <f>VC_NEW!Q19</f>
        <v>0</v>
      </c>
      <c r="W43" s="1">
        <f>VC_NEW!R19</f>
        <v>0</v>
      </c>
      <c r="X43" s="1">
        <f>VC_NEW!S19</f>
        <v>0</v>
      </c>
      <c r="Y43" s="1">
        <f>VC_NEW!T19</f>
        <v>0</v>
      </c>
      <c r="Z43" s="1">
        <f>VC_NEW!U19</f>
        <v>0</v>
      </c>
      <c r="AA43" s="1">
        <f>VC_NEW!V19</f>
        <v>0</v>
      </c>
      <c r="AB43" s="1">
        <f>VC_NEW!W19</f>
        <v>0</v>
      </c>
      <c r="AC43" s="1">
        <f>VC_NEW!X19</f>
        <v>0</v>
      </c>
      <c r="AD43" s="1">
        <f>VC_NEW!Y19</f>
        <v>0</v>
      </c>
      <c r="AE43" s="1">
        <f>VC_NEW!Z19</f>
        <v>0</v>
      </c>
      <c r="AF43" s="1">
        <f>VC_NEW!AA19</f>
        <v>0</v>
      </c>
      <c r="AG43" s="1">
        <f>VC_NEW!AB19</f>
        <v>0</v>
      </c>
      <c r="AH43" s="1">
        <f>VC_NEW!AC19</f>
        <v>0</v>
      </c>
      <c r="AI43" s="1">
        <f>VC_NEW!AD19</f>
        <v>0</v>
      </c>
      <c r="AJ43" s="1">
        <f>VC_NEW!AE19</f>
        <v>0</v>
      </c>
      <c r="AK43" s="1">
        <f>VC_NEW!AF19</f>
        <v>0</v>
      </c>
      <c r="AL43" s="1">
        <f>VC_NEW!AG19</f>
        <v>0</v>
      </c>
      <c r="AM43" s="1">
        <f>VC_NEW!AH19</f>
        <v>0</v>
      </c>
      <c r="AN43" s="1">
        <f>VC_NEW!AI19</f>
        <v>0</v>
      </c>
      <c r="AO43" s="1">
        <f>VC_NEW!AJ19</f>
        <v>0</v>
      </c>
      <c r="AP43" s="1">
        <f>VC_NEW!AK19</f>
        <v>0</v>
      </c>
      <c r="AQ43" s="1">
        <f>VC_NEW!AL19</f>
        <v>0</v>
      </c>
      <c r="AR43" s="1">
        <f>VC_NEW!AM19</f>
        <v>0</v>
      </c>
      <c r="AS43" s="1">
        <f>VC_NEW!AN19</f>
        <v>0</v>
      </c>
      <c r="AT43" s="1">
        <f>VC_NEW!AO19</f>
        <v>0</v>
      </c>
      <c r="AU43" s="1">
        <f>VC_NEW!AP19</f>
        <v>0</v>
      </c>
      <c r="AV43" s="1">
        <f>VC_NEW!AQ19</f>
        <v>0</v>
      </c>
      <c r="AW43" s="1">
        <f>VC_NEW!AR19</f>
        <v>0</v>
      </c>
      <c r="AX43" s="1">
        <f>VC_NEW!AS19</f>
        <v>0</v>
      </c>
      <c r="AY43" s="1">
        <f>VC_NEW!AT19</f>
        <v>0</v>
      </c>
      <c r="AZ43" s="1">
        <f>VC_NEW!AU19</f>
        <v>0</v>
      </c>
      <c r="BA43" s="1">
        <f>VC_NEW!AV19</f>
        <v>0</v>
      </c>
      <c r="BB43" s="1">
        <f>VC_NEW!AW19</f>
        <v>0</v>
      </c>
      <c r="BC43" s="1">
        <f>VC_NEW!AX19</f>
        <v>0</v>
      </c>
      <c r="BD43" s="1">
        <f>VC_NEW!AY19</f>
        <v>0</v>
      </c>
      <c r="BE43" s="1">
        <f>VC_NEW!AZ19</f>
        <v>0</v>
      </c>
      <c r="BF43" s="1">
        <f>VC_NEW!BA19</f>
        <v>0</v>
      </c>
      <c r="BG43" s="1">
        <f>VC_NEW!BB19</f>
        <v>0</v>
      </c>
      <c r="BH43" s="1">
        <f>VC_NEW!BC19</f>
        <v>0</v>
      </c>
      <c r="BI43" s="1">
        <f>VC_NEW!BD19</f>
        <v>0</v>
      </c>
      <c r="BJ43" s="1">
        <f>VC_NEW!BE19</f>
        <v>0</v>
      </c>
      <c r="BK43" s="1">
        <f>VC_NEW!BF19</f>
        <v>0</v>
      </c>
      <c r="BL43" s="1">
        <f>VC_NEW!BG19</f>
        <v>0</v>
      </c>
      <c r="BM43" s="1">
        <f>VC_NEW!BH19</f>
        <v>0</v>
      </c>
      <c r="BN43" s="1">
        <f>VC_NEW!BI19</f>
        <v>0</v>
      </c>
      <c r="BO43" s="1">
        <f>VC_NEW!BJ19</f>
        <v>0</v>
      </c>
      <c r="BP43" s="1">
        <f>VC_NEW!BK19</f>
        <v>0</v>
      </c>
      <c r="BQ43" s="1">
        <f>VC_NEW!BL19</f>
        <v>0</v>
      </c>
      <c r="BR43" s="1">
        <f>VC_NEW!BM19</f>
        <v>0</v>
      </c>
      <c r="BS43" s="1">
        <f>VC_NEW!BN19</f>
        <v>0</v>
      </c>
      <c r="BT43" s="1">
        <f>VC_NEW!BO19</f>
        <v>0</v>
      </c>
      <c r="BU43" s="1">
        <f>VC_NEW!BP19</f>
        <v>0</v>
      </c>
      <c r="BV43" s="1">
        <f>VC_NEW!BQ19</f>
        <v>0</v>
      </c>
      <c r="BW43" s="1">
        <f>VC_NEW!BR19</f>
        <v>0</v>
      </c>
      <c r="BX43" s="1">
        <f>VC_NEW!BS19</f>
        <v>0</v>
      </c>
      <c r="BY43" s="1">
        <f>VC_NEW!BT19</f>
        <v>0</v>
      </c>
      <c r="BZ43" s="1">
        <f>VC_NEW!BU19</f>
        <v>0</v>
      </c>
      <c r="CA43" s="1">
        <f>VC_NEW!BV19</f>
        <v>0</v>
      </c>
      <c r="CB43" s="1">
        <f>VC_NEW!BW19</f>
        <v>0</v>
      </c>
      <c r="CC43" s="1">
        <f>VC_NEW!BX19</f>
        <v>0</v>
      </c>
      <c r="CD43" s="1">
        <f>VC_NEW!BY19</f>
        <v>0</v>
      </c>
      <c r="CE43" s="1">
        <f>VC_NEW!BZ19</f>
        <v>0</v>
      </c>
      <c r="CF43" s="1">
        <f>VC_NEW!CA19</f>
        <v>0</v>
      </c>
      <c r="CG43" s="1">
        <f>VC_NEW!CB19</f>
        <v>0</v>
      </c>
      <c r="CH43" s="1">
        <f>VC_NEW!CC19</f>
        <v>0</v>
      </c>
      <c r="CI43" s="1">
        <f>VC_NEW!CD19</f>
        <v>0</v>
      </c>
      <c r="CJ43" s="1">
        <f>VC_NEW!CE19</f>
        <v>0</v>
      </c>
      <c r="CK43" s="1" t="str">
        <f>VC_NEW!CF19</f>
        <v>nt61∆5</v>
      </c>
      <c r="CL43" s="1">
        <f>VC_NEW!CG19</f>
        <v>0</v>
      </c>
      <c r="CM43" s="1">
        <f>VC_NEW!CH19</f>
        <v>0</v>
      </c>
      <c r="CN43" s="1">
        <f>VC_NEW!CI19</f>
        <v>0</v>
      </c>
      <c r="CO43" s="1">
        <f>VC_NEW!CJ19</f>
        <v>0</v>
      </c>
      <c r="CP43" s="1">
        <f>VC_NEW!CK19</f>
        <v>0</v>
      </c>
      <c r="CQ43" s="1">
        <f>VC_NEW!CL19</f>
        <v>0</v>
      </c>
      <c r="CR43" s="1">
        <f>VC_NEW!CM19</f>
        <v>0</v>
      </c>
      <c r="CS43" s="1">
        <f>VC_NEW!CN19</f>
        <v>0</v>
      </c>
      <c r="CT43" s="1">
        <f>VC_NEW!CO19</f>
        <v>0</v>
      </c>
      <c r="CU43" s="1">
        <f>VC_NEW!CP19</f>
        <v>0</v>
      </c>
      <c r="CV43" s="1">
        <f>VC_NEW!CQ19</f>
        <v>0</v>
      </c>
      <c r="CW43" s="1">
        <f>VC_NEW!CR19</f>
        <v>0</v>
      </c>
      <c r="CX43" s="1">
        <f>VC_NEW!CS19</f>
        <v>0</v>
      </c>
      <c r="CY43" s="1">
        <f>VC_NEW!CT19</f>
        <v>0</v>
      </c>
      <c r="CZ43" s="1">
        <f>VC_NEW!CU19</f>
        <v>0</v>
      </c>
      <c r="DA43" s="1">
        <f>VC_NEW!CV19</f>
        <v>0</v>
      </c>
      <c r="DB43" s="1">
        <f>VC_NEW!CW19</f>
        <v>0</v>
      </c>
      <c r="DC43" s="1">
        <f>VC_NEW!CX19</f>
        <v>0</v>
      </c>
      <c r="DD43" s="1">
        <f>VC_NEW!CY19</f>
        <v>0</v>
      </c>
      <c r="DE43" s="1">
        <f>VC_NEW!CZ19</f>
        <v>0</v>
      </c>
      <c r="DF43" s="1">
        <f>VC_NEW!DA19</f>
        <v>0</v>
      </c>
      <c r="DG43" s="1">
        <f>VC_NEW!DB19</f>
        <v>0</v>
      </c>
      <c r="DH43" s="1">
        <f>VC_NEW!DC19</f>
        <v>0</v>
      </c>
      <c r="DI43" s="1" t="str">
        <f>VC_NEW!DD19</f>
        <v>∆63nt</v>
      </c>
      <c r="DJ43" s="1">
        <f>VC_NEW!DE19</f>
        <v>0</v>
      </c>
      <c r="DK43" s="1">
        <f>VC_NEW!DF19</f>
        <v>0</v>
      </c>
      <c r="DL43" s="1">
        <f>VC_NEW!DG19</f>
        <v>0</v>
      </c>
      <c r="DM43" s="1">
        <f>VC_NEW!DH19</f>
        <v>0</v>
      </c>
      <c r="DN43" s="1" t="str">
        <f>VC_NEW!DI19</f>
        <v>DELETED</v>
      </c>
      <c r="DO43" s="1">
        <f>VC_NEW!DJ19</f>
        <v>0</v>
      </c>
      <c r="DP43" s="1">
        <f>VC_NEW!DK19</f>
        <v>0</v>
      </c>
      <c r="DQ43" s="1">
        <f>VC_NEW!DL19</f>
        <v>0</v>
      </c>
      <c r="DR43" s="1">
        <f>VC_NEW!DM19</f>
        <v>0</v>
      </c>
      <c r="DS43" s="1">
        <f>VC_NEW!DN19</f>
        <v>0</v>
      </c>
      <c r="DT43" s="1">
        <f>VC_NEW!DO19</f>
        <v>0</v>
      </c>
      <c r="DU43" s="1">
        <f>VC_NEW!DP19</f>
        <v>0</v>
      </c>
      <c r="DV43" s="1">
        <f>VC_NEW!DQ19</f>
        <v>0</v>
      </c>
      <c r="DW43" s="1">
        <f>VC_NEW!DR19</f>
        <v>0</v>
      </c>
      <c r="DX43" s="1">
        <f>VC_NEW!DS19</f>
        <v>0</v>
      </c>
      <c r="DY43" s="1">
        <f>VC_NEW!DT19</f>
        <v>0</v>
      </c>
      <c r="DZ43" s="1">
        <f>VC_NEW!DU19</f>
        <v>0</v>
      </c>
      <c r="EA43" s="1">
        <f>VC_NEW!DV19</f>
        <v>0</v>
      </c>
      <c r="EB43" s="1">
        <f>VC_NEW!DW19</f>
        <v>0</v>
      </c>
      <c r="EC43" s="1" t="str">
        <f>VC_NEW!DX19</f>
        <v>G175S</v>
      </c>
      <c r="ED43" s="1">
        <f>VC_NEW!DY19</f>
        <v>0</v>
      </c>
      <c r="EE43" s="1">
        <f>VC_NEW!DZ19</f>
        <v>0</v>
      </c>
      <c r="EF43" s="1" t="str">
        <f>VC_NEW!EA19</f>
        <v>aa207∆4</v>
      </c>
      <c r="EG43" s="1" t="str">
        <f>VC_NEW!EB19</f>
        <v>Y12C; L21R; G56S</v>
      </c>
      <c r="EH43" s="1">
        <f>VC_NEW!EC19</f>
        <v>0</v>
      </c>
      <c r="EI43" s="1">
        <f>VC_NEW!ED19</f>
        <v>0</v>
      </c>
      <c r="EJ43" s="1">
        <f>VC_NEW!EE19</f>
        <v>0</v>
      </c>
      <c r="EK43" s="1">
        <f>VC_NEW!EF19</f>
        <v>0</v>
      </c>
      <c r="EL43" s="1">
        <f>VC_NEW!EG19</f>
        <v>0</v>
      </c>
      <c r="EM43" s="1">
        <f>VC_NEW!EH19</f>
        <v>0</v>
      </c>
      <c r="EN43" s="1">
        <f>VC_NEW!EI19</f>
        <v>0</v>
      </c>
      <c r="EO43" s="1">
        <f>VC_NEW!EJ19</f>
        <v>0</v>
      </c>
      <c r="EP43" s="1">
        <f>VC_NEW!EK19</f>
        <v>0</v>
      </c>
      <c r="EQ43" s="1">
        <f>VC_NEW!EL19</f>
        <v>0</v>
      </c>
      <c r="ER43" s="1">
        <f>VC_NEW!EM19</f>
        <v>0</v>
      </c>
      <c r="ES43" s="1" t="str">
        <f>VC_NEW!EN19</f>
        <v>C242X</v>
      </c>
      <c r="ET43" s="1">
        <f>VC_NEW!EO19</f>
        <v>0</v>
      </c>
      <c r="EU43" s="1">
        <f>VC_NEW!EP19</f>
        <v>0</v>
      </c>
      <c r="EV43" s="1">
        <f>VC_NEW!EQ19</f>
        <v>0</v>
      </c>
      <c r="EW43" s="1">
        <f>VC_NEW!ER19</f>
        <v>0</v>
      </c>
      <c r="EX43" s="1">
        <f>VC_NEW!ES19</f>
        <v>0</v>
      </c>
      <c r="EY43" s="1">
        <f>VC_NEW!ET19</f>
        <v>0</v>
      </c>
      <c r="EZ43" s="1">
        <f>VC_NEW!EU19</f>
        <v>0</v>
      </c>
      <c r="FA43" s="1">
        <f>VC_NEW!EV19</f>
        <v>0</v>
      </c>
      <c r="FB43" s="1">
        <f>VC_NEW!EW19</f>
        <v>0</v>
      </c>
      <c r="FC43" s="1">
        <f>VC_NEW!EX19</f>
        <v>0</v>
      </c>
      <c r="FD43" s="1">
        <f>VC_NEW!EY19</f>
        <v>0</v>
      </c>
      <c r="FE43" s="1">
        <f>VC_NEW!EZ19</f>
        <v>0</v>
      </c>
      <c r="FF43" s="1">
        <f>VC_NEW!FA19</f>
        <v>0</v>
      </c>
      <c r="FG43" s="1">
        <f>VC_NEW!FB19</f>
        <v>0</v>
      </c>
      <c r="FH43" s="1">
        <f>VC_NEW!FC19</f>
        <v>0</v>
      </c>
      <c r="FI43" s="1">
        <f>VC_NEW!FD19</f>
        <v>0</v>
      </c>
      <c r="FJ43" s="1" t="str">
        <f>VC_NEW!FE19</f>
        <v>nt679∆1</v>
      </c>
      <c r="FK43" s="1">
        <f>VC_NEW!FF19</f>
        <v>0</v>
      </c>
      <c r="FL43" s="1">
        <f>VC_NEW!FG19</f>
        <v>0</v>
      </c>
      <c r="FM43" s="1">
        <f>VC_NEW!FH19</f>
        <v>0</v>
      </c>
      <c r="FN43" s="1">
        <f>VC_NEW!FI19</f>
        <v>0</v>
      </c>
      <c r="FO43" s="1">
        <f>VC_NEW!FJ19</f>
        <v>0</v>
      </c>
      <c r="FP43" s="1">
        <f>VC_NEW!FK19</f>
        <v>0</v>
      </c>
      <c r="FQ43" s="1">
        <f>VC_NEW!FL19</f>
        <v>0</v>
      </c>
      <c r="FR43" s="1">
        <f>VC_NEW!FM19</f>
        <v>0</v>
      </c>
      <c r="FS43" s="1">
        <f>VC_NEW!FN19</f>
        <v>0</v>
      </c>
      <c r="FT43" s="1">
        <f>VC_NEW!FO19</f>
        <v>0</v>
      </c>
      <c r="FU43" s="1">
        <f>VC_NEW!FP19</f>
        <v>0</v>
      </c>
      <c r="FV43" s="1">
        <f>VC_NEW!FQ19</f>
        <v>0</v>
      </c>
      <c r="FW43" s="1">
        <f>VC_NEW!FR19</f>
        <v>0</v>
      </c>
      <c r="FX43" s="1">
        <f>VC_NEW!FS19</f>
        <v>0</v>
      </c>
      <c r="FY43" s="1">
        <f>VC_NEW!FT19</f>
        <v>0</v>
      </c>
      <c r="FZ43" s="1">
        <f>VC_NEW!FU19</f>
        <v>0</v>
      </c>
      <c r="GA43" s="1">
        <f>VC_NEW!FV19</f>
        <v>0</v>
      </c>
      <c r="GB43" s="1">
        <f>VC_NEW!FW19</f>
        <v>0</v>
      </c>
      <c r="GC43" s="1">
        <f>VC_NEW!FX19</f>
        <v>0</v>
      </c>
      <c r="GD43" s="1">
        <f>VC_NEW!FY19</f>
        <v>0</v>
      </c>
      <c r="GE43" s="1">
        <f>VC_NEW!FZ19</f>
        <v>0</v>
      </c>
      <c r="GF43" s="1">
        <f>VC_NEW!GA19</f>
        <v>0</v>
      </c>
      <c r="GG43" s="1">
        <f>VC_NEW!GB19</f>
        <v>0</v>
      </c>
      <c r="GH43" s="1">
        <f>VC_NEW!GC19</f>
        <v>0</v>
      </c>
      <c r="GI43" s="1">
        <f>VC_NEW!GD19</f>
        <v>0</v>
      </c>
      <c r="GJ43" s="1">
        <f>VC_NEW!GE19</f>
        <v>0</v>
      </c>
      <c r="GK43" s="1">
        <f>VC_NEW!GF19</f>
        <v>0</v>
      </c>
      <c r="GL43" s="1">
        <f>VC_NEW!GG19</f>
        <v>0</v>
      </c>
      <c r="GM43" s="1">
        <f>VC_NEW!GH19</f>
        <v>0</v>
      </c>
      <c r="GN43" s="1">
        <f>VC_NEW!GI19</f>
        <v>0</v>
      </c>
      <c r="GO43" s="1">
        <f>VC_NEW!GJ19</f>
        <v>0</v>
      </c>
      <c r="GP43" s="1">
        <f>VC_NEW!GK19</f>
        <v>0</v>
      </c>
      <c r="GQ43" s="1">
        <f>VC_NEW!GL19</f>
        <v>0</v>
      </c>
      <c r="GR43" s="1">
        <f>VC_NEW!GM19</f>
        <v>0</v>
      </c>
      <c r="GS43" s="1">
        <f>VC_NEW!GN19</f>
        <v>0</v>
      </c>
      <c r="GT43" s="1">
        <f>VC_NEW!GO19</f>
        <v>0</v>
      </c>
      <c r="GU43" s="1">
        <f>VC_NEW!GP19</f>
        <v>0</v>
      </c>
      <c r="GV43" s="1">
        <f>VC_NEW!GQ19</f>
        <v>0</v>
      </c>
      <c r="GW43" s="1">
        <f>VC_NEW!GR19</f>
        <v>0</v>
      </c>
      <c r="GX43" s="1" t="str">
        <f>VC_NEW!GS19</f>
        <v>F248S</v>
      </c>
      <c r="GY43" s="1">
        <f>VC_NEW!GT19</f>
        <v>0</v>
      </c>
      <c r="GZ43" s="1">
        <f>VC_NEW!GU19</f>
        <v>0</v>
      </c>
      <c r="HA43" s="1">
        <f>VC_NEW!GV19</f>
        <v>0</v>
      </c>
      <c r="HB43" s="1">
        <f>VC_NEW!GW19</f>
        <v>0</v>
      </c>
      <c r="HC43" s="1">
        <f>VC_NEW!GX19</f>
        <v>0</v>
      </c>
    </row>
    <row r="44" spans="1:211" s="1" customFormat="1" ht="15" customHeight="1" x14ac:dyDescent="0.25">
      <c r="A44" s="2" t="s">
        <v>16</v>
      </c>
      <c r="B44" s="2" t="s">
        <v>17</v>
      </c>
      <c r="C44" s="4" t="s">
        <v>1</v>
      </c>
      <c r="D44" s="2" t="s">
        <v>76</v>
      </c>
      <c r="E44" s="2" t="s">
        <v>138</v>
      </c>
      <c r="F44" s="2" t="s">
        <v>74</v>
      </c>
      <c r="G44" s="2" t="s">
        <v>136</v>
      </c>
      <c r="H44" s="1">
        <f>VC_NEW!C19</f>
        <v>0</v>
      </c>
      <c r="I44" s="1">
        <f>VC_NEW!D19</f>
        <v>0</v>
      </c>
      <c r="J44" s="1">
        <f>VC_NEW!E19</f>
        <v>0</v>
      </c>
      <c r="K44" s="1">
        <f>VC_NEW!F19</f>
        <v>0</v>
      </c>
      <c r="L44" s="1">
        <f>VC_NEW!G19</f>
        <v>0</v>
      </c>
      <c r="M44" s="1">
        <f>VC_NEW!H19</f>
        <v>0</v>
      </c>
      <c r="N44" s="1">
        <f>VC_NEW!I19</f>
        <v>0</v>
      </c>
      <c r="O44" s="1">
        <f>VC_NEW!J19</f>
        <v>0</v>
      </c>
      <c r="P44" s="1">
        <f>VC_NEW!K19</f>
        <v>0</v>
      </c>
      <c r="Q44" s="1">
        <f>VC_NEW!L19</f>
        <v>0</v>
      </c>
      <c r="R44" s="1">
        <f>VC_NEW!M19</f>
        <v>0</v>
      </c>
      <c r="S44" s="1">
        <f>VC_NEW!N19</f>
        <v>0</v>
      </c>
      <c r="T44" s="1">
        <f>VC_NEW!O19</f>
        <v>0</v>
      </c>
      <c r="U44" s="1">
        <f>VC_NEW!P19</f>
        <v>0</v>
      </c>
      <c r="V44" s="1">
        <f>VC_NEW!Q19</f>
        <v>0</v>
      </c>
      <c r="W44" s="1">
        <f>VC_NEW!R19</f>
        <v>0</v>
      </c>
      <c r="X44" s="1">
        <f>VC_NEW!S19</f>
        <v>0</v>
      </c>
      <c r="Y44" s="1">
        <f>VC_NEW!T19</f>
        <v>0</v>
      </c>
      <c r="Z44" s="1">
        <f>VC_NEW!U19</f>
        <v>0</v>
      </c>
      <c r="AA44" s="1">
        <f>VC_NEW!V19</f>
        <v>0</v>
      </c>
      <c r="AB44" s="1">
        <f>VC_NEW!W19</f>
        <v>0</v>
      </c>
      <c r="AC44" s="1">
        <f>VC_NEW!X19</f>
        <v>0</v>
      </c>
      <c r="AD44" s="1">
        <f>VC_NEW!Y19</f>
        <v>0</v>
      </c>
      <c r="AE44" s="1">
        <f>VC_NEW!Z19</f>
        <v>0</v>
      </c>
      <c r="AF44" s="1">
        <f>VC_NEW!AA19</f>
        <v>0</v>
      </c>
      <c r="AG44" s="1">
        <f>VC_NEW!AB19</f>
        <v>0</v>
      </c>
      <c r="AH44" s="1">
        <f>VC_NEW!AC19</f>
        <v>0</v>
      </c>
      <c r="AI44" s="1">
        <f>VC_NEW!AD19</f>
        <v>0</v>
      </c>
      <c r="AJ44" s="1">
        <f>VC_NEW!AE19</f>
        <v>0</v>
      </c>
      <c r="AK44" s="1">
        <f>VC_NEW!AF19</f>
        <v>0</v>
      </c>
      <c r="AL44" s="1">
        <f>VC_NEW!AG19</f>
        <v>0</v>
      </c>
      <c r="AM44" s="1">
        <f>VC_NEW!AH19</f>
        <v>0</v>
      </c>
      <c r="AN44" s="1">
        <f>VC_NEW!AI19</f>
        <v>0</v>
      </c>
      <c r="AO44" s="1">
        <f>VC_NEW!AJ19</f>
        <v>0</v>
      </c>
      <c r="AP44" s="1">
        <f>VC_NEW!AK19</f>
        <v>0</v>
      </c>
      <c r="AQ44" s="1">
        <f>VC_NEW!AL19</f>
        <v>0</v>
      </c>
      <c r="AR44" s="1">
        <f>VC_NEW!AM19</f>
        <v>0</v>
      </c>
      <c r="AS44" s="1">
        <f>VC_NEW!AN19</f>
        <v>0</v>
      </c>
      <c r="AT44" s="1">
        <f>VC_NEW!AO19</f>
        <v>0</v>
      </c>
      <c r="AU44" s="1">
        <f>VC_NEW!AP19</f>
        <v>0</v>
      </c>
      <c r="AV44" s="1">
        <f>VC_NEW!AQ19</f>
        <v>0</v>
      </c>
      <c r="AW44" s="1">
        <f>VC_NEW!AR19</f>
        <v>0</v>
      </c>
      <c r="AX44" s="1">
        <f>VC_NEW!AS19</f>
        <v>0</v>
      </c>
      <c r="AY44" s="1">
        <f>VC_NEW!AT19</f>
        <v>0</v>
      </c>
      <c r="AZ44" s="1">
        <f>VC_NEW!AU19</f>
        <v>0</v>
      </c>
      <c r="BA44" s="1">
        <f>VC_NEW!AV19</f>
        <v>0</v>
      </c>
      <c r="BB44" s="1">
        <f>VC_NEW!AW19</f>
        <v>0</v>
      </c>
      <c r="BC44" s="1">
        <f>VC_NEW!AX19</f>
        <v>0</v>
      </c>
      <c r="BD44" s="1">
        <f>VC_NEW!AY19</f>
        <v>0</v>
      </c>
      <c r="BE44" s="1">
        <f>VC_NEW!AZ19</f>
        <v>0</v>
      </c>
      <c r="BF44" s="1">
        <f>VC_NEW!BA19</f>
        <v>0</v>
      </c>
      <c r="BG44" s="1">
        <f>VC_NEW!BB19</f>
        <v>0</v>
      </c>
      <c r="BH44" s="1">
        <f>VC_NEW!BC19</f>
        <v>0</v>
      </c>
      <c r="BI44" s="1">
        <f>VC_NEW!BD19</f>
        <v>0</v>
      </c>
      <c r="BJ44" s="1">
        <f>VC_NEW!BE19</f>
        <v>0</v>
      </c>
      <c r="BK44" s="1">
        <f>VC_NEW!BF19</f>
        <v>0</v>
      </c>
      <c r="BL44" s="1">
        <f>VC_NEW!BG19</f>
        <v>0</v>
      </c>
      <c r="BM44" s="1">
        <f>VC_NEW!BH19</f>
        <v>0</v>
      </c>
      <c r="BN44" s="1">
        <f>VC_NEW!BI19</f>
        <v>0</v>
      </c>
      <c r="BO44" s="1">
        <f>VC_NEW!BJ19</f>
        <v>0</v>
      </c>
      <c r="BP44" s="1">
        <f>VC_NEW!BK19</f>
        <v>0</v>
      </c>
      <c r="BQ44" s="1">
        <f>VC_NEW!BL19</f>
        <v>0</v>
      </c>
      <c r="BR44" s="1">
        <f>VC_NEW!BM19</f>
        <v>0</v>
      </c>
      <c r="BS44" s="1">
        <f>VC_NEW!BN19</f>
        <v>0</v>
      </c>
      <c r="BT44" s="1">
        <f>VC_NEW!BO19</f>
        <v>0</v>
      </c>
      <c r="BU44" s="1">
        <f>VC_NEW!BP19</f>
        <v>0</v>
      </c>
      <c r="BV44" s="1">
        <f>VC_NEW!BQ19</f>
        <v>0</v>
      </c>
      <c r="BW44" s="1">
        <f>VC_NEW!BR19</f>
        <v>0</v>
      </c>
      <c r="BX44" s="1">
        <f>VC_NEW!BS19</f>
        <v>0</v>
      </c>
      <c r="BY44" s="1">
        <f>VC_NEW!BT19</f>
        <v>0</v>
      </c>
      <c r="BZ44" s="1">
        <f>VC_NEW!BU19</f>
        <v>0</v>
      </c>
      <c r="CA44" s="1">
        <f>VC_NEW!BV19</f>
        <v>0</v>
      </c>
      <c r="CB44" s="1">
        <f>VC_NEW!BW19</f>
        <v>0</v>
      </c>
      <c r="CC44" s="1">
        <f>VC_NEW!BX19</f>
        <v>0</v>
      </c>
      <c r="CD44" s="1">
        <f>VC_NEW!BY19</f>
        <v>0</v>
      </c>
      <c r="CE44" s="1">
        <f>VC_NEW!BZ19</f>
        <v>0</v>
      </c>
      <c r="CF44" s="1">
        <f>VC_NEW!CA19</f>
        <v>0</v>
      </c>
      <c r="CG44" s="1">
        <f>VC_NEW!CB19</f>
        <v>0</v>
      </c>
      <c r="CH44" s="1">
        <f>VC_NEW!CC19</f>
        <v>0</v>
      </c>
      <c r="CI44" s="1">
        <f>VC_NEW!CD19</f>
        <v>0</v>
      </c>
      <c r="CJ44" s="1">
        <f>VC_NEW!CE19</f>
        <v>0</v>
      </c>
      <c r="CK44" s="1" t="str">
        <f>VC_NEW!CF19</f>
        <v>nt61∆5</v>
      </c>
      <c r="CL44" s="1">
        <f>VC_NEW!CG19</f>
        <v>0</v>
      </c>
      <c r="CM44" s="1">
        <f>VC_NEW!CH19</f>
        <v>0</v>
      </c>
      <c r="CN44" s="1">
        <f>VC_NEW!CI19</f>
        <v>0</v>
      </c>
      <c r="CO44" s="1">
        <f>VC_NEW!CJ19</f>
        <v>0</v>
      </c>
      <c r="CP44" s="1">
        <f>VC_NEW!CK19</f>
        <v>0</v>
      </c>
      <c r="CQ44" s="1">
        <f>VC_NEW!CL19</f>
        <v>0</v>
      </c>
      <c r="CR44" s="1">
        <f>VC_NEW!CM19</f>
        <v>0</v>
      </c>
      <c r="CS44" s="1">
        <f>VC_NEW!CN19</f>
        <v>0</v>
      </c>
      <c r="CT44" s="1">
        <f>VC_NEW!CO19</f>
        <v>0</v>
      </c>
      <c r="CU44" s="1">
        <f>VC_NEW!CP19</f>
        <v>0</v>
      </c>
      <c r="CV44" s="1">
        <f>VC_NEW!CQ19</f>
        <v>0</v>
      </c>
      <c r="CW44" s="1">
        <f>VC_NEW!CR19</f>
        <v>0</v>
      </c>
      <c r="CX44" s="1">
        <f>VC_NEW!CS19</f>
        <v>0</v>
      </c>
      <c r="CY44" s="1">
        <f>VC_NEW!CT19</f>
        <v>0</v>
      </c>
      <c r="CZ44" s="1">
        <f>VC_NEW!CU19</f>
        <v>0</v>
      </c>
      <c r="DA44" s="1">
        <f>VC_NEW!CV19</f>
        <v>0</v>
      </c>
      <c r="DB44" s="1">
        <f>VC_NEW!CW19</f>
        <v>0</v>
      </c>
      <c r="DC44" s="1">
        <f>VC_NEW!CX19</f>
        <v>0</v>
      </c>
      <c r="DD44" s="1">
        <f>VC_NEW!CY19</f>
        <v>0</v>
      </c>
      <c r="DE44" s="1">
        <f>VC_NEW!CZ19</f>
        <v>0</v>
      </c>
      <c r="DF44" s="1">
        <f>VC_NEW!DA19</f>
        <v>0</v>
      </c>
      <c r="DG44" s="1">
        <f>VC_NEW!DB19</f>
        <v>0</v>
      </c>
      <c r="DH44" s="1">
        <f>VC_NEW!DC19</f>
        <v>0</v>
      </c>
      <c r="DI44" s="1" t="str">
        <f>VC_NEW!DD19</f>
        <v>∆63nt</v>
      </c>
      <c r="DJ44" s="1">
        <f>VC_NEW!DE19</f>
        <v>0</v>
      </c>
      <c r="DK44" s="1">
        <f>VC_NEW!DF19</f>
        <v>0</v>
      </c>
      <c r="DL44" s="1">
        <f>VC_NEW!DG19</f>
        <v>0</v>
      </c>
      <c r="DM44" s="1">
        <f>VC_NEW!DH19</f>
        <v>0</v>
      </c>
      <c r="DN44" s="1" t="str">
        <f>VC_NEW!DI19</f>
        <v>DELETED</v>
      </c>
      <c r="DO44" s="1">
        <f>VC_NEW!DJ19</f>
        <v>0</v>
      </c>
      <c r="DP44" s="1">
        <f>VC_NEW!DK19</f>
        <v>0</v>
      </c>
      <c r="DQ44" s="1">
        <f>VC_NEW!DL19</f>
        <v>0</v>
      </c>
      <c r="DR44" s="1">
        <f>VC_NEW!DM19</f>
        <v>0</v>
      </c>
      <c r="DS44" s="1">
        <f>VC_NEW!DN19</f>
        <v>0</v>
      </c>
      <c r="DT44" s="1">
        <f>VC_NEW!DO19</f>
        <v>0</v>
      </c>
      <c r="DU44" s="1">
        <f>VC_NEW!DP19</f>
        <v>0</v>
      </c>
      <c r="DV44" s="1">
        <f>VC_NEW!DQ19</f>
        <v>0</v>
      </c>
      <c r="DW44" s="1">
        <f>VC_NEW!DR19</f>
        <v>0</v>
      </c>
      <c r="DX44" s="1">
        <f>VC_NEW!DS19</f>
        <v>0</v>
      </c>
      <c r="DY44" s="1">
        <f>VC_NEW!DT19</f>
        <v>0</v>
      </c>
      <c r="DZ44" s="1">
        <f>VC_NEW!DU19</f>
        <v>0</v>
      </c>
      <c r="EA44" s="1">
        <f>VC_NEW!DV19</f>
        <v>0</v>
      </c>
      <c r="EB44" s="1">
        <f>VC_NEW!DW19</f>
        <v>0</v>
      </c>
      <c r="EC44" s="1" t="str">
        <f>VC_NEW!DX19</f>
        <v>G175S</v>
      </c>
      <c r="ED44" s="1">
        <f>VC_NEW!DY19</f>
        <v>0</v>
      </c>
      <c r="EE44" s="1">
        <f>VC_NEW!DZ19</f>
        <v>0</v>
      </c>
      <c r="EF44" s="1" t="str">
        <f>VC_NEW!EA19</f>
        <v>aa207∆4</v>
      </c>
      <c r="EG44" s="1" t="str">
        <f>VC_NEW!EB19</f>
        <v>Y12C; L21R; G56S</v>
      </c>
      <c r="EH44" s="1">
        <f>VC_NEW!EC19</f>
        <v>0</v>
      </c>
      <c r="EI44" s="1">
        <f>VC_NEW!ED19</f>
        <v>0</v>
      </c>
      <c r="EJ44" s="1">
        <f>VC_NEW!EE19</f>
        <v>0</v>
      </c>
      <c r="EK44" s="1">
        <f>VC_NEW!EF19</f>
        <v>0</v>
      </c>
      <c r="EL44" s="1">
        <f>VC_NEW!EG19</f>
        <v>0</v>
      </c>
      <c r="EM44" s="1">
        <f>VC_NEW!EH19</f>
        <v>0</v>
      </c>
      <c r="EN44" s="1">
        <f>VC_NEW!EI19</f>
        <v>0</v>
      </c>
      <c r="EO44" s="1">
        <f>VC_NEW!EJ19</f>
        <v>0</v>
      </c>
      <c r="EP44" s="1">
        <f>VC_NEW!EK19</f>
        <v>0</v>
      </c>
      <c r="EQ44" s="1">
        <f>VC_NEW!EL19</f>
        <v>0</v>
      </c>
      <c r="ER44" s="1">
        <f>VC_NEW!EM19</f>
        <v>0</v>
      </c>
      <c r="ES44" s="1" t="str">
        <f>VC_NEW!EN19</f>
        <v>C242X</v>
      </c>
      <c r="ET44" s="1">
        <f>VC_NEW!EO19</f>
        <v>0</v>
      </c>
      <c r="EU44" s="1">
        <f>VC_NEW!EP19</f>
        <v>0</v>
      </c>
      <c r="EV44" s="1">
        <f>VC_NEW!EQ19</f>
        <v>0</v>
      </c>
      <c r="EW44" s="1">
        <f>VC_NEW!ER19</f>
        <v>0</v>
      </c>
      <c r="EX44" s="1">
        <f>VC_NEW!ES19</f>
        <v>0</v>
      </c>
      <c r="EY44" s="1">
        <f>VC_NEW!ET19</f>
        <v>0</v>
      </c>
      <c r="EZ44" s="1">
        <f>VC_NEW!EU19</f>
        <v>0</v>
      </c>
      <c r="FA44" s="1">
        <f>VC_NEW!EV19</f>
        <v>0</v>
      </c>
      <c r="FB44" s="1">
        <f>VC_NEW!EW19</f>
        <v>0</v>
      </c>
      <c r="FC44" s="1">
        <f>VC_NEW!EX19</f>
        <v>0</v>
      </c>
      <c r="FD44" s="1">
        <f>VC_NEW!EY19</f>
        <v>0</v>
      </c>
      <c r="FE44" s="1">
        <f>VC_NEW!EZ19</f>
        <v>0</v>
      </c>
      <c r="FF44" s="1">
        <f>VC_NEW!FA19</f>
        <v>0</v>
      </c>
      <c r="FG44" s="1">
        <f>VC_NEW!FB19</f>
        <v>0</v>
      </c>
      <c r="FH44" s="1">
        <f>VC_NEW!FC19</f>
        <v>0</v>
      </c>
      <c r="FI44" s="1">
        <f>VC_NEW!FD19</f>
        <v>0</v>
      </c>
      <c r="FJ44" s="1" t="str">
        <f>VC_NEW!FE19</f>
        <v>nt679∆1</v>
      </c>
      <c r="FK44" s="1">
        <f>VC_NEW!FF19</f>
        <v>0</v>
      </c>
      <c r="FL44" s="1">
        <f>VC_NEW!FG19</f>
        <v>0</v>
      </c>
      <c r="FM44" s="1">
        <f>VC_NEW!FH19</f>
        <v>0</v>
      </c>
      <c r="FN44" s="1">
        <f>VC_NEW!FI19</f>
        <v>0</v>
      </c>
      <c r="FO44" s="1">
        <f>VC_NEW!FJ19</f>
        <v>0</v>
      </c>
      <c r="FP44" s="1">
        <f>VC_NEW!FK19</f>
        <v>0</v>
      </c>
      <c r="FQ44" s="1">
        <f>VC_NEW!FL19</f>
        <v>0</v>
      </c>
      <c r="FR44" s="1">
        <f>VC_NEW!FM19</f>
        <v>0</v>
      </c>
      <c r="FS44" s="1">
        <f>VC_NEW!FN19</f>
        <v>0</v>
      </c>
      <c r="FT44" s="1">
        <f>VC_NEW!FO19</f>
        <v>0</v>
      </c>
      <c r="FU44" s="1">
        <f>VC_NEW!FP19</f>
        <v>0</v>
      </c>
      <c r="FV44" s="1">
        <f>VC_NEW!FQ19</f>
        <v>0</v>
      </c>
      <c r="FW44" s="1">
        <f>VC_NEW!FR19</f>
        <v>0</v>
      </c>
      <c r="FX44" s="1">
        <f>VC_NEW!FS19</f>
        <v>0</v>
      </c>
      <c r="FY44" s="1">
        <f>VC_NEW!FT19</f>
        <v>0</v>
      </c>
      <c r="FZ44" s="1">
        <f>VC_NEW!FU19</f>
        <v>0</v>
      </c>
      <c r="GA44" s="1">
        <f>VC_NEW!FV19</f>
        <v>0</v>
      </c>
      <c r="GB44" s="1">
        <f>VC_NEW!FW19</f>
        <v>0</v>
      </c>
      <c r="GC44" s="1">
        <f>VC_NEW!FX19</f>
        <v>0</v>
      </c>
      <c r="GD44" s="1">
        <f>VC_NEW!FY19</f>
        <v>0</v>
      </c>
      <c r="GE44" s="1">
        <f>VC_NEW!FZ19</f>
        <v>0</v>
      </c>
      <c r="GF44" s="1">
        <f>VC_NEW!GA19</f>
        <v>0</v>
      </c>
      <c r="GG44" s="1">
        <f>VC_NEW!GB19</f>
        <v>0</v>
      </c>
      <c r="GH44" s="1">
        <f>VC_NEW!GC19</f>
        <v>0</v>
      </c>
      <c r="GI44" s="1">
        <f>VC_NEW!GD19</f>
        <v>0</v>
      </c>
      <c r="GJ44" s="1">
        <f>VC_NEW!GE19</f>
        <v>0</v>
      </c>
      <c r="GK44" s="1">
        <f>VC_NEW!GF19</f>
        <v>0</v>
      </c>
      <c r="GL44" s="1">
        <f>VC_NEW!GG19</f>
        <v>0</v>
      </c>
      <c r="GM44" s="1">
        <f>VC_NEW!GH19</f>
        <v>0</v>
      </c>
      <c r="GN44" s="1">
        <f>VC_NEW!GI19</f>
        <v>0</v>
      </c>
      <c r="GO44" s="1">
        <f>VC_NEW!GJ19</f>
        <v>0</v>
      </c>
      <c r="GP44" s="1">
        <f>VC_NEW!GK19</f>
        <v>0</v>
      </c>
      <c r="GQ44" s="1">
        <f>VC_NEW!GL19</f>
        <v>0</v>
      </c>
      <c r="GR44" s="1">
        <f>VC_NEW!GM19</f>
        <v>0</v>
      </c>
      <c r="GS44" s="1">
        <f>VC_NEW!GN19</f>
        <v>0</v>
      </c>
      <c r="GT44" s="1">
        <f>VC_NEW!GO19</f>
        <v>0</v>
      </c>
      <c r="GU44" s="1">
        <f>VC_NEW!GP19</f>
        <v>0</v>
      </c>
      <c r="GV44" s="1">
        <f>VC_NEW!GQ19</f>
        <v>0</v>
      </c>
      <c r="GW44" s="1">
        <f>VC_NEW!GR19</f>
        <v>0</v>
      </c>
      <c r="GX44" s="1" t="str">
        <f>VC_NEW!GS19</f>
        <v>F248S</v>
      </c>
      <c r="GY44" s="1">
        <f>VC_NEW!GT19</f>
        <v>0</v>
      </c>
      <c r="GZ44" s="1">
        <f>VC_NEW!GU19</f>
        <v>0</v>
      </c>
      <c r="HA44" s="1">
        <f>VC_NEW!GV19</f>
        <v>0</v>
      </c>
      <c r="HB44" s="1">
        <f>VC_NEW!GW19</f>
        <v>0</v>
      </c>
      <c r="HC44" s="1">
        <f>VC_NEW!GX19</f>
        <v>0</v>
      </c>
    </row>
    <row r="45" spans="1:211" s="1" customFormat="1" ht="15" hidden="1" customHeight="1" thickBot="1" x14ac:dyDescent="0.3">
      <c r="A45" s="2" t="s">
        <v>16</v>
      </c>
      <c r="B45" s="2" t="s">
        <v>17</v>
      </c>
      <c r="C45" s="4" t="s">
        <v>2</v>
      </c>
      <c r="D45" s="2" t="s">
        <v>76</v>
      </c>
      <c r="E45" s="2" t="s">
        <v>138</v>
      </c>
      <c r="F45" s="2" t="s">
        <v>74</v>
      </c>
      <c r="G45" s="2" t="s">
        <v>136</v>
      </c>
      <c r="H45" s="1">
        <f>VC_NEW!C19</f>
        <v>0</v>
      </c>
      <c r="I45" s="1">
        <f>VC_NEW!D19</f>
        <v>0</v>
      </c>
      <c r="J45" s="1">
        <f>VC_NEW!E19</f>
        <v>0</v>
      </c>
      <c r="K45" s="1">
        <f>VC_NEW!F19</f>
        <v>0</v>
      </c>
      <c r="L45" s="1">
        <f>VC_NEW!G19</f>
        <v>0</v>
      </c>
      <c r="M45" s="1">
        <f>VC_NEW!H19</f>
        <v>0</v>
      </c>
      <c r="N45" s="1">
        <f>VC_NEW!I19</f>
        <v>0</v>
      </c>
      <c r="O45" s="1">
        <f>VC_NEW!J19</f>
        <v>0</v>
      </c>
      <c r="P45" s="1">
        <f>VC_NEW!K19</f>
        <v>0</v>
      </c>
      <c r="Q45" s="1">
        <f>VC_NEW!L19</f>
        <v>0</v>
      </c>
      <c r="R45" s="1">
        <f>VC_NEW!M19</f>
        <v>0</v>
      </c>
      <c r="S45" s="1">
        <f>VC_NEW!N19</f>
        <v>0</v>
      </c>
      <c r="T45" s="1">
        <f>VC_NEW!O19</f>
        <v>0</v>
      </c>
      <c r="U45" s="1">
        <f>VC_NEW!P19</f>
        <v>0</v>
      </c>
      <c r="V45" s="1">
        <f>VC_NEW!Q19</f>
        <v>0</v>
      </c>
      <c r="W45" s="1">
        <f>VC_NEW!R19</f>
        <v>0</v>
      </c>
      <c r="X45" s="1">
        <f>VC_NEW!S19</f>
        <v>0</v>
      </c>
      <c r="Y45" s="1">
        <f>VC_NEW!T19</f>
        <v>0</v>
      </c>
      <c r="Z45" s="1">
        <f>VC_NEW!U19</f>
        <v>0</v>
      </c>
      <c r="AA45" s="1">
        <f>VC_NEW!V19</f>
        <v>0</v>
      </c>
      <c r="AB45" s="1">
        <f>VC_NEW!W19</f>
        <v>0</v>
      </c>
      <c r="AC45" s="1">
        <f>VC_NEW!X19</f>
        <v>0</v>
      </c>
      <c r="AD45" s="1">
        <f>VC_NEW!Y19</f>
        <v>0</v>
      </c>
      <c r="AE45" s="1">
        <f>VC_NEW!Z19</f>
        <v>0</v>
      </c>
      <c r="AF45" s="1">
        <f>VC_NEW!AA19</f>
        <v>0</v>
      </c>
      <c r="AG45" s="1">
        <f>VC_NEW!AB19</f>
        <v>0</v>
      </c>
      <c r="AH45" s="1">
        <f>VC_NEW!AC19</f>
        <v>0</v>
      </c>
      <c r="AI45" s="1">
        <f>VC_NEW!AD19</f>
        <v>0</v>
      </c>
      <c r="AJ45" s="1">
        <f>VC_NEW!AE19</f>
        <v>0</v>
      </c>
      <c r="AK45" s="1">
        <f>VC_NEW!AF19</f>
        <v>0</v>
      </c>
      <c r="AL45" s="1">
        <f>VC_NEW!AG19</f>
        <v>0</v>
      </c>
      <c r="AM45" s="1">
        <f>VC_NEW!AH19</f>
        <v>0</v>
      </c>
      <c r="AN45" s="1">
        <f>VC_NEW!AI19</f>
        <v>0</v>
      </c>
      <c r="AO45" s="1">
        <f>VC_NEW!AJ19</f>
        <v>0</v>
      </c>
      <c r="AP45" s="1">
        <f>VC_NEW!AK19</f>
        <v>0</v>
      </c>
      <c r="AQ45" s="1">
        <f>VC_NEW!AL19</f>
        <v>0</v>
      </c>
      <c r="AR45" s="1">
        <f>VC_NEW!AM19</f>
        <v>0</v>
      </c>
      <c r="AS45" s="1">
        <f>VC_NEW!AN19</f>
        <v>0</v>
      </c>
      <c r="AT45" s="1">
        <f>VC_NEW!AO19</f>
        <v>0</v>
      </c>
      <c r="AU45" s="1">
        <f>VC_NEW!AP19</f>
        <v>0</v>
      </c>
      <c r="AV45" s="1">
        <f>VC_NEW!AQ19</f>
        <v>0</v>
      </c>
      <c r="AW45" s="1">
        <f>VC_NEW!AR19</f>
        <v>0</v>
      </c>
      <c r="AX45" s="1">
        <f>VC_NEW!AS19</f>
        <v>0</v>
      </c>
      <c r="AY45" s="1">
        <f>VC_NEW!AT19</f>
        <v>0</v>
      </c>
      <c r="AZ45" s="1">
        <f>VC_NEW!AU19</f>
        <v>0</v>
      </c>
      <c r="BA45" s="1">
        <f>VC_NEW!AV19</f>
        <v>0</v>
      </c>
      <c r="BB45" s="1">
        <f>VC_NEW!AW19</f>
        <v>0</v>
      </c>
      <c r="BC45" s="1">
        <f>VC_NEW!AX19</f>
        <v>0</v>
      </c>
      <c r="BD45" s="1">
        <f>VC_NEW!AY19</f>
        <v>0</v>
      </c>
      <c r="BE45" s="1">
        <f>VC_NEW!AZ19</f>
        <v>0</v>
      </c>
      <c r="BF45" s="1">
        <f>VC_NEW!BA19</f>
        <v>0</v>
      </c>
      <c r="BG45" s="1">
        <f>VC_NEW!BB19</f>
        <v>0</v>
      </c>
      <c r="BH45" s="1">
        <f>VC_NEW!BC19</f>
        <v>0</v>
      </c>
      <c r="BI45" s="1">
        <f>VC_NEW!BD19</f>
        <v>0</v>
      </c>
      <c r="BJ45" s="1">
        <f>VC_NEW!BE19</f>
        <v>0</v>
      </c>
      <c r="BK45" s="1">
        <f>VC_NEW!BF19</f>
        <v>0</v>
      </c>
      <c r="BL45" s="1">
        <f>VC_NEW!BG19</f>
        <v>0</v>
      </c>
      <c r="BM45" s="1">
        <f>VC_NEW!BH19</f>
        <v>0</v>
      </c>
      <c r="BN45" s="1">
        <f>VC_NEW!BI19</f>
        <v>0</v>
      </c>
      <c r="BO45" s="1">
        <f>VC_NEW!BJ19</f>
        <v>0</v>
      </c>
      <c r="BP45" s="1">
        <f>VC_NEW!BK19</f>
        <v>0</v>
      </c>
      <c r="BQ45" s="1">
        <f>VC_NEW!BL19</f>
        <v>0</v>
      </c>
      <c r="BR45" s="1">
        <f>VC_NEW!BM19</f>
        <v>0</v>
      </c>
      <c r="BS45" s="1">
        <f>VC_NEW!BN19</f>
        <v>0</v>
      </c>
      <c r="BT45" s="1">
        <f>VC_NEW!BO19</f>
        <v>0</v>
      </c>
      <c r="BU45" s="1">
        <f>VC_NEW!BP19</f>
        <v>0</v>
      </c>
      <c r="BV45" s="1">
        <f>VC_NEW!BQ19</f>
        <v>0</v>
      </c>
      <c r="BW45" s="1">
        <f>VC_NEW!BR19</f>
        <v>0</v>
      </c>
      <c r="BX45" s="1">
        <f>VC_NEW!BS19</f>
        <v>0</v>
      </c>
      <c r="BY45" s="1">
        <f>VC_NEW!BT19</f>
        <v>0</v>
      </c>
      <c r="BZ45" s="1">
        <f>VC_NEW!BU19</f>
        <v>0</v>
      </c>
      <c r="CA45" s="1">
        <f>VC_NEW!BV19</f>
        <v>0</v>
      </c>
      <c r="CB45" s="1">
        <f>VC_NEW!BW19</f>
        <v>0</v>
      </c>
      <c r="CC45" s="1">
        <f>VC_NEW!BX19</f>
        <v>0</v>
      </c>
      <c r="CD45" s="1">
        <f>VC_NEW!BY19</f>
        <v>0</v>
      </c>
      <c r="CE45" s="1">
        <f>VC_NEW!BZ19</f>
        <v>0</v>
      </c>
      <c r="CF45" s="1">
        <f>VC_NEW!CA19</f>
        <v>0</v>
      </c>
      <c r="CG45" s="1">
        <f>VC_NEW!CB19</f>
        <v>0</v>
      </c>
      <c r="CH45" s="1">
        <f>VC_NEW!CC19</f>
        <v>0</v>
      </c>
      <c r="CI45" s="1">
        <f>VC_NEW!CD19</f>
        <v>0</v>
      </c>
      <c r="CJ45" s="1">
        <f>VC_NEW!CE19</f>
        <v>0</v>
      </c>
      <c r="CK45" s="1" t="str">
        <f>VC_NEW!CF19</f>
        <v>nt61∆5</v>
      </c>
      <c r="CL45" s="1">
        <f>VC_NEW!CG19</f>
        <v>0</v>
      </c>
      <c r="CM45" s="1">
        <f>VC_NEW!CH19</f>
        <v>0</v>
      </c>
      <c r="CN45" s="1">
        <f>VC_NEW!CI19</f>
        <v>0</v>
      </c>
      <c r="CO45" s="1">
        <f>VC_NEW!CJ19</f>
        <v>0</v>
      </c>
      <c r="CP45" s="1">
        <f>VC_NEW!CK19</f>
        <v>0</v>
      </c>
      <c r="CQ45" s="1">
        <f>VC_NEW!CL19</f>
        <v>0</v>
      </c>
      <c r="CR45" s="1">
        <f>VC_NEW!CM19</f>
        <v>0</v>
      </c>
      <c r="CS45" s="1">
        <f>VC_NEW!CN19</f>
        <v>0</v>
      </c>
      <c r="CT45" s="1">
        <f>VC_NEW!CO19</f>
        <v>0</v>
      </c>
      <c r="CU45" s="1">
        <f>VC_NEW!CP19</f>
        <v>0</v>
      </c>
      <c r="CV45" s="1">
        <f>VC_NEW!CQ19</f>
        <v>0</v>
      </c>
      <c r="CW45" s="1">
        <f>VC_NEW!CR19</f>
        <v>0</v>
      </c>
      <c r="CX45" s="1">
        <f>VC_NEW!CS19</f>
        <v>0</v>
      </c>
      <c r="CY45" s="1">
        <f>VC_NEW!CT19</f>
        <v>0</v>
      </c>
      <c r="CZ45" s="1">
        <f>VC_NEW!CU19</f>
        <v>0</v>
      </c>
      <c r="DA45" s="1">
        <f>VC_NEW!CV19</f>
        <v>0</v>
      </c>
      <c r="DB45" s="1">
        <f>VC_NEW!CW19</f>
        <v>0</v>
      </c>
      <c r="DC45" s="1">
        <f>VC_NEW!CX19</f>
        <v>0</v>
      </c>
      <c r="DD45" s="1">
        <f>VC_NEW!CY19</f>
        <v>0</v>
      </c>
      <c r="DE45" s="1">
        <f>VC_NEW!CZ19</f>
        <v>0</v>
      </c>
      <c r="DF45" s="1">
        <f>VC_NEW!DA19</f>
        <v>0</v>
      </c>
      <c r="DG45" s="1">
        <f>VC_NEW!DB19</f>
        <v>0</v>
      </c>
      <c r="DH45" s="1">
        <f>VC_NEW!DC19</f>
        <v>0</v>
      </c>
      <c r="DI45" s="1" t="str">
        <f>VC_NEW!DD19</f>
        <v>∆63nt</v>
      </c>
      <c r="DJ45" s="1">
        <f>VC_NEW!DE19</f>
        <v>0</v>
      </c>
      <c r="DK45" s="1">
        <f>VC_NEW!DF19</f>
        <v>0</v>
      </c>
      <c r="DL45" s="1">
        <f>VC_NEW!DG19</f>
        <v>0</v>
      </c>
      <c r="DM45" s="1">
        <f>VC_NEW!DH19</f>
        <v>0</v>
      </c>
      <c r="DN45" s="1" t="str">
        <f>VC_NEW!DI19</f>
        <v>DELETED</v>
      </c>
      <c r="DO45" s="1">
        <f>VC_NEW!DJ19</f>
        <v>0</v>
      </c>
      <c r="DP45" s="1">
        <f>VC_NEW!DK19</f>
        <v>0</v>
      </c>
      <c r="DQ45" s="1">
        <f>VC_NEW!DL19</f>
        <v>0</v>
      </c>
      <c r="DR45" s="1">
        <f>VC_NEW!DM19</f>
        <v>0</v>
      </c>
      <c r="DS45" s="1">
        <f>VC_NEW!DN19</f>
        <v>0</v>
      </c>
      <c r="DT45" s="1">
        <f>VC_NEW!DO19</f>
        <v>0</v>
      </c>
      <c r="DU45" s="1">
        <f>VC_NEW!DP19</f>
        <v>0</v>
      </c>
      <c r="DV45" s="1">
        <f>VC_NEW!DQ19</f>
        <v>0</v>
      </c>
      <c r="DW45" s="1">
        <f>VC_NEW!DR19</f>
        <v>0</v>
      </c>
      <c r="DX45" s="1">
        <f>VC_NEW!DS19</f>
        <v>0</v>
      </c>
      <c r="DY45" s="1">
        <f>VC_NEW!DT19</f>
        <v>0</v>
      </c>
      <c r="DZ45" s="1">
        <f>VC_NEW!DU19</f>
        <v>0</v>
      </c>
      <c r="EA45" s="1">
        <f>VC_NEW!DV19</f>
        <v>0</v>
      </c>
      <c r="EB45" s="1">
        <f>VC_NEW!DW19</f>
        <v>0</v>
      </c>
      <c r="EC45" s="1" t="str">
        <f>VC_NEW!DX19</f>
        <v>G175S</v>
      </c>
      <c r="ED45" s="1">
        <f>VC_NEW!DY19</f>
        <v>0</v>
      </c>
      <c r="EE45" s="1">
        <f>VC_NEW!DZ19</f>
        <v>0</v>
      </c>
      <c r="EF45" s="1" t="str">
        <f>VC_NEW!EA19</f>
        <v>aa207∆4</v>
      </c>
      <c r="EG45" s="1" t="str">
        <f>VC_NEW!EB19</f>
        <v>Y12C; L21R; G56S</v>
      </c>
      <c r="EH45" s="1">
        <f>VC_NEW!EC19</f>
        <v>0</v>
      </c>
      <c r="EI45" s="1">
        <f>VC_NEW!ED19</f>
        <v>0</v>
      </c>
      <c r="EJ45" s="1">
        <f>VC_NEW!EE19</f>
        <v>0</v>
      </c>
      <c r="EK45" s="1">
        <f>VC_NEW!EF19</f>
        <v>0</v>
      </c>
      <c r="EL45" s="1">
        <f>VC_NEW!EG19</f>
        <v>0</v>
      </c>
      <c r="EM45" s="1">
        <f>VC_NEW!EH19</f>
        <v>0</v>
      </c>
      <c r="EN45" s="1">
        <f>VC_NEW!EI19</f>
        <v>0</v>
      </c>
      <c r="EO45" s="1">
        <f>VC_NEW!EJ19</f>
        <v>0</v>
      </c>
      <c r="EP45" s="1">
        <f>VC_NEW!EK19</f>
        <v>0</v>
      </c>
      <c r="EQ45" s="1">
        <f>VC_NEW!EL19</f>
        <v>0</v>
      </c>
      <c r="ER45" s="1">
        <f>VC_NEW!EM19</f>
        <v>0</v>
      </c>
      <c r="ES45" s="1" t="str">
        <f>VC_NEW!EN19</f>
        <v>C242X</v>
      </c>
      <c r="ET45" s="1">
        <f>VC_NEW!EO19</f>
        <v>0</v>
      </c>
      <c r="EU45" s="1">
        <f>VC_NEW!EP19</f>
        <v>0</v>
      </c>
      <c r="EV45" s="1">
        <f>VC_NEW!EQ19</f>
        <v>0</v>
      </c>
      <c r="EW45" s="1">
        <f>VC_NEW!ER19</f>
        <v>0</v>
      </c>
      <c r="EX45" s="1">
        <f>VC_NEW!ES19</f>
        <v>0</v>
      </c>
      <c r="EY45" s="1">
        <f>VC_NEW!ET19</f>
        <v>0</v>
      </c>
      <c r="EZ45" s="1">
        <f>VC_NEW!EU19</f>
        <v>0</v>
      </c>
      <c r="FA45" s="1">
        <f>VC_NEW!EV19</f>
        <v>0</v>
      </c>
      <c r="FB45" s="1">
        <f>VC_NEW!EW19</f>
        <v>0</v>
      </c>
      <c r="FC45" s="1">
        <f>VC_NEW!EX19</f>
        <v>0</v>
      </c>
      <c r="FD45" s="1">
        <f>VC_NEW!EY19</f>
        <v>0</v>
      </c>
      <c r="FE45" s="1">
        <f>VC_NEW!EZ19</f>
        <v>0</v>
      </c>
      <c r="FF45" s="1">
        <f>VC_NEW!FA19</f>
        <v>0</v>
      </c>
      <c r="FG45" s="1">
        <f>VC_NEW!FB19</f>
        <v>0</v>
      </c>
      <c r="FH45" s="1">
        <f>VC_NEW!FC19</f>
        <v>0</v>
      </c>
      <c r="FI45" s="1">
        <f>VC_NEW!FD19</f>
        <v>0</v>
      </c>
      <c r="FJ45" s="1" t="str">
        <f>VC_NEW!FE19</f>
        <v>nt679∆1</v>
      </c>
      <c r="FK45" s="1">
        <f>VC_NEW!FF19</f>
        <v>0</v>
      </c>
      <c r="FL45" s="1">
        <f>VC_NEW!FG19</f>
        <v>0</v>
      </c>
      <c r="FM45" s="1">
        <f>VC_NEW!FH19</f>
        <v>0</v>
      </c>
      <c r="FN45" s="1">
        <f>VC_NEW!FI19</f>
        <v>0</v>
      </c>
      <c r="FO45" s="1">
        <f>VC_NEW!FJ19</f>
        <v>0</v>
      </c>
      <c r="FP45" s="1">
        <f>VC_NEW!FK19</f>
        <v>0</v>
      </c>
      <c r="FQ45" s="1">
        <f>VC_NEW!FL19</f>
        <v>0</v>
      </c>
      <c r="FR45" s="1">
        <f>VC_NEW!FM19</f>
        <v>0</v>
      </c>
      <c r="FS45" s="1">
        <f>VC_NEW!FN19</f>
        <v>0</v>
      </c>
      <c r="FT45" s="1">
        <f>VC_NEW!FO19</f>
        <v>0</v>
      </c>
      <c r="FU45" s="1">
        <f>VC_NEW!FP19</f>
        <v>0</v>
      </c>
      <c r="FV45" s="1">
        <f>VC_NEW!FQ19</f>
        <v>0</v>
      </c>
      <c r="FW45" s="1">
        <f>VC_NEW!FR19</f>
        <v>0</v>
      </c>
      <c r="FX45" s="1">
        <f>VC_NEW!FS19</f>
        <v>0</v>
      </c>
      <c r="FY45" s="1">
        <f>VC_NEW!FT19</f>
        <v>0</v>
      </c>
      <c r="FZ45" s="1">
        <f>VC_NEW!FU19</f>
        <v>0</v>
      </c>
      <c r="GA45" s="1">
        <f>VC_NEW!FV19</f>
        <v>0</v>
      </c>
      <c r="GB45" s="1">
        <f>VC_NEW!FW19</f>
        <v>0</v>
      </c>
      <c r="GC45" s="1">
        <f>VC_NEW!FX19</f>
        <v>0</v>
      </c>
      <c r="GD45" s="1">
        <f>VC_NEW!FY19</f>
        <v>0</v>
      </c>
      <c r="GE45" s="1">
        <f>VC_NEW!FZ19</f>
        <v>0</v>
      </c>
      <c r="GF45" s="1">
        <f>VC_NEW!GA19</f>
        <v>0</v>
      </c>
      <c r="GG45" s="1">
        <f>VC_NEW!GB19</f>
        <v>0</v>
      </c>
      <c r="GH45" s="1">
        <f>VC_NEW!GC19</f>
        <v>0</v>
      </c>
      <c r="GI45" s="1">
        <f>VC_NEW!GD19</f>
        <v>0</v>
      </c>
      <c r="GJ45" s="1">
        <f>VC_NEW!GE19</f>
        <v>0</v>
      </c>
      <c r="GK45" s="1">
        <f>VC_NEW!GF19</f>
        <v>0</v>
      </c>
      <c r="GL45" s="1">
        <f>VC_NEW!GG19</f>
        <v>0</v>
      </c>
      <c r="GM45" s="1">
        <f>VC_NEW!GH19</f>
        <v>0</v>
      </c>
      <c r="GN45" s="1">
        <f>VC_NEW!GI19</f>
        <v>0</v>
      </c>
      <c r="GO45" s="1">
        <f>VC_NEW!GJ19</f>
        <v>0</v>
      </c>
      <c r="GP45" s="1">
        <f>VC_NEW!GK19</f>
        <v>0</v>
      </c>
      <c r="GQ45" s="1">
        <f>VC_NEW!GL19</f>
        <v>0</v>
      </c>
      <c r="GR45" s="1">
        <f>VC_NEW!GM19</f>
        <v>0</v>
      </c>
      <c r="GS45" s="1">
        <f>VC_NEW!GN19</f>
        <v>0</v>
      </c>
      <c r="GT45" s="1">
        <f>VC_NEW!GO19</f>
        <v>0</v>
      </c>
      <c r="GU45" s="1">
        <f>VC_NEW!GP19</f>
        <v>0</v>
      </c>
      <c r="GV45" s="1">
        <f>VC_NEW!GQ19</f>
        <v>0</v>
      </c>
      <c r="GW45" s="1">
        <f>VC_NEW!GR19</f>
        <v>0</v>
      </c>
      <c r="GX45" s="1" t="str">
        <f>VC_NEW!GS19</f>
        <v>F248S</v>
      </c>
      <c r="GY45" s="1">
        <f>VC_NEW!GT19</f>
        <v>0</v>
      </c>
      <c r="GZ45" s="1">
        <f>VC_NEW!GU19</f>
        <v>0</v>
      </c>
      <c r="HA45" s="1">
        <f>VC_NEW!GV19</f>
        <v>0</v>
      </c>
      <c r="HB45" s="1">
        <f>VC_NEW!GW19</f>
        <v>0</v>
      </c>
      <c r="HC45" s="1">
        <f>VC_NEW!GX19</f>
        <v>0</v>
      </c>
    </row>
    <row r="46" spans="1:211" s="1" customFormat="1" ht="15" hidden="1" customHeight="1" x14ac:dyDescent="0.25">
      <c r="A46" s="2" t="s">
        <v>16</v>
      </c>
      <c r="B46" s="2" t="s">
        <v>17</v>
      </c>
      <c r="C46" s="4" t="s">
        <v>3</v>
      </c>
      <c r="D46" s="2" t="s">
        <v>76</v>
      </c>
      <c r="E46" s="2" t="s">
        <v>138</v>
      </c>
      <c r="F46" s="2" t="s">
        <v>74</v>
      </c>
      <c r="G46" s="2" t="s">
        <v>136</v>
      </c>
      <c r="H46" s="1">
        <f>VC_NEW!C19</f>
        <v>0</v>
      </c>
      <c r="I46" s="1">
        <f>VC_NEW!D19</f>
        <v>0</v>
      </c>
      <c r="J46" s="1">
        <f>VC_NEW!E19</f>
        <v>0</v>
      </c>
      <c r="K46" s="1">
        <f>VC_NEW!F19</f>
        <v>0</v>
      </c>
      <c r="L46" s="1">
        <f>VC_NEW!G19</f>
        <v>0</v>
      </c>
      <c r="M46" s="1">
        <f>VC_NEW!H19</f>
        <v>0</v>
      </c>
      <c r="N46" s="1">
        <f>VC_NEW!I19</f>
        <v>0</v>
      </c>
      <c r="O46" s="1">
        <f>VC_NEW!J19</f>
        <v>0</v>
      </c>
      <c r="P46" s="1">
        <f>VC_NEW!K19</f>
        <v>0</v>
      </c>
      <c r="Q46" s="1">
        <f>VC_NEW!L19</f>
        <v>0</v>
      </c>
      <c r="R46" s="1">
        <f>VC_NEW!M19</f>
        <v>0</v>
      </c>
      <c r="S46" s="1">
        <f>VC_NEW!N19</f>
        <v>0</v>
      </c>
      <c r="T46" s="1">
        <f>VC_NEW!O19</f>
        <v>0</v>
      </c>
      <c r="U46" s="1">
        <f>VC_NEW!P19</f>
        <v>0</v>
      </c>
      <c r="V46" s="1">
        <f>VC_NEW!Q19</f>
        <v>0</v>
      </c>
      <c r="W46" s="1">
        <f>VC_NEW!R19</f>
        <v>0</v>
      </c>
      <c r="X46" s="1">
        <f>VC_NEW!S19</f>
        <v>0</v>
      </c>
      <c r="Y46" s="1">
        <f>VC_NEW!T19</f>
        <v>0</v>
      </c>
      <c r="Z46" s="1">
        <f>VC_NEW!U19</f>
        <v>0</v>
      </c>
      <c r="AA46" s="1">
        <f>VC_NEW!V19</f>
        <v>0</v>
      </c>
      <c r="AB46" s="1">
        <f>VC_NEW!W19</f>
        <v>0</v>
      </c>
      <c r="AC46" s="1">
        <f>VC_NEW!X19</f>
        <v>0</v>
      </c>
      <c r="AD46" s="1">
        <f>VC_NEW!Y19</f>
        <v>0</v>
      </c>
      <c r="AE46" s="1">
        <f>VC_NEW!Z19</f>
        <v>0</v>
      </c>
      <c r="AF46" s="1">
        <f>VC_NEW!AA19</f>
        <v>0</v>
      </c>
      <c r="AG46" s="1">
        <f>VC_NEW!AB19</f>
        <v>0</v>
      </c>
      <c r="AH46" s="1">
        <f>VC_NEW!AC19</f>
        <v>0</v>
      </c>
      <c r="AI46" s="1">
        <f>VC_NEW!AD19</f>
        <v>0</v>
      </c>
      <c r="AJ46" s="1">
        <f>VC_NEW!AE19</f>
        <v>0</v>
      </c>
      <c r="AK46" s="1">
        <f>VC_NEW!AF19</f>
        <v>0</v>
      </c>
      <c r="AL46" s="1">
        <f>VC_NEW!AG19</f>
        <v>0</v>
      </c>
      <c r="AM46" s="1">
        <f>VC_NEW!AH19</f>
        <v>0</v>
      </c>
      <c r="AN46" s="1">
        <f>VC_NEW!AI19</f>
        <v>0</v>
      </c>
      <c r="AO46" s="1">
        <f>VC_NEW!AJ19</f>
        <v>0</v>
      </c>
      <c r="AP46" s="1">
        <f>VC_NEW!AK19</f>
        <v>0</v>
      </c>
      <c r="AQ46" s="1">
        <f>VC_NEW!AL19</f>
        <v>0</v>
      </c>
      <c r="AR46" s="1">
        <f>VC_NEW!AM19</f>
        <v>0</v>
      </c>
      <c r="AS46" s="1">
        <f>VC_NEW!AN19</f>
        <v>0</v>
      </c>
      <c r="AT46" s="1">
        <f>VC_NEW!AO19</f>
        <v>0</v>
      </c>
      <c r="AU46" s="1">
        <f>VC_NEW!AP19</f>
        <v>0</v>
      </c>
      <c r="AV46" s="1">
        <f>VC_NEW!AQ19</f>
        <v>0</v>
      </c>
      <c r="AW46" s="1">
        <f>VC_NEW!AR19</f>
        <v>0</v>
      </c>
      <c r="AX46" s="1">
        <f>VC_NEW!AS19</f>
        <v>0</v>
      </c>
      <c r="AY46" s="1">
        <f>VC_NEW!AT19</f>
        <v>0</v>
      </c>
      <c r="AZ46" s="1">
        <f>VC_NEW!AU19</f>
        <v>0</v>
      </c>
      <c r="BA46" s="1">
        <f>VC_NEW!AV19</f>
        <v>0</v>
      </c>
      <c r="BB46" s="1">
        <f>VC_NEW!AW19</f>
        <v>0</v>
      </c>
      <c r="BC46" s="1">
        <f>VC_NEW!AX19</f>
        <v>0</v>
      </c>
      <c r="BD46" s="1">
        <f>VC_NEW!AY19</f>
        <v>0</v>
      </c>
      <c r="BE46" s="1">
        <f>VC_NEW!AZ19</f>
        <v>0</v>
      </c>
      <c r="BF46" s="1">
        <f>VC_NEW!BA19</f>
        <v>0</v>
      </c>
      <c r="BG46" s="1">
        <f>VC_NEW!BB19</f>
        <v>0</v>
      </c>
      <c r="BH46" s="1">
        <f>VC_NEW!BC19</f>
        <v>0</v>
      </c>
      <c r="BI46" s="1">
        <f>VC_NEW!BD19</f>
        <v>0</v>
      </c>
      <c r="BJ46" s="1">
        <f>VC_NEW!BE19</f>
        <v>0</v>
      </c>
      <c r="BK46" s="1">
        <f>VC_NEW!BF19</f>
        <v>0</v>
      </c>
      <c r="BL46" s="1">
        <f>VC_NEW!BG19</f>
        <v>0</v>
      </c>
      <c r="BM46" s="1">
        <f>VC_NEW!BH19</f>
        <v>0</v>
      </c>
      <c r="BN46" s="1">
        <f>VC_NEW!BI19</f>
        <v>0</v>
      </c>
      <c r="BO46" s="1">
        <f>VC_NEW!BJ19</f>
        <v>0</v>
      </c>
      <c r="BP46" s="1">
        <f>VC_NEW!BK19</f>
        <v>0</v>
      </c>
      <c r="BQ46" s="1">
        <f>VC_NEW!BL19</f>
        <v>0</v>
      </c>
      <c r="BR46" s="1">
        <f>VC_NEW!BM19</f>
        <v>0</v>
      </c>
      <c r="BS46" s="1">
        <f>VC_NEW!BN19</f>
        <v>0</v>
      </c>
      <c r="BT46" s="1">
        <f>VC_NEW!BO19</f>
        <v>0</v>
      </c>
      <c r="BU46" s="1">
        <f>VC_NEW!BP19</f>
        <v>0</v>
      </c>
      <c r="BV46" s="1">
        <f>VC_NEW!BQ19</f>
        <v>0</v>
      </c>
      <c r="BW46" s="1">
        <f>VC_NEW!BR19</f>
        <v>0</v>
      </c>
      <c r="BX46" s="1">
        <f>VC_NEW!BS19</f>
        <v>0</v>
      </c>
      <c r="BY46" s="1">
        <f>VC_NEW!BT19</f>
        <v>0</v>
      </c>
      <c r="BZ46" s="1">
        <f>VC_NEW!BU19</f>
        <v>0</v>
      </c>
      <c r="CA46" s="1">
        <f>VC_NEW!BV19</f>
        <v>0</v>
      </c>
      <c r="CB46" s="1">
        <f>VC_NEW!BW19</f>
        <v>0</v>
      </c>
      <c r="CC46" s="1">
        <f>VC_NEW!BX19</f>
        <v>0</v>
      </c>
      <c r="CD46" s="1">
        <f>VC_NEW!BY19</f>
        <v>0</v>
      </c>
      <c r="CE46" s="1">
        <f>VC_NEW!BZ19</f>
        <v>0</v>
      </c>
      <c r="CF46" s="1">
        <f>VC_NEW!CA19</f>
        <v>0</v>
      </c>
      <c r="CG46" s="1">
        <f>VC_NEW!CB19</f>
        <v>0</v>
      </c>
      <c r="CH46" s="1">
        <f>VC_NEW!CC19</f>
        <v>0</v>
      </c>
      <c r="CI46" s="1">
        <f>VC_NEW!CD19</f>
        <v>0</v>
      </c>
      <c r="CJ46" s="1">
        <f>VC_NEW!CE19</f>
        <v>0</v>
      </c>
      <c r="CK46" s="1" t="str">
        <f>VC_NEW!CF19</f>
        <v>nt61∆5</v>
      </c>
      <c r="CL46" s="1">
        <f>VC_NEW!CG19</f>
        <v>0</v>
      </c>
      <c r="CM46" s="1">
        <f>VC_NEW!CH19</f>
        <v>0</v>
      </c>
      <c r="CN46" s="1">
        <f>VC_NEW!CI19</f>
        <v>0</v>
      </c>
      <c r="CO46" s="1">
        <f>VC_NEW!CJ19</f>
        <v>0</v>
      </c>
      <c r="CP46" s="1">
        <f>VC_NEW!CK19</f>
        <v>0</v>
      </c>
      <c r="CQ46" s="1">
        <f>VC_NEW!CL19</f>
        <v>0</v>
      </c>
      <c r="CR46" s="1">
        <f>VC_NEW!CM19</f>
        <v>0</v>
      </c>
      <c r="CS46" s="1">
        <f>VC_NEW!CN19</f>
        <v>0</v>
      </c>
      <c r="CT46" s="1">
        <f>VC_NEW!CO19</f>
        <v>0</v>
      </c>
      <c r="CU46" s="1">
        <f>VC_NEW!CP19</f>
        <v>0</v>
      </c>
      <c r="CV46" s="1">
        <f>VC_NEW!CQ19</f>
        <v>0</v>
      </c>
      <c r="CW46" s="1">
        <f>VC_NEW!CR19</f>
        <v>0</v>
      </c>
      <c r="CX46" s="1">
        <f>VC_NEW!CS19</f>
        <v>0</v>
      </c>
      <c r="CY46" s="1">
        <f>VC_NEW!CT19</f>
        <v>0</v>
      </c>
      <c r="CZ46" s="1">
        <f>VC_NEW!CU19</f>
        <v>0</v>
      </c>
      <c r="DA46" s="1">
        <f>VC_NEW!CV19</f>
        <v>0</v>
      </c>
      <c r="DB46" s="1">
        <f>VC_NEW!CW19</f>
        <v>0</v>
      </c>
      <c r="DC46" s="1">
        <f>VC_NEW!CX19</f>
        <v>0</v>
      </c>
      <c r="DD46" s="1">
        <f>VC_NEW!CY19</f>
        <v>0</v>
      </c>
      <c r="DE46" s="1">
        <f>VC_NEW!CZ19</f>
        <v>0</v>
      </c>
      <c r="DF46" s="1">
        <f>VC_NEW!DA19</f>
        <v>0</v>
      </c>
      <c r="DG46" s="1">
        <f>VC_NEW!DB19</f>
        <v>0</v>
      </c>
      <c r="DH46" s="1">
        <f>VC_NEW!DC19</f>
        <v>0</v>
      </c>
      <c r="DI46" s="1" t="str">
        <f>VC_NEW!DD19</f>
        <v>∆63nt</v>
      </c>
      <c r="DJ46" s="1">
        <f>VC_NEW!DE19</f>
        <v>0</v>
      </c>
      <c r="DK46" s="1">
        <f>VC_NEW!DF19</f>
        <v>0</v>
      </c>
      <c r="DL46" s="1">
        <f>VC_NEW!DG19</f>
        <v>0</v>
      </c>
      <c r="DM46" s="1">
        <f>VC_NEW!DH19</f>
        <v>0</v>
      </c>
      <c r="DN46" s="1" t="str">
        <f>VC_NEW!DI19</f>
        <v>DELETED</v>
      </c>
      <c r="DO46" s="1">
        <f>VC_NEW!DJ19</f>
        <v>0</v>
      </c>
      <c r="DP46" s="1">
        <f>VC_NEW!DK19</f>
        <v>0</v>
      </c>
      <c r="DQ46" s="1">
        <f>VC_NEW!DL19</f>
        <v>0</v>
      </c>
      <c r="DR46" s="1">
        <f>VC_NEW!DM19</f>
        <v>0</v>
      </c>
      <c r="DS46" s="1">
        <f>VC_NEW!DN19</f>
        <v>0</v>
      </c>
      <c r="DT46" s="1">
        <f>VC_NEW!DO19</f>
        <v>0</v>
      </c>
      <c r="DU46" s="1">
        <f>VC_NEW!DP19</f>
        <v>0</v>
      </c>
      <c r="DV46" s="1">
        <f>VC_NEW!DQ19</f>
        <v>0</v>
      </c>
      <c r="DW46" s="1">
        <f>VC_NEW!DR19</f>
        <v>0</v>
      </c>
      <c r="DX46" s="1">
        <f>VC_NEW!DS19</f>
        <v>0</v>
      </c>
      <c r="DY46" s="1">
        <f>VC_NEW!DT19</f>
        <v>0</v>
      </c>
      <c r="DZ46" s="1">
        <f>VC_NEW!DU19</f>
        <v>0</v>
      </c>
      <c r="EA46" s="1">
        <f>VC_NEW!DV19</f>
        <v>0</v>
      </c>
      <c r="EB46" s="1">
        <f>VC_NEW!DW19</f>
        <v>0</v>
      </c>
      <c r="EC46" s="1" t="str">
        <f>VC_NEW!DX19</f>
        <v>G175S</v>
      </c>
      <c r="ED46" s="1">
        <f>VC_NEW!DY19</f>
        <v>0</v>
      </c>
      <c r="EE46" s="1">
        <f>VC_NEW!DZ19</f>
        <v>0</v>
      </c>
      <c r="EF46" s="1" t="str">
        <f>VC_NEW!EA19</f>
        <v>aa207∆4</v>
      </c>
      <c r="EG46" s="1" t="str">
        <f>VC_NEW!EB19</f>
        <v>Y12C; L21R; G56S</v>
      </c>
      <c r="EH46" s="1">
        <f>VC_NEW!EC19</f>
        <v>0</v>
      </c>
      <c r="EI46" s="1">
        <f>VC_NEW!ED19</f>
        <v>0</v>
      </c>
      <c r="EJ46" s="1">
        <f>VC_NEW!EE19</f>
        <v>0</v>
      </c>
      <c r="EK46" s="1">
        <f>VC_NEW!EF19</f>
        <v>0</v>
      </c>
      <c r="EL46" s="1">
        <f>VC_NEW!EG19</f>
        <v>0</v>
      </c>
      <c r="EM46" s="1">
        <f>VC_NEW!EH19</f>
        <v>0</v>
      </c>
      <c r="EN46" s="1">
        <f>VC_NEW!EI19</f>
        <v>0</v>
      </c>
      <c r="EO46" s="1">
        <f>VC_NEW!EJ19</f>
        <v>0</v>
      </c>
      <c r="EP46" s="1">
        <f>VC_NEW!EK19</f>
        <v>0</v>
      </c>
      <c r="EQ46" s="1">
        <f>VC_NEW!EL19</f>
        <v>0</v>
      </c>
      <c r="ER46" s="1">
        <f>VC_NEW!EM19</f>
        <v>0</v>
      </c>
      <c r="ES46" s="1" t="str">
        <f>VC_NEW!EN19</f>
        <v>C242X</v>
      </c>
      <c r="ET46" s="1">
        <f>VC_NEW!EO19</f>
        <v>0</v>
      </c>
      <c r="EU46" s="1">
        <f>VC_NEW!EP19</f>
        <v>0</v>
      </c>
      <c r="EV46" s="1">
        <f>VC_NEW!EQ19</f>
        <v>0</v>
      </c>
      <c r="EW46" s="1">
        <f>VC_NEW!ER19</f>
        <v>0</v>
      </c>
      <c r="EX46" s="1">
        <f>VC_NEW!ES19</f>
        <v>0</v>
      </c>
      <c r="EY46" s="1">
        <f>VC_NEW!ET19</f>
        <v>0</v>
      </c>
      <c r="EZ46" s="1">
        <f>VC_NEW!EU19</f>
        <v>0</v>
      </c>
      <c r="FA46" s="1">
        <f>VC_NEW!EV19</f>
        <v>0</v>
      </c>
      <c r="FB46" s="1">
        <f>VC_NEW!EW19</f>
        <v>0</v>
      </c>
      <c r="FC46" s="1">
        <f>VC_NEW!EX19</f>
        <v>0</v>
      </c>
      <c r="FD46" s="1">
        <f>VC_NEW!EY19</f>
        <v>0</v>
      </c>
      <c r="FE46" s="1">
        <f>VC_NEW!EZ19</f>
        <v>0</v>
      </c>
      <c r="FF46" s="1">
        <f>VC_NEW!FA19</f>
        <v>0</v>
      </c>
      <c r="FG46" s="1">
        <f>VC_NEW!FB19</f>
        <v>0</v>
      </c>
      <c r="FH46" s="1">
        <f>VC_NEW!FC19</f>
        <v>0</v>
      </c>
      <c r="FI46" s="1">
        <f>VC_NEW!FD19</f>
        <v>0</v>
      </c>
      <c r="FJ46" s="1" t="str">
        <f>VC_NEW!FE19</f>
        <v>nt679∆1</v>
      </c>
      <c r="FK46" s="1">
        <f>VC_NEW!FF19</f>
        <v>0</v>
      </c>
      <c r="FL46" s="1">
        <f>VC_NEW!FG19</f>
        <v>0</v>
      </c>
      <c r="FM46" s="1">
        <f>VC_NEW!FH19</f>
        <v>0</v>
      </c>
      <c r="FN46" s="1">
        <f>VC_NEW!FI19</f>
        <v>0</v>
      </c>
      <c r="FO46" s="1">
        <f>VC_NEW!FJ19</f>
        <v>0</v>
      </c>
      <c r="FP46" s="1">
        <f>VC_NEW!FK19</f>
        <v>0</v>
      </c>
      <c r="FQ46" s="1">
        <f>VC_NEW!FL19</f>
        <v>0</v>
      </c>
      <c r="FR46" s="1">
        <f>VC_NEW!FM19</f>
        <v>0</v>
      </c>
      <c r="FS46" s="1">
        <f>VC_NEW!FN19</f>
        <v>0</v>
      </c>
      <c r="FT46" s="1">
        <f>VC_NEW!FO19</f>
        <v>0</v>
      </c>
      <c r="FU46" s="1">
        <f>VC_NEW!FP19</f>
        <v>0</v>
      </c>
      <c r="FV46" s="1">
        <f>VC_NEW!FQ19</f>
        <v>0</v>
      </c>
      <c r="FW46" s="1">
        <f>VC_NEW!FR19</f>
        <v>0</v>
      </c>
      <c r="FX46" s="1">
        <f>VC_NEW!FS19</f>
        <v>0</v>
      </c>
      <c r="FY46" s="1">
        <f>VC_NEW!FT19</f>
        <v>0</v>
      </c>
      <c r="FZ46" s="1">
        <f>VC_NEW!FU19</f>
        <v>0</v>
      </c>
      <c r="GA46" s="1">
        <f>VC_NEW!FV19</f>
        <v>0</v>
      </c>
      <c r="GB46" s="1">
        <f>VC_NEW!FW19</f>
        <v>0</v>
      </c>
      <c r="GC46" s="1">
        <f>VC_NEW!FX19</f>
        <v>0</v>
      </c>
      <c r="GD46" s="1">
        <f>VC_NEW!FY19</f>
        <v>0</v>
      </c>
      <c r="GE46" s="1">
        <f>VC_NEW!FZ19</f>
        <v>0</v>
      </c>
      <c r="GF46" s="1">
        <f>VC_NEW!GA19</f>
        <v>0</v>
      </c>
      <c r="GG46" s="1">
        <f>VC_NEW!GB19</f>
        <v>0</v>
      </c>
      <c r="GH46" s="1">
        <f>VC_NEW!GC19</f>
        <v>0</v>
      </c>
      <c r="GI46" s="1">
        <f>VC_NEW!GD19</f>
        <v>0</v>
      </c>
      <c r="GJ46" s="1">
        <f>VC_NEW!GE19</f>
        <v>0</v>
      </c>
      <c r="GK46" s="1">
        <f>VC_NEW!GF19</f>
        <v>0</v>
      </c>
      <c r="GL46" s="1">
        <f>VC_NEW!GG19</f>
        <v>0</v>
      </c>
      <c r="GM46" s="1">
        <f>VC_NEW!GH19</f>
        <v>0</v>
      </c>
      <c r="GN46" s="1">
        <f>VC_NEW!GI19</f>
        <v>0</v>
      </c>
      <c r="GO46" s="1">
        <f>VC_NEW!GJ19</f>
        <v>0</v>
      </c>
      <c r="GP46" s="1">
        <f>VC_NEW!GK19</f>
        <v>0</v>
      </c>
      <c r="GQ46" s="1">
        <f>VC_NEW!GL19</f>
        <v>0</v>
      </c>
      <c r="GR46" s="1">
        <f>VC_NEW!GM19</f>
        <v>0</v>
      </c>
      <c r="GS46" s="1">
        <f>VC_NEW!GN19</f>
        <v>0</v>
      </c>
      <c r="GT46" s="1">
        <f>VC_NEW!GO19</f>
        <v>0</v>
      </c>
      <c r="GU46" s="1">
        <f>VC_NEW!GP19</f>
        <v>0</v>
      </c>
      <c r="GV46" s="1">
        <f>VC_NEW!GQ19</f>
        <v>0</v>
      </c>
      <c r="GW46" s="1">
        <f>VC_NEW!GR19</f>
        <v>0</v>
      </c>
      <c r="GX46" s="1" t="str">
        <f>VC_NEW!GS19</f>
        <v>F248S</v>
      </c>
      <c r="GY46" s="1">
        <f>VC_NEW!GT19</f>
        <v>0</v>
      </c>
      <c r="GZ46" s="1">
        <f>VC_NEW!GU19</f>
        <v>0</v>
      </c>
      <c r="HA46" s="1">
        <f>VC_NEW!GV19</f>
        <v>0</v>
      </c>
      <c r="HB46" s="1">
        <f>VC_NEW!GW19</f>
        <v>0</v>
      </c>
      <c r="HC46" s="1">
        <f>VC_NEW!GX19</f>
        <v>0</v>
      </c>
    </row>
    <row r="47" spans="1:211" s="7" customFormat="1" ht="15" hidden="1" customHeight="1" x14ac:dyDescent="0.25">
      <c r="A47" s="13" t="s">
        <v>55</v>
      </c>
      <c r="B47" s="15" t="s">
        <v>151</v>
      </c>
      <c r="C47" s="14" t="s">
        <v>2</v>
      </c>
      <c r="D47" s="15" t="s">
        <v>76</v>
      </c>
      <c r="E47" s="15" t="s">
        <v>138</v>
      </c>
      <c r="F47" s="15" t="s">
        <v>74</v>
      </c>
      <c r="G47" s="16" t="s">
        <v>136</v>
      </c>
      <c r="H47" s="7">
        <f>VC_NEW!C21</f>
        <v>0</v>
      </c>
      <c r="I47" s="7">
        <f>VC_NEW!D21</f>
        <v>0</v>
      </c>
      <c r="J47" s="7">
        <f>VC_NEW!E21</f>
        <v>0</v>
      </c>
      <c r="K47" s="7">
        <f>VC_NEW!F21</f>
        <v>0</v>
      </c>
      <c r="L47" s="7">
        <f>VC_NEW!G21</f>
        <v>0</v>
      </c>
      <c r="M47" s="7">
        <f>VC_NEW!H21</f>
        <v>0</v>
      </c>
      <c r="N47" s="7">
        <f>VC_NEW!I21</f>
        <v>0</v>
      </c>
      <c r="O47" s="7">
        <f>VC_NEW!J21</f>
        <v>0</v>
      </c>
      <c r="P47" s="7">
        <f>VC_NEW!K21</f>
        <v>0</v>
      </c>
      <c r="Q47" s="7">
        <f>VC_NEW!L21</f>
        <v>0</v>
      </c>
      <c r="R47" s="7">
        <f>VC_NEW!M21</f>
        <v>0</v>
      </c>
      <c r="S47" s="7">
        <f>VC_NEW!N21</f>
        <v>0</v>
      </c>
      <c r="T47" s="7">
        <f>VC_NEW!O21</f>
        <v>0</v>
      </c>
      <c r="U47" s="7">
        <f>VC_NEW!P21</f>
        <v>0</v>
      </c>
      <c r="V47" s="7" t="str">
        <f>VC_NEW!Q21</f>
        <v>L32Q; V333M</v>
      </c>
      <c r="W47" s="7">
        <f>VC_NEW!R21</f>
        <v>0</v>
      </c>
      <c r="X47" s="7">
        <f>VC_NEW!S21</f>
        <v>0</v>
      </c>
      <c r="Y47" s="7">
        <f>VC_NEW!T21</f>
        <v>0</v>
      </c>
      <c r="Z47" s="7">
        <f>VC_NEW!U21</f>
        <v>0</v>
      </c>
      <c r="AA47" s="7">
        <f>VC_NEW!V21</f>
        <v>0</v>
      </c>
      <c r="AB47" s="7">
        <f>VC_NEW!W21</f>
        <v>0</v>
      </c>
      <c r="AC47" s="7">
        <f>VC_NEW!X21</f>
        <v>0</v>
      </c>
      <c r="AD47" s="7">
        <f>VC_NEW!Y21</f>
        <v>0</v>
      </c>
      <c r="AE47" s="7">
        <f>VC_NEW!Z21</f>
        <v>0</v>
      </c>
      <c r="AF47" s="7">
        <f>VC_NEW!AA21</f>
        <v>0</v>
      </c>
      <c r="AG47" s="7">
        <f>VC_NEW!AB21</f>
        <v>0</v>
      </c>
      <c r="AH47" s="7" t="str">
        <f>VC_NEW!AC21</f>
        <v>P90L</v>
      </c>
      <c r="AI47" s="7">
        <f>VC_NEW!AD21</f>
        <v>0</v>
      </c>
      <c r="AJ47" s="7">
        <f>VC_NEW!AE21</f>
        <v>0</v>
      </c>
      <c r="AK47" s="7">
        <f>VC_NEW!AF21</f>
        <v>0</v>
      </c>
      <c r="AL47" s="7">
        <f>VC_NEW!AG21</f>
        <v>0</v>
      </c>
      <c r="AM47" s="7">
        <f>VC_NEW!AH21</f>
        <v>0</v>
      </c>
      <c r="AN47" s="7">
        <f>VC_NEW!AI21</f>
        <v>0</v>
      </c>
      <c r="AO47" s="7">
        <f>VC_NEW!AJ21</f>
        <v>0</v>
      </c>
      <c r="AP47" s="7">
        <f>VC_NEW!AK21</f>
        <v>0</v>
      </c>
      <c r="AQ47" s="7">
        <f>VC_NEW!AL21</f>
        <v>0</v>
      </c>
      <c r="AR47" s="7">
        <f>VC_NEW!AM21</f>
        <v>0</v>
      </c>
      <c r="AS47" s="7">
        <f>VC_NEW!AN21</f>
        <v>0</v>
      </c>
      <c r="AT47" s="7">
        <f>VC_NEW!AO21</f>
        <v>0</v>
      </c>
      <c r="AU47" s="7">
        <f>VC_NEW!AP21</f>
        <v>0</v>
      </c>
      <c r="AV47" s="7">
        <f>VC_NEW!AQ21</f>
        <v>0</v>
      </c>
      <c r="AW47" s="7" t="str">
        <f>VC_NEW!AR21</f>
        <v>Q100H</v>
      </c>
      <c r="AX47" s="7">
        <f>VC_NEW!AS21</f>
        <v>0</v>
      </c>
      <c r="AY47" s="7">
        <f>VC_NEW!AT21</f>
        <v>0</v>
      </c>
      <c r="AZ47" s="7">
        <f>VC_NEW!AU21</f>
        <v>0</v>
      </c>
      <c r="BA47" s="7">
        <f>VC_NEW!AV21</f>
        <v>0</v>
      </c>
      <c r="BB47" s="7">
        <f>VC_NEW!AW21</f>
        <v>0</v>
      </c>
      <c r="BC47" s="7">
        <f>VC_NEW!AX21</f>
        <v>0</v>
      </c>
      <c r="BD47" s="7">
        <f>VC_NEW!AY21</f>
        <v>0</v>
      </c>
      <c r="BE47" s="7" t="str">
        <f>VC_NEW!AZ21</f>
        <v>G231S</v>
      </c>
      <c r="BF47" s="7">
        <f>VC_NEW!BA21</f>
        <v>0</v>
      </c>
      <c r="BG47" s="7" t="str">
        <f>VC_NEW!BB21</f>
        <v>V104A</v>
      </c>
      <c r="BH47" s="7">
        <f>VC_NEW!BC21</f>
        <v>0</v>
      </c>
      <c r="BI47" s="7">
        <f>VC_NEW!BD21</f>
        <v>0</v>
      </c>
      <c r="BJ47" s="7">
        <f>VC_NEW!BE21</f>
        <v>0</v>
      </c>
      <c r="BK47" s="7">
        <f>VC_NEW!BF21</f>
        <v>0</v>
      </c>
      <c r="BL47" s="7">
        <f>VC_NEW!BG21</f>
        <v>0</v>
      </c>
      <c r="BM47" s="7">
        <f>VC_NEW!BH21</f>
        <v>0</v>
      </c>
      <c r="BN47" s="7">
        <f>VC_NEW!BI21</f>
        <v>0</v>
      </c>
      <c r="BO47" s="7">
        <f>VC_NEW!BJ21</f>
        <v>0</v>
      </c>
      <c r="BP47" s="7">
        <f>VC_NEW!BK21</f>
        <v>0</v>
      </c>
      <c r="BQ47" s="7" t="str">
        <f>VC_NEW!BL21</f>
        <v>∆720nt</v>
      </c>
      <c r="BR47" s="7">
        <f>VC_NEW!BM21</f>
        <v>0</v>
      </c>
      <c r="BS47" s="7">
        <f>VC_NEW!BN21</f>
        <v>0</v>
      </c>
      <c r="BT47" s="7">
        <f>VC_NEW!BO21</f>
        <v>0</v>
      </c>
      <c r="BU47" s="7">
        <f>VC_NEW!BP21</f>
        <v>0</v>
      </c>
      <c r="BV47" s="7">
        <f>VC_NEW!BQ21</f>
        <v>0</v>
      </c>
      <c r="BW47" s="7">
        <f>VC_NEW!BR21</f>
        <v>0</v>
      </c>
      <c r="BX47" s="7">
        <f>VC_NEW!BS21</f>
        <v>0</v>
      </c>
      <c r="BY47" s="7">
        <f>VC_NEW!BT21</f>
        <v>0</v>
      </c>
      <c r="BZ47" s="7">
        <f>VC_NEW!BU21</f>
        <v>0</v>
      </c>
      <c r="CA47" s="7">
        <f>VC_NEW!BV21</f>
        <v>0</v>
      </c>
      <c r="CB47" s="7">
        <f>VC_NEW!BW21</f>
        <v>0</v>
      </c>
      <c r="CC47" s="7" t="str">
        <f>VC_NEW!BX21</f>
        <v>K43E</v>
      </c>
      <c r="CD47" s="7">
        <f>VC_NEW!BY21</f>
        <v>0</v>
      </c>
      <c r="CE47" s="7">
        <f>VC_NEW!BZ21</f>
        <v>0</v>
      </c>
      <c r="CF47" s="7">
        <f>VC_NEW!CA21</f>
        <v>0</v>
      </c>
      <c r="CG47" s="7" t="str">
        <f>VC_NEW!CB21</f>
        <v>V77I</v>
      </c>
      <c r="CH47" s="7">
        <f>VC_NEW!CC21</f>
        <v>0</v>
      </c>
      <c r="CI47" s="7" t="str">
        <f>VC_NEW!CD21</f>
        <v>V77I</v>
      </c>
      <c r="CJ47" s="7">
        <f>VC_NEW!CE21</f>
        <v>0</v>
      </c>
      <c r="CK47" s="7">
        <f>VC_NEW!CF21</f>
        <v>0</v>
      </c>
      <c r="CL47" s="7">
        <f>VC_NEW!CG21</f>
        <v>0</v>
      </c>
      <c r="CM47" s="7">
        <f>VC_NEW!CH21</f>
        <v>0</v>
      </c>
      <c r="CN47" s="7">
        <f>VC_NEW!CI21</f>
        <v>0</v>
      </c>
      <c r="CO47" s="7" t="str">
        <f>VC_NEW!CJ21</f>
        <v>M106T</v>
      </c>
      <c r="CP47" s="7">
        <f>VC_NEW!CK21</f>
        <v>0</v>
      </c>
      <c r="CQ47" s="7">
        <f>VC_NEW!CL21</f>
        <v>0</v>
      </c>
      <c r="CR47" s="7">
        <f>VC_NEW!CM21</f>
        <v>0</v>
      </c>
      <c r="CS47" s="7">
        <f>VC_NEW!CN21</f>
        <v>0</v>
      </c>
      <c r="CT47" s="7">
        <f>VC_NEW!CO21</f>
        <v>0</v>
      </c>
      <c r="CU47" s="7" t="str">
        <f>VC_NEW!CP21</f>
        <v>G11S</v>
      </c>
      <c r="CV47" s="7">
        <f>VC_NEW!CQ21</f>
        <v>0</v>
      </c>
      <c r="CW47" s="7">
        <f>VC_NEW!CR21</f>
        <v>0</v>
      </c>
      <c r="CX47" s="7">
        <f>VC_NEW!CS21</f>
        <v>0</v>
      </c>
      <c r="CY47" s="7">
        <f>VC_NEW!CT21</f>
        <v>0</v>
      </c>
      <c r="CZ47" s="7" t="str">
        <f>VC_NEW!CU21</f>
        <v>A52V</v>
      </c>
      <c r="DA47" s="7" t="str">
        <f>VC_NEW!CV21</f>
        <v>F10L</v>
      </c>
      <c r="DB47" s="7">
        <f>VC_NEW!CW21</f>
        <v>0</v>
      </c>
      <c r="DC47" s="7">
        <f>VC_NEW!CX21</f>
        <v>0</v>
      </c>
      <c r="DD47" s="7">
        <f>VC_NEW!CY21</f>
        <v>0</v>
      </c>
      <c r="DE47" s="7">
        <f>VC_NEW!CZ21</f>
        <v>0</v>
      </c>
      <c r="DF47" s="7">
        <f>VC_NEW!DA21</f>
        <v>0</v>
      </c>
      <c r="DG47" s="7">
        <f>VC_NEW!DB21</f>
        <v>0</v>
      </c>
      <c r="DH47" s="7">
        <f>VC_NEW!DC21</f>
        <v>0</v>
      </c>
      <c r="DI47" s="7">
        <f>VC_NEW!DD21</f>
        <v>0</v>
      </c>
      <c r="DJ47" s="7">
        <f>VC_NEW!DE21</f>
        <v>0</v>
      </c>
      <c r="DK47" s="7">
        <f>VC_NEW!DF21</f>
        <v>0</v>
      </c>
      <c r="DL47" s="7">
        <f>VC_NEW!DG21</f>
        <v>0</v>
      </c>
      <c r="DM47" s="7">
        <f>VC_NEW!DH21</f>
        <v>0</v>
      </c>
      <c r="DN47" s="7">
        <f>VC_NEW!DI21</f>
        <v>0</v>
      </c>
      <c r="DO47" s="7">
        <f>VC_NEW!DJ21</f>
        <v>0</v>
      </c>
      <c r="DP47" s="7" t="str">
        <f>VC_NEW!DK21</f>
        <v>P13L</v>
      </c>
      <c r="DQ47" s="7">
        <f>VC_NEW!DL21</f>
        <v>0</v>
      </c>
      <c r="DR47" s="7">
        <f>VC_NEW!DM21</f>
        <v>0</v>
      </c>
      <c r="DS47" s="7">
        <f>VC_NEW!DN21</f>
        <v>0</v>
      </c>
      <c r="DT47" s="7">
        <f>VC_NEW!DO21</f>
        <v>0</v>
      </c>
      <c r="DU47" s="7">
        <f>VC_NEW!DP21</f>
        <v>0</v>
      </c>
      <c r="DV47" s="7" t="str">
        <f>VC_NEW!DQ21</f>
        <v>nt907∆14</v>
      </c>
      <c r="DW47" s="7">
        <f>VC_NEW!DR21</f>
        <v>0</v>
      </c>
      <c r="DX47" s="7">
        <f>VC_NEW!DS21</f>
        <v>0</v>
      </c>
      <c r="DY47" s="7">
        <f>VC_NEW!DT21</f>
        <v>0</v>
      </c>
      <c r="DZ47" s="7" t="str">
        <f>VC_NEW!DU21</f>
        <v>P24L</v>
      </c>
      <c r="EA47" s="7">
        <f>VC_NEW!DV21</f>
        <v>0</v>
      </c>
      <c r="EB47" s="7">
        <f>VC_NEW!DW21</f>
        <v>0</v>
      </c>
      <c r="EC47" s="7">
        <f>VC_NEW!DX21</f>
        <v>0</v>
      </c>
      <c r="ED47" s="7">
        <f>VC_NEW!DY21</f>
        <v>0</v>
      </c>
      <c r="EE47" s="7">
        <f>VC_NEW!DZ21</f>
        <v>0</v>
      </c>
      <c r="EF47" s="7">
        <f>VC_NEW!EA21</f>
        <v>0</v>
      </c>
      <c r="EG47" s="7">
        <f>VC_NEW!EB21</f>
        <v>0</v>
      </c>
      <c r="EH47" s="7" t="str">
        <f>VC_NEW!EC21</f>
        <v>V241M</v>
      </c>
      <c r="EI47" s="7">
        <f>VC_NEW!ED21</f>
        <v>0</v>
      </c>
      <c r="EJ47" s="7" t="str">
        <f>VC_NEW!EE21</f>
        <v>nt396InsGT</v>
      </c>
      <c r="EK47" s="7" t="str">
        <f>VC_NEW!EF21</f>
        <v>X340ext</v>
      </c>
      <c r="EL47" s="7" t="str">
        <f>VC_NEW!EG21</f>
        <v>S289T; V308I</v>
      </c>
      <c r="EM47" s="7">
        <f>VC_NEW!EH21</f>
        <v>0</v>
      </c>
      <c r="EN47" s="7">
        <f>VC_NEW!EI21</f>
        <v>0</v>
      </c>
      <c r="EO47" s="7">
        <f>VC_NEW!EJ21</f>
        <v>0</v>
      </c>
      <c r="EP47" s="7">
        <f>VC_NEW!EK21</f>
        <v>0</v>
      </c>
      <c r="EQ47" s="7" t="str">
        <f>VC_NEW!EL21</f>
        <v>N246K</v>
      </c>
      <c r="ER47" s="7">
        <f>VC_NEW!EM21</f>
        <v>0</v>
      </c>
      <c r="ES47" s="7" t="str">
        <f>VC_NEW!EN21</f>
        <v>G76S</v>
      </c>
      <c r="ET47" s="7" t="str">
        <f>VC_NEW!EO21</f>
        <v>P225L</v>
      </c>
      <c r="EU47" s="7" t="str">
        <f>VC_NEW!EP21</f>
        <v>N246K</v>
      </c>
      <c r="EV47" s="7" t="str">
        <f>VC_NEW!EQ21</f>
        <v>DELETED</v>
      </c>
      <c r="EW47" s="7" t="str">
        <f>VC_NEW!ER21</f>
        <v>E286D</v>
      </c>
      <c r="EX47" s="7">
        <f>VC_NEW!ES21</f>
        <v>0</v>
      </c>
      <c r="EY47" s="7">
        <f>VC_NEW!ET21</f>
        <v>0</v>
      </c>
      <c r="EZ47" s="7">
        <f>VC_NEW!EU21</f>
        <v>0</v>
      </c>
      <c r="FA47" s="7">
        <f>VC_NEW!EV21</f>
        <v>0</v>
      </c>
      <c r="FB47" s="7" t="str">
        <f>VC_NEW!EW21</f>
        <v>G248C</v>
      </c>
      <c r="FC47" s="7">
        <f>VC_NEW!EX21</f>
        <v>0</v>
      </c>
      <c r="FD47" s="7">
        <f>VC_NEW!EY21</f>
        <v>0</v>
      </c>
      <c r="FE47" s="7">
        <f>VC_NEW!EZ21</f>
        <v>0</v>
      </c>
      <c r="FF47" s="7">
        <f>VC_NEW!FA21</f>
        <v>0</v>
      </c>
      <c r="FG47" s="7">
        <f>VC_NEW!FB21</f>
        <v>0</v>
      </c>
      <c r="FH47" s="7" t="str">
        <f>VC_NEW!FC21</f>
        <v>S289T; V308I</v>
      </c>
      <c r="FI47" s="7">
        <f>VC_NEW!FD21</f>
        <v>0</v>
      </c>
      <c r="FJ47" s="7">
        <f>VC_NEW!FE21</f>
        <v>0</v>
      </c>
      <c r="FK47" s="7">
        <f>VC_NEW!FF21</f>
        <v>0</v>
      </c>
      <c r="FL47" s="7">
        <f>VC_NEW!FG21</f>
        <v>0</v>
      </c>
      <c r="FM47" s="7">
        <f>VC_NEW!FH21</f>
        <v>0</v>
      </c>
      <c r="FN47" s="7">
        <f>VC_NEW!FI21</f>
        <v>0</v>
      </c>
      <c r="FO47" s="7">
        <f>VC_NEW!FJ21</f>
        <v>0</v>
      </c>
      <c r="FP47" s="7" t="str">
        <f>VC_NEW!FK21</f>
        <v>nt350∆1</v>
      </c>
      <c r="FQ47" s="7">
        <f>VC_NEW!FL21</f>
        <v>0</v>
      </c>
      <c r="FR47" s="7">
        <f>VC_NEW!FM21</f>
        <v>0</v>
      </c>
      <c r="FS47" s="7">
        <f>VC_NEW!FN21</f>
        <v>0</v>
      </c>
      <c r="FT47" s="7">
        <f>VC_NEW!FO21</f>
        <v>0</v>
      </c>
      <c r="FU47" s="7">
        <f>VC_NEW!FP21</f>
        <v>0</v>
      </c>
      <c r="FV47" s="7">
        <f>VC_NEW!FQ21</f>
        <v>0</v>
      </c>
      <c r="FW47" s="7">
        <f>VC_NEW!FR21</f>
        <v>0</v>
      </c>
      <c r="FX47" s="7">
        <f>VC_NEW!FS21</f>
        <v>0</v>
      </c>
      <c r="FY47" s="7">
        <f>VC_NEW!FT21</f>
        <v>0</v>
      </c>
      <c r="FZ47" s="7">
        <f>VC_NEW!FU21</f>
        <v>0</v>
      </c>
      <c r="GA47" s="7">
        <f>VC_NEW!FV21</f>
        <v>0</v>
      </c>
      <c r="GB47" s="7">
        <f>VC_NEW!FW21</f>
        <v>0</v>
      </c>
      <c r="GC47" s="7">
        <f>VC_NEW!FX21</f>
        <v>0</v>
      </c>
      <c r="GD47" s="7">
        <f>VC_NEW!FY21</f>
        <v>0</v>
      </c>
      <c r="GE47" s="7">
        <f>VC_NEW!FZ21</f>
        <v>0</v>
      </c>
      <c r="GF47" s="7">
        <f>VC_NEW!GA21</f>
        <v>0</v>
      </c>
      <c r="GG47" s="7">
        <f>VC_NEW!GB21</f>
        <v>0</v>
      </c>
      <c r="GH47" s="7">
        <f>VC_NEW!GC21</f>
        <v>0</v>
      </c>
      <c r="GI47" s="7">
        <f>VC_NEW!GD21</f>
        <v>0</v>
      </c>
      <c r="GJ47" s="7">
        <f>VC_NEW!GE21</f>
        <v>0</v>
      </c>
      <c r="GK47" s="7">
        <f>VC_NEW!GF21</f>
        <v>0</v>
      </c>
      <c r="GL47" s="7">
        <f>VC_NEW!GG21</f>
        <v>0</v>
      </c>
      <c r="GM47" s="7">
        <f>VC_NEW!GH21</f>
        <v>0</v>
      </c>
      <c r="GN47" s="7" t="str">
        <f>VC_NEW!GI21</f>
        <v>E205V</v>
      </c>
      <c r="GO47" s="7">
        <f>VC_NEW!GJ21</f>
        <v>0</v>
      </c>
      <c r="GP47" s="7">
        <f>VC_NEW!GK21</f>
        <v>0</v>
      </c>
      <c r="GQ47" s="7">
        <f>VC_NEW!GL21</f>
        <v>0</v>
      </c>
      <c r="GR47" s="7">
        <f>VC_NEW!GM21</f>
        <v>0</v>
      </c>
      <c r="GS47" s="7">
        <f>VC_NEW!GN21</f>
        <v>0</v>
      </c>
      <c r="GT47" s="7">
        <f>VC_NEW!GO21</f>
        <v>0</v>
      </c>
      <c r="GU47" s="7">
        <f>VC_NEW!GP21</f>
        <v>0</v>
      </c>
      <c r="GV47" s="7" t="str">
        <f>VC_NEW!GQ21</f>
        <v>G78S; aa147InsLKAG</v>
      </c>
      <c r="GW47" s="7">
        <f>VC_NEW!GR21</f>
        <v>0</v>
      </c>
      <c r="GX47" s="7">
        <f>VC_NEW!GS21</f>
        <v>0</v>
      </c>
      <c r="GY47" s="7">
        <f>VC_NEW!GT21</f>
        <v>0</v>
      </c>
      <c r="GZ47" s="7">
        <f>VC_NEW!GU21</f>
        <v>0</v>
      </c>
      <c r="HA47" s="7" t="str">
        <f>VC_NEW!GV21</f>
        <v>D232G</v>
      </c>
      <c r="HB47" s="7">
        <f>VC_NEW!GW21</f>
        <v>0</v>
      </c>
      <c r="HC47" s="7" t="str">
        <f>VC_NEW!GX21</f>
        <v>S84F</v>
      </c>
    </row>
    <row r="48" spans="1:211" s="7" customFormat="1" ht="15" hidden="1" customHeight="1" x14ac:dyDescent="0.25">
      <c r="A48" s="48" t="s">
        <v>55</v>
      </c>
      <c r="B48" s="49" t="s">
        <v>153</v>
      </c>
      <c r="C48" s="50" t="s">
        <v>4</v>
      </c>
      <c r="D48" s="49" t="s">
        <v>76</v>
      </c>
      <c r="E48" s="49" t="s">
        <v>147</v>
      </c>
      <c r="F48" s="49" t="s">
        <v>74</v>
      </c>
      <c r="G48" s="51" t="s">
        <v>136</v>
      </c>
      <c r="H48" s="7">
        <f>VC_NEW!C21</f>
        <v>0</v>
      </c>
      <c r="I48" s="7">
        <f>VC_NEW!D21</f>
        <v>0</v>
      </c>
      <c r="J48" s="7">
        <f>VC_NEW!E21</f>
        <v>0</v>
      </c>
      <c r="K48" s="7">
        <f>VC_NEW!F21</f>
        <v>0</v>
      </c>
      <c r="L48" s="7">
        <f>VC_NEW!G21</f>
        <v>0</v>
      </c>
      <c r="M48" s="7">
        <f>VC_NEW!H21</f>
        <v>0</v>
      </c>
      <c r="N48" s="7">
        <f>VC_NEW!I21</f>
        <v>0</v>
      </c>
      <c r="O48" s="7">
        <f>VC_NEW!J21</f>
        <v>0</v>
      </c>
      <c r="P48" s="7">
        <f>VC_NEW!K21</f>
        <v>0</v>
      </c>
      <c r="Q48" s="7">
        <f>VC_NEW!L21</f>
        <v>0</v>
      </c>
      <c r="R48" s="7">
        <f>VC_NEW!M21</f>
        <v>0</v>
      </c>
      <c r="S48" s="7">
        <f>VC_NEW!N21</f>
        <v>0</v>
      </c>
      <c r="T48" s="7">
        <f>VC_NEW!O21</f>
        <v>0</v>
      </c>
      <c r="U48" s="7">
        <f>VC_NEW!P21</f>
        <v>0</v>
      </c>
      <c r="V48" s="7" t="str">
        <f>VC_NEW!Q21</f>
        <v>L32Q; V333M</v>
      </c>
      <c r="W48" s="7">
        <f>VC_NEW!R21</f>
        <v>0</v>
      </c>
      <c r="X48" s="7">
        <f>VC_NEW!S21</f>
        <v>0</v>
      </c>
      <c r="Y48" s="7">
        <f>VC_NEW!T21</f>
        <v>0</v>
      </c>
      <c r="Z48" s="7">
        <f>VC_NEW!U21</f>
        <v>0</v>
      </c>
      <c r="AA48" s="7">
        <f>VC_NEW!V21</f>
        <v>0</v>
      </c>
      <c r="AB48" s="7">
        <f>VC_NEW!W21</f>
        <v>0</v>
      </c>
      <c r="AC48" s="7">
        <f>VC_NEW!X21</f>
        <v>0</v>
      </c>
      <c r="AD48" s="7">
        <f>VC_NEW!Y21</f>
        <v>0</v>
      </c>
      <c r="AE48" s="7">
        <f>VC_NEW!Z21</f>
        <v>0</v>
      </c>
      <c r="AF48" s="7">
        <f>VC_NEW!AA21</f>
        <v>0</v>
      </c>
      <c r="AG48" s="7">
        <f>VC_NEW!AB21</f>
        <v>0</v>
      </c>
      <c r="AH48" s="7" t="str">
        <f>VC_NEW!AC21</f>
        <v>P90L</v>
      </c>
      <c r="AI48" s="7">
        <f>VC_NEW!AD21</f>
        <v>0</v>
      </c>
      <c r="AJ48" s="7">
        <f>VC_NEW!AE21</f>
        <v>0</v>
      </c>
      <c r="AK48" s="7">
        <f>VC_NEW!AF21</f>
        <v>0</v>
      </c>
      <c r="AL48" s="7">
        <f>VC_NEW!AG21</f>
        <v>0</v>
      </c>
      <c r="AM48" s="7">
        <f>VC_NEW!AH21</f>
        <v>0</v>
      </c>
      <c r="AN48" s="7">
        <f>VC_NEW!AI21</f>
        <v>0</v>
      </c>
      <c r="AO48" s="7">
        <f>VC_NEW!AJ21</f>
        <v>0</v>
      </c>
      <c r="AP48" s="7">
        <f>VC_NEW!AK21</f>
        <v>0</v>
      </c>
      <c r="AQ48" s="7">
        <f>VC_NEW!AL21</f>
        <v>0</v>
      </c>
      <c r="AR48" s="7">
        <f>VC_NEW!AM21</f>
        <v>0</v>
      </c>
      <c r="AS48" s="7">
        <f>VC_NEW!AN21</f>
        <v>0</v>
      </c>
      <c r="AT48" s="7">
        <f>VC_NEW!AO21</f>
        <v>0</v>
      </c>
      <c r="AU48" s="7">
        <f>VC_NEW!AP21</f>
        <v>0</v>
      </c>
      <c r="AV48" s="7">
        <f>VC_NEW!AQ21</f>
        <v>0</v>
      </c>
      <c r="AW48" s="7" t="str">
        <f>VC_NEW!AR21</f>
        <v>Q100H</v>
      </c>
      <c r="AX48" s="7">
        <f>VC_NEW!AS21</f>
        <v>0</v>
      </c>
      <c r="AY48" s="7">
        <f>VC_NEW!AT21</f>
        <v>0</v>
      </c>
      <c r="AZ48" s="7">
        <f>VC_NEW!AU21</f>
        <v>0</v>
      </c>
      <c r="BA48" s="7">
        <f>VC_NEW!AV21</f>
        <v>0</v>
      </c>
      <c r="BB48" s="7">
        <f>VC_NEW!AW21</f>
        <v>0</v>
      </c>
      <c r="BC48" s="7">
        <f>VC_NEW!AX21</f>
        <v>0</v>
      </c>
      <c r="BD48" s="7">
        <f>VC_NEW!AY21</f>
        <v>0</v>
      </c>
      <c r="BE48" s="7" t="str">
        <f>VC_NEW!AZ21</f>
        <v>G231S</v>
      </c>
      <c r="BF48" s="7">
        <f>VC_NEW!BA21</f>
        <v>0</v>
      </c>
      <c r="BG48" s="7" t="str">
        <f>VC_NEW!BB21</f>
        <v>V104A</v>
      </c>
      <c r="BH48" s="7">
        <f>VC_NEW!BC21</f>
        <v>0</v>
      </c>
      <c r="BI48" s="7">
        <f>VC_NEW!BD21</f>
        <v>0</v>
      </c>
      <c r="BJ48" s="7">
        <f>VC_NEW!BE21</f>
        <v>0</v>
      </c>
      <c r="BK48" s="7">
        <f>VC_NEW!BF21</f>
        <v>0</v>
      </c>
      <c r="BL48" s="7">
        <f>VC_NEW!BG21</f>
        <v>0</v>
      </c>
      <c r="BM48" s="7">
        <f>VC_NEW!BH21</f>
        <v>0</v>
      </c>
      <c r="BN48" s="7">
        <f>VC_NEW!BI21</f>
        <v>0</v>
      </c>
      <c r="BO48" s="7">
        <f>VC_NEW!BJ21</f>
        <v>0</v>
      </c>
      <c r="BP48" s="7">
        <f>VC_NEW!BK21</f>
        <v>0</v>
      </c>
      <c r="BQ48" s="7" t="str">
        <f>VC_NEW!BL21</f>
        <v>∆720nt</v>
      </c>
      <c r="BR48" s="7">
        <f>VC_NEW!BM21</f>
        <v>0</v>
      </c>
      <c r="BS48" s="7">
        <f>VC_NEW!BN21</f>
        <v>0</v>
      </c>
      <c r="BT48" s="7">
        <f>VC_NEW!BO21</f>
        <v>0</v>
      </c>
      <c r="BU48" s="7">
        <f>VC_NEW!BP21</f>
        <v>0</v>
      </c>
      <c r="BV48" s="7">
        <f>VC_NEW!BQ21</f>
        <v>0</v>
      </c>
      <c r="BW48" s="7">
        <f>VC_NEW!BR21</f>
        <v>0</v>
      </c>
      <c r="BX48" s="7">
        <f>VC_NEW!BS21</f>
        <v>0</v>
      </c>
      <c r="BY48" s="7">
        <f>VC_NEW!BT21</f>
        <v>0</v>
      </c>
      <c r="BZ48" s="7">
        <f>VC_NEW!BU21</f>
        <v>0</v>
      </c>
      <c r="CA48" s="7">
        <f>VC_NEW!BV21</f>
        <v>0</v>
      </c>
      <c r="CB48" s="7">
        <f>VC_NEW!BW21</f>
        <v>0</v>
      </c>
      <c r="CC48" s="7" t="str">
        <f>VC_NEW!BX21</f>
        <v>K43E</v>
      </c>
      <c r="CD48" s="7">
        <f>VC_NEW!BY21</f>
        <v>0</v>
      </c>
      <c r="CE48" s="7">
        <f>VC_NEW!BZ21</f>
        <v>0</v>
      </c>
      <c r="CF48" s="7">
        <f>VC_NEW!CA21</f>
        <v>0</v>
      </c>
      <c r="CG48" s="7" t="str">
        <f>VC_NEW!CB21</f>
        <v>V77I</v>
      </c>
      <c r="CH48" s="7">
        <f>VC_NEW!CC21</f>
        <v>0</v>
      </c>
      <c r="CI48" s="7" t="str">
        <f>VC_NEW!CD21</f>
        <v>V77I</v>
      </c>
      <c r="CJ48" s="7">
        <f>VC_NEW!CE21</f>
        <v>0</v>
      </c>
      <c r="CK48" s="7">
        <f>VC_NEW!CF21</f>
        <v>0</v>
      </c>
      <c r="CL48" s="7">
        <f>VC_NEW!CG21</f>
        <v>0</v>
      </c>
      <c r="CM48" s="7">
        <f>VC_NEW!CH21</f>
        <v>0</v>
      </c>
      <c r="CN48" s="7">
        <f>VC_NEW!CI21</f>
        <v>0</v>
      </c>
      <c r="CO48" s="7" t="str">
        <f>VC_NEW!CJ21</f>
        <v>M106T</v>
      </c>
      <c r="CP48" s="7">
        <f>VC_NEW!CK21</f>
        <v>0</v>
      </c>
      <c r="CQ48" s="7">
        <f>VC_NEW!CL21</f>
        <v>0</v>
      </c>
      <c r="CR48" s="7">
        <f>VC_NEW!CM21</f>
        <v>0</v>
      </c>
      <c r="CS48" s="7">
        <f>VC_NEW!CN21</f>
        <v>0</v>
      </c>
      <c r="CT48" s="7">
        <f>VC_NEW!CO21</f>
        <v>0</v>
      </c>
      <c r="CU48" s="7" t="str">
        <f>VC_NEW!CP21</f>
        <v>G11S</v>
      </c>
      <c r="CV48" s="7">
        <f>VC_NEW!CQ21</f>
        <v>0</v>
      </c>
      <c r="CW48" s="7">
        <f>VC_NEW!CR21</f>
        <v>0</v>
      </c>
      <c r="CX48" s="7">
        <f>VC_NEW!CS21</f>
        <v>0</v>
      </c>
      <c r="CY48" s="7">
        <f>VC_NEW!CT21</f>
        <v>0</v>
      </c>
      <c r="CZ48" s="7" t="str">
        <f>VC_NEW!CU21</f>
        <v>A52V</v>
      </c>
      <c r="DA48" s="7" t="str">
        <f>VC_NEW!CV21</f>
        <v>F10L</v>
      </c>
      <c r="DB48" s="7">
        <f>VC_NEW!CW21</f>
        <v>0</v>
      </c>
      <c r="DC48" s="7">
        <f>VC_NEW!CX21</f>
        <v>0</v>
      </c>
      <c r="DD48" s="7">
        <f>VC_NEW!CY21</f>
        <v>0</v>
      </c>
      <c r="DE48" s="7">
        <f>VC_NEW!CZ21</f>
        <v>0</v>
      </c>
      <c r="DF48" s="7">
        <f>VC_NEW!DA21</f>
        <v>0</v>
      </c>
      <c r="DG48" s="7">
        <f>VC_NEW!DB21</f>
        <v>0</v>
      </c>
      <c r="DH48" s="7">
        <f>VC_NEW!DC21</f>
        <v>0</v>
      </c>
      <c r="DI48" s="7">
        <f>VC_NEW!DD21</f>
        <v>0</v>
      </c>
      <c r="DJ48" s="7">
        <f>VC_NEW!DE21</f>
        <v>0</v>
      </c>
      <c r="DK48" s="7">
        <f>VC_NEW!DF21</f>
        <v>0</v>
      </c>
      <c r="DL48" s="7">
        <f>VC_NEW!DG21</f>
        <v>0</v>
      </c>
      <c r="DM48" s="7">
        <f>VC_NEW!DH21</f>
        <v>0</v>
      </c>
      <c r="DN48" s="7">
        <f>VC_NEW!DI21</f>
        <v>0</v>
      </c>
      <c r="DO48" s="7">
        <f>VC_NEW!DJ21</f>
        <v>0</v>
      </c>
      <c r="DP48" s="7" t="str">
        <f>VC_NEW!DK21</f>
        <v>P13L</v>
      </c>
      <c r="DQ48" s="7">
        <f>VC_NEW!DL21</f>
        <v>0</v>
      </c>
      <c r="DR48" s="7">
        <f>VC_NEW!DM21</f>
        <v>0</v>
      </c>
      <c r="DS48" s="7">
        <f>VC_NEW!DN21</f>
        <v>0</v>
      </c>
      <c r="DT48" s="7">
        <f>VC_NEW!DO21</f>
        <v>0</v>
      </c>
      <c r="DU48" s="7">
        <f>VC_NEW!DP21</f>
        <v>0</v>
      </c>
      <c r="DV48" s="7" t="str">
        <f>VC_NEW!DQ21</f>
        <v>nt907∆14</v>
      </c>
      <c r="DW48" s="7">
        <f>VC_NEW!DR21</f>
        <v>0</v>
      </c>
      <c r="DX48" s="7">
        <f>VC_NEW!DS21</f>
        <v>0</v>
      </c>
      <c r="DY48" s="7">
        <f>VC_NEW!DT21</f>
        <v>0</v>
      </c>
      <c r="DZ48" s="7" t="str">
        <f>VC_NEW!DU21</f>
        <v>P24L</v>
      </c>
      <c r="EA48" s="7">
        <f>VC_NEW!DV21</f>
        <v>0</v>
      </c>
      <c r="EB48" s="7">
        <f>VC_NEW!DW21</f>
        <v>0</v>
      </c>
      <c r="EC48" s="7">
        <f>VC_NEW!DX21</f>
        <v>0</v>
      </c>
      <c r="ED48" s="7">
        <f>VC_NEW!DY21</f>
        <v>0</v>
      </c>
      <c r="EE48" s="7">
        <f>VC_NEW!DZ21</f>
        <v>0</v>
      </c>
      <c r="EF48" s="7">
        <f>VC_NEW!EA21</f>
        <v>0</v>
      </c>
      <c r="EG48" s="7">
        <f>VC_NEW!EB21</f>
        <v>0</v>
      </c>
      <c r="EH48" s="7" t="str">
        <f>VC_NEW!EC21</f>
        <v>V241M</v>
      </c>
      <c r="EI48" s="7">
        <f>VC_NEW!ED21</f>
        <v>0</v>
      </c>
      <c r="EJ48" s="7" t="str">
        <f>VC_NEW!EE21</f>
        <v>nt396InsGT</v>
      </c>
      <c r="EK48" s="7" t="str">
        <f>VC_NEW!EF21</f>
        <v>X340ext</v>
      </c>
      <c r="EL48" s="7" t="str">
        <f>VC_NEW!EG21</f>
        <v>S289T; V308I</v>
      </c>
      <c r="EM48" s="7">
        <f>VC_NEW!EH21</f>
        <v>0</v>
      </c>
      <c r="EN48" s="7">
        <f>VC_NEW!EI21</f>
        <v>0</v>
      </c>
      <c r="EO48" s="7">
        <f>VC_NEW!EJ21</f>
        <v>0</v>
      </c>
      <c r="EP48" s="7">
        <f>VC_NEW!EK21</f>
        <v>0</v>
      </c>
      <c r="EQ48" s="7" t="str">
        <f>VC_NEW!EL21</f>
        <v>N246K</v>
      </c>
      <c r="ER48" s="7">
        <f>VC_NEW!EM21</f>
        <v>0</v>
      </c>
      <c r="ES48" s="7" t="str">
        <f>VC_NEW!EN21</f>
        <v>G76S</v>
      </c>
      <c r="ET48" s="7" t="str">
        <f>VC_NEW!EO21</f>
        <v>P225L</v>
      </c>
      <c r="EU48" s="7" t="str">
        <f>VC_NEW!EP21</f>
        <v>N246K</v>
      </c>
      <c r="EV48" s="7" t="str">
        <f>VC_NEW!EQ21</f>
        <v>DELETED</v>
      </c>
      <c r="EW48" s="7" t="str">
        <f>VC_NEW!ER21</f>
        <v>E286D</v>
      </c>
      <c r="EX48" s="7">
        <f>VC_NEW!ES21</f>
        <v>0</v>
      </c>
      <c r="EY48" s="7">
        <f>VC_NEW!ET21</f>
        <v>0</v>
      </c>
      <c r="EZ48" s="7">
        <f>VC_NEW!EU21</f>
        <v>0</v>
      </c>
      <c r="FA48" s="7">
        <f>VC_NEW!EV21</f>
        <v>0</v>
      </c>
      <c r="FB48" s="7" t="str">
        <f>VC_NEW!EW21</f>
        <v>G248C</v>
      </c>
      <c r="FC48" s="7">
        <f>VC_NEW!EX21</f>
        <v>0</v>
      </c>
      <c r="FD48" s="7">
        <f>VC_NEW!EY21</f>
        <v>0</v>
      </c>
      <c r="FE48" s="7">
        <f>VC_NEW!EZ21</f>
        <v>0</v>
      </c>
      <c r="FF48" s="7">
        <f>VC_NEW!FA21</f>
        <v>0</v>
      </c>
      <c r="FG48" s="7">
        <f>VC_NEW!FB21</f>
        <v>0</v>
      </c>
      <c r="FH48" s="7" t="str">
        <f>VC_NEW!FC21</f>
        <v>S289T; V308I</v>
      </c>
      <c r="FI48" s="7">
        <f>VC_NEW!FD21</f>
        <v>0</v>
      </c>
      <c r="FJ48" s="7">
        <f>VC_NEW!FE21</f>
        <v>0</v>
      </c>
      <c r="FK48" s="7">
        <f>VC_NEW!FF21</f>
        <v>0</v>
      </c>
      <c r="FL48" s="7">
        <f>VC_NEW!FG21</f>
        <v>0</v>
      </c>
      <c r="FM48" s="7">
        <f>VC_NEW!FH21</f>
        <v>0</v>
      </c>
      <c r="FN48" s="7">
        <f>VC_NEW!FI21</f>
        <v>0</v>
      </c>
      <c r="FO48" s="7">
        <f>VC_NEW!FJ21</f>
        <v>0</v>
      </c>
      <c r="FP48" s="7" t="str">
        <f>VC_NEW!FK21</f>
        <v>nt350∆1</v>
      </c>
      <c r="FQ48" s="7">
        <f>VC_NEW!FL21</f>
        <v>0</v>
      </c>
      <c r="FR48" s="7">
        <f>VC_NEW!FM21</f>
        <v>0</v>
      </c>
      <c r="FS48" s="7">
        <f>VC_NEW!FN21</f>
        <v>0</v>
      </c>
      <c r="FT48" s="7">
        <f>VC_NEW!FO21</f>
        <v>0</v>
      </c>
      <c r="FU48" s="7">
        <f>VC_NEW!FP21</f>
        <v>0</v>
      </c>
      <c r="FV48" s="7">
        <f>VC_NEW!FQ21</f>
        <v>0</v>
      </c>
      <c r="FW48" s="7">
        <f>VC_NEW!FR21</f>
        <v>0</v>
      </c>
      <c r="FX48" s="7">
        <f>VC_NEW!FS21</f>
        <v>0</v>
      </c>
      <c r="FY48" s="7">
        <f>VC_NEW!FT21</f>
        <v>0</v>
      </c>
      <c r="FZ48" s="7">
        <f>VC_NEW!FU21</f>
        <v>0</v>
      </c>
      <c r="GA48" s="7">
        <f>VC_NEW!FV21</f>
        <v>0</v>
      </c>
      <c r="GB48" s="7">
        <f>VC_NEW!FW21</f>
        <v>0</v>
      </c>
      <c r="GC48" s="7">
        <f>VC_NEW!FX21</f>
        <v>0</v>
      </c>
      <c r="GD48" s="7">
        <f>VC_NEW!FY21</f>
        <v>0</v>
      </c>
      <c r="GE48" s="7">
        <f>VC_NEW!FZ21</f>
        <v>0</v>
      </c>
      <c r="GF48" s="7">
        <f>VC_NEW!GA21</f>
        <v>0</v>
      </c>
      <c r="GG48" s="7">
        <f>VC_NEW!GB21</f>
        <v>0</v>
      </c>
      <c r="GH48" s="7">
        <f>VC_NEW!GC21</f>
        <v>0</v>
      </c>
      <c r="GI48" s="7">
        <f>VC_NEW!GD21</f>
        <v>0</v>
      </c>
      <c r="GJ48" s="7">
        <f>VC_NEW!GE21</f>
        <v>0</v>
      </c>
      <c r="GK48" s="7">
        <f>VC_NEW!GF21</f>
        <v>0</v>
      </c>
      <c r="GL48" s="7">
        <f>VC_NEW!GG21</f>
        <v>0</v>
      </c>
      <c r="GM48" s="7">
        <f>VC_NEW!GH21</f>
        <v>0</v>
      </c>
      <c r="GN48" s="7" t="str">
        <f>VC_NEW!GI21</f>
        <v>E205V</v>
      </c>
      <c r="GO48" s="7">
        <f>VC_NEW!GJ21</f>
        <v>0</v>
      </c>
      <c r="GP48" s="7">
        <f>VC_NEW!GK21</f>
        <v>0</v>
      </c>
      <c r="GQ48" s="7">
        <f>VC_NEW!GL21</f>
        <v>0</v>
      </c>
      <c r="GR48" s="7">
        <f>VC_NEW!GM21</f>
        <v>0</v>
      </c>
      <c r="GS48" s="7">
        <f>VC_NEW!GN21</f>
        <v>0</v>
      </c>
      <c r="GT48" s="7">
        <f>VC_NEW!GO21</f>
        <v>0</v>
      </c>
      <c r="GU48" s="7">
        <f>VC_NEW!GP21</f>
        <v>0</v>
      </c>
      <c r="GV48" s="7" t="str">
        <f>VC_NEW!GQ21</f>
        <v>G78S; aa147InsLKAG</v>
      </c>
      <c r="GW48" s="7">
        <f>VC_NEW!GR21</f>
        <v>0</v>
      </c>
      <c r="GX48" s="7">
        <f>VC_NEW!GS21</f>
        <v>0</v>
      </c>
      <c r="GY48" s="7">
        <f>VC_NEW!GT21</f>
        <v>0</v>
      </c>
      <c r="GZ48" s="7">
        <f>VC_NEW!GU21</f>
        <v>0</v>
      </c>
      <c r="HA48" s="7" t="str">
        <f>VC_NEW!GV21</f>
        <v>D232G</v>
      </c>
      <c r="HB48" s="7">
        <f>VC_NEW!GW21</f>
        <v>0</v>
      </c>
      <c r="HC48" s="7" t="str">
        <f>VC_NEW!GX21</f>
        <v>S84F</v>
      </c>
    </row>
    <row r="49" spans="1:211" s="10" customFormat="1" ht="15" hidden="1" customHeight="1" x14ac:dyDescent="0.25">
      <c r="A49" s="18" t="s">
        <v>57</v>
      </c>
      <c r="B49" s="20" t="s">
        <v>150</v>
      </c>
      <c r="C49" s="19" t="s">
        <v>2</v>
      </c>
      <c r="D49" s="20" t="s">
        <v>76</v>
      </c>
      <c r="E49" s="20" t="s">
        <v>138</v>
      </c>
      <c r="F49" s="20" t="s">
        <v>73</v>
      </c>
      <c r="G49" s="21" t="s">
        <v>144</v>
      </c>
      <c r="H49" s="1" t="str">
        <f>VC_NEW!C22</f>
        <v>nt234∆8</v>
      </c>
      <c r="I49" s="1" t="str">
        <f>VC_NEW!D22</f>
        <v>nt234∆8</v>
      </c>
      <c r="J49" s="1" t="str">
        <f>VC_NEW!E22</f>
        <v>nt234∆8</v>
      </c>
      <c r="K49" s="1" t="str">
        <f>VC_NEW!F22</f>
        <v>nt234∆8</v>
      </c>
      <c r="L49" s="1" t="str">
        <f>VC_NEW!G22</f>
        <v>nt234∆8</v>
      </c>
      <c r="M49" s="1" t="str">
        <f>VC_NEW!H22</f>
        <v>nt234∆8</v>
      </c>
      <c r="N49" s="1" t="str">
        <f>VC_NEW!I22</f>
        <v>nt234∆8</v>
      </c>
      <c r="O49" s="1" t="str">
        <f>VC_NEW!J22</f>
        <v>nt234∆8</v>
      </c>
      <c r="P49" s="1" t="str">
        <f>VC_NEW!K22</f>
        <v>nt234∆8</v>
      </c>
      <c r="Q49" s="1" t="str">
        <f>VC_NEW!L22</f>
        <v>nt234∆8</v>
      </c>
      <c r="R49" s="1" t="str">
        <f>VC_NEW!M22</f>
        <v>nt234∆8</v>
      </c>
      <c r="S49" s="1" t="str">
        <f>VC_NEW!N22</f>
        <v>nt234∆8</v>
      </c>
      <c r="T49" s="1" t="str">
        <f>VC_NEW!O22</f>
        <v>nt234∆8</v>
      </c>
      <c r="U49" s="1" t="str">
        <f>VC_NEW!P22</f>
        <v>nt234∆8</v>
      </c>
      <c r="V49" s="1" t="str">
        <f>VC_NEW!Q22</f>
        <v>R334C; nt234∆8</v>
      </c>
      <c r="W49" s="1" t="str">
        <f>VC_NEW!R22</f>
        <v>nt234∆8</v>
      </c>
      <c r="X49" s="1" t="str">
        <f>VC_NEW!S22</f>
        <v>nt234∆8</v>
      </c>
      <c r="Y49" s="1" t="str">
        <f>VC_NEW!T22</f>
        <v>nt234∆8</v>
      </c>
      <c r="Z49" s="1" t="str">
        <f>VC_NEW!U22</f>
        <v>nt234∆8</v>
      </c>
      <c r="AA49" s="1" t="str">
        <f>VC_NEW!V22</f>
        <v>nt234∆8</v>
      </c>
      <c r="AB49" s="1" t="str">
        <f>VC_NEW!W22</f>
        <v>nt234∆8</v>
      </c>
      <c r="AC49" s="1" t="str">
        <f>VC_NEW!X22</f>
        <v>nt234∆8</v>
      </c>
      <c r="AD49" s="1" t="str">
        <f>VC_NEW!Y22</f>
        <v>nt234∆8</v>
      </c>
      <c r="AE49" s="1" t="str">
        <f>VC_NEW!Z22</f>
        <v>nt234∆8</v>
      </c>
      <c r="AF49" s="1">
        <f>VC_NEW!AA22</f>
        <v>0</v>
      </c>
      <c r="AG49" s="1" t="str">
        <f>VC_NEW!AB22</f>
        <v>nt234∆8</v>
      </c>
      <c r="AH49" s="1" t="str">
        <f>VC_NEW!AC22</f>
        <v>nt234∆8</v>
      </c>
      <c r="AI49" s="1" t="str">
        <f>VC_NEW!AD22</f>
        <v>nt234∆8</v>
      </c>
      <c r="AJ49" s="1" t="str">
        <f>VC_NEW!AE22</f>
        <v>nt234∆8</v>
      </c>
      <c r="AK49" s="1" t="str">
        <f>VC_NEW!AF22</f>
        <v>nt234∆8</v>
      </c>
      <c r="AL49" s="1" t="str">
        <f>VC_NEW!AG22</f>
        <v>nt234∆8</v>
      </c>
      <c r="AM49" s="1" t="str">
        <f>VC_NEW!AH22</f>
        <v>nt234∆8</v>
      </c>
      <c r="AN49" s="1" t="str">
        <f>VC_NEW!AI22</f>
        <v>nt234∆8</v>
      </c>
      <c r="AO49" s="1" t="str">
        <f>VC_NEW!AJ22</f>
        <v>nt234∆8</v>
      </c>
      <c r="AP49" s="1" t="str">
        <f>VC_NEW!AK22</f>
        <v>nt234∆8</v>
      </c>
      <c r="AQ49" s="1" t="str">
        <f>VC_NEW!AL22</f>
        <v>nt234∆8</v>
      </c>
      <c r="AR49" s="1" t="str">
        <f>VC_NEW!AM22</f>
        <v>nt234∆8</v>
      </c>
      <c r="AS49" s="1" t="str">
        <f>VC_NEW!AN22</f>
        <v>nt234∆8</v>
      </c>
      <c r="AT49" s="1" t="str">
        <f>VC_NEW!AO22</f>
        <v>nt234∆8</v>
      </c>
      <c r="AU49" s="1" t="str">
        <f>VC_NEW!AP22</f>
        <v>nt234∆8</v>
      </c>
      <c r="AV49" s="1" t="str">
        <f>VC_NEW!AQ22</f>
        <v>nt234∆8</v>
      </c>
      <c r="AW49" s="1" t="str">
        <f>VC_NEW!AR22</f>
        <v>nt234∆8</v>
      </c>
      <c r="AX49" s="1" t="str">
        <f>VC_NEW!AS22</f>
        <v>nt234∆8</v>
      </c>
      <c r="AY49" s="1" t="str">
        <f>VC_NEW!AT22</f>
        <v>nt234∆8</v>
      </c>
      <c r="AZ49" s="1" t="str">
        <f>VC_NEW!AU22</f>
        <v>nt234∆8</v>
      </c>
      <c r="BA49" s="1" t="str">
        <f>VC_NEW!AV22</f>
        <v>nt234∆8</v>
      </c>
      <c r="BB49" s="1" t="str">
        <f>VC_NEW!AW22</f>
        <v>nt234∆8</v>
      </c>
      <c r="BC49" s="1" t="str">
        <f>VC_NEW!AX22</f>
        <v>nt234∆8</v>
      </c>
      <c r="BD49" s="1" t="str">
        <f>VC_NEW!AY22</f>
        <v>nt234∆8</v>
      </c>
      <c r="BE49" s="1" t="str">
        <f>VC_NEW!AZ22</f>
        <v>nt234∆8</v>
      </c>
      <c r="BF49" s="1" t="str">
        <f>VC_NEW!BA22</f>
        <v>nt234∆8</v>
      </c>
      <c r="BG49" s="1" t="str">
        <f>VC_NEW!BB22</f>
        <v>nt234∆8</v>
      </c>
      <c r="BH49" s="1" t="str">
        <f>VC_NEW!BC22</f>
        <v>nt234∆8</v>
      </c>
      <c r="BI49" s="1" t="str">
        <f>VC_NEW!BD22</f>
        <v>nt234∆8</v>
      </c>
      <c r="BJ49" s="1" t="str">
        <f>VC_NEW!BE22</f>
        <v>nt234∆8</v>
      </c>
      <c r="BK49" s="1" t="str">
        <f>VC_NEW!BF22</f>
        <v>nt234∆8</v>
      </c>
      <c r="BL49" s="1" t="str">
        <f>VC_NEW!BG22</f>
        <v>nt234∆8</v>
      </c>
      <c r="BM49" s="1" t="str">
        <f>VC_NEW!BH22</f>
        <v>nt234∆8</v>
      </c>
      <c r="BN49" s="1" t="str">
        <f>VC_NEW!BI22</f>
        <v>nt234∆8</v>
      </c>
      <c r="BO49" s="1" t="str">
        <f>VC_NEW!BJ22</f>
        <v>nt234∆8</v>
      </c>
      <c r="BP49" s="1" t="str">
        <f>VC_NEW!BK22</f>
        <v>nt234∆8</v>
      </c>
      <c r="BQ49" s="1" t="str">
        <f>VC_NEW!BL22</f>
        <v>G276D; nt234∆8</v>
      </c>
      <c r="BR49" s="1" t="str">
        <f>VC_NEW!BM22</f>
        <v>nt234∆8</v>
      </c>
      <c r="BS49" s="1" t="str">
        <f>VC_NEW!BN22</f>
        <v>nt234∆8</v>
      </c>
      <c r="BT49" s="1" t="str">
        <f>VC_NEW!BO22</f>
        <v>nt234∆8</v>
      </c>
      <c r="BU49" s="1" t="str">
        <f>VC_NEW!BP22</f>
        <v>nt234∆8</v>
      </c>
      <c r="BV49" s="1" t="str">
        <f>VC_NEW!BQ22</f>
        <v>nt234∆8</v>
      </c>
      <c r="BW49" s="1" t="str">
        <f>VC_NEW!BR22</f>
        <v>nt234∆8</v>
      </c>
      <c r="BX49" s="1" t="str">
        <f>VC_NEW!BS22</f>
        <v>nt234∆8</v>
      </c>
      <c r="BY49" s="1" t="str">
        <f>VC_NEW!BT22</f>
        <v>nt234∆8</v>
      </c>
      <c r="BZ49" s="1" t="str">
        <f>VC_NEW!BU22</f>
        <v>nt234∆8</v>
      </c>
      <c r="CA49" s="1" t="str">
        <f>VC_NEW!BV22</f>
        <v>nt234∆8</v>
      </c>
      <c r="CB49" s="1" t="str">
        <f>VC_NEW!BW22</f>
        <v>nt234∆8</v>
      </c>
      <c r="CC49" s="1" t="str">
        <f>VC_NEW!BX22</f>
        <v>nt234∆8</v>
      </c>
      <c r="CD49" s="1" t="str">
        <f>VC_NEW!BY22</f>
        <v>nt234∆8</v>
      </c>
      <c r="CE49" s="1" t="str">
        <f>VC_NEW!BZ22</f>
        <v>nt234∆8</v>
      </c>
      <c r="CF49" s="1" t="str">
        <f>VC_NEW!CA22</f>
        <v>nt234∆8</v>
      </c>
      <c r="CG49" s="1" t="str">
        <f>VC_NEW!CB22</f>
        <v>nt234∆8</v>
      </c>
      <c r="CH49" s="1" t="str">
        <f>VC_NEW!CC22</f>
        <v>nt234∆8</v>
      </c>
      <c r="CI49" s="1" t="str">
        <f>VC_NEW!CD22</f>
        <v>nt234∆8</v>
      </c>
      <c r="CJ49" s="1" t="str">
        <f>VC_NEW!CE22</f>
        <v>nt234∆8</v>
      </c>
      <c r="CK49" s="1" t="str">
        <f>VC_NEW!CF22</f>
        <v>nt234∆8</v>
      </c>
      <c r="CL49" s="1" t="str">
        <f>VC_NEW!CG22</f>
        <v>nt234∆8</v>
      </c>
      <c r="CM49" s="1" t="str">
        <f>VC_NEW!CH22</f>
        <v>nt234∆8</v>
      </c>
      <c r="CN49" s="1" t="str">
        <f>VC_NEW!CI22</f>
        <v>nt234∆8</v>
      </c>
      <c r="CO49" s="1" t="str">
        <f>VC_NEW!CJ22</f>
        <v>nt234∆8</v>
      </c>
      <c r="CP49" s="1" t="str">
        <f>VC_NEW!CK22</f>
        <v>nt234∆8</v>
      </c>
      <c r="CQ49" s="1" t="str">
        <f>VC_NEW!CL22</f>
        <v>nt234∆8</v>
      </c>
      <c r="CR49" s="1" t="str">
        <f>VC_NEW!CM22</f>
        <v>nt234∆8</v>
      </c>
      <c r="CS49" s="1" t="str">
        <f>VC_NEW!CN22</f>
        <v>v265a, nt234∆8</v>
      </c>
      <c r="CT49" s="1" t="str">
        <f>VC_NEW!CO22</f>
        <v>nt234∆8</v>
      </c>
      <c r="CU49" s="1" t="str">
        <f>VC_NEW!CP22</f>
        <v>nt234∆8</v>
      </c>
      <c r="CV49" s="1" t="str">
        <f>VC_NEW!CQ22</f>
        <v>nt234∆8</v>
      </c>
      <c r="CW49" s="1" t="str">
        <f>VC_NEW!CR22</f>
        <v>nt234∆8</v>
      </c>
      <c r="CX49" s="1" t="str">
        <f>VC_NEW!CS22</f>
        <v>nt234∆8</v>
      </c>
      <c r="CY49" s="1" t="str">
        <f>VC_NEW!CT22</f>
        <v>nt234∆8</v>
      </c>
      <c r="CZ49" s="1" t="str">
        <f>VC_NEW!CU22</f>
        <v>nt234∆8; nt395InsC</v>
      </c>
      <c r="DA49" s="1" t="str">
        <f>VC_NEW!CV22</f>
        <v>nt234∆8</v>
      </c>
      <c r="DB49" s="1" t="str">
        <f>VC_NEW!CW22</f>
        <v>nt234∆8</v>
      </c>
      <c r="DC49" s="1" t="str">
        <f>VC_NEW!CX22</f>
        <v>nt234∆8</v>
      </c>
      <c r="DD49" s="1" t="str">
        <f>VC_NEW!CY22</f>
        <v>nt234∆8</v>
      </c>
      <c r="DE49" s="1" t="str">
        <f>VC_NEW!CZ22</f>
        <v>nt234∆8</v>
      </c>
      <c r="DF49" s="1" t="str">
        <f>VC_NEW!DA22</f>
        <v>nt234∆8</v>
      </c>
      <c r="DG49" s="1" t="str">
        <f>VC_NEW!DB22</f>
        <v>nt234∆8</v>
      </c>
      <c r="DH49" s="1" t="str">
        <f>VC_NEW!DC22</f>
        <v>nt234∆8</v>
      </c>
      <c r="DI49" s="1">
        <f>VC_NEW!DD22</f>
        <v>0</v>
      </c>
      <c r="DJ49" s="1" t="str">
        <f>VC_NEW!DE22</f>
        <v>nt234∆8</v>
      </c>
      <c r="DK49" s="1" t="str">
        <f>VC_NEW!DF22</f>
        <v>nt234∆8</v>
      </c>
      <c r="DL49" s="1" t="str">
        <f>VC_NEW!DG22</f>
        <v>nt234∆8</v>
      </c>
      <c r="DM49" s="1" t="str">
        <f>VC_NEW!DH22</f>
        <v>nt234∆8</v>
      </c>
      <c r="DN49" s="1" t="str">
        <f>VC_NEW!DI22</f>
        <v>nt234∆8</v>
      </c>
      <c r="DO49" s="1" t="str">
        <f>VC_NEW!DJ22</f>
        <v>nt234∆8</v>
      </c>
      <c r="DP49" s="1" t="str">
        <f>VC_NEW!DK22</f>
        <v>nt234∆8</v>
      </c>
      <c r="DQ49" s="1" t="str">
        <f>VC_NEW!DL22</f>
        <v>nt234∆8</v>
      </c>
      <c r="DR49" s="1" t="str">
        <f>VC_NEW!DM22</f>
        <v>nt234∆8</v>
      </c>
      <c r="DS49" s="1" t="str">
        <f>VC_NEW!DN22</f>
        <v>nt234∆8</v>
      </c>
      <c r="DT49" s="1" t="str">
        <f>VC_NEW!DO22</f>
        <v>nt234∆8</v>
      </c>
      <c r="DU49" s="1" t="str">
        <f>VC_NEW!DP22</f>
        <v>nt234∆8</v>
      </c>
      <c r="DV49" s="1" t="str">
        <f>VC_NEW!DQ22</f>
        <v>nt234∆8</v>
      </c>
      <c r="DW49" s="1" t="str">
        <f>VC_NEW!DR22</f>
        <v>nt234∆8</v>
      </c>
      <c r="DX49" s="1" t="str">
        <f>VC_NEW!DS22</f>
        <v>nt234∆8</v>
      </c>
      <c r="DY49" s="1" t="str">
        <f>VC_NEW!DT22</f>
        <v>nt234∆8</v>
      </c>
      <c r="DZ49" s="1" t="str">
        <f>VC_NEW!DU22</f>
        <v>nt234∆8</v>
      </c>
      <c r="EA49" s="1" t="str">
        <f>VC_NEW!DV22</f>
        <v>nt234∆8</v>
      </c>
      <c r="EB49" s="1" t="str">
        <f>VC_NEW!DW22</f>
        <v>nt234∆8</v>
      </c>
      <c r="EC49" s="1" t="str">
        <f>VC_NEW!DX22</f>
        <v>nt234∆8</v>
      </c>
      <c r="ED49" s="1" t="str">
        <f>VC_NEW!DY22</f>
        <v>nt234∆8</v>
      </c>
      <c r="EE49" s="1" t="str">
        <f>VC_NEW!DZ22</f>
        <v>nt234∆8</v>
      </c>
      <c r="EF49" s="1" t="str">
        <f>VC_NEW!EA22</f>
        <v>nt234∆8</v>
      </c>
      <c r="EG49" s="1" t="str">
        <f>VC_NEW!EB22</f>
        <v>nt234∆8</v>
      </c>
      <c r="EH49" s="1" t="str">
        <f>VC_NEW!EC22</f>
        <v>D96A; nt234∆8</v>
      </c>
      <c r="EI49" s="1" t="str">
        <f>VC_NEW!ED22</f>
        <v>nt234∆8</v>
      </c>
      <c r="EJ49" s="1" t="str">
        <f>VC_NEW!EE22</f>
        <v>A47V; nt234∆8</v>
      </c>
      <c r="EK49" s="1" t="str">
        <f>VC_NEW!EF22</f>
        <v>R334P; nt234∆8</v>
      </c>
      <c r="EL49" s="1" t="str">
        <f>VC_NEW!EG22</f>
        <v>nt234∆8</v>
      </c>
      <c r="EM49" s="1" t="str">
        <f>VC_NEW!EH22</f>
        <v>nt234∆8</v>
      </c>
      <c r="EN49" s="1" t="str">
        <f>VC_NEW!EI22</f>
        <v>nt234∆8</v>
      </c>
      <c r="EO49" s="1" t="str">
        <f>VC_NEW!EJ22</f>
        <v>nt234∆8</v>
      </c>
      <c r="EP49" s="1" t="str">
        <f>VC_NEW!EK22</f>
        <v>nt234∆8</v>
      </c>
      <c r="EQ49" s="1" t="str">
        <f>VC_NEW!EL22</f>
        <v>nt234∆8</v>
      </c>
      <c r="ER49" s="1" t="str">
        <f>VC_NEW!EM22</f>
        <v>nt234∆8</v>
      </c>
      <c r="ES49" s="1" t="str">
        <f>VC_NEW!EN22</f>
        <v>nt234∆8</v>
      </c>
      <c r="ET49" s="1" t="str">
        <f>VC_NEW!EO22</f>
        <v>nt234∆8</v>
      </c>
      <c r="EU49" s="1" t="str">
        <f>VC_NEW!EP22</f>
        <v>nt234∆8</v>
      </c>
      <c r="EV49" s="1" t="str">
        <f>VC_NEW!EQ22</f>
        <v>DELETED</v>
      </c>
      <c r="EW49" s="1" t="str">
        <f>VC_NEW!ER22</f>
        <v>nt234∆8</v>
      </c>
      <c r="EX49" s="1" t="str">
        <f>VC_NEW!ES22</f>
        <v>nt234∆8</v>
      </c>
      <c r="EY49" s="1" t="str">
        <f>VC_NEW!ET22</f>
        <v>nt234∆8</v>
      </c>
      <c r="EZ49" s="1" t="str">
        <f>VC_NEW!EU22</f>
        <v>nt234∆8</v>
      </c>
      <c r="FA49" s="1" t="str">
        <f>VC_NEW!EV22</f>
        <v>nt234∆8</v>
      </c>
      <c r="FB49" s="1" t="str">
        <f>VC_NEW!EW22</f>
        <v>nt234∆8</v>
      </c>
      <c r="FC49" s="1" t="str">
        <f>VC_NEW!EX22</f>
        <v>nt234∆8</v>
      </c>
      <c r="FD49" s="1" t="str">
        <f>VC_NEW!EY22</f>
        <v>nt234∆8</v>
      </c>
      <c r="FE49" s="1" t="str">
        <f>VC_NEW!EZ22</f>
        <v>nt234∆8</v>
      </c>
      <c r="FF49" s="1" t="str">
        <f>VC_NEW!FA22</f>
        <v>nt234∆8</v>
      </c>
      <c r="FG49" s="1" t="str">
        <f>VC_NEW!FB22</f>
        <v>nt234∆8</v>
      </c>
      <c r="FH49" s="1" t="str">
        <f>VC_NEW!FC22</f>
        <v>nt234∆8</v>
      </c>
      <c r="FI49" s="1" t="str">
        <f>VC_NEW!FD22</f>
        <v>nt234∆8</v>
      </c>
      <c r="FJ49" s="1" t="str">
        <f>VC_NEW!FE22</f>
        <v>nt234∆8</v>
      </c>
      <c r="FK49" s="1" t="str">
        <f>VC_NEW!FF22</f>
        <v>nt234∆8</v>
      </c>
      <c r="FL49" s="1" t="str">
        <f>VC_NEW!FG22</f>
        <v>nt234∆8</v>
      </c>
      <c r="FM49" s="1" t="str">
        <f>VC_NEW!FH22</f>
        <v>nt234∆8</v>
      </c>
      <c r="FN49" s="1" t="str">
        <f>VC_NEW!FI22</f>
        <v>nt234∆8</v>
      </c>
      <c r="FO49" s="1" t="str">
        <f>VC_NEW!FJ22</f>
        <v>nt234∆8</v>
      </c>
      <c r="FP49" s="1" t="str">
        <f>VC_NEW!FK22</f>
        <v>nt234∆8</v>
      </c>
      <c r="FQ49" s="1" t="str">
        <f>VC_NEW!FL22</f>
        <v>nt234∆8</v>
      </c>
      <c r="FR49" s="1" t="str">
        <f>VC_NEW!FM22</f>
        <v>nt234∆8</v>
      </c>
      <c r="FS49" s="1" t="str">
        <f>VC_NEW!FN22</f>
        <v>nt234∆8</v>
      </c>
      <c r="FT49" s="1" t="str">
        <f>VC_NEW!FO22</f>
        <v>nt234∆8</v>
      </c>
      <c r="FU49" s="1" t="str">
        <f>VC_NEW!FP22</f>
        <v>nt234∆8</v>
      </c>
      <c r="FV49" s="1" t="str">
        <f>VC_NEW!FQ22</f>
        <v>nt234∆8</v>
      </c>
      <c r="FW49" s="1" t="str">
        <f>VC_NEW!FR22</f>
        <v>nt234∆8</v>
      </c>
      <c r="FX49" s="1" t="str">
        <f>VC_NEW!FS22</f>
        <v>nt234∆8</v>
      </c>
      <c r="FY49" s="1" t="str">
        <f>VC_NEW!FT22</f>
        <v>nt234∆8</v>
      </c>
      <c r="FZ49" s="1" t="str">
        <f>VC_NEW!FU22</f>
        <v>nt234∆8</v>
      </c>
      <c r="GA49" s="1" t="str">
        <f>VC_NEW!FV22</f>
        <v>nt234∆8</v>
      </c>
      <c r="GB49" s="1" t="str">
        <f>VC_NEW!FW22</f>
        <v>R209S; nt234∆8</v>
      </c>
      <c r="GC49" s="1" t="str">
        <f>VC_NEW!FX22</f>
        <v>nt234∆8</v>
      </c>
      <c r="GD49" s="1" t="str">
        <f>VC_NEW!FY22</f>
        <v>nt234∆8</v>
      </c>
      <c r="GE49" s="1" t="str">
        <f>VC_NEW!FZ22</f>
        <v>nt234∆8</v>
      </c>
      <c r="GF49" s="1" t="str">
        <f>VC_NEW!GA22</f>
        <v>nt234∆8</v>
      </c>
      <c r="GG49" s="1" t="str">
        <f>VC_NEW!GB22</f>
        <v>nt234∆8</v>
      </c>
      <c r="GH49" s="1" t="str">
        <f>VC_NEW!GC22</f>
        <v>nt234∆8</v>
      </c>
      <c r="GI49" s="1" t="str">
        <f>VC_NEW!GD22</f>
        <v>nt234∆8</v>
      </c>
      <c r="GJ49" s="1" t="str">
        <f>VC_NEW!GE22</f>
        <v>nt234∆8</v>
      </c>
      <c r="GK49" s="1" t="str">
        <f>VC_NEW!GF22</f>
        <v>nt234∆8</v>
      </c>
      <c r="GL49" s="1" t="str">
        <f>VC_NEW!GG22</f>
        <v>nt234∆8</v>
      </c>
      <c r="GM49" s="1" t="str">
        <f>VC_NEW!GH22</f>
        <v>nt234∆8</v>
      </c>
      <c r="GN49" s="1" t="str">
        <f>VC_NEW!GI22</f>
        <v>nt234∆8</v>
      </c>
      <c r="GO49" s="1" t="str">
        <f>VC_NEW!GJ22</f>
        <v>nt234∆8</v>
      </c>
      <c r="GP49" s="1" t="str">
        <f>VC_NEW!GK22</f>
        <v>nt234∆8</v>
      </c>
      <c r="GQ49" s="1" t="str">
        <f>VC_NEW!GL22</f>
        <v>nt234∆8</v>
      </c>
      <c r="GR49" s="1" t="str">
        <f>VC_NEW!GM22</f>
        <v>nt234∆8</v>
      </c>
      <c r="GS49" s="1" t="str">
        <f>VC_NEW!GN22</f>
        <v>nt234∆8</v>
      </c>
      <c r="GT49" s="1" t="str">
        <f>VC_NEW!GO22</f>
        <v>nt234∆8</v>
      </c>
      <c r="GU49" s="1" t="str">
        <f>VC_NEW!GP22</f>
        <v>nt234∆8</v>
      </c>
      <c r="GV49" s="1" t="str">
        <f>VC_NEW!GQ22</f>
        <v>nt234∆8</v>
      </c>
      <c r="GW49" s="1" t="str">
        <f>VC_NEW!GR22</f>
        <v>nt234∆8</v>
      </c>
      <c r="GX49" s="1" t="str">
        <f>VC_NEW!GS22</f>
        <v>nt234∆8</v>
      </c>
      <c r="GY49" s="1" t="str">
        <f>VC_NEW!GT22</f>
        <v>nt234∆8</v>
      </c>
      <c r="GZ49" s="1" t="str">
        <f>VC_NEW!GU22</f>
        <v>nt234∆8</v>
      </c>
      <c r="HA49" s="1" t="str">
        <f>VC_NEW!GV22</f>
        <v>nt234∆8</v>
      </c>
      <c r="HB49" s="1" t="str">
        <f>VC_NEW!GW22</f>
        <v>nt234∆8</v>
      </c>
      <c r="HC49" s="1" t="str">
        <f>VC_NEW!GX22</f>
        <v>nt234∆8</v>
      </c>
    </row>
    <row r="50" spans="1:211" s="10" customFormat="1" ht="15.75" hidden="1" customHeight="1" thickBot="1" x14ac:dyDescent="0.3">
      <c r="A50" s="52" t="s">
        <v>57</v>
      </c>
      <c r="B50" s="53" t="s">
        <v>154</v>
      </c>
      <c r="C50" s="54" t="s">
        <v>4</v>
      </c>
      <c r="D50" s="53" t="s">
        <v>76</v>
      </c>
      <c r="E50" s="53" t="s">
        <v>147</v>
      </c>
      <c r="F50" s="53" t="s">
        <v>73</v>
      </c>
      <c r="G50" s="55" t="s">
        <v>144</v>
      </c>
      <c r="H50" s="1" t="str">
        <f>VC_NEW!C22</f>
        <v>nt234∆8</v>
      </c>
      <c r="I50" s="1" t="str">
        <f>VC_NEW!D22</f>
        <v>nt234∆8</v>
      </c>
      <c r="J50" s="1" t="str">
        <f>VC_NEW!E22</f>
        <v>nt234∆8</v>
      </c>
      <c r="K50" s="1" t="str">
        <f>VC_NEW!F22</f>
        <v>nt234∆8</v>
      </c>
      <c r="L50" s="1" t="str">
        <f>VC_NEW!G22</f>
        <v>nt234∆8</v>
      </c>
      <c r="M50" s="1" t="str">
        <f>VC_NEW!H22</f>
        <v>nt234∆8</v>
      </c>
      <c r="N50" s="1" t="str">
        <f>VC_NEW!I22</f>
        <v>nt234∆8</v>
      </c>
      <c r="O50" s="1" t="str">
        <f>VC_NEW!J22</f>
        <v>nt234∆8</v>
      </c>
      <c r="P50" s="1" t="str">
        <f>VC_NEW!K22</f>
        <v>nt234∆8</v>
      </c>
      <c r="Q50" s="1" t="str">
        <f>VC_NEW!L22</f>
        <v>nt234∆8</v>
      </c>
      <c r="R50" s="1" t="str">
        <f>VC_NEW!M22</f>
        <v>nt234∆8</v>
      </c>
      <c r="S50" s="1" t="str">
        <f>VC_NEW!N22</f>
        <v>nt234∆8</v>
      </c>
      <c r="T50" s="1" t="str">
        <f>VC_NEW!O22</f>
        <v>nt234∆8</v>
      </c>
      <c r="U50" s="1" t="str">
        <f>VC_NEW!P22</f>
        <v>nt234∆8</v>
      </c>
      <c r="V50" s="1" t="str">
        <f>VC_NEW!Q22</f>
        <v>R334C; nt234∆8</v>
      </c>
      <c r="W50" s="1" t="str">
        <f>VC_NEW!R22</f>
        <v>nt234∆8</v>
      </c>
      <c r="X50" s="1" t="str">
        <f>VC_NEW!S22</f>
        <v>nt234∆8</v>
      </c>
      <c r="Y50" s="1" t="str">
        <f>VC_NEW!T22</f>
        <v>nt234∆8</v>
      </c>
      <c r="Z50" s="1" t="str">
        <f>VC_NEW!U22</f>
        <v>nt234∆8</v>
      </c>
      <c r="AA50" s="1" t="str">
        <f>VC_NEW!V22</f>
        <v>nt234∆8</v>
      </c>
      <c r="AB50" s="1" t="str">
        <f>VC_NEW!W22</f>
        <v>nt234∆8</v>
      </c>
      <c r="AC50" s="1" t="str">
        <f>VC_NEW!X22</f>
        <v>nt234∆8</v>
      </c>
      <c r="AD50" s="1" t="str">
        <f>VC_NEW!Y22</f>
        <v>nt234∆8</v>
      </c>
      <c r="AE50" s="1" t="str">
        <f>VC_NEW!Z22</f>
        <v>nt234∆8</v>
      </c>
      <c r="AF50" s="1">
        <f>VC_NEW!AA22</f>
        <v>0</v>
      </c>
      <c r="AG50" s="1" t="str">
        <f>VC_NEW!AB22</f>
        <v>nt234∆8</v>
      </c>
      <c r="AH50" s="1" t="str">
        <f>VC_NEW!AC22</f>
        <v>nt234∆8</v>
      </c>
      <c r="AI50" s="1" t="str">
        <f>VC_NEW!AD22</f>
        <v>nt234∆8</v>
      </c>
      <c r="AJ50" s="1" t="str">
        <f>VC_NEW!AE22</f>
        <v>nt234∆8</v>
      </c>
      <c r="AK50" s="1" t="str">
        <f>VC_NEW!AF22</f>
        <v>nt234∆8</v>
      </c>
      <c r="AL50" s="1" t="str">
        <f>VC_NEW!AG22</f>
        <v>nt234∆8</v>
      </c>
      <c r="AM50" s="1" t="str">
        <f>VC_NEW!AH22</f>
        <v>nt234∆8</v>
      </c>
      <c r="AN50" s="1" t="str">
        <f>VC_NEW!AI22</f>
        <v>nt234∆8</v>
      </c>
      <c r="AO50" s="1" t="str">
        <f>VC_NEW!AJ22</f>
        <v>nt234∆8</v>
      </c>
      <c r="AP50" s="1" t="str">
        <f>VC_NEW!AK22</f>
        <v>nt234∆8</v>
      </c>
      <c r="AQ50" s="1" t="str">
        <f>VC_NEW!AL22</f>
        <v>nt234∆8</v>
      </c>
      <c r="AR50" s="1" t="str">
        <f>VC_NEW!AM22</f>
        <v>nt234∆8</v>
      </c>
      <c r="AS50" s="1" t="str">
        <f>VC_NEW!AN22</f>
        <v>nt234∆8</v>
      </c>
      <c r="AT50" s="1" t="str">
        <f>VC_NEW!AO22</f>
        <v>nt234∆8</v>
      </c>
      <c r="AU50" s="1" t="str">
        <f>VC_NEW!AP22</f>
        <v>nt234∆8</v>
      </c>
      <c r="AV50" s="1" t="str">
        <f>VC_NEW!AQ22</f>
        <v>nt234∆8</v>
      </c>
      <c r="AW50" s="1" t="str">
        <f>VC_NEW!AR22</f>
        <v>nt234∆8</v>
      </c>
      <c r="AX50" s="1" t="str">
        <f>VC_NEW!AS22</f>
        <v>nt234∆8</v>
      </c>
      <c r="AY50" s="1" t="str">
        <f>VC_NEW!AT22</f>
        <v>nt234∆8</v>
      </c>
      <c r="AZ50" s="1" t="str">
        <f>VC_NEW!AU22</f>
        <v>nt234∆8</v>
      </c>
      <c r="BA50" s="1" t="str">
        <f>VC_NEW!AV22</f>
        <v>nt234∆8</v>
      </c>
      <c r="BB50" s="1" t="str">
        <f>VC_NEW!AW22</f>
        <v>nt234∆8</v>
      </c>
      <c r="BC50" s="1" t="str">
        <f>VC_NEW!AX22</f>
        <v>nt234∆8</v>
      </c>
      <c r="BD50" s="1" t="str">
        <f>VC_NEW!AY22</f>
        <v>nt234∆8</v>
      </c>
      <c r="BE50" s="1" t="str">
        <f>VC_NEW!AZ22</f>
        <v>nt234∆8</v>
      </c>
      <c r="BF50" s="1" t="str">
        <f>VC_NEW!BA22</f>
        <v>nt234∆8</v>
      </c>
      <c r="BG50" s="1" t="str">
        <f>VC_NEW!BB22</f>
        <v>nt234∆8</v>
      </c>
      <c r="BH50" s="1" t="str">
        <f>VC_NEW!BC22</f>
        <v>nt234∆8</v>
      </c>
      <c r="BI50" s="1" t="str">
        <f>VC_NEW!BD22</f>
        <v>nt234∆8</v>
      </c>
      <c r="BJ50" s="1" t="str">
        <f>VC_NEW!BE22</f>
        <v>nt234∆8</v>
      </c>
      <c r="BK50" s="1" t="str">
        <f>VC_NEW!BF22</f>
        <v>nt234∆8</v>
      </c>
      <c r="BL50" s="1" t="str">
        <f>VC_NEW!BG22</f>
        <v>nt234∆8</v>
      </c>
      <c r="BM50" s="1" t="str">
        <f>VC_NEW!BH22</f>
        <v>nt234∆8</v>
      </c>
      <c r="BN50" s="1" t="str">
        <f>VC_NEW!BI22</f>
        <v>nt234∆8</v>
      </c>
      <c r="BO50" s="1" t="str">
        <f>VC_NEW!BJ22</f>
        <v>nt234∆8</v>
      </c>
      <c r="BP50" s="1" t="str">
        <f>VC_NEW!BK22</f>
        <v>nt234∆8</v>
      </c>
      <c r="BQ50" s="1" t="str">
        <f>VC_NEW!BL22</f>
        <v>G276D; nt234∆8</v>
      </c>
      <c r="BR50" s="1" t="str">
        <f>VC_NEW!BM22</f>
        <v>nt234∆8</v>
      </c>
      <c r="BS50" s="1" t="str">
        <f>VC_NEW!BN22</f>
        <v>nt234∆8</v>
      </c>
      <c r="BT50" s="1" t="str">
        <f>VC_NEW!BO22</f>
        <v>nt234∆8</v>
      </c>
      <c r="BU50" s="1" t="str">
        <f>VC_NEW!BP22</f>
        <v>nt234∆8</v>
      </c>
      <c r="BV50" s="1" t="str">
        <f>VC_NEW!BQ22</f>
        <v>nt234∆8</v>
      </c>
      <c r="BW50" s="1" t="str">
        <f>VC_NEW!BR22</f>
        <v>nt234∆8</v>
      </c>
      <c r="BX50" s="1" t="str">
        <f>VC_NEW!BS22</f>
        <v>nt234∆8</v>
      </c>
      <c r="BY50" s="1" t="str">
        <f>VC_NEW!BT22</f>
        <v>nt234∆8</v>
      </c>
      <c r="BZ50" s="1" t="str">
        <f>VC_NEW!BU22</f>
        <v>nt234∆8</v>
      </c>
      <c r="CA50" s="1" t="str">
        <f>VC_NEW!BV22</f>
        <v>nt234∆8</v>
      </c>
      <c r="CB50" s="1" t="str">
        <f>VC_NEW!BW22</f>
        <v>nt234∆8</v>
      </c>
      <c r="CC50" s="1" t="str">
        <f>VC_NEW!BX22</f>
        <v>nt234∆8</v>
      </c>
      <c r="CD50" s="1" t="str">
        <f>VC_NEW!BY22</f>
        <v>nt234∆8</v>
      </c>
      <c r="CE50" s="1" t="str">
        <f>VC_NEW!BZ22</f>
        <v>nt234∆8</v>
      </c>
      <c r="CF50" s="1" t="str">
        <f>VC_NEW!CA22</f>
        <v>nt234∆8</v>
      </c>
      <c r="CG50" s="1" t="str">
        <f>VC_NEW!CB22</f>
        <v>nt234∆8</v>
      </c>
      <c r="CH50" s="1" t="str">
        <f>VC_NEW!CC22</f>
        <v>nt234∆8</v>
      </c>
      <c r="CI50" s="1" t="str">
        <f>VC_NEW!CD22</f>
        <v>nt234∆8</v>
      </c>
      <c r="CJ50" s="1" t="str">
        <f>VC_NEW!CE22</f>
        <v>nt234∆8</v>
      </c>
      <c r="CK50" s="1" t="str">
        <f>VC_NEW!CF22</f>
        <v>nt234∆8</v>
      </c>
      <c r="CL50" s="1" t="str">
        <f>VC_NEW!CG22</f>
        <v>nt234∆8</v>
      </c>
      <c r="CM50" s="1" t="str">
        <f>VC_NEW!CH22</f>
        <v>nt234∆8</v>
      </c>
      <c r="CN50" s="1" t="str">
        <f>VC_NEW!CI22</f>
        <v>nt234∆8</v>
      </c>
      <c r="CO50" s="1" t="str">
        <f>VC_NEW!CJ22</f>
        <v>nt234∆8</v>
      </c>
      <c r="CP50" s="1" t="str">
        <f>VC_NEW!CK22</f>
        <v>nt234∆8</v>
      </c>
      <c r="CQ50" s="1" t="str">
        <f>VC_NEW!CL22</f>
        <v>nt234∆8</v>
      </c>
      <c r="CR50" s="1" t="str">
        <f>VC_NEW!CM22</f>
        <v>nt234∆8</v>
      </c>
      <c r="CS50" s="1" t="str">
        <f>VC_NEW!CN22</f>
        <v>v265a, nt234∆8</v>
      </c>
      <c r="CT50" s="1" t="str">
        <f>VC_NEW!CO22</f>
        <v>nt234∆8</v>
      </c>
      <c r="CU50" s="1" t="str">
        <f>VC_NEW!CP22</f>
        <v>nt234∆8</v>
      </c>
      <c r="CV50" s="1" t="str">
        <f>VC_NEW!CQ22</f>
        <v>nt234∆8</v>
      </c>
      <c r="CW50" s="1" t="str">
        <f>VC_NEW!CR22</f>
        <v>nt234∆8</v>
      </c>
      <c r="CX50" s="1" t="str">
        <f>VC_NEW!CS22</f>
        <v>nt234∆8</v>
      </c>
      <c r="CY50" s="1" t="str">
        <f>VC_NEW!CT22</f>
        <v>nt234∆8</v>
      </c>
      <c r="CZ50" s="1" t="str">
        <f>VC_NEW!CU22</f>
        <v>nt234∆8; nt395InsC</v>
      </c>
      <c r="DA50" s="1" t="str">
        <f>VC_NEW!CV22</f>
        <v>nt234∆8</v>
      </c>
      <c r="DB50" s="1" t="str">
        <f>VC_NEW!CW22</f>
        <v>nt234∆8</v>
      </c>
      <c r="DC50" s="1" t="str">
        <f>VC_NEW!CX22</f>
        <v>nt234∆8</v>
      </c>
      <c r="DD50" s="1" t="str">
        <f>VC_NEW!CY22</f>
        <v>nt234∆8</v>
      </c>
      <c r="DE50" s="1" t="str">
        <f>VC_NEW!CZ22</f>
        <v>nt234∆8</v>
      </c>
      <c r="DF50" s="1" t="str">
        <f>VC_NEW!DA22</f>
        <v>nt234∆8</v>
      </c>
      <c r="DG50" s="1" t="str">
        <f>VC_NEW!DB22</f>
        <v>nt234∆8</v>
      </c>
      <c r="DH50" s="1" t="str">
        <f>VC_NEW!DC22</f>
        <v>nt234∆8</v>
      </c>
      <c r="DI50" s="1">
        <f>VC_NEW!DD22</f>
        <v>0</v>
      </c>
      <c r="DJ50" s="1" t="str">
        <f>VC_NEW!DE22</f>
        <v>nt234∆8</v>
      </c>
      <c r="DK50" s="1" t="str">
        <f>VC_NEW!DF22</f>
        <v>nt234∆8</v>
      </c>
      <c r="DL50" s="1" t="str">
        <f>VC_NEW!DG22</f>
        <v>nt234∆8</v>
      </c>
      <c r="DM50" s="1" t="str">
        <f>VC_NEW!DH22</f>
        <v>nt234∆8</v>
      </c>
      <c r="DN50" s="1" t="str">
        <f>VC_NEW!DI22</f>
        <v>nt234∆8</v>
      </c>
      <c r="DO50" s="1" t="str">
        <f>VC_NEW!DJ22</f>
        <v>nt234∆8</v>
      </c>
      <c r="DP50" s="1" t="str">
        <f>VC_NEW!DK22</f>
        <v>nt234∆8</v>
      </c>
      <c r="DQ50" s="1" t="str">
        <f>VC_NEW!DL22</f>
        <v>nt234∆8</v>
      </c>
      <c r="DR50" s="1" t="str">
        <f>VC_NEW!DM22</f>
        <v>nt234∆8</v>
      </c>
      <c r="DS50" s="1" t="str">
        <f>VC_NEW!DN22</f>
        <v>nt234∆8</v>
      </c>
      <c r="DT50" s="1" t="str">
        <f>VC_NEW!DO22</f>
        <v>nt234∆8</v>
      </c>
      <c r="DU50" s="1" t="str">
        <f>VC_NEW!DP22</f>
        <v>nt234∆8</v>
      </c>
      <c r="DV50" s="1" t="str">
        <f>VC_NEW!DQ22</f>
        <v>nt234∆8</v>
      </c>
      <c r="DW50" s="1" t="str">
        <f>VC_NEW!DR22</f>
        <v>nt234∆8</v>
      </c>
      <c r="DX50" s="1" t="str">
        <f>VC_NEW!DS22</f>
        <v>nt234∆8</v>
      </c>
      <c r="DY50" s="1" t="str">
        <f>VC_NEW!DT22</f>
        <v>nt234∆8</v>
      </c>
      <c r="DZ50" s="1" t="str">
        <f>VC_NEW!DU22</f>
        <v>nt234∆8</v>
      </c>
      <c r="EA50" s="1" t="str">
        <f>VC_NEW!DV22</f>
        <v>nt234∆8</v>
      </c>
      <c r="EB50" s="1" t="str">
        <f>VC_NEW!DW22</f>
        <v>nt234∆8</v>
      </c>
      <c r="EC50" s="1" t="str">
        <f>VC_NEW!DX22</f>
        <v>nt234∆8</v>
      </c>
      <c r="ED50" s="1" t="str">
        <f>VC_NEW!DY22</f>
        <v>nt234∆8</v>
      </c>
      <c r="EE50" s="1" t="str">
        <f>VC_NEW!DZ22</f>
        <v>nt234∆8</v>
      </c>
      <c r="EF50" s="1" t="str">
        <f>VC_NEW!EA22</f>
        <v>nt234∆8</v>
      </c>
      <c r="EG50" s="1" t="str">
        <f>VC_NEW!EB22</f>
        <v>nt234∆8</v>
      </c>
      <c r="EH50" s="1" t="str">
        <f>VC_NEW!EC22</f>
        <v>D96A; nt234∆8</v>
      </c>
      <c r="EI50" s="1" t="str">
        <f>VC_NEW!ED22</f>
        <v>nt234∆8</v>
      </c>
      <c r="EJ50" s="1" t="str">
        <f>VC_NEW!EE22</f>
        <v>A47V; nt234∆8</v>
      </c>
      <c r="EK50" s="1" t="str">
        <f>VC_NEW!EF22</f>
        <v>R334P; nt234∆8</v>
      </c>
      <c r="EL50" s="1" t="str">
        <f>VC_NEW!EG22</f>
        <v>nt234∆8</v>
      </c>
      <c r="EM50" s="1" t="str">
        <f>VC_NEW!EH22</f>
        <v>nt234∆8</v>
      </c>
      <c r="EN50" s="1" t="str">
        <f>VC_NEW!EI22</f>
        <v>nt234∆8</v>
      </c>
      <c r="EO50" s="1" t="str">
        <f>VC_NEW!EJ22</f>
        <v>nt234∆8</v>
      </c>
      <c r="EP50" s="1" t="str">
        <f>VC_NEW!EK22</f>
        <v>nt234∆8</v>
      </c>
      <c r="EQ50" s="1" t="str">
        <f>VC_NEW!EL22</f>
        <v>nt234∆8</v>
      </c>
      <c r="ER50" s="1" t="str">
        <f>VC_NEW!EM22</f>
        <v>nt234∆8</v>
      </c>
      <c r="ES50" s="1" t="str">
        <f>VC_NEW!EN22</f>
        <v>nt234∆8</v>
      </c>
      <c r="ET50" s="1" t="str">
        <f>VC_NEW!EO22</f>
        <v>nt234∆8</v>
      </c>
      <c r="EU50" s="1" t="str">
        <f>VC_NEW!EP22</f>
        <v>nt234∆8</v>
      </c>
      <c r="EV50" s="1" t="str">
        <f>VC_NEW!EQ22</f>
        <v>DELETED</v>
      </c>
      <c r="EW50" s="1" t="str">
        <f>VC_NEW!ER22</f>
        <v>nt234∆8</v>
      </c>
      <c r="EX50" s="1" t="str">
        <f>VC_NEW!ES22</f>
        <v>nt234∆8</v>
      </c>
      <c r="EY50" s="1" t="str">
        <f>VC_NEW!ET22</f>
        <v>nt234∆8</v>
      </c>
      <c r="EZ50" s="1" t="str">
        <f>VC_NEW!EU22</f>
        <v>nt234∆8</v>
      </c>
      <c r="FA50" s="1" t="str">
        <f>VC_NEW!EV22</f>
        <v>nt234∆8</v>
      </c>
      <c r="FB50" s="1" t="str">
        <f>VC_NEW!EW22</f>
        <v>nt234∆8</v>
      </c>
      <c r="FC50" s="1" t="str">
        <f>VC_NEW!EX22</f>
        <v>nt234∆8</v>
      </c>
      <c r="FD50" s="1" t="str">
        <f>VC_NEW!EY22</f>
        <v>nt234∆8</v>
      </c>
      <c r="FE50" s="1" t="str">
        <f>VC_NEW!EZ22</f>
        <v>nt234∆8</v>
      </c>
      <c r="FF50" s="1" t="str">
        <f>VC_NEW!FA22</f>
        <v>nt234∆8</v>
      </c>
      <c r="FG50" s="1" t="str">
        <f>VC_NEW!FB22</f>
        <v>nt234∆8</v>
      </c>
      <c r="FH50" s="1" t="str">
        <f>VC_NEW!FC22</f>
        <v>nt234∆8</v>
      </c>
      <c r="FI50" s="1" t="str">
        <f>VC_NEW!FD22</f>
        <v>nt234∆8</v>
      </c>
      <c r="FJ50" s="1" t="str">
        <f>VC_NEW!FE22</f>
        <v>nt234∆8</v>
      </c>
      <c r="FK50" s="1" t="str">
        <f>VC_NEW!FF22</f>
        <v>nt234∆8</v>
      </c>
      <c r="FL50" s="1" t="str">
        <f>VC_NEW!FG22</f>
        <v>nt234∆8</v>
      </c>
      <c r="FM50" s="1" t="str">
        <f>VC_NEW!FH22</f>
        <v>nt234∆8</v>
      </c>
      <c r="FN50" s="1" t="str">
        <f>VC_NEW!FI22</f>
        <v>nt234∆8</v>
      </c>
      <c r="FO50" s="1" t="str">
        <f>VC_NEW!FJ22</f>
        <v>nt234∆8</v>
      </c>
      <c r="FP50" s="1" t="str">
        <f>VC_NEW!FK22</f>
        <v>nt234∆8</v>
      </c>
      <c r="FQ50" s="1" t="str">
        <f>VC_NEW!FL22</f>
        <v>nt234∆8</v>
      </c>
      <c r="FR50" s="1" t="str">
        <f>VC_NEW!FM22</f>
        <v>nt234∆8</v>
      </c>
      <c r="FS50" s="1" t="str">
        <f>VC_NEW!FN22</f>
        <v>nt234∆8</v>
      </c>
      <c r="FT50" s="1" t="str">
        <f>VC_NEW!FO22</f>
        <v>nt234∆8</v>
      </c>
      <c r="FU50" s="1" t="str">
        <f>VC_NEW!FP22</f>
        <v>nt234∆8</v>
      </c>
      <c r="FV50" s="1" t="str">
        <f>VC_NEW!FQ22</f>
        <v>nt234∆8</v>
      </c>
      <c r="FW50" s="1" t="str">
        <f>VC_NEW!FR22</f>
        <v>nt234∆8</v>
      </c>
      <c r="FX50" s="1" t="str">
        <f>VC_NEW!FS22</f>
        <v>nt234∆8</v>
      </c>
      <c r="FY50" s="1" t="str">
        <f>VC_NEW!FT22</f>
        <v>nt234∆8</v>
      </c>
      <c r="FZ50" s="1" t="str">
        <f>VC_NEW!FU22</f>
        <v>nt234∆8</v>
      </c>
      <c r="GA50" s="1" t="str">
        <f>VC_NEW!FV22</f>
        <v>nt234∆8</v>
      </c>
      <c r="GB50" s="1" t="str">
        <f>VC_NEW!FW22</f>
        <v>R209S; nt234∆8</v>
      </c>
      <c r="GC50" s="1" t="str">
        <f>VC_NEW!FX22</f>
        <v>nt234∆8</v>
      </c>
      <c r="GD50" s="1" t="str">
        <f>VC_NEW!FY22</f>
        <v>nt234∆8</v>
      </c>
      <c r="GE50" s="1" t="str">
        <f>VC_NEW!FZ22</f>
        <v>nt234∆8</v>
      </c>
      <c r="GF50" s="1" t="str">
        <f>VC_NEW!GA22</f>
        <v>nt234∆8</v>
      </c>
      <c r="GG50" s="1" t="str">
        <f>VC_NEW!GB22</f>
        <v>nt234∆8</v>
      </c>
      <c r="GH50" s="1" t="str">
        <f>VC_NEW!GC22</f>
        <v>nt234∆8</v>
      </c>
      <c r="GI50" s="1" t="str">
        <f>VC_NEW!GD22</f>
        <v>nt234∆8</v>
      </c>
      <c r="GJ50" s="1" t="str">
        <f>VC_NEW!GE22</f>
        <v>nt234∆8</v>
      </c>
      <c r="GK50" s="1" t="str">
        <f>VC_NEW!GF22</f>
        <v>nt234∆8</v>
      </c>
      <c r="GL50" s="1" t="str">
        <f>VC_NEW!GG22</f>
        <v>nt234∆8</v>
      </c>
      <c r="GM50" s="1" t="str">
        <f>VC_NEW!GH22</f>
        <v>nt234∆8</v>
      </c>
      <c r="GN50" s="1" t="str">
        <f>VC_NEW!GI22</f>
        <v>nt234∆8</v>
      </c>
      <c r="GO50" s="1" t="str">
        <f>VC_NEW!GJ22</f>
        <v>nt234∆8</v>
      </c>
      <c r="GP50" s="1" t="str">
        <f>VC_NEW!GK22</f>
        <v>nt234∆8</v>
      </c>
      <c r="GQ50" s="1" t="str">
        <f>VC_NEW!GL22</f>
        <v>nt234∆8</v>
      </c>
      <c r="GR50" s="1" t="str">
        <f>VC_NEW!GM22</f>
        <v>nt234∆8</v>
      </c>
      <c r="GS50" s="1" t="str">
        <f>VC_NEW!GN22</f>
        <v>nt234∆8</v>
      </c>
      <c r="GT50" s="1" t="str">
        <f>VC_NEW!GO22</f>
        <v>nt234∆8</v>
      </c>
      <c r="GU50" s="1" t="str">
        <f>VC_NEW!GP22</f>
        <v>nt234∆8</v>
      </c>
      <c r="GV50" s="1" t="str">
        <f>VC_NEW!GQ22</f>
        <v>nt234∆8</v>
      </c>
      <c r="GW50" s="1" t="str">
        <f>VC_NEW!GR22</f>
        <v>nt234∆8</v>
      </c>
      <c r="GX50" s="1" t="str">
        <f>VC_NEW!GS22</f>
        <v>nt234∆8</v>
      </c>
      <c r="GY50" s="1" t="str">
        <f>VC_NEW!GT22</f>
        <v>nt234∆8</v>
      </c>
      <c r="GZ50" s="1" t="str">
        <f>VC_NEW!GU22</f>
        <v>nt234∆8</v>
      </c>
      <c r="HA50" s="1" t="str">
        <f>VC_NEW!GV22</f>
        <v>nt234∆8</v>
      </c>
      <c r="HB50" s="1" t="str">
        <f>VC_NEW!GW22</f>
        <v>nt234∆8</v>
      </c>
      <c r="HC50" s="1" t="str">
        <f>VC_NEW!GX22</f>
        <v>nt234∆8</v>
      </c>
    </row>
    <row r="51" spans="1:211" s="1" customFormat="1" ht="15" hidden="1" customHeight="1" x14ac:dyDescent="0.25">
      <c r="A51" s="78" t="s">
        <v>82</v>
      </c>
      <c r="B51" s="79" t="s">
        <v>85</v>
      </c>
      <c r="C51" s="80" t="s">
        <v>4</v>
      </c>
      <c r="D51" s="79" t="s">
        <v>77</v>
      </c>
      <c r="E51" s="79"/>
      <c r="F51" s="79" t="s">
        <v>74</v>
      </c>
      <c r="G51" s="110" t="s">
        <v>1055</v>
      </c>
      <c r="H51" s="1">
        <f>VC_NEW!C23</f>
        <v>0</v>
      </c>
      <c r="I51" s="1">
        <f>VC_NEW!D23</f>
        <v>0</v>
      </c>
      <c r="J51" s="1">
        <f>VC_NEW!E23</f>
        <v>0</v>
      </c>
      <c r="K51" s="1" t="str">
        <f>VC_NEW!F23</f>
        <v>G282S</v>
      </c>
      <c r="L51" s="1">
        <f>VC_NEW!G23</f>
        <v>0</v>
      </c>
      <c r="M51" s="1">
        <f>VC_NEW!H23</f>
        <v>0</v>
      </c>
      <c r="N51" s="1">
        <f>VC_NEW!I23</f>
        <v>0</v>
      </c>
      <c r="O51" s="1">
        <f>VC_NEW!J23</f>
        <v>0</v>
      </c>
      <c r="P51" s="1">
        <f>VC_NEW!K23</f>
        <v>0</v>
      </c>
      <c r="Q51" s="1">
        <f>VC_NEW!L23</f>
        <v>0</v>
      </c>
      <c r="R51" s="1">
        <f>VC_NEW!M23</f>
        <v>0</v>
      </c>
      <c r="S51" s="1">
        <f>VC_NEW!N23</f>
        <v>0</v>
      </c>
      <c r="T51" s="1">
        <f>VC_NEW!O23</f>
        <v>0</v>
      </c>
      <c r="U51" s="1">
        <f>VC_NEW!P23</f>
        <v>0</v>
      </c>
      <c r="V51" s="1">
        <f>VC_NEW!Q23</f>
        <v>0</v>
      </c>
      <c r="W51" s="1">
        <f>VC_NEW!R23</f>
        <v>0</v>
      </c>
      <c r="X51" s="1">
        <f>VC_NEW!S23</f>
        <v>0</v>
      </c>
      <c r="Y51" s="1" t="str">
        <f>VC_NEW!T23</f>
        <v>V156A</v>
      </c>
      <c r="Z51" s="1">
        <f>VC_NEW!U23</f>
        <v>0</v>
      </c>
      <c r="AA51" s="1">
        <f>VC_NEW!V23</f>
        <v>0</v>
      </c>
      <c r="AB51" s="1" t="str">
        <f>VC_NEW!W23</f>
        <v>P337A</v>
      </c>
      <c r="AC51" s="1">
        <f>VC_NEW!X23</f>
        <v>0</v>
      </c>
      <c r="AD51" s="1">
        <f>VC_NEW!Y23</f>
        <v>0</v>
      </c>
      <c r="AE51" s="1">
        <f>VC_NEW!Z23</f>
        <v>0</v>
      </c>
      <c r="AF51" s="1">
        <f>VC_NEW!AA23</f>
        <v>0</v>
      </c>
      <c r="AG51" s="1">
        <f>VC_NEW!AB23</f>
        <v>0</v>
      </c>
      <c r="AH51" s="1">
        <f>VC_NEW!AC23</f>
        <v>0</v>
      </c>
      <c r="AI51" s="1">
        <f>VC_NEW!AD23</f>
        <v>0</v>
      </c>
      <c r="AJ51" s="1">
        <f>VC_NEW!AE23</f>
        <v>0</v>
      </c>
      <c r="AK51" s="1">
        <f>VC_NEW!AF23</f>
        <v>0</v>
      </c>
      <c r="AL51" s="1">
        <f>VC_NEW!AG23</f>
        <v>0</v>
      </c>
      <c r="AM51" s="1">
        <f>VC_NEW!AH23</f>
        <v>0</v>
      </c>
      <c r="AN51" s="1">
        <f>VC_NEW!AI23</f>
        <v>0</v>
      </c>
      <c r="AO51" s="1">
        <f>VC_NEW!AJ23</f>
        <v>0</v>
      </c>
      <c r="AP51" s="1">
        <f>VC_NEW!AK23</f>
        <v>0</v>
      </c>
      <c r="AQ51" s="1">
        <f>VC_NEW!AL23</f>
        <v>0</v>
      </c>
      <c r="AR51" s="1">
        <f>VC_NEW!AM23</f>
        <v>0</v>
      </c>
      <c r="AS51" s="1">
        <f>VC_NEW!AN23</f>
        <v>0</v>
      </c>
      <c r="AT51" s="1">
        <f>VC_NEW!AO23</f>
        <v>0</v>
      </c>
      <c r="AU51" s="1">
        <f>VC_NEW!AP23</f>
        <v>0</v>
      </c>
      <c r="AV51" s="1">
        <f>VC_NEW!AQ23</f>
        <v>0</v>
      </c>
      <c r="AW51" s="1">
        <f>VC_NEW!AR23</f>
        <v>0</v>
      </c>
      <c r="AX51" s="1">
        <f>VC_NEW!AS23</f>
        <v>0</v>
      </c>
      <c r="AY51" s="1">
        <f>VC_NEW!AT23</f>
        <v>0</v>
      </c>
      <c r="AZ51" s="1">
        <f>VC_NEW!AU23</f>
        <v>0</v>
      </c>
      <c r="BA51" s="1">
        <f>VC_NEW!AV23</f>
        <v>0</v>
      </c>
      <c r="BB51" s="1">
        <f>VC_NEW!AW23</f>
        <v>0</v>
      </c>
      <c r="BC51" s="1">
        <f>VC_NEW!AX23</f>
        <v>0</v>
      </c>
      <c r="BD51" s="1">
        <f>VC_NEW!AY23</f>
        <v>0</v>
      </c>
      <c r="BE51" s="1">
        <f>VC_NEW!AZ23</f>
        <v>0</v>
      </c>
      <c r="BF51" s="1">
        <f>VC_NEW!BA23</f>
        <v>0</v>
      </c>
      <c r="BG51" s="1">
        <f>VC_NEW!BB23</f>
        <v>0</v>
      </c>
      <c r="BH51" s="1" t="str">
        <f>VC_NEW!BC23</f>
        <v>P337A</v>
      </c>
      <c r="BI51" s="1">
        <f>VC_NEW!BD23</f>
        <v>0</v>
      </c>
      <c r="BJ51" s="1">
        <f>VC_NEW!BE23</f>
        <v>0</v>
      </c>
      <c r="BK51" s="1">
        <f>VC_NEW!BF23</f>
        <v>0</v>
      </c>
      <c r="BL51" s="1">
        <f>VC_NEW!BG23</f>
        <v>0</v>
      </c>
      <c r="BM51" s="1">
        <f>VC_NEW!BH23</f>
        <v>0</v>
      </c>
      <c r="BN51" s="1">
        <f>VC_NEW!BI23</f>
        <v>0</v>
      </c>
      <c r="BO51" s="1">
        <f>VC_NEW!BJ23</f>
        <v>0</v>
      </c>
      <c r="BP51" s="1">
        <f>VC_NEW!BK23</f>
        <v>0</v>
      </c>
      <c r="BQ51" s="1">
        <f>VC_NEW!BL23</f>
        <v>0</v>
      </c>
      <c r="BR51" s="1">
        <f>VC_NEW!BM23</f>
        <v>0</v>
      </c>
      <c r="BS51" s="1">
        <f>VC_NEW!BN23</f>
        <v>0</v>
      </c>
      <c r="BT51" s="1">
        <f>VC_NEW!BO23</f>
        <v>0</v>
      </c>
      <c r="BU51" s="1">
        <f>VC_NEW!BP23</f>
        <v>0</v>
      </c>
      <c r="BV51" s="1">
        <f>VC_NEW!BQ23</f>
        <v>0</v>
      </c>
      <c r="BW51" s="1">
        <f>VC_NEW!BR23</f>
        <v>0</v>
      </c>
      <c r="BX51" s="1" t="str">
        <f>VC_NEW!BS23</f>
        <v>G250D</v>
      </c>
      <c r="BY51" s="1">
        <f>VC_NEW!BT23</f>
        <v>0</v>
      </c>
      <c r="BZ51" s="1">
        <f>VC_NEW!BU23</f>
        <v>0</v>
      </c>
      <c r="CA51" s="1">
        <f>VC_NEW!BV23</f>
        <v>0</v>
      </c>
      <c r="CB51" s="1">
        <f>VC_NEW!BW23</f>
        <v>0</v>
      </c>
      <c r="CC51" s="1">
        <f>VC_NEW!BX23</f>
        <v>0</v>
      </c>
      <c r="CD51" s="1">
        <f>VC_NEW!BY23</f>
        <v>0</v>
      </c>
      <c r="CE51" s="1">
        <f>VC_NEW!BZ23</f>
        <v>0</v>
      </c>
      <c r="CF51" s="1">
        <f>VC_NEW!CA23</f>
        <v>0</v>
      </c>
      <c r="CG51" s="1">
        <f>VC_NEW!CB23</f>
        <v>0</v>
      </c>
      <c r="CH51" s="1">
        <f>VC_NEW!CC23</f>
        <v>0</v>
      </c>
      <c r="CI51" s="1">
        <f>VC_NEW!CD23</f>
        <v>0</v>
      </c>
      <c r="CJ51" s="1">
        <f>VC_NEW!CE23</f>
        <v>0</v>
      </c>
      <c r="CK51" s="1">
        <f>VC_NEW!CF23</f>
        <v>0</v>
      </c>
      <c r="CL51" s="1">
        <f>VC_NEW!CG23</f>
        <v>0</v>
      </c>
      <c r="CM51" s="1">
        <f>VC_NEW!CH23</f>
        <v>0</v>
      </c>
      <c r="CN51" s="1">
        <f>VC_NEW!CI23</f>
        <v>0</v>
      </c>
      <c r="CO51" s="1" t="str">
        <f>VC_NEW!CJ23</f>
        <v>A377V</v>
      </c>
      <c r="CP51" s="1">
        <f>VC_NEW!CK23</f>
        <v>0</v>
      </c>
      <c r="CQ51" s="1">
        <f>VC_NEW!CL23</f>
        <v>0</v>
      </c>
      <c r="CR51" s="1">
        <f>VC_NEW!CM23</f>
        <v>0</v>
      </c>
      <c r="CS51" s="1" t="str">
        <f>VC_NEW!CN23</f>
        <v>F284L</v>
      </c>
      <c r="CT51" s="1">
        <f>VC_NEW!CO23</f>
        <v>0</v>
      </c>
      <c r="CU51" s="1">
        <f>VC_NEW!CP23</f>
        <v>0</v>
      </c>
      <c r="CV51" s="1">
        <f>VC_NEW!CQ23</f>
        <v>0</v>
      </c>
      <c r="CW51" s="1">
        <f>VC_NEW!CR23</f>
        <v>0</v>
      </c>
      <c r="CX51" s="1">
        <f>VC_NEW!CS23</f>
        <v>0</v>
      </c>
      <c r="CY51" s="1">
        <f>VC_NEW!CT23</f>
        <v>0</v>
      </c>
      <c r="CZ51" s="1" t="str">
        <f>VC_NEW!CU23</f>
        <v>E2V, Q368R</v>
      </c>
      <c r="DA51" s="1">
        <f>VC_NEW!CV23</f>
        <v>0</v>
      </c>
      <c r="DB51" s="1">
        <f>VC_NEW!CW23</f>
        <v>0</v>
      </c>
      <c r="DC51" s="1">
        <f>VC_NEW!CX23</f>
        <v>0</v>
      </c>
      <c r="DD51" s="1">
        <f>VC_NEW!CY23</f>
        <v>0</v>
      </c>
      <c r="DE51" s="1">
        <f>VC_NEW!CZ23</f>
        <v>0</v>
      </c>
      <c r="DF51" s="1">
        <f>VC_NEW!DA23</f>
        <v>0</v>
      </c>
      <c r="DG51" s="1">
        <f>VC_NEW!DB23</f>
        <v>0</v>
      </c>
      <c r="DH51" s="1">
        <f>VC_NEW!DC23</f>
        <v>0</v>
      </c>
      <c r="DI51" s="1">
        <f>VC_NEW!DD23</f>
        <v>0</v>
      </c>
      <c r="DJ51" s="1" t="str">
        <f>VC_NEW!DE23</f>
        <v>E2V, Q368R</v>
      </c>
      <c r="DK51" s="1">
        <f>VC_NEW!DF23</f>
        <v>0</v>
      </c>
      <c r="DL51" s="1">
        <f>VC_NEW!DG23</f>
        <v>0</v>
      </c>
      <c r="DM51" s="1">
        <f>VC_NEW!DH23</f>
        <v>0</v>
      </c>
      <c r="DN51" s="1">
        <f>VC_NEW!DI23</f>
        <v>0</v>
      </c>
      <c r="DO51" s="1">
        <f>VC_NEW!DJ23</f>
        <v>0</v>
      </c>
      <c r="DP51" s="1">
        <f>VC_NEW!DK23</f>
        <v>0</v>
      </c>
      <c r="DQ51" s="1">
        <f>VC_NEW!DL23</f>
        <v>0</v>
      </c>
      <c r="DR51" s="1">
        <f>VC_NEW!DM23</f>
        <v>0</v>
      </c>
      <c r="DS51" s="1">
        <f>VC_NEW!DN23</f>
        <v>0</v>
      </c>
      <c r="DT51" s="1">
        <f>VC_NEW!DO23</f>
        <v>0</v>
      </c>
      <c r="DU51" s="1">
        <f>VC_NEW!DP23</f>
        <v>0</v>
      </c>
      <c r="DV51" s="1">
        <f>VC_NEW!DQ23</f>
        <v>0</v>
      </c>
      <c r="DW51" s="1">
        <f>VC_NEW!DR23</f>
        <v>0</v>
      </c>
      <c r="DX51" s="1">
        <f>VC_NEW!DS23</f>
        <v>0</v>
      </c>
      <c r="DY51" s="1">
        <f>VC_NEW!DT23</f>
        <v>0</v>
      </c>
      <c r="DZ51" s="1">
        <f>VC_NEW!DU23</f>
        <v>0</v>
      </c>
      <c r="EA51" s="1">
        <f>VC_NEW!DV23</f>
        <v>0</v>
      </c>
      <c r="EB51" s="1">
        <f>VC_NEW!DW23</f>
        <v>0</v>
      </c>
      <c r="EC51" s="1">
        <f>VC_NEW!DX23</f>
        <v>0</v>
      </c>
      <c r="ED51" s="1">
        <f>VC_NEW!DY23</f>
        <v>0</v>
      </c>
      <c r="EE51" s="1">
        <f>VC_NEW!DZ23</f>
        <v>0</v>
      </c>
      <c r="EF51" s="1">
        <f>VC_NEW!EA23</f>
        <v>0</v>
      </c>
      <c r="EG51" s="1">
        <f>VC_NEW!EB23</f>
        <v>0</v>
      </c>
      <c r="EH51" s="1">
        <f>VC_NEW!EC23</f>
        <v>0</v>
      </c>
      <c r="EI51" s="1">
        <f>VC_NEW!ED23</f>
        <v>0</v>
      </c>
      <c r="EJ51" s="1">
        <f>VC_NEW!EE23</f>
        <v>0</v>
      </c>
      <c r="EK51" s="1">
        <f>VC_NEW!EF23</f>
        <v>0</v>
      </c>
      <c r="EL51" s="1">
        <f>VC_NEW!EG23</f>
        <v>0</v>
      </c>
      <c r="EM51" s="1">
        <f>VC_NEW!EH23</f>
        <v>0</v>
      </c>
      <c r="EN51" s="1">
        <f>VC_NEW!EI23</f>
        <v>0</v>
      </c>
      <c r="EO51" s="1">
        <f>VC_NEW!EJ23</f>
        <v>0</v>
      </c>
      <c r="EP51" s="1">
        <f>VC_NEW!EK23</f>
        <v>0</v>
      </c>
      <c r="EQ51" s="1">
        <f>VC_NEW!EL23</f>
        <v>0</v>
      </c>
      <c r="ER51" s="1">
        <f>VC_NEW!EM23</f>
        <v>0</v>
      </c>
      <c r="ES51" s="1">
        <f>VC_NEW!EN23</f>
        <v>0</v>
      </c>
      <c r="ET51" s="1">
        <f>VC_NEW!EO23</f>
        <v>0</v>
      </c>
      <c r="EU51" s="1">
        <f>VC_NEW!EP23</f>
        <v>0</v>
      </c>
      <c r="EV51" s="1" t="str">
        <f>VC_NEW!EQ23</f>
        <v>DELETED</v>
      </c>
      <c r="EW51" s="1">
        <f>VC_NEW!ER23</f>
        <v>0</v>
      </c>
      <c r="EX51" s="1">
        <f>VC_NEW!ES23</f>
        <v>0</v>
      </c>
      <c r="EY51" s="1">
        <f>VC_NEW!ET23</f>
        <v>0</v>
      </c>
      <c r="EZ51" s="1">
        <f>VC_NEW!EU23</f>
        <v>0</v>
      </c>
      <c r="FA51" s="1" t="str">
        <f>VC_NEW!EV23</f>
        <v>E2V, Q368R</v>
      </c>
      <c r="FB51" s="1">
        <f>VC_NEW!EW23</f>
        <v>0</v>
      </c>
      <c r="FC51" s="1">
        <f>VC_NEW!EX23</f>
        <v>0</v>
      </c>
      <c r="FD51" s="1" t="str">
        <f>VC_NEW!EY23</f>
        <v>E2V, Q368R</v>
      </c>
      <c r="FE51" s="1">
        <f>VC_NEW!EZ23</f>
        <v>0</v>
      </c>
      <c r="FF51" s="1">
        <f>VC_NEW!FA23</f>
        <v>0</v>
      </c>
      <c r="FG51" s="1">
        <f>VC_NEW!FB23</f>
        <v>0</v>
      </c>
      <c r="FH51" s="1">
        <f>VC_NEW!FC23</f>
        <v>0</v>
      </c>
      <c r="FI51" s="1">
        <f>VC_NEW!FD23</f>
        <v>0</v>
      </c>
      <c r="FJ51" s="1">
        <f>VC_NEW!FE23</f>
        <v>0</v>
      </c>
      <c r="FK51" s="1">
        <f>VC_NEW!FF23</f>
        <v>0</v>
      </c>
      <c r="FL51" s="1">
        <f>VC_NEW!FG23</f>
        <v>0</v>
      </c>
      <c r="FM51" s="1">
        <f>VC_NEW!FH23</f>
        <v>0</v>
      </c>
      <c r="FN51" s="1">
        <f>VC_NEW!FI23</f>
        <v>0</v>
      </c>
      <c r="FO51" s="1" t="str">
        <f>VC_NEW!FJ23</f>
        <v>V156A</v>
      </c>
      <c r="FP51" s="1">
        <f>VC_NEW!FK23</f>
        <v>0</v>
      </c>
      <c r="FQ51" s="1">
        <f>VC_NEW!FL23</f>
        <v>0</v>
      </c>
      <c r="FR51" s="1">
        <f>VC_NEW!FM23</f>
        <v>0</v>
      </c>
      <c r="FS51" s="1">
        <f>VC_NEW!FN23</f>
        <v>0</v>
      </c>
      <c r="FT51" s="1">
        <f>VC_NEW!FO23</f>
        <v>0</v>
      </c>
      <c r="FU51" s="1">
        <f>VC_NEW!FP23</f>
        <v>0</v>
      </c>
      <c r="FV51" s="1">
        <f>VC_NEW!FQ23</f>
        <v>0</v>
      </c>
      <c r="FW51" s="1">
        <f>VC_NEW!FR23</f>
        <v>0</v>
      </c>
      <c r="FX51" s="1">
        <f>VC_NEW!FS23</f>
        <v>0</v>
      </c>
      <c r="FY51" s="1">
        <f>VC_NEW!FT23</f>
        <v>0</v>
      </c>
      <c r="FZ51" s="1">
        <f>VC_NEW!FU23</f>
        <v>0</v>
      </c>
      <c r="GA51" s="1">
        <f>VC_NEW!FV23</f>
        <v>0</v>
      </c>
      <c r="GB51" s="1">
        <f>VC_NEW!FW23</f>
        <v>0</v>
      </c>
      <c r="GC51" s="1">
        <f>VC_NEW!FX23</f>
        <v>0</v>
      </c>
      <c r="GD51" s="1">
        <f>VC_NEW!FY23</f>
        <v>0</v>
      </c>
      <c r="GE51" s="1">
        <f>VC_NEW!FZ23</f>
        <v>0</v>
      </c>
      <c r="GF51" s="1">
        <f>VC_NEW!GA23</f>
        <v>0</v>
      </c>
      <c r="GG51" s="1">
        <f>VC_NEW!GB23</f>
        <v>0</v>
      </c>
      <c r="GH51" s="1">
        <f>VC_NEW!GC23</f>
        <v>0</v>
      </c>
      <c r="GI51" s="1">
        <f>VC_NEW!GD23</f>
        <v>0</v>
      </c>
      <c r="GJ51" s="1">
        <f>VC_NEW!GE23</f>
        <v>0</v>
      </c>
      <c r="GK51" s="1">
        <f>VC_NEW!GF23</f>
        <v>0</v>
      </c>
      <c r="GL51" s="1">
        <f>VC_NEW!GG23</f>
        <v>0</v>
      </c>
      <c r="GM51" s="1">
        <f>VC_NEW!GH23</f>
        <v>0</v>
      </c>
      <c r="GN51" s="1">
        <f>VC_NEW!GI23</f>
        <v>0</v>
      </c>
      <c r="GO51" s="1">
        <f>VC_NEW!GJ23</f>
        <v>0</v>
      </c>
      <c r="GP51" s="1">
        <f>VC_NEW!GK23</f>
        <v>0</v>
      </c>
      <c r="GQ51" s="1">
        <f>VC_NEW!GL23</f>
        <v>0</v>
      </c>
      <c r="GR51" s="1">
        <f>VC_NEW!GM23</f>
        <v>0</v>
      </c>
      <c r="GS51" s="1">
        <f>VC_NEW!GN23</f>
        <v>0</v>
      </c>
      <c r="GT51" s="1">
        <f>VC_NEW!GO23</f>
        <v>0</v>
      </c>
      <c r="GU51" s="1">
        <f>VC_NEW!GP23</f>
        <v>0</v>
      </c>
      <c r="GV51" s="1">
        <f>VC_NEW!GQ23</f>
        <v>0</v>
      </c>
      <c r="GW51" s="1">
        <f>VC_NEW!GR23</f>
        <v>0</v>
      </c>
      <c r="GX51" s="1">
        <f>VC_NEW!GS23</f>
        <v>0</v>
      </c>
      <c r="GY51" s="1">
        <f>VC_NEW!GT23</f>
        <v>0</v>
      </c>
      <c r="GZ51" s="1">
        <f>VC_NEW!GU23</f>
        <v>0</v>
      </c>
      <c r="HA51" s="1">
        <f>VC_NEW!GV23</f>
        <v>0</v>
      </c>
      <c r="HB51" s="1">
        <f>VC_NEW!GW23</f>
        <v>0</v>
      </c>
      <c r="HC51" s="1">
        <f>VC_NEW!GX23</f>
        <v>0</v>
      </c>
    </row>
    <row r="52" spans="1:211" s="7" customFormat="1" ht="15" hidden="1" customHeight="1" x14ac:dyDescent="0.25">
      <c r="A52" s="78" t="s">
        <v>83</v>
      </c>
      <c r="B52" s="79" t="s">
        <v>86</v>
      </c>
      <c r="C52" s="80" t="s">
        <v>4</v>
      </c>
      <c r="D52" s="79" t="s">
        <v>77</v>
      </c>
      <c r="E52" s="79"/>
      <c r="F52" s="79" t="s">
        <v>74</v>
      </c>
      <c r="G52" s="110"/>
      <c r="H52" s="7">
        <f>VC_NEW!C24</f>
        <v>0</v>
      </c>
      <c r="I52" s="7">
        <f>VC_NEW!D24</f>
        <v>0</v>
      </c>
      <c r="J52" s="7">
        <f>VC_NEW!E24</f>
        <v>0</v>
      </c>
      <c r="K52" s="7">
        <f>VC_NEW!F24</f>
        <v>0</v>
      </c>
      <c r="L52" s="7">
        <f>VC_NEW!G24</f>
        <v>0</v>
      </c>
      <c r="M52" s="7">
        <f>VC_NEW!H24</f>
        <v>0</v>
      </c>
      <c r="N52" s="7">
        <f>VC_NEW!I24</f>
        <v>0</v>
      </c>
      <c r="O52" s="7">
        <f>VC_NEW!J24</f>
        <v>0</v>
      </c>
      <c r="P52" s="7">
        <f>VC_NEW!K24</f>
        <v>0</v>
      </c>
      <c r="Q52" s="7">
        <f>VC_NEW!L24</f>
        <v>0</v>
      </c>
      <c r="R52" s="7">
        <f>VC_NEW!M24</f>
        <v>0</v>
      </c>
      <c r="S52" s="7">
        <f>VC_NEW!N24</f>
        <v>0</v>
      </c>
      <c r="T52" s="7">
        <f>VC_NEW!O24</f>
        <v>0</v>
      </c>
      <c r="U52" s="7">
        <f>VC_NEW!P24</f>
        <v>0</v>
      </c>
      <c r="V52" s="7">
        <f>VC_NEW!Q24</f>
        <v>0</v>
      </c>
      <c r="W52" s="7">
        <f>VC_NEW!R24</f>
        <v>0</v>
      </c>
      <c r="X52" s="7">
        <f>VC_NEW!S24</f>
        <v>0</v>
      </c>
      <c r="Y52" s="7">
        <f>VC_NEW!T24</f>
        <v>0</v>
      </c>
      <c r="Z52" s="7">
        <f>VC_NEW!U24</f>
        <v>0</v>
      </c>
      <c r="AA52" s="7">
        <f>VC_NEW!V24</f>
        <v>0</v>
      </c>
      <c r="AB52" s="7">
        <f>VC_NEW!W24</f>
        <v>0</v>
      </c>
      <c r="AC52" s="7">
        <f>VC_NEW!X24</f>
        <v>0</v>
      </c>
      <c r="AD52" s="7">
        <f>VC_NEW!Y24</f>
        <v>0</v>
      </c>
      <c r="AE52" s="7">
        <f>VC_NEW!Z24</f>
        <v>0</v>
      </c>
      <c r="AF52" s="7">
        <f>VC_NEW!AA24</f>
        <v>0</v>
      </c>
      <c r="AG52" s="7">
        <f>VC_NEW!AB24</f>
        <v>0</v>
      </c>
      <c r="AH52" s="7">
        <f>VC_NEW!AC24</f>
        <v>0</v>
      </c>
      <c r="AI52" s="7">
        <f>VC_NEW!AD24</f>
        <v>0</v>
      </c>
      <c r="AJ52" s="7">
        <f>VC_NEW!AE24</f>
        <v>0</v>
      </c>
      <c r="AK52" s="7">
        <f>VC_NEW!AF24</f>
        <v>0</v>
      </c>
      <c r="AL52" s="7" t="str">
        <f>VC_NEW!AG24</f>
        <v>Q363R</v>
      </c>
      <c r="AM52" s="7">
        <f>VC_NEW!AH24</f>
        <v>0</v>
      </c>
      <c r="AN52" s="7">
        <f>VC_NEW!AI24</f>
        <v>0</v>
      </c>
      <c r="AO52" s="7">
        <f>VC_NEW!AJ24</f>
        <v>0</v>
      </c>
      <c r="AP52" s="7">
        <f>VC_NEW!AK24</f>
        <v>0</v>
      </c>
      <c r="AQ52" s="7">
        <f>VC_NEW!AL24</f>
        <v>0</v>
      </c>
      <c r="AR52" s="7">
        <f>VC_NEW!AM24</f>
        <v>0</v>
      </c>
      <c r="AS52" s="7">
        <f>VC_NEW!AN24</f>
        <v>0</v>
      </c>
      <c r="AT52" s="7">
        <f>VC_NEW!AO24</f>
        <v>0</v>
      </c>
      <c r="AU52" s="7">
        <f>VC_NEW!AP24</f>
        <v>0</v>
      </c>
      <c r="AV52" s="7">
        <f>VC_NEW!AQ24</f>
        <v>0</v>
      </c>
      <c r="AW52" s="7">
        <f>VC_NEW!AR24</f>
        <v>0</v>
      </c>
      <c r="AX52" s="7" t="str">
        <f>VC_NEW!AS24</f>
        <v>G1056D</v>
      </c>
      <c r="AY52" s="7">
        <f>VC_NEW!AT24</f>
        <v>0</v>
      </c>
      <c r="AZ52" s="7">
        <f>VC_NEW!AU24</f>
        <v>0</v>
      </c>
      <c r="BA52" s="7">
        <f>VC_NEW!AV24</f>
        <v>0</v>
      </c>
      <c r="BB52" s="7">
        <f>VC_NEW!AW24</f>
        <v>0</v>
      </c>
      <c r="BC52" s="7">
        <f>VC_NEW!AX24</f>
        <v>0</v>
      </c>
      <c r="BD52" s="7">
        <f>VC_NEW!AY24</f>
        <v>0</v>
      </c>
      <c r="BE52" s="7">
        <f>VC_NEW!AZ24</f>
        <v>0</v>
      </c>
      <c r="BF52" s="7">
        <f>VC_NEW!BA24</f>
        <v>0</v>
      </c>
      <c r="BG52" s="7">
        <f>VC_NEW!BB24</f>
        <v>0</v>
      </c>
      <c r="BH52" s="7">
        <f>VC_NEW!BC24</f>
        <v>0</v>
      </c>
      <c r="BI52" s="7">
        <f>VC_NEW!BD24</f>
        <v>0</v>
      </c>
      <c r="BJ52" s="7">
        <f>VC_NEW!BE24</f>
        <v>0</v>
      </c>
      <c r="BK52" s="7">
        <f>VC_NEW!BF24</f>
        <v>0</v>
      </c>
      <c r="BL52" s="7" t="str">
        <f>VC_NEW!BG24</f>
        <v>A1062T</v>
      </c>
      <c r="BM52" s="7">
        <f>VC_NEW!BH24</f>
        <v>0</v>
      </c>
      <c r="BN52" s="7">
        <f>VC_NEW!BI24</f>
        <v>0</v>
      </c>
      <c r="BO52" s="7">
        <f>VC_NEW!BJ24</f>
        <v>0</v>
      </c>
      <c r="BP52" s="7">
        <f>VC_NEW!BK24</f>
        <v>0</v>
      </c>
      <c r="BQ52" s="7">
        <f>VC_NEW!BL24</f>
        <v>0</v>
      </c>
      <c r="BR52" s="7">
        <f>VC_NEW!BM24</f>
        <v>0</v>
      </c>
      <c r="BS52" s="7">
        <f>VC_NEW!BN24</f>
        <v>0</v>
      </c>
      <c r="BT52" s="7">
        <f>VC_NEW!BO24</f>
        <v>0</v>
      </c>
      <c r="BU52" s="7">
        <f>VC_NEW!BP24</f>
        <v>0</v>
      </c>
      <c r="BV52" s="7">
        <f>VC_NEW!BQ24</f>
        <v>0</v>
      </c>
      <c r="BW52" s="7">
        <f>VC_NEW!BR24</f>
        <v>0</v>
      </c>
      <c r="BX52" s="7">
        <f>VC_NEW!BS24</f>
        <v>0</v>
      </c>
      <c r="BY52" s="7">
        <f>VC_NEW!BT24</f>
        <v>0</v>
      </c>
      <c r="BZ52" s="7">
        <f>VC_NEW!BU24</f>
        <v>0</v>
      </c>
      <c r="CA52" s="7">
        <f>VC_NEW!BV24</f>
        <v>0</v>
      </c>
      <c r="CB52" s="7">
        <f>VC_NEW!BW24</f>
        <v>0</v>
      </c>
      <c r="CC52" s="7">
        <f>VC_NEW!BX24</f>
        <v>0</v>
      </c>
      <c r="CD52" s="7">
        <f>VC_NEW!BY24</f>
        <v>0</v>
      </c>
      <c r="CE52" s="7">
        <f>VC_NEW!BZ24</f>
        <v>0</v>
      </c>
      <c r="CF52" s="7">
        <f>VC_NEW!CA24</f>
        <v>0</v>
      </c>
      <c r="CG52" s="7">
        <f>VC_NEW!CB24</f>
        <v>0</v>
      </c>
      <c r="CH52" s="7">
        <f>VC_NEW!CC24</f>
        <v>0</v>
      </c>
      <c r="CI52" s="7">
        <f>VC_NEW!CD24</f>
        <v>0</v>
      </c>
      <c r="CJ52" s="7">
        <f>VC_NEW!CE24</f>
        <v>0</v>
      </c>
      <c r="CK52" s="7">
        <f>VC_NEW!CF24</f>
        <v>0</v>
      </c>
      <c r="CL52" s="7">
        <f>VC_NEW!CG24</f>
        <v>0</v>
      </c>
      <c r="CM52" s="7">
        <f>VC_NEW!CH24</f>
        <v>0</v>
      </c>
      <c r="CN52" s="7">
        <f>VC_NEW!CI24</f>
        <v>0</v>
      </c>
      <c r="CO52" s="7">
        <f>VC_NEW!CJ24</f>
        <v>0</v>
      </c>
      <c r="CP52" s="7">
        <f>VC_NEW!CK24</f>
        <v>0</v>
      </c>
      <c r="CQ52" s="7">
        <f>VC_NEW!CL24</f>
        <v>0</v>
      </c>
      <c r="CR52" s="7">
        <f>VC_NEW!CM24</f>
        <v>0</v>
      </c>
      <c r="CS52" s="7">
        <f>VC_NEW!CN24</f>
        <v>0</v>
      </c>
      <c r="CT52" s="7">
        <f>VC_NEW!CO24</f>
        <v>0</v>
      </c>
      <c r="CU52" s="7">
        <f>VC_NEW!CP24</f>
        <v>0</v>
      </c>
      <c r="CV52" s="7">
        <f>VC_NEW!CQ24</f>
        <v>0</v>
      </c>
      <c r="CW52" s="7">
        <f>VC_NEW!CR24</f>
        <v>0</v>
      </c>
      <c r="CX52" s="7">
        <f>VC_NEW!CS24</f>
        <v>0</v>
      </c>
      <c r="CY52" s="7">
        <f>VC_NEW!CT24</f>
        <v>0</v>
      </c>
      <c r="CZ52" s="7">
        <f>VC_NEW!CU24</f>
        <v>0</v>
      </c>
      <c r="DA52" s="7">
        <f>VC_NEW!CV24</f>
        <v>0</v>
      </c>
      <c r="DB52" s="7">
        <f>VC_NEW!CW24</f>
        <v>0</v>
      </c>
      <c r="DC52" s="7">
        <f>VC_NEW!CX24</f>
        <v>0</v>
      </c>
      <c r="DD52" s="7">
        <f>VC_NEW!CY24</f>
        <v>0</v>
      </c>
      <c r="DE52" s="7">
        <f>VC_NEW!CZ24</f>
        <v>0</v>
      </c>
      <c r="DF52" s="7">
        <f>VC_NEW!DA24</f>
        <v>0</v>
      </c>
      <c r="DG52" s="7">
        <f>VC_NEW!DB24</f>
        <v>0</v>
      </c>
      <c r="DH52" s="7" t="str">
        <f>VC_NEW!DC24</f>
        <v>S510L</v>
      </c>
      <c r="DI52" s="7">
        <f>VC_NEW!DD24</f>
        <v>0</v>
      </c>
      <c r="DJ52" s="7">
        <f>VC_NEW!DE24</f>
        <v>0</v>
      </c>
      <c r="DK52" s="7">
        <f>VC_NEW!DF24</f>
        <v>0</v>
      </c>
      <c r="DL52" s="7">
        <f>VC_NEW!DG24</f>
        <v>0</v>
      </c>
      <c r="DM52" s="7">
        <f>VC_NEW!DH24</f>
        <v>0</v>
      </c>
      <c r="DN52" s="7">
        <f>VC_NEW!DI24</f>
        <v>0</v>
      </c>
      <c r="DO52" s="7">
        <f>VC_NEW!DJ24</f>
        <v>0</v>
      </c>
      <c r="DP52" s="7">
        <f>VC_NEW!DK24</f>
        <v>0</v>
      </c>
      <c r="DQ52" s="7">
        <f>VC_NEW!DL24</f>
        <v>0</v>
      </c>
      <c r="DR52" s="7">
        <f>VC_NEW!DM24</f>
        <v>0</v>
      </c>
      <c r="DS52" s="7">
        <f>VC_NEW!DN24</f>
        <v>0</v>
      </c>
      <c r="DT52" s="7">
        <f>VC_NEW!DO24</f>
        <v>0</v>
      </c>
      <c r="DU52" s="7">
        <f>VC_NEW!DP24</f>
        <v>0</v>
      </c>
      <c r="DV52" s="7">
        <f>VC_NEW!DQ24</f>
        <v>0</v>
      </c>
      <c r="DW52" s="7">
        <f>VC_NEW!DR24</f>
        <v>0</v>
      </c>
      <c r="DX52" s="7">
        <f>VC_NEW!DS24</f>
        <v>0</v>
      </c>
      <c r="DY52" s="7">
        <f>VC_NEW!DT24</f>
        <v>0</v>
      </c>
      <c r="DZ52" s="7">
        <f>VC_NEW!DU24</f>
        <v>0</v>
      </c>
      <c r="EA52" s="7">
        <f>VC_NEW!DV24</f>
        <v>0</v>
      </c>
      <c r="EB52" s="7">
        <f>VC_NEW!DW24</f>
        <v>0</v>
      </c>
      <c r="EC52" s="7" t="str">
        <f>VC_NEW!DX24</f>
        <v>I753V</v>
      </c>
      <c r="ED52" s="7" t="str">
        <f>VC_NEW!DY24</f>
        <v>A598S</v>
      </c>
      <c r="EE52" s="7">
        <f>VC_NEW!DZ24</f>
        <v>0</v>
      </c>
      <c r="EF52" s="7">
        <f>VC_NEW!EA24</f>
        <v>0</v>
      </c>
      <c r="EG52" s="7" t="str">
        <f>VC_NEW!EB24</f>
        <v>T95I</v>
      </c>
      <c r="EH52" s="7" t="str">
        <f>VC_NEW!EC24</f>
        <v>A550V</v>
      </c>
      <c r="EI52" s="7">
        <f>VC_NEW!ED24</f>
        <v>0</v>
      </c>
      <c r="EJ52" s="7">
        <f>VC_NEW!EE24</f>
        <v>0</v>
      </c>
      <c r="EK52" s="7">
        <f>VC_NEW!EF24</f>
        <v>0</v>
      </c>
      <c r="EL52" s="7">
        <f>VC_NEW!EG24</f>
        <v>0</v>
      </c>
      <c r="EM52" s="7">
        <f>VC_NEW!EH24</f>
        <v>0</v>
      </c>
      <c r="EN52" s="7">
        <f>VC_NEW!EI24</f>
        <v>0</v>
      </c>
      <c r="EO52" s="7">
        <f>VC_NEW!EJ24</f>
        <v>0</v>
      </c>
      <c r="EP52" s="7">
        <f>VC_NEW!EK24</f>
        <v>0</v>
      </c>
      <c r="EQ52" s="7">
        <f>VC_NEW!EL24</f>
        <v>0</v>
      </c>
      <c r="ER52" s="7">
        <f>VC_NEW!EM24</f>
        <v>0</v>
      </c>
      <c r="ES52" s="7">
        <f>VC_NEW!EN24</f>
        <v>0</v>
      </c>
      <c r="ET52" s="7">
        <f>VC_NEW!EO24</f>
        <v>0</v>
      </c>
      <c r="EU52" s="7">
        <f>VC_NEW!EP24</f>
        <v>0</v>
      </c>
      <c r="EV52" s="7" t="str">
        <f>VC_NEW!EQ24</f>
        <v>DELETED</v>
      </c>
      <c r="EW52" s="7" t="str">
        <f>VC_NEW!ER24</f>
        <v>A256T; N276S; T713A</v>
      </c>
      <c r="EX52" s="7">
        <f>VC_NEW!ES24</f>
        <v>0</v>
      </c>
      <c r="EY52" s="7">
        <f>VC_NEW!ET24</f>
        <v>0</v>
      </c>
      <c r="EZ52" s="7">
        <f>VC_NEW!EU24</f>
        <v>0</v>
      </c>
      <c r="FA52" s="7">
        <f>VC_NEW!EV24</f>
        <v>0</v>
      </c>
      <c r="FB52" s="7">
        <f>VC_NEW!EW24</f>
        <v>0</v>
      </c>
      <c r="FC52" s="7">
        <f>VC_NEW!EX24</f>
        <v>0</v>
      </c>
      <c r="FD52" s="7">
        <f>VC_NEW!EY24</f>
        <v>0</v>
      </c>
      <c r="FE52" s="7">
        <f>VC_NEW!EZ24</f>
        <v>0</v>
      </c>
      <c r="FF52" s="7">
        <f>VC_NEW!FA24</f>
        <v>0</v>
      </c>
      <c r="FG52" s="7">
        <f>VC_NEW!FB24</f>
        <v>0</v>
      </c>
      <c r="FH52" s="7">
        <f>VC_NEW!FC24</f>
        <v>0</v>
      </c>
      <c r="FI52" s="7">
        <f>VC_NEW!FD24</f>
        <v>0</v>
      </c>
      <c r="FJ52" s="7">
        <f>VC_NEW!FE24</f>
        <v>0</v>
      </c>
      <c r="FK52" s="7">
        <f>VC_NEW!FF24</f>
        <v>0</v>
      </c>
      <c r="FL52" s="7">
        <f>VC_NEW!FG24</f>
        <v>0</v>
      </c>
      <c r="FM52" s="7">
        <f>VC_NEW!FH24</f>
        <v>0</v>
      </c>
      <c r="FN52" s="7">
        <f>VC_NEW!FI24</f>
        <v>0</v>
      </c>
      <c r="FO52" s="7">
        <f>VC_NEW!FJ24</f>
        <v>0</v>
      </c>
      <c r="FP52" s="7">
        <f>VC_NEW!FK24</f>
        <v>0</v>
      </c>
      <c r="FQ52" s="7">
        <f>VC_NEW!FL24</f>
        <v>0</v>
      </c>
      <c r="FR52" s="7">
        <f>VC_NEW!FM24</f>
        <v>0</v>
      </c>
      <c r="FS52" s="7">
        <f>VC_NEW!FN24</f>
        <v>0</v>
      </c>
      <c r="FT52" s="7">
        <f>VC_NEW!FO24</f>
        <v>0</v>
      </c>
      <c r="FU52" s="7">
        <f>VC_NEW!FP24</f>
        <v>0</v>
      </c>
      <c r="FV52" s="7">
        <f>VC_NEW!FQ24</f>
        <v>0</v>
      </c>
      <c r="FW52" s="7" t="str">
        <f>VC_NEW!FR24</f>
        <v>A842T</v>
      </c>
      <c r="FX52" s="7">
        <f>VC_NEW!FS24</f>
        <v>0</v>
      </c>
      <c r="FY52" s="7">
        <f>VC_NEW!FT24</f>
        <v>0</v>
      </c>
      <c r="FZ52" s="7">
        <f>VC_NEW!FU24</f>
        <v>0</v>
      </c>
      <c r="GA52" s="7">
        <f>VC_NEW!FV24</f>
        <v>0</v>
      </c>
      <c r="GB52" s="7">
        <f>VC_NEW!FW24</f>
        <v>0</v>
      </c>
      <c r="GC52" s="7">
        <f>VC_NEW!FX24</f>
        <v>0</v>
      </c>
      <c r="GD52" s="7">
        <f>VC_NEW!FY24</f>
        <v>0</v>
      </c>
      <c r="GE52" s="7">
        <f>VC_NEW!FZ24</f>
        <v>0</v>
      </c>
      <c r="GF52" s="7" t="str">
        <f>VC_NEW!GA24</f>
        <v>D669G</v>
      </c>
      <c r="GG52" s="7">
        <f>VC_NEW!GB24</f>
        <v>0</v>
      </c>
      <c r="GH52" s="7">
        <f>VC_NEW!GC24</f>
        <v>0</v>
      </c>
      <c r="GI52" s="7" t="str">
        <f>VC_NEW!GD24</f>
        <v>D669G</v>
      </c>
      <c r="GJ52" s="7">
        <f>VC_NEW!GE24</f>
        <v>0</v>
      </c>
      <c r="GK52" s="7">
        <f>VC_NEW!GF24</f>
        <v>0</v>
      </c>
      <c r="GL52" s="7">
        <f>VC_NEW!GG24</f>
        <v>0</v>
      </c>
      <c r="GM52" s="7">
        <f>VC_NEW!GH24</f>
        <v>0</v>
      </c>
      <c r="GN52" s="7">
        <f>VC_NEW!GI24</f>
        <v>0</v>
      </c>
      <c r="GO52" s="7">
        <f>VC_NEW!GJ24</f>
        <v>0</v>
      </c>
      <c r="GP52" s="7">
        <f>VC_NEW!GK24</f>
        <v>0</v>
      </c>
      <c r="GQ52" s="7">
        <f>VC_NEW!GL24</f>
        <v>0</v>
      </c>
      <c r="GR52" s="7">
        <f>VC_NEW!GM24</f>
        <v>0</v>
      </c>
      <c r="GS52" s="7">
        <f>VC_NEW!GN24</f>
        <v>0</v>
      </c>
      <c r="GT52" s="7">
        <f>VC_NEW!GO24</f>
        <v>0</v>
      </c>
      <c r="GU52" s="7">
        <f>VC_NEW!GP24</f>
        <v>0</v>
      </c>
      <c r="GV52" s="7">
        <f>VC_NEW!GQ24</f>
        <v>0</v>
      </c>
      <c r="GW52" s="7">
        <f>VC_NEW!GR24</f>
        <v>0</v>
      </c>
      <c r="GX52" s="7">
        <f>VC_NEW!GS24</f>
        <v>0</v>
      </c>
      <c r="GY52" s="7">
        <f>VC_NEW!GT24</f>
        <v>0</v>
      </c>
      <c r="GZ52" s="7">
        <f>VC_NEW!GU24</f>
        <v>0</v>
      </c>
      <c r="HA52" s="7">
        <f>VC_NEW!GV24</f>
        <v>0</v>
      </c>
      <c r="HB52" s="7">
        <f>VC_NEW!GW24</f>
        <v>0</v>
      </c>
      <c r="HC52" s="7">
        <f>VC_NEW!GX24</f>
        <v>0</v>
      </c>
    </row>
    <row r="53" spans="1:211" s="1" customFormat="1" ht="15.75" hidden="1" customHeight="1" thickBot="1" x14ac:dyDescent="0.3">
      <c r="A53" s="81" t="s">
        <v>84</v>
      </c>
      <c r="B53" s="82" t="s">
        <v>87</v>
      </c>
      <c r="C53" s="83" t="s">
        <v>4</v>
      </c>
      <c r="D53" s="82" t="s">
        <v>77</v>
      </c>
      <c r="E53" s="82"/>
      <c r="F53" s="82" t="s">
        <v>74</v>
      </c>
      <c r="G53" s="111"/>
      <c r="H53" s="1">
        <f>VC_NEW!C25</f>
        <v>0</v>
      </c>
      <c r="I53" s="1" t="str">
        <f>VC_NEW!D25</f>
        <v>A12T</v>
      </c>
      <c r="J53" s="1">
        <f>VC_NEW!E25</f>
        <v>0</v>
      </c>
      <c r="K53" s="1">
        <f>VC_NEW!F25</f>
        <v>0</v>
      </c>
      <c r="L53" s="1">
        <f>VC_NEW!G25</f>
        <v>0</v>
      </c>
      <c r="M53" s="1">
        <f>VC_NEW!H25</f>
        <v>0</v>
      </c>
      <c r="N53" s="1">
        <f>VC_NEW!I25</f>
        <v>0</v>
      </c>
      <c r="O53" s="1">
        <f>VC_NEW!J25</f>
        <v>0</v>
      </c>
      <c r="P53" s="1">
        <f>VC_NEW!K25</f>
        <v>0</v>
      </c>
      <c r="Q53" s="1" t="str">
        <f>VC_NEW!L25</f>
        <v>A228V</v>
      </c>
      <c r="R53" s="1">
        <f>VC_NEW!M25</f>
        <v>0</v>
      </c>
      <c r="S53" s="1">
        <f>VC_NEW!N25</f>
        <v>0</v>
      </c>
      <c r="T53" s="1">
        <f>VC_NEW!O25</f>
        <v>0</v>
      </c>
      <c r="U53" s="1">
        <f>VC_NEW!P25</f>
        <v>0</v>
      </c>
      <c r="V53" s="1">
        <f>VC_NEW!Q25</f>
        <v>0</v>
      </c>
      <c r="W53" s="1">
        <f>VC_NEW!R25</f>
        <v>0</v>
      </c>
      <c r="X53" s="1">
        <f>VC_NEW!S25</f>
        <v>0</v>
      </c>
      <c r="Y53" s="1">
        <f>VC_NEW!T25</f>
        <v>0</v>
      </c>
      <c r="Z53" s="1">
        <f>VC_NEW!U25</f>
        <v>0</v>
      </c>
      <c r="AA53" s="1">
        <f>VC_NEW!V25</f>
        <v>0</v>
      </c>
      <c r="AB53" s="1">
        <f>VC_NEW!W25</f>
        <v>0</v>
      </c>
      <c r="AC53" s="1">
        <f>VC_NEW!X25</f>
        <v>0</v>
      </c>
      <c r="AD53" s="1">
        <f>VC_NEW!Y25</f>
        <v>0</v>
      </c>
      <c r="AE53" s="1">
        <f>VC_NEW!Z25</f>
        <v>0</v>
      </c>
      <c r="AF53" s="1">
        <f>VC_NEW!AA25</f>
        <v>0</v>
      </c>
      <c r="AG53" s="1">
        <f>VC_NEW!AB25</f>
        <v>0</v>
      </c>
      <c r="AH53" s="1" t="str">
        <f>VC_NEW!AC25</f>
        <v>R363H</v>
      </c>
      <c r="AI53" s="1">
        <f>VC_NEW!AD25</f>
        <v>0</v>
      </c>
      <c r="AJ53" s="1">
        <f>VC_NEW!AE25</f>
        <v>0</v>
      </c>
      <c r="AK53" s="1">
        <f>VC_NEW!AF25</f>
        <v>0</v>
      </c>
      <c r="AL53" s="1">
        <f>VC_NEW!AG25</f>
        <v>0</v>
      </c>
      <c r="AM53" s="1">
        <f>VC_NEW!AH25</f>
        <v>0</v>
      </c>
      <c r="AN53" s="1">
        <f>VC_NEW!AI25</f>
        <v>0</v>
      </c>
      <c r="AO53" s="1">
        <f>VC_NEW!AJ25</f>
        <v>0</v>
      </c>
      <c r="AP53" s="1" t="str">
        <f>VC_NEW!AK25</f>
        <v>R151L</v>
      </c>
      <c r="AQ53" s="1">
        <f>VC_NEW!AL25</f>
        <v>0</v>
      </c>
      <c r="AR53" s="1">
        <f>VC_NEW!AM25</f>
        <v>0</v>
      </c>
      <c r="AS53" s="1">
        <f>VC_NEW!AN25</f>
        <v>0</v>
      </c>
      <c r="AT53" s="1">
        <f>VC_NEW!AO25</f>
        <v>0</v>
      </c>
      <c r="AU53" s="1">
        <f>VC_NEW!AP25</f>
        <v>0</v>
      </c>
      <c r="AV53" s="1">
        <f>VC_NEW!AQ25</f>
        <v>0</v>
      </c>
      <c r="AW53" s="1">
        <f>VC_NEW!AR25</f>
        <v>0</v>
      </c>
      <c r="AX53" s="1" t="str">
        <f>VC_NEW!AS25</f>
        <v>D102N</v>
      </c>
      <c r="AY53" s="1">
        <f>VC_NEW!AT25</f>
        <v>0</v>
      </c>
      <c r="AZ53" s="1">
        <f>VC_NEW!AU25</f>
        <v>0</v>
      </c>
      <c r="BA53" s="1">
        <f>VC_NEW!AV25</f>
        <v>0</v>
      </c>
      <c r="BB53" s="1">
        <f>VC_NEW!AW25</f>
        <v>0</v>
      </c>
      <c r="BC53" s="1">
        <f>VC_NEW!AX25</f>
        <v>0</v>
      </c>
      <c r="BD53" s="1">
        <f>VC_NEW!AY25</f>
        <v>0</v>
      </c>
      <c r="BE53" s="1">
        <f>VC_NEW!AZ25</f>
        <v>0</v>
      </c>
      <c r="BF53" s="1" t="str">
        <f>VC_NEW!BA25</f>
        <v>R455H</v>
      </c>
      <c r="BG53" s="1">
        <f>VC_NEW!BB25</f>
        <v>0</v>
      </c>
      <c r="BH53" s="1" t="str">
        <f>VC_NEW!BC25</f>
        <v>G364S</v>
      </c>
      <c r="BI53" s="1">
        <f>VC_NEW!BD25</f>
        <v>0</v>
      </c>
      <c r="BJ53" s="1">
        <f>VC_NEW!BE25</f>
        <v>0</v>
      </c>
      <c r="BK53" s="1">
        <f>VC_NEW!BF25</f>
        <v>0</v>
      </c>
      <c r="BL53" s="1">
        <f>VC_NEW!BG25</f>
        <v>0</v>
      </c>
      <c r="BM53" s="1">
        <f>VC_NEW!BH25</f>
        <v>0</v>
      </c>
      <c r="BN53" s="1">
        <f>VC_NEW!BI25</f>
        <v>0</v>
      </c>
      <c r="BO53" s="1">
        <f>VC_NEW!BJ25</f>
        <v>0</v>
      </c>
      <c r="BP53" s="1">
        <f>VC_NEW!BK25</f>
        <v>0</v>
      </c>
      <c r="BQ53" s="1">
        <f>VC_NEW!BL25</f>
        <v>0</v>
      </c>
      <c r="BR53" s="1">
        <f>VC_NEW!BM25</f>
        <v>0</v>
      </c>
      <c r="BS53" s="1">
        <f>VC_NEW!BN25</f>
        <v>0</v>
      </c>
      <c r="BT53" s="1">
        <f>VC_NEW!BO25</f>
        <v>0</v>
      </c>
      <c r="BU53" s="1">
        <f>VC_NEW!BP25</f>
        <v>0</v>
      </c>
      <c r="BV53" s="1">
        <f>VC_NEW!BQ25</f>
        <v>0</v>
      </c>
      <c r="BW53" s="1">
        <f>VC_NEW!BR25</f>
        <v>0</v>
      </c>
      <c r="BX53" s="1">
        <f>VC_NEW!BS25</f>
        <v>0</v>
      </c>
      <c r="BY53" s="1">
        <f>VC_NEW!BT25</f>
        <v>0</v>
      </c>
      <c r="BZ53" s="1">
        <f>VC_NEW!BU25</f>
        <v>0</v>
      </c>
      <c r="CA53" s="1">
        <f>VC_NEW!BV25</f>
        <v>0</v>
      </c>
      <c r="CB53" s="1">
        <f>VC_NEW!BW25</f>
        <v>0</v>
      </c>
      <c r="CC53" s="1">
        <f>VC_NEW!BX25</f>
        <v>0</v>
      </c>
      <c r="CD53" s="1">
        <f>VC_NEW!BY25</f>
        <v>0</v>
      </c>
      <c r="CE53" s="1">
        <f>VC_NEW!BZ25</f>
        <v>0</v>
      </c>
      <c r="CF53" s="1">
        <f>VC_NEW!CA25</f>
        <v>0</v>
      </c>
      <c r="CG53" s="1">
        <f>VC_NEW!CB25</f>
        <v>0</v>
      </c>
      <c r="CH53" s="1">
        <f>VC_NEW!CC25</f>
        <v>0</v>
      </c>
      <c r="CI53" s="1">
        <f>VC_NEW!CD25</f>
        <v>0</v>
      </c>
      <c r="CJ53" s="1">
        <f>VC_NEW!CE25</f>
        <v>0</v>
      </c>
      <c r="CK53" s="1">
        <f>VC_NEW!CF25</f>
        <v>0</v>
      </c>
      <c r="CL53" s="1">
        <f>VC_NEW!CG25</f>
        <v>0</v>
      </c>
      <c r="CM53" s="1">
        <f>VC_NEW!CH25</f>
        <v>0</v>
      </c>
      <c r="CN53" s="1">
        <f>VC_NEW!CI25</f>
        <v>0</v>
      </c>
      <c r="CO53" s="1" t="str">
        <f>VC_NEW!CJ25</f>
        <v>T27A</v>
      </c>
      <c r="CP53" s="1">
        <f>VC_NEW!CK25</f>
        <v>0</v>
      </c>
      <c r="CQ53" s="1">
        <f>VC_NEW!CL25</f>
        <v>0</v>
      </c>
      <c r="CR53" s="1" t="str">
        <f>VC_NEW!CM25</f>
        <v>P35L</v>
      </c>
      <c r="CS53" s="1">
        <f>VC_NEW!CN25</f>
        <v>0</v>
      </c>
      <c r="CT53" s="1">
        <f>VC_NEW!CO25</f>
        <v>0</v>
      </c>
      <c r="CU53" s="1">
        <f>VC_NEW!CP25</f>
        <v>0</v>
      </c>
      <c r="CV53" s="1">
        <f>VC_NEW!CQ25</f>
        <v>0</v>
      </c>
      <c r="CW53" s="1">
        <f>VC_NEW!CR25</f>
        <v>0</v>
      </c>
      <c r="CX53" s="1">
        <f>VC_NEW!CS25</f>
        <v>0</v>
      </c>
      <c r="CY53" s="1">
        <f>VC_NEW!CT25</f>
        <v>0</v>
      </c>
      <c r="CZ53" s="1">
        <f>VC_NEW!CU25</f>
        <v>0</v>
      </c>
      <c r="DA53" s="1">
        <f>VC_NEW!CV25</f>
        <v>0</v>
      </c>
      <c r="DB53" s="1">
        <f>VC_NEW!CW25</f>
        <v>0</v>
      </c>
      <c r="DC53" s="1">
        <f>VC_NEW!CX25</f>
        <v>0</v>
      </c>
      <c r="DD53" s="1">
        <f>VC_NEW!CY25</f>
        <v>0</v>
      </c>
      <c r="DE53" s="1">
        <f>VC_NEW!CZ25</f>
        <v>0</v>
      </c>
      <c r="DF53" s="1">
        <f>VC_NEW!DA25</f>
        <v>0</v>
      </c>
      <c r="DG53" s="1">
        <f>VC_NEW!DB25</f>
        <v>0</v>
      </c>
      <c r="DH53" s="1" t="str">
        <f>VC_NEW!DC25</f>
        <v>A12T</v>
      </c>
      <c r="DI53" s="1">
        <f>VC_NEW!DD25</f>
        <v>0</v>
      </c>
      <c r="DJ53" s="1">
        <f>VC_NEW!DE25</f>
        <v>0</v>
      </c>
      <c r="DK53" s="1">
        <f>VC_NEW!DF25</f>
        <v>0</v>
      </c>
      <c r="DL53" s="1">
        <f>VC_NEW!DG25</f>
        <v>0</v>
      </c>
      <c r="DM53" s="1">
        <f>VC_NEW!DH25</f>
        <v>0</v>
      </c>
      <c r="DN53" s="1">
        <f>VC_NEW!DI25</f>
        <v>0</v>
      </c>
      <c r="DO53" s="1">
        <f>VC_NEW!DJ25</f>
        <v>0</v>
      </c>
      <c r="DP53" s="1" t="str">
        <f>VC_NEW!DK25</f>
        <v>R151L</v>
      </c>
      <c r="DQ53" s="1">
        <f>VC_NEW!DL25</f>
        <v>0</v>
      </c>
      <c r="DR53" s="1">
        <f>VC_NEW!DM25</f>
        <v>0</v>
      </c>
      <c r="DS53" s="1" t="str">
        <f>VC_NEW!DN25</f>
        <v>A113S</v>
      </c>
      <c r="DT53" s="1">
        <f>VC_NEW!DO25</f>
        <v>0</v>
      </c>
      <c r="DU53" s="1" t="str">
        <f>VC_NEW!DP25</f>
        <v>P470S</v>
      </c>
      <c r="DV53" s="1">
        <f>VC_NEW!DQ25</f>
        <v>0</v>
      </c>
      <c r="DW53" s="1">
        <f>VC_NEW!DR25</f>
        <v>0</v>
      </c>
      <c r="DX53" s="1">
        <f>VC_NEW!DS25</f>
        <v>0</v>
      </c>
      <c r="DY53" s="1">
        <f>VC_NEW!DT25</f>
        <v>0</v>
      </c>
      <c r="DZ53" s="1">
        <f>VC_NEW!DU25</f>
        <v>0</v>
      </c>
      <c r="EA53" s="1">
        <f>VC_NEW!DV25</f>
        <v>0</v>
      </c>
      <c r="EB53" s="1">
        <f>VC_NEW!DW25</f>
        <v>0</v>
      </c>
      <c r="EC53" s="1">
        <f>VC_NEW!DX25</f>
        <v>0</v>
      </c>
      <c r="ED53" s="1">
        <f>VC_NEW!DY25</f>
        <v>0</v>
      </c>
      <c r="EE53" s="1">
        <f>VC_NEW!DZ25</f>
        <v>0</v>
      </c>
      <c r="EF53" s="1">
        <f>VC_NEW!EA25</f>
        <v>0</v>
      </c>
      <c r="EG53" s="1">
        <f>VC_NEW!EB25</f>
        <v>0</v>
      </c>
      <c r="EH53" s="1">
        <f>VC_NEW!EC25</f>
        <v>0</v>
      </c>
      <c r="EI53" s="1">
        <f>VC_NEW!ED25</f>
        <v>0</v>
      </c>
      <c r="EJ53" s="1">
        <f>VC_NEW!EE25</f>
        <v>0</v>
      </c>
      <c r="EK53" s="1" t="str">
        <f>VC_NEW!EF25</f>
        <v>A12T</v>
      </c>
      <c r="EL53" s="1">
        <f>VC_NEW!EG25</f>
        <v>0</v>
      </c>
      <c r="EM53" s="1">
        <f>VC_NEW!EH25</f>
        <v>0</v>
      </c>
      <c r="EN53" s="1">
        <f>VC_NEW!EI25</f>
        <v>0</v>
      </c>
      <c r="EO53" s="1">
        <f>VC_NEW!EJ25</f>
        <v>0</v>
      </c>
      <c r="EP53" s="1">
        <f>VC_NEW!EK25</f>
        <v>0</v>
      </c>
      <c r="EQ53" s="1">
        <f>VC_NEW!EL25</f>
        <v>0</v>
      </c>
      <c r="ER53" s="1">
        <f>VC_NEW!EM25</f>
        <v>0</v>
      </c>
      <c r="ES53" s="1">
        <f>VC_NEW!EN25</f>
        <v>0</v>
      </c>
      <c r="ET53" s="1">
        <f>VC_NEW!EO25</f>
        <v>0</v>
      </c>
      <c r="EU53" s="1">
        <f>VC_NEW!EP25</f>
        <v>0</v>
      </c>
      <c r="EV53" s="1" t="str">
        <f>VC_NEW!EQ25</f>
        <v>DELETED</v>
      </c>
      <c r="EW53" s="1" t="str">
        <f>VC_NEW!ER25</f>
        <v>S77T</v>
      </c>
      <c r="EX53" s="1">
        <f>VC_NEW!ES25</f>
        <v>0</v>
      </c>
      <c r="EY53" s="1">
        <f>VC_NEW!ET25</f>
        <v>0</v>
      </c>
      <c r="EZ53" s="1">
        <f>VC_NEW!EU25</f>
        <v>0</v>
      </c>
      <c r="FA53" s="1">
        <f>VC_NEW!EV25</f>
        <v>0</v>
      </c>
      <c r="FB53" s="1">
        <f>VC_NEW!EW25</f>
        <v>0</v>
      </c>
      <c r="FC53" s="1">
        <f>VC_NEW!EX25</f>
        <v>0</v>
      </c>
      <c r="FD53" s="1">
        <f>VC_NEW!EY25</f>
        <v>0</v>
      </c>
      <c r="FE53" s="1">
        <f>VC_NEW!EZ25</f>
        <v>0</v>
      </c>
      <c r="FF53" s="1">
        <f>VC_NEW!FA25</f>
        <v>0</v>
      </c>
      <c r="FG53" s="1">
        <f>VC_NEW!FB25</f>
        <v>0</v>
      </c>
      <c r="FH53" s="1">
        <f>VC_NEW!FC25</f>
        <v>0</v>
      </c>
      <c r="FI53" s="1">
        <f>VC_NEW!FD25</f>
        <v>0</v>
      </c>
      <c r="FJ53" s="1">
        <f>VC_NEW!FE25</f>
        <v>0</v>
      </c>
      <c r="FK53" s="1">
        <f>VC_NEW!FF25</f>
        <v>0</v>
      </c>
      <c r="FL53" s="1">
        <f>VC_NEW!FG25</f>
        <v>0</v>
      </c>
      <c r="FM53" s="1">
        <f>VC_NEW!FH25</f>
        <v>0</v>
      </c>
      <c r="FN53" s="1">
        <f>VC_NEW!FI25</f>
        <v>0</v>
      </c>
      <c r="FO53" s="1">
        <f>VC_NEW!FJ25</f>
        <v>0</v>
      </c>
      <c r="FP53" s="1">
        <f>VC_NEW!FK25</f>
        <v>0</v>
      </c>
      <c r="FQ53" s="1">
        <f>VC_NEW!FL25</f>
        <v>0</v>
      </c>
      <c r="FR53" s="1">
        <f>VC_NEW!FM25</f>
        <v>0</v>
      </c>
      <c r="FS53" s="1">
        <f>VC_NEW!FN25</f>
        <v>0</v>
      </c>
      <c r="FT53" s="1">
        <f>VC_NEW!FO25</f>
        <v>0</v>
      </c>
      <c r="FU53" s="1">
        <f>VC_NEW!FP25</f>
        <v>0</v>
      </c>
      <c r="FV53" s="1">
        <f>VC_NEW!FQ25</f>
        <v>0</v>
      </c>
      <c r="FW53" s="1">
        <f>VC_NEW!FR25</f>
        <v>0</v>
      </c>
      <c r="FX53" s="1">
        <f>VC_NEW!FS25</f>
        <v>0</v>
      </c>
      <c r="FY53" s="1">
        <f>VC_NEW!FT25</f>
        <v>0</v>
      </c>
      <c r="FZ53" s="1">
        <f>VC_NEW!FU25</f>
        <v>0</v>
      </c>
      <c r="GA53" s="1">
        <f>VC_NEW!FV25</f>
        <v>0</v>
      </c>
      <c r="GB53" s="1">
        <f>VC_NEW!FW25</f>
        <v>0</v>
      </c>
      <c r="GC53" s="1">
        <f>VC_NEW!FX25</f>
        <v>0</v>
      </c>
      <c r="GD53" s="1">
        <f>VC_NEW!FY25</f>
        <v>0</v>
      </c>
      <c r="GE53" s="1" t="str">
        <f>VC_NEW!FZ25</f>
        <v>V172I</v>
      </c>
      <c r="GF53" s="1">
        <f>VC_NEW!GA25</f>
        <v>0</v>
      </c>
      <c r="GG53" s="1">
        <f>VC_NEW!GB25</f>
        <v>0</v>
      </c>
      <c r="GH53" s="1" t="str">
        <f>VC_NEW!GC25</f>
        <v>D31V</v>
      </c>
      <c r="GI53" s="1">
        <f>VC_NEW!GD25</f>
        <v>0</v>
      </c>
      <c r="GJ53" s="1">
        <f>VC_NEW!GE25</f>
        <v>0</v>
      </c>
      <c r="GK53" s="1">
        <f>VC_NEW!GF25</f>
        <v>0</v>
      </c>
      <c r="GL53" s="1">
        <f>VC_NEW!GG25</f>
        <v>0</v>
      </c>
      <c r="GM53" s="1">
        <f>VC_NEW!GH25</f>
        <v>0</v>
      </c>
      <c r="GN53" s="1">
        <f>VC_NEW!GI25</f>
        <v>0</v>
      </c>
      <c r="GO53" s="1">
        <f>VC_NEW!GJ25</f>
        <v>0</v>
      </c>
      <c r="GP53" s="1">
        <f>VC_NEW!GK25</f>
        <v>0</v>
      </c>
      <c r="GQ53" s="1">
        <f>VC_NEW!GL25</f>
        <v>0</v>
      </c>
      <c r="GR53" s="1" t="str">
        <f>VC_NEW!GM25</f>
        <v>A113S</v>
      </c>
      <c r="GS53" s="1">
        <f>VC_NEW!GN25</f>
        <v>0</v>
      </c>
      <c r="GT53" s="1">
        <f>VC_NEW!GO25</f>
        <v>0</v>
      </c>
      <c r="GU53" s="1">
        <f>VC_NEW!GP25</f>
        <v>0</v>
      </c>
      <c r="GV53" s="1">
        <f>VC_NEW!GQ25</f>
        <v>0</v>
      </c>
      <c r="GW53" s="1" t="str">
        <f>VC_NEW!GR25</f>
        <v>D98E</v>
      </c>
      <c r="GX53" s="1">
        <f>VC_NEW!GS25</f>
        <v>0</v>
      </c>
      <c r="GY53" s="1">
        <f>VC_NEW!GT25</f>
        <v>0</v>
      </c>
      <c r="GZ53" s="1">
        <f>VC_NEW!GU25</f>
        <v>0</v>
      </c>
      <c r="HA53" s="1">
        <f>VC_NEW!GV25</f>
        <v>0</v>
      </c>
      <c r="HB53" s="1">
        <f>VC_NEW!GW25</f>
        <v>0</v>
      </c>
      <c r="HC53" s="1">
        <f>VC_NEW!GX25</f>
        <v>0</v>
      </c>
    </row>
    <row r="54" spans="1:211" s="7" customFormat="1" ht="15" customHeight="1" thickBot="1" x14ac:dyDescent="0.3">
      <c r="A54" s="30" t="s">
        <v>19</v>
      </c>
      <c r="B54" s="30" t="s">
        <v>79</v>
      </c>
      <c r="C54" s="31" t="s">
        <v>1</v>
      </c>
      <c r="D54" s="30" t="s">
        <v>76</v>
      </c>
      <c r="E54" s="30" t="s">
        <v>147</v>
      </c>
      <c r="F54" s="30" t="s">
        <v>74</v>
      </c>
      <c r="G54" s="30" t="s">
        <v>136</v>
      </c>
      <c r="H54" s="7" t="str">
        <f>VC_NEW!C26</f>
        <v>T428P</v>
      </c>
      <c r="I54" s="7">
        <f>VC_NEW!D26</f>
        <v>0</v>
      </c>
      <c r="J54" s="7">
        <f>VC_NEW!E26</f>
        <v>0</v>
      </c>
      <c r="K54" s="7">
        <f>VC_NEW!F26</f>
        <v>0</v>
      </c>
      <c r="L54" s="7">
        <f>VC_NEW!G26</f>
        <v>0</v>
      </c>
      <c r="M54" s="7">
        <f>VC_NEW!H26</f>
        <v>0</v>
      </c>
      <c r="N54" s="7">
        <f>VC_NEW!I26</f>
        <v>0</v>
      </c>
      <c r="O54" s="7">
        <f>VC_NEW!J26</f>
        <v>0</v>
      </c>
      <c r="P54" s="7">
        <f>VC_NEW!K26</f>
        <v>0</v>
      </c>
      <c r="Q54" s="7">
        <f>VC_NEW!L26</f>
        <v>0</v>
      </c>
      <c r="R54" s="7">
        <f>VC_NEW!M26</f>
        <v>0</v>
      </c>
      <c r="S54" s="7">
        <f>VC_NEW!N26</f>
        <v>0</v>
      </c>
      <c r="T54" s="7">
        <f>VC_NEW!O26</f>
        <v>0</v>
      </c>
      <c r="U54" s="7">
        <f>VC_NEW!P26</f>
        <v>0</v>
      </c>
      <c r="V54" s="7">
        <f>VC_NEW!Q26</f>
        <v>0</v>
      </c>
      <c r="W54" s="7">
        <f>VC_NEW!R26</f>
        <v>0</v>
      </c>
      <c r="X54" s="7">
        <f>VC_NEW!S26</f>
        <v>0</v>
      </c>
      <c r="Y54" s="7">
        <f>VC_NEW!T26</f>
        <v>0</v>
      </c>
      <c r="Z54" s="7">
        <f>VC_NEW!U26</f>
        <v>0</v>
      </c>
      <c r="AA54" s="7">
        <f>VC_NEW!V26</f>
        <v>0</v>
      </c>
      <c r="AB54" s="7">
        <f>VC_NEW!W26</f>
        <v>0</v>
      </c>
      <c r="AC54" s="7">
        <f>VC_NEW!X26</f>
        <v>0</v>
      </c>
      <c r="AD54" s="7">
        <f>VC_NEW!Y26</f>
        <v>0</v>
      </c>
      <c r="AE54" s="7">
        <f>VC_NEW!Z26</f>
        <v>0</v>
      </c>
      <c r="AF54" s="7">
        <f>VC_NEW!AA26</f>
        <v>0</v>
      </c>
      <c r="AG54" s="7">
        <f>VC_NEW!AB26</f>
        <v>0</v>
      </c>
      <c r="AH54" s="7">
        <f>VC_NEW!AC26</f>
        <v>0</v>
      </c>
      <c r="AI54" s="7">
        <f>VC_NEW!AD26</f>
        <v>0</v>
      </c>
      <c r="AJ54" s="7">
        <f>VC_NEW!AE26</f>
        <v>0</v>
      </c>
      <c r="AK54" s="7">
        <f>VC_NEW!AF26</f>
        <v>0</v>
      </c>
      <c r="AL54" s="7">
        <f>VC_NEW!AG26</f>
        <v>0</v>
      </c>
      <c r="AM54" s="7">
        <f>VC_NEW!AH26</f>
        <v>0</v>
      </c>
      <c r="AN54" s="7">
        <f>VC_NEW!AI26</f>
        <v>0</v>
      </c>
      <c r="AO54" s="7" t="str">
        <f>VC_NEW!AJ26</f>
        <v>Y61H</v>
      </c>
      <c r="AP54" s="7">
        <f>VC_NEW!AK26</f>
        <v>0</v>
      </c>
      <c r="AQ54" s="7">
        <f>VC_NEW!AL26</f>
        <v>0</v>
      </c>
      <c r="AR54" s="7">
        <f>VC_NEW!AM26</f>
        <v>0</v>
      </c>
      <c r="AS54" s="7">
        <f>VC_NEW!AN26</f>
        <v>0</v>
      </c>
      <c r="AT54" s="7">
        <f>VC_NEW!AO26</f>
        <v>0</v>
      </c>
      <c r="AU54" s="7">
        <f>VC_NEW!AP26</f>
        <v>0</v>
      </c>
      <c r="AV54" s="7">
        <f>VC_NEW!AQ26</f>
        <v>0</v>
      </c>
      <c r="AW54" s="7">
        <f>VC_NEW!AR26</f>
        <v>0</v>
      </c>
      <c r="AX54" s="7">
        <f>VC_NEW!AS26</f>
        <v>0</v>
      </c>
      <c r="AY54" s="7">
        <f>VC_NEW!AT26</f>
        <v>0</v>
      </c>
      <c r="AZ54" s="7">
        <f>VC_NEW!AU26</f>
        <v>0</v>
      </c>
      <c r="BA54" s="7">
        <f>VC_NEW!AV26</f>
        <v>0</v>
      </c>
      <c r="BB54" s="7">
        <f>VC_NEW!AW26</f>
        <v>0</v>
      </c>
      <c r="BC54" s="7">
        <f>VC_NEW!AX26</f>
        <v>0</v>
      </c>
      <c r="BD54" s="7">
        <f>VC_NEW!AY26</f>
        <v>0</v>
      </c>
      <c r="BE54" s="7">
        <f>VC_NEW!AZ26</f>
        <v>0</v>
      </c>
      <c r="BF54" s="7">
        <f>VC_NEW!BA26</f>
        <v>0</v>
      </c>
      <c r="BG54" s="7">
        <f>VC_NEW!BB26</f>
        <v>0</v>
      </c>
      <c r="BH54" s="7">
        <f>VC_NEW!BC26</f>
        <v>0</v>
      </c>
      <c r="BI54" s="7">
        <f>VC_NEW!BD26</f>
        <v>0</v>
      </c>
      <c r="BJ54" s="7">
        <f>VC_NEW!BE26</f>
        <v>0</v>
      </c>
      <c r="BK54" s="7">
        <f>VC_NEW!BF26</f>
        <v>0</v>
      </c>
      <c r="BL54" s="7">
        <f>VC_NEW!BG26</f>
        <v>0</v>
      </c>
      <c r="BM54" s="7">
        <f>VC_NEW!BH26</f>
        <v>0</v>
      </c>
      <c r="BN54" s="7">
        <f>VC_NEW!BI26</f>
        <v>0</v>
      </c>
      <c r="BO54" s="7">
        <f>VC_NEW!BJ26</f>
        <v>0</v>
      </c>
      <c r="BP54" s="7">
        <f>VC_NEW!BK26</f>
        <v>0</v>
      </c>
      <c r="BQ54" s="7">
        <f>VC_NEW!BL26</f>
        <v>0</v>
      </c>
      <c r="BR54" s="7">
        <f>VC_NEW!BM26</f>
        <v>0</v>
      </c>
      <c r="BS54" s="7">
        <f>VC_NEW!BN26</f>
        <v>0</v>
      </c>
      <c r="BT54" s="7">
        <f>VC_NEW!BO26</f>
        <v>0</v>
      </c>
      <c r="BU54" s="7">
        <f>VC_NEW!BP26</f>
        <v>0</v>
      </c>
      <c r="BV54" s="7" t="str">
        <f>VC_NEW!BQ26</f>
        <v>G263S</v>
      </c>
      <c r="BW54" s="7">
        <f>VC_NEW!BR26</f>
        <v>0</v>
      </c>
      <c r="BX54" s="7" t="str">
        <f>VC_NEW!BS26</f>
        <v>D176N</v>
      </c>
      <c r="BY54" s="7">
        <f>VC_NEW!BT26</f>
        <v>0</v>
      </c>
      <c r="BZ54" s="7">
        <f>VC_NEW!BU26</f>
        <v>0</v>
      </c>
      <c r="CA54" s="7" t="str">
        <f>VC_NEW!BV26</f>
        <v>A340G</v>
      </c>
      <c r="CB54" s="7">
        <f>VC_NEW!BW26</f>
        <v>0</v>
      </c>
      <c r="CC54" s="7">
        <f>VC_NEW!BX26</f>
        <v>0</v>
      </c>
      <c r="CD54" s="7">
        <f>VC_NEW!BY26</f>
        <v>0</v>
      </c>
      <c r="CE54" s="7">
        <f>VC_NEW!BZ26</f>
        <v>0</v>
      </c>
      <c r="CF54" s="7">
        <f>VC_NEW!CA26</f>
        <v>0</v>
      </c>
      <c r="CG54" s="7">
        <f>VC_NEW!CB26</f>
        <v>0</v>
      </c>
      <c r="CH54" s="7">
        <f>VC_NEW!CC26</f>
        <v>0</v>
      </c>
      <c r="CI54" s="7">
        <f>VC_NEW!CD26</f>
        <v>0</v>
      </c>
      <c r="CJ54" s="7">
        <f>VC_NEW!CE26</f>
        <v>0</v>
      </c>
      <c r="CK54" s="7">
        <f>VC_NEW!CF26</f>
        <v>0</v>
      </c>
      <c r="CL54" s="7">
        <f>VC_NEW!CG26</f>
        <v>0</v>
      </c>
      <c r="CM54" s="7">
        <f>VC_NEW!CH26</f>
        <v>0</v>
      </c>
      <c r="CN54" s="7">
        <f>VC_NEW!CI26</f>
        <v>0</v>
      </c>
      <c r="CO54" s="7">
        <f>VC_NEW!CJ26</f>
        <v>0</v>
      </c>
      <c r="CP54" s="7">
        <f>VC_NEW!CK26</f>
        <v>0</v>
      </c>
      <c r="CQ54" s="7" t="str">
        <f>VC_NEW!CL26</f>
        <v>A434T</v>
      </c>
      <c r="CR54" s="7">
        <f>VC_NEW!CM26</f>
        <v>0</v>
      </c>
      <c r="CS54" s="7">
        <f>VC_NEW!CN26</f>
        <v>0</v>
      </c>
      <c r="CT54" s="7">
        <f>VC_NEW!CO26</f>
        <v>0</v>
      </c>
      <c r="CU54" s="7">
        <f>VC_NEW!CP26</f>
        <v>0</v>
      </c>
      <c r="CV54" s="7">
        <f>VC_NEW!CQ26</f>
        <v>0</v>
      </c>
      <c r="CW54" s="7">
        <f>VC_NEW!CR26</f>
        <v>0</v>
      </c>
      <c r="CX54" s="7">
        <f>VC_NEW!CS26</f>
        <v>0</v>
      </c>
      <c r="CY54" s="7">
        <f>VC_NEW!CT26</f>
        <v>0</v>
      </c>
      <c r="CZ54" s="7">
        <f>VC_NEW!CU26</f>
        <v>0</v>
      </c>
      <c r="DA54" s="7">
        <f>VC_NEW!CV26</f>
        <v>0</v>
      </c>
      <c r="DB54" s="7">
        <f>VC_NEW!CW26</f>
        <v>0</v>
      </c>
      <c r="DC54" s="7">
        <f>VC_NEW!CX26</f>
        <v>0</v>
      </c>
      <c r="DD54" s="7">
        <f>VC_NEW!CY26</f>
        <v>0</v>
      </c>
      <c r="DE54" s="7">
        <f>VC_NEW!CZ26</f>
        <v>0</v>
      </c>
      <c r="DF54" s="7">
        <f>VC_NEW!DA26</f>
        <v>0</v>
      </c>
      <c r="DG54" s="7">
        <f>VC_NEW!DB26</f>
        <v>0</v>
      </c>
      <c r="DH54" s="7">
        <f>VC_NEW!DC26</f>
        <v>0</v>
      </c>
      <c r="DI54" s="7">
        <f>VC_NEW!DD26</f>
        <v>0</v>
      </c>
      <c r="DJ54" s="7">
        <f>VC_NEW!DE26</f>
        <v>0</v>
      </c>
      <c r="DK54" s="7">
        <f>VC_NEW!DF26</f>
        <v>0</v>
      </c>
      <c r="DL54" s="7">
        <f>VC_NEW!DG26</f>
        <v>0</v>
      </c>
      <c r="DM54" s="7">
        <f>VC_NEW!DH26</f>
        <v>0</v>
      </c>
      <c r="DN54" s="7">
        <f>VC_NEW!DI26</f>
        <v>0</v>
      </c>
      <c r="DO54" s="7">
        <f>VC_NEW!DJ26</f>
        <v>0</v>
      </c>
      <c r="DP54" s="7">
        <f>VC_NEW!DK26</f>
        <v>0</v>
      </c>
      <c r="DQ54" s="7">
        <f>VC_NEW!DL26</f>
        <v>0</v>
      </c>
      <c r="DR54" s="7">
        <f>VC_NEW!DM26</f>
        <v>0</v>
      </c>
      <c r="DS54" s="7">
        <f>VC_NEW!DN26</f>
        <v>0</v>
      </c>
      <c r="DT54" s="7">
        <f>VC_NEW!DO26</f>
        <v>0</v>
      </c>
      <c r="DU54" s="7">
        <f>VC_NEW!DP26</f>
        <v>0</v>
      </c>
      <c r="DV54" s="7">
        <f>VC_NEW!DQ26</f>
        <v>0</v>
      </c>
      <c r="DW54" s="7">
        <f>VC_NEW!DR26</f>
        <v>0</v>
      </c>
      <c r="DX54" s="7">
        <f>VC_NEW!DS26</f>
        <v>0</v>
      </c>
      <c r="DY54" s="7">
        <f>VC_NEW!DT26</f>
        <v>0</v>
      </c>
      <c r="DZ54" s="7">
        <f>VC_NEW!DU26</f>
        <v>0</v>
      </c>
      <c r="EA54" s="7">
        <f>VC_NEW!DV26</f>
        <v>0</v>
      </c>
      <c r="EB54" s="7">
        <f>VC_NEW!DW26</f>
        <v>0</v>
      </c>
      <c r="EC54" s="7">
        <f>VC_NEW!DX26</f>
        <v>0</v>
      </c>
      <c r="ED54" s="7">
        <f>VC_NEW!DY26</f>
        <v>0</v>
      </c>
      <c r="EE54" s="7">
        <f>VC_NEW!DZ26</f>
        <v>0</v>
      </c>
      <c r="EF54" s="7">
        <f>VC_NEW!EA26</f>
        <v>0</v>
      </c>
      <c r="EG54" s="7">
        <f>VC_NEW!EB26</f>
        <v>0</v>
      </c>
      <c r="EH54" s="7" t="str">
        <f>VC_NEW!EC26</f>
        <v>T27S; S150G</v>
      </c>
      <c r="EI54" s="7">
        <f>VC_NEW!ED26</f>
        <v>0</v>
      </c>
      <c r="EJ54" s="7">
        <f>VC_NEW!EE26</f>
        <v>0</v>
      </c>
      <c r="EK54" s="7">
        <f>VC_NEW!EF26</f>
        <v>0</v>
      </c>
      <c r="EL54" s="7">
        <f>VC_NEW!EG26</f>
        <v>0</v>
      </c>
      <c r="EM54" s="7">
        <f>VC_NEW!EH26</f>
        <v>0</v>
      </c>
      <c r="EN54" s="7">
        <f>VC_NEW!EI26</f>
        <v>0</v>
      </c>
      <c r="EO54" s="7">
        <f>VC_NEW!EJ26</f>
        <v>0</v>
      </c>
      <c r="EP54" s="7">
        <f>VC_NEW!EK26</f>
        <v>0</v>
      </c>
      <c r="EQ54" s="7">
        <f>VC_NEW!EL26</f>
        <v>0</v>
      </c>
      <c r="ER54" s="7">
        <f>VC_NEW!EM26</f>
        <v>0</v>
      </c>
      <c r="ES54" s="7">
        <f>VC_NEW!EN26</f>
        <v>0</v>
      </c>
      <c r="ET54" s="7">
        <f>VC_NEW!EO26</f>
        <v>0</v>
      </c>
      <c r="EU54" s="7">
        <f>VC_NEW!EP26</f>
        <v>0</v>
      </c>
      <c r="EV54" s="7">
        <f>VC_NEW!EQ26</f>
        <v>0</v>
      </c>
      <c r="EW54" s="7" t="str">
        <f>VC_NEW!ER26</f>
        <v>R475Q</v>
      </c>
      <c r="EX54" s="7">
        <f>VC_NEW!ES26</f>
        <v>0</v>
      </c>
      <c r="EY54" s="7">
        <f>VC_NEW!ET26</f>
        <v>0</v>
      </c>
      <c r="EZ54" s="7">
        <f>VC_NEW!EU26</f>
        <v>0</v>
      </c>
      <c r="FA54" s="7">
        <f>VC_NEW!EV26</f>
        <v>0</v>
      </c>
      <c r="FB54" s="7">
        <f>VC_NEW!EW26</f>
        <v>0</v>
      </c>
      <c r="FC54" s="7">
        <f>VC_NEW!EX26</f>
        <v>0</v>
      </c>
      <c r="FD54" s="7">
        <f>VC_NEW!EY26</f>
        <v>0</v>
      </c>
      <c r="FE54" s="7">
        <f>VC_NEW!EZ26</f>
        <v>0</v>
      </c>
      <c r="FF54" s="7">
        <f>VC_NEW!FA26</f>
        <v>0</v>
      </c>
      <c r="FG54" s="7">
        <f>VC_NEW!FB26</f>
        <v>0</v>
      </c>
      <c r="FH54" s="7">
        <f>VC_NEW!FC26</f>
        <v>0</v>
      </c>
      <c r="FI54" s="7" t="str">
        <f>VC_NEW!FD26</f>
        <v>F324I</v>
      </c>
      <c r="FJ54" s="7">
        <f>VC_NEW!FE26</f>
        <v>0</v>
      </c>
      <c r="FK54" s="7">
        <f>VC_NEW!FF26</f>
        <v>0</v>
      </c>
      <c r="FL54" s="7" t="str">
        <f>VC_NEW!FG26</f>
        <v>Q212K</v>
      </c>
      <c r="FM54" s="7">
        <f>VC_NEW!FH26</f>
        <v>0</v>
      </c>
      <c r="FN54" s="7">
        <f>VC_NEW!FI26</f>
        <v>0</v>
      </c>
      <c r="FO54" s="7">
        <f>VC_NEW!FJ26</f>
        <v>0</v>
      </c>
      <c r="FP54" s="7">
        <f>VC_NEW!FK26</f>
        <v>0</v>
      </c>
      <c r="FQ54" s="7">
        <f>VC_NEW!FL26</f>
        <v>0</v>
      </c>
      <c r="FR54" s="7">
        <f>VC_NEW!FM26</f>
        <v>0</v>
      </c>
      <c r="FS54" s="7">
        <f>VC_NEW!FN26</f>
        <v>0</v>
      </c>
      <c r="FT54" s="7">
        <f>VC_NEW!FO26</f>
        <v>0</v>
      </c>
      <c r="FU54" s="7">
        <f>VC_NEW!FP26</f>
        <v>0</v>
      </c>
      <c r="FV54" s="7">
        <f>VC_NEW!FQ26</f>
        <v>0</v>
      </c>
      <c r="FW54" s="7">
        <f>VC_NEW!FR26</f>
        <v>0</v>
      </c>
      <c r="FX54" s="7">
        <f>VC_NEW!FS26</f>
        <v>0</v>
      </c>
      <c r="FY54" s="7">
        <f>VC_NEW!FT26</f>
        <v>0</v>
      </c>
      <c r="FZ54" s="7">
        <f>VC_NEW!FU26</f>
        <v>0</v>
      </c>
      <c r="GA54" s="7">
        <f>VC_NEW!FV26</f>
        <v>0</v>
      </c>
      <c r="GB54" s="7">
        <f>VC_NEW!FW26</f>
        <v>0</v>
      </c>
      <c r="GC54" s="7">
        <f>VC_NEW!FX26</f>
        <v>0</v>
      </c>
      <c r="GD54" s="7">
        <f>VC_NEW!FY26</f>
        <v>0</v>
      </c>
      <c r="GE54" s="7">
        <f>VC_NEW!FZ26</f>
        <v>0</v>
      </c>
      <c r="GF54" s="7">
        <f>VC_NEW!GA26</f>
        <v>0</v>
      </c>
      <c r="GG54" s="7">
        <f>VC_NEW!GB26</f>
        <v>0</v>
      </c>
      <c r="GH54" s="7">
        <f>VC_NEW!GC26</f>
        <v>0</v>
      </c>
      <c r="GI54" s="7">
        <f>VC_NEW!GD26</f>
        <v>0</v>
      </c>
      <c r="GJ54" s="7">
        <f>VC_NEW!GE26</f>
        <v>0</v>
      </c>
      <c r="GK54" s="7">
        <f>VC_NEW!GF26</f>
        <v>0</v>
      </c>
      <c r="GL54" s="7">
        <f>VC_NEW!GG26</f>
        <v>0</v>
      </c>
      <c r="GM54" s="7">
        <f>VC_NEW!GH26</f>
        <v>0</v>
      </c>
      <c r="GN54" s="7">
        <f>VC_NEW!GI26</f>
        <v>0</v>
      </c>
      <c r="GO54" s="7">
        <f>VC_NEW!GJ26</f>
        <v>0</v>
      </c>
      <c r="GP54" s="7">
        <f>VC_NEW!GK26</f>
        <v>0</v>
      </c>
      <c r="GQ54" s="7">
        <f>VC_NEW!GL26</f>
        <v>0</v>
      </c>
      <c r="GR54" s="7">
        <f>VC_NEW!GM26</f>
        <v>0</v>
      </c>
      <c r="GS54" s="7" t="str">
        <f>VC_NEW!GN26</f>
        <v>V289I</v>
      </c>
      <c r="GT54" s="7">
        <f>VC_NEW!GO26</f>
        <v>0</v>
      </c>
      <c r="GU54" s="7">
        <f>VC_NEW!GP26</f>
        <v>0</v>
      </c>
      <c r="GV54" s="7">
        <f>VC_NEW!GQ26</f>
        <v>0</v>
      </c>
      <c r="GW54" s="7">
        <f>VC_NEW!GR26</f>
        <v>0</v>
      </c>
      <c r="GX54" s="7">
        <f>VC_NEW!GS26</f>
        <v>0</v>
      </c>
      <c r="GY54" s="7" t="str">
        <f>VC_NEW!GT26</f>
        <v>nt675InsTGGCC</v>
      </c>
      <c r="GZ54" s="7">
        <f>VC_NEW!GU26</f>
        <v>0</v>
      </c>
      <c r="HA54" s="7">
        <f>VC_NEW!GV26</f>
        <v>0</v>
      </c>
      <c r="HB54" s="7">
        <f>VC_NEW!GW26</f>
        <v>0</v>
      </c>
      <c r="HC54" s="7">
        <f>VC_NEW!GX26</f>
        <v>0</v>
      </c>
    </row>
    <row r="55" spans="1:211" s="7" customFormat="1" ht="15.75" hidden="1" customHeight="1" x14ac:dyDescent="0.25">
      <c r="A55" s="30" t="s">
        <v>19</v>
      </c>
      <c r="B55" s="30" t="s">
        <v>79</v>
      </c>
      <c r="C55" s="31" t="s">
        <v>2</v>
      </c>
      <c r="D55" s="30" t="s">
        <v>76</v>
      </c>
      <c r="E55" s="30" t="s">
        <v>139</v>
      </c>
      <c r="F55" s="30" t="s">
        <v>74</v>
      </c>
      <c r="G55" s="30" t="s">
        <v>136</v>
      </c>
      <c r="H55" s="7" t="str">
        <f>VC_NEW!C26</f>
        <v>T428P</v>
      </c>
      <c r="I55" s="7">
        <f>VC_NEW!D26</f>
        <v>0</v>
      </c>
      <c r="J55" s="7">
        <f>VC_NEW!E26</f>
        <v>0</v>
      </c>
      <c r="K55" s="7">
        <f>VC_NEW!F26</f>
        <v>0</v>
      </c>
      <c r="L55" s="7">
        <f>VC_NEW!G26</f>
        <v>0</v>
      </c>
      <c r="M55" s="7">
        <f>VC_NEW!H26</f>
        <v>0</v>
      </c>
      <c r="N55" s="7">
        <f>VC_NEW!I26</f>
        <v>0</v>
      </c>
      <c r="O55" s="7">
        <f>VC_NEW!J26</f>
        <v>0</v>
      </c>
      <c r="P55" s="7">
        <f>VC_NEW!K26</f>
        <v>0</v>
      </c>
      <c r="Q55" s="7">
        <f>VC_NEW!L26</f>
        <v>0</v>
      </c>
      <c r="R55" s="7">
        <f>VC_NEW!M26</f>
        <v>0</v>
      </c>
      <c r="S55" s="7">
        <f>VC_NEW!N26</f>
        <v>0</v>
      </c>
      <c r="T55" s="7">
        <f>VC_NEW!O26</f>
        <v>0</v>
      </c>
      <c r="U55" s="7">
        <f>VC_NEW!P26</f>
        <v>0</v>
      </c>
      <c r="V55" s="7">
        <f>VC_NEW!Q26</f>
        <v>0</v>
      </c>
      <c r="W55" s="7">
        <f>VC_NEW!R26</f>
        <v>0</v>
      </c>
      <c r="X55" s="7">
        <f>VC_NEW!S26</f>
        <v>0</v>
      </c>
      <c r="Y55" s="7">
        <f>VC_NEW!T26</f>
        <v>0</v>
      </c>
      <c r="Z55" s="7">
        <f>VC_NEW!U26</f>
        <v>0</v>
      </c>
      <c r="AA55" s="7">
        <f>VC_NEW!V26</f>
        <v>0</v>
      </c>
      <c r="AB55" s="7">
        <f>VC_NEW!W26</f>
        <v>0</v>
      </c>
      <c r="AC55" s="7">
        <f>VC_NEW!X26</f>
        <v>0</v>
      </c>
      <c r="AD55" s="7">
        <f>VC_NEW!Y26</f>
        <v>0</v>
      </c>
      <c r="AE55" s="7">
        <f>VC_NEW!Z26</f>
        <v>0</v>
      </c>
      <c r="AF55" s="7">
        <f>VC_NEW!AA26</f>
        <v>0</v>
      </c>
      <c r="AG55" s="7">
        <f>VC_NEW!AB26</f>
        <v>0</v>
      </c>
      <c r="AH55" s="7">
        <f>VC_NEW!AC26</f>
        <v>0</v>
      </c>
      <c r="AI55" s="7">
        <f>VC_NEW!AD26</f>
        <v>0</v>
      </c>
      <c r="AJ55" s="7">
        <f>VC_NEW!AE26</f>
        <v>0</v>
      </c>
      <c r="AK55" s="7">
        <f>VC_NEW!AF26</f>
        <v>0</v>
      </c>
      <c r="AL55" s="7">
        <f>VC_NEW!AG26</f>
        <v>0</v>
      </c>
      <c r="AM55" s="7">
        <f>VC_NEW!AH26</f>
        <v>0</v>
      </c>
      <c r="AN55" s="7">
        <f>VC_NEW!AI26</f>
        <v>0</v>
      </c>
      <c r="AO55" s="7" t="str">
        <f>VC_NEW!AJ26</f>
        <v>Y61H</v>
      </c>
      <c r="AP55" s="7">
        <f>VC_NEW!AK26</f>
        <v>0</v>
      </c>
      <c r="AQ55" s="7">
        <f>VC_NEW!AL26</f>
        <v>0</v>
      </c>
      <c r="AR55" s="7">
        <f>VC_NEW!AM26</f>
        <v>0</v>
      </c>
      <c r="AS55" s="7">
        <f>VC_NEW!AN26</f>
        <v>0</v>
      </c>
      <c r="AT55" s="7">
        <f>VC_NEW!AO26</f>
        <v>0</v>
      </c>
      <c r="AU55" s="7">
        <f>VC_NEW!AP26</f>
        <v>0</v>
      </c>
      <c r="AV55" s="7">
        <f>VC_NEW!AQ26</f>
        <v>0</v>
      </c>
      <c r="AW55" s="7">
        <f>VC_NEW!AR26</f>
        <v>0</v>
      </c>
      <c r="AX55" s="7">
        <f>VC_NEW!AS26</f>
        <v>0</v>
      </c>
      <c r="AY55" s="7">
        <f>VC_NEW!AT26</f>
        <v>0</v>
      </c>
      <c r="AZ55" s="7">
        <f>VC_NEW!AU26</f>
        <v>0</v>
      </c>
      <c r="BA55" s="7">
        <f>VC_NEW!AV26</f>
        <v>0</v>
      </c>
      <c r="BB55" s="7">
        <f>VC_NEW!AW26</f>
        <v>0</v>
      </c>
      <c r="BC55" s="7">
        <f>VC_NEW!AX26</f>
        <v>0</v>
      </c>
      <c r="BD55" s="7">
        <f>VC_NEW!AY26</f>
        <v>0</v>
      </c>
      <c r="BE55" s="7">
        <f>VC_NEW!AZ26</f>
        <v>0</v>
      </c>
      <c r="BF55" s="7">
        <f>VC_NEW!BA26</f>
        <v>0</v>
      </c>
      <c r="BG55" s="7">
        <f>VC_NEW!BB26</f>
        <v>0</v>
      </c>
      <c r="BH55" s="7">
        <f>VC_NEW!BC26</f>
        <v>0</v>
      </c>
      <c r="BI55" s="7">
        <f>VC_NEW!BD26</f>
        <v>0</v>
      </c>
      <c r="BJ55" s="7">
        <f>VC_NEW!BE26</f>
        <v>0</v>
      </c>
      <c r="BK55" s="7">
        <f>VC_NEW!BF26</f>
        <v>0</v>
      </c>
      <c r="BL55" s="7">
        <f>VC_NEW!BG26</f>
        <v>0</v>
      </c>
      <c r="BM55" s="7">
        <f>VC_NEW!BH26</f>
        <v>0</v>
      </c>
      <c r="BN55" s="7">
        <f>VC_NEW!BI26</f>
        <v>0</v>
      </c>
      <c r="BO55" s="7">
        <f>VC_NEW!BJ26</f>
        <v>0</v>
      </c>
      <c r="BP55" s="7">
        <f>VC_NEW!BK26</f>
        <v>0</v>
      </c>
      <c r="BQ55" s="7">
        <f>VC_NEW!BL26</f>
        <v>0</v>
      </c>
      <c r="BR55" s="7">
        <f>VC_NEW!BM26</f>
        <v>0</v>
      </c>
      <c r="BS55" s="7">
        <f>VC_NEW!BN26</f>
        <v>0</v>
      </c>
      <c r="BT55" s="7">
        <f>VC_NEW!BO26</f>
        <v>0</v>
      </c>
      <c r="BU55" s="7">
        <f>VC_NEW!BP26</f>
        <v>0</v>
      </c>
      <c r="BV55" s="7" t="str">
        <f>VC_NEW!BQ26</f>
        <v>G263S</v>
      </c>
      <c r="BW55" s="7">
        <f>VC_NEW!BR26</f>
        <v>0</v>
      </c>
      <c r="BX55" s="7" t="str">
        <f>VC_NEW!BS26</f>
        <v>D176N</v>
      </c>
      <c r="BY55" s="7">
        <f>VC_NEW!BT26</f>
        <v>0</v>
      </c>
      <c r="BZ55" s="7">
        <f>VC_NEW!BU26</f>
        <v>0</v>
      </c>
      <c r="CA55" s="7" t="str">
        <f>VC_NEW!BV26</f>
        <v>A340G</v>
      </c>
      <c r="CB55" s="7">
        <f>VC_NEW!BW26</f>
        <v>0</v>
      </c>
      <c r="CC55" s="7">
        <f>VC_NEW!BX26</f>
        <v>0</v>
      </c>
      <c r="CD55" s="7">
        <f>VC_NEW!BY26</f>
        <v>0</v>
      </c>
      <c r="CE55" s="7">
        <f>VC_NEW!BZ26</f>
        <v>0</v>
      </c>
      <c r="CF55" s="7">
        <f>VC_NEW!CA26</f>
        <v>0</v>
      </c>
      <c r="CG55" s="7">
        <f>VC_NEW!CB26</f>
        <v>0</v>
      </c>
      <c r="CH55" s="7">
        <f>VC_NEW!CC26</f>
        <v>0</v>
      </c>
      <c r="CI55" s="7">
        <f>VC_NEW!CD26</f>
        <v>0</v>
      </c>
      <c r="CJ55" s="7">
        <f>VC_NEW!CE26</f>
        <v>0</v>
      </c>
      <c r="CK55" s="7">
        <f>VC_NEW!CF26</f>
        <v>0</v>
      </c>
      <c r="CL55" s="7">
        <f>VC_NEW!CG26</f>
        <v>0</v>
      </c>
      <c r="CM55" s="7">
        <f>VC_NEW!CH26</f>
        <v>0</v>
      </c>
      <c r="CN55" s="7">
        <f>VC_NEW!CI26</f>
        <v>0</v>
      </c>
      <c r="CO55" s="7">
        <f>VC_NEW!CJ26</f>
        <v>0</v>
      </c>
      <c r="CP55" s="7">
        <f>VC_NEW!CK26</f>
        <v>0</v>
      </c>
      <c r="CQ55" s="7" t="str">
        <f>VC_NEW!CL26</f>
        <v>A434T</v>
      </c>
      <c r="CR55" s="7">
        <f>VC_NEW!CM26</f>
        <v>0</v>
      </c>
      <c r="CS55" s="7">
        <f>VC_NEW!CN26</f>
        <v>0</v>
      </c>
      <c r="CT55" s="7">
        <f>VC_NEW!CO26</f>
        <v>0</v>
      </c>
      <c r="CU55" s="7">
        <f>VC_NEW!CP26</f>
        <v>0</v>
      </c>
      <c r="CV55" s="7">
        <f>VC_NEW!CQ26</f>
        <v>0</v>
      </c>
      <c r="CW55" s="7">
        <f>VC_NEW!CR26</f>
        <v>0</v>
      </c>
      <c r="CX55" s="7">
        <f>VC_NEW!CS26</f>
        <v>0</v>
      </c>
      <c r="CY55" s="7">
        <f>VC_NEW!CT26</f>
        <v>0</v>
      </c>
      <c r="CZ55" s="7">
        <f>VC_NEW!CU26</f>
        <v>0</v>
      </c>
      <c r="DA55" s="7">
        <f>VC_NEW!CV26</f>
        <v>0</v>
      </c>
      <c r="DB55" s="7">
        <f>VC_NEW!CW26</f>
        <v>0</v>
      </c>
      <c r="DC55" s="7">
        <f>VC_NEW!CX26</f>
        <v>0</v>
      </c>
      <c r="DD55" s="7">
        <f>VC_NEW!CY26</f>
        <v>0</v>
      </c>
      <c r="DE55" s="7">
        <f>VC_NEW!CZ26</f>
        <v>0</v>
      </c>
      <c r="DF55" s="7">
        <f>VC_NEW!DA26</f>
        <v>0</v>
      </c>
      <c r="DG55" s="7">
        <f>VC_NEW!DB26</f>
        <v>0</v>
      </c>
      <c r="DH55" s="7">
        <f>VC_NEW!DC26</f>
        <v>0</v>
      </c>
      <c r="DI55" s="7">
        <f>VC_NEW!DD26</f>
        <v>0</v>
      </c>
      <c r="DJ55" s="7">
        <f>VC_NEW!DE26</f>
        <v>0</v>
      </c>
      <c r="DK55" s="7">
        <f>VC_NEW!DF26</f>
        <v>0</v>
      </c>
      <c r="DL55" s="7">
        <f>VC_NEW!DG26</f>
        <v>0</v>
      </c>
      <c r="DM55" s="7">
        <f>VC_NEW!DH26</f>
        <v>0</v>
      </c>
      <c r="DN55" s="7">
        <f>VC_NEW!DI26</f>
        <v>0</v>
      </c>
      <c r="DO55" s="7">
        <f>VC_NEW!DJ26</f>
        <v>0</v>
      </c>
      <c r="DP55" s="7">
        <f>VC_NEW!DK26</f>
        <v>0</v>
      </c>
      <c r="DQ55" s="7">
        <f>VC_NEW!DL26</f>
        <v>0</v>
      </c>
      <c r="DR55" s="7">
        <f>VC_NEW!DM26</f>
        <v>0</v>
      </c>
      <c r="DS55" s="7">
        <f>VC_NEW!DN26</f>
        <v>0</v>
      </c>
      <c r="DT55" s="7">
        <f>VC_NEW!DO26</f>
        <v>0</v>
      </c>
      <c r="DU55" s="7">
        <f>VC_NEW!DP26</f>
        <v>0</v>
      </c>
      <c r="DV55" s="7">
        <f>VC_NEW!DQ26</f>
        <v>0</v>
      </c>
      <c r="DW55" s="7">
        <f>VC_NEW!DR26</f>
        <v>0</v>
      </c>
      <c r="DX55" s="7">
        <f>VC_NEW!DS26</f>
        <v>0</v>
      </c>
      <c r="DY55" s="7">
        <f>VC_NEW!DT26</f>
        <v>0</v>
      </c>
      <c r="DZ55" s="7">
        <f>VC_NEW!DU26</f>
        <v>0</v>
      </c>
      <c r="EA55" s="7">
        <f>VC_NEW!DV26</f>
        <v>0</v>
      </c>
      <c r="EB55" s="7">
        <f>VC_NEW!DW26</f>
        <v>0</v>
      </c>
      <c r="EC55" s="7">
        <f>VC_NEW!DX26</f>
        <v>0</v>
      </c>
      <c r="ED55" s="7">
        <f>VC_NEW!DY26</f>
        <v>0</v>
      </c>
      <c r="EE55" s="7">
        <f>VC_NEW!DZ26</f>
        <v>0</v>
      </c>
      <c r="EF55" s="7">
        <f>VC_NEW!EA26</f>
        <v>0</v>
      </c>
      <c r="EG55" s="7">
        <f>VC_NEW!EB26</f>
        <v>0</v>
      </c>
      <c r="EH55" s="7" t="str">
        <f>VC_NEW!EC26</f>
        <v>T27S; S150G</v>
      </c>
      <c r="EI55" s="7">
        <f>VC_NEW!ED26</f>
        <v>0</v>
      </c>
      <c r="EJ55" s="7">
        <f>VC_NEW!EE26</f>
        <v>0</v>
      </c>
      <c r="EK55" s="7">
        <f>VC_NEW!EF26</f>
        <v>0</v>
      </c>
      <c r="EL55" s="7">
        <f>VC_NEW!EG26</f>
        <v>0</v>
      </c>
      <c r="EM55" s="7">
        <f>VC_NEW!EH26</f>
        <v>0</v>
      </c>
      <c r="EN55" s="7">
        <f>VC_NEW!EI26</f>
        <v>0</v>
      </c>
      <c r="EO55" s="7">
        <f>VC_NEW!EJ26</f>
        <v>0</v>
      </c>
      <c r="EP55" s="7">
        <f>VC_NEW!EK26</f>
        <v>0</v>
      </c>
      <c r="EQ55" s="7">
        <f>VC_NEW!EL26</f>
        <v>0</v>
      </c>
      <c r="ER55" s="7">
        <f>VC_NEW!EM26</f>
        <v>0</v>
      </c>
      <c r="ES55" s="7">
        <f>VC_NEW!EN26</f>
        <v>0</v>
      </c>
      <c r="ET55" s="7">
        <f>VC_NEW!EO26</f>
        <v>0</v>
      </c>
      <c r="EU55" s="7">
        <f>VC_NEW!EP26</f>
        <v>0</v>
      </c>
      <c r="EV55" s="7">
        <f>VC_NEW!EQ26</f>
        <v>0</v>
      </c>
      <c r="EW55" s="7" t="str">
        <f>VC_NEW!ER26</f>
        <v>R475Q</v>
      </c>
      <c r="EX55" s="7">
        <f>VC_NEW!ES26</f>
        <v>0</v>
      </c>
      <c r="EY55" s="7">
        <f>VC_NEW!ET26</f>
        <v>0</v>
      </c>
      <c r="EZ55" s="7">
        <f>VC_NEW!EU26</f>
        <v>0</v>
      </c>
      <c r="FA55" s="7">
        <f>VC_NEW!EV26</f>
        <v>0</v>
      </c>
      <c r="FB55" s="7">
        <f>VC_NEW!EW26</f>
        <v>0</v>
      </c>
      <c r="FC55" s="7">
        <f>VC_NEW!EX26</f>
        <v>0</v>
      </c>
      <c r="FD55" s="7">
        <f>VC_NEW!EY26</f>
        <v>0</v>
      </c>
      <c r="FE55" s="7">
        <f>VC_NEW!EZ26</f>
        <v>0</v>
      </c>
      <c r="FF55" s="7">
        <f>VC_NEW!FA26</f>
        <v>0</v>
      </c>
      <c r="FG55" s="7">
        <f>VC_NEW!FB26</f>
        <v>0</v>
      </c>
      <c r="FH55" s="7">
        <f>VC_NEW!FC26</f>
        <v>0</v>
      </c>
      <c r="FI55" s="7" t="str">
        <f>VC_NEW!FD26</f>
        <v>F324I</v>
      </c>
      <c r="FJ55" s="7">
        <f>VC_NEW!FE26</f>
        <v>0</v>
      </c>
      <c r="FK55" s="7">
        <f>VC_NEW!FF26</f>
        <v>0</v>
      </c>
      <c r="FL55" s="7" t="str">
        <f>VC_NEW!FG26</f>
        <v>Q212K</v>
      </c>
      <c r="FM55" s="7">
        <f>VC_NEW!FH26</f>
        <v>0</v>
      </c>
      <c r="FN55" s="7">
        <f>VC_NEW!FI26</f>
        <v>0</v>
      </c>
      <c r="FO55" s="7">
        <f>VC_NEW!FJ26</f>
        <v>0</v>
      </c>
      <c r="FP55" s="7">
        <f>VC_NEW!FK26</f>
        <v>0</v>
      </c>
      <c r="FQ55" s="7">
        <f>VC_NEW!FL26</f>
        <v>0</v>
      </c>
      <c r="FR55" s="7">
        <f>VC_NEW!FM26</f>
        <v>0</v>
      </c>
      <c r="FS55" s="7">
        <f>VC_NEW!FN26</f>
        <v>0</v>
      </c>
      <c r="FT55" s="7">
        <f>VC_NEW!FO26</f>
        <v>0</v>
      </c>
      <c r="FU55" s="7">
        <f>VC_NEW!FP26</f>
        <v>0</v>
      </c>
      <c r="FV55" s="7">
        <f>VC_NEW!FQ26</f>
        <v>0</v>
      </c>
      <c r="FW55" s="7">
        <f>VC_NEW!FR26</f>
        <v>0</v>
      </c>
      <c r="FX55" s="7">
        <f>VC_NEW!FS26</f>
        <v>0</v>
      </c>
      <c r="FY55" s="7">
        <f>VC_NEW!FT26</f>
        <v>0</v>
      </c>
      <c r="FZ55" s="7">
        <f>VC_NEW!FU26</f>
        <v>0</v>
      </c>
      <c r="GA55" s="7">
        <f>VC_NEW!FV26</f>
        <v>0</v>
      </c>
      <c r="GB55" s="7">
        <f>VC_NEW!FW26</f>
        <v>0</v>
      </c>
      <c r="GC55" s="7">
        <f>VC_NEW!FX26</f>
        <v>0</v>
      </c>
      <c r="GD55" s="7">
        <f>VC_NEW!FY26</f>
        <v>0</v>
      </c>
      <c r="GE55" s="7">
        <f>VC_NEW!FZ26</f>
        <v>0</v>
      </c>
      <c r="GF55" s="7">
        <f>VC_NEW!GA26</f>
        <v>0</v>
      </c>
      <c r="GG55" s="7">
        <f>VC_NEW!GB26</f>
        <v>0</v>
      </c>
      <c r="GH55" s="7">
        <f>VC_NEW!GC26</f>
        <v>0</v>
      </c>
      <c r="GI55" s="7">
        <f>VC_NEW!GD26</f>
        <v>0</v>
      </c>
      <c r="GJ55" s="7">
        <f>VC_NEW!GE26</f>
        <v>0</v>
      </c>
      <c r="GK55" s="7">
        <f>VC_NEW!GF26</f>
        <v>0</v>
      </c>
      <c r="GL55" s="7">
        <f>VC_NEW!GG26</f>
        <v>0</v>
      </c>
      <c r="GM55" s="7">
        <f>VC_NEW!GH26</f>
        <v>0</v>
      </c>
      <c r="GN55" s="7">
        <f>VC_NEW!GI26</f>
        <v>0</v>
      </c>
      <c r="GO55" s="7">
        <f>VC_NEW!GJ26</f>
        <v>0</v>
      </c>
      <c r="GP55" s="7">
        <f>VC_NEW!GK26</f>
        <v>0</v>
      </c>
      <c r="GQ55" s="7">
        <f>VC_NEW!GL26</f>
        <v>0</v>
      </c>
      <c r="GR55" s="7">
        <f>VC_NEW!GM26</f>
        <v>0</v>
      </c>
      <c r="GS55" s="7" t="str">
        <f>VC_NEW!GN26</f>
        <v>V289I</v>
      </c>
      <c r="GT55" s="7">
        <f>VC_NEW!GO26</f>
        <v>0</v>
      </c>
      <c r="GU55" s="7">
        <f>VC_NEW!GP26</f>
        <v>0</v>
      </c>
      <c r="GV55" s="7">
        <f>VC_NEW!GQ26</f>
        <v>0</v>
      </c>
      <c r="GW55" s="7">
        <f>VC_NEW!GR26</f>
        <v>0</v>
      </c>
      <c r="GX55" s="7">
        <f>VC_NEW!GS26</f>
        <v>0</v>
      </c>
      <c r="GY55" s="7" t="str">
        <f>VC_NEW!GT26</f>
        <v>nt675InsTGGCC</v>
      </c>
      <c r="GZ55" s="7">
        <f>VC_NEW!GU26</f>
        <v>0</v>
      </c>
      <c r="HA55" s="7">
        <f>VC_NEW!GV26</f>
        <v>0</v>
      </c>
      <c r="HB55" s="7">
        <f>VC_NEW!GW26</f>
        <v>0</v>
      </c>
      <c r="HC55" s="7">
        <f>VC_NEW!GX26</f>
        <v>0</v>
      </c>
    </row>
    <row r="56" spans="1:211" s="7" customFormat="1" ht="15.75" hidden="1" customHeight="1" x14ac:dyDescent="0.25">
      <c r="A56" s="30" t="s">
        <v>19</v>
      </c>
      <c r="B56" s="30" t="s">
        <v>79</v>
      </c>
      <c r="C56" s="31" t="s">
        <v>3</v>
      </c>
      <c r="D56" s="30" t="s">
        <v>76</v>
      </c>
      <c r="E56" s="30" t="s">
        <v>139</v>
      </c>
      <c r="F56" s="30" t="s">
        <v>74</v>
      </c>
      <c r="G56" s="30" t="s">
        <v>136</v>
      </c>
      <c r="H56" s="7" t="str">
        <f>VC_NEW!C26</f>
        <v>T428P</v>
      </c>
      <c r="I56" s="7">
        <f>VC_NEW!D26</f>
        <v>0</v>
      </c>
      <c r="J56" s="7">
        <f>VC_NEW!E26</f>
        <v>0</v>
      </c>
      <c r="K56" s="7">
        <f>VC_NEW!F26</f>
        <v>0</v>
      </c>
      <c r="L56" s="7">
        <f>VC_NEW!G26</f>
        <v>0</v>
      </c>
      <c r="M56" s="7">
        <f>VC_NEW!H26</f>
        <v>0</v>
      </c>
      <c r="N56" s="7">
        <f>VC_NEW!I26</f>
        <v>0</v>
      </c>
      <c r="O56" s="7">
        <f>VC_NEW!J26</f>
        <v>0</v>
      </c>
      <c r="P56" s="7">
        <f>VC_NEW!K26</f>
        <v>0</v>
      </c>
      <c r="Q56" s="7">
        <f>VC_NEW!L26</f>
        <v>0</v>
      </c>
      <c r="R56" s="7">
        <f>VC_NEW!M26</f>
        <v>0</v>
      </c>
      <c r="S56" s="7">
        <f>VC_NEW!N26</f>
        <v>0</v>
      </c>
      <c r="T56" s="7">
        <f>VC_NEW!O26</f>
        <v>0</v>
      </c>
      <c r="U56" s="7">
        <f>VC_NEW!P26</f>
        <v>0</v>
      </c>
      <c r="V56" s="7">
        <f>VC_NEW!Q26</f>
        <v>0</v>
      </c>
      <c r="W56" s="7">
        <f>VC_NEW!R26</f>
        <v>0</v>
      </c>
      <c r="X56" s="7">
        <f>VC_NEW!S26</f>
        <v>0</v>
      </c>
      <c r="Y56" s="7">
        <f>VC_NEW!T26</f>
        <v>0</v>
      </c>
      <c r="Z56" s="7">
        <f>VC_NEW!U26</f>
        <v>0</v>
      </c>
      <c r="AA56" s="7">
        <f>VC_NEW!V26</f>
        <v>0</v>
      </c>
      <c r="AB56" s="7">
        <f>VC_NEW!W26</f>
        <v>0</v>
      </c>
      <c r="AC56" s="7">
        <f>VC_NEW!X26</f>
        <v>0</v>
      </c>
      <c r="AD56" s="7">
        <f>VC_NEW!Y26</f>
        <v>0</v>
      </c>
      <c r="AE56" s="7">
        <f>VC_NEW!Z26</f>
        <v>0</v>
      </c>
      <c r="AF56" s="7">
        <f>VC_NEW!AA26</f>
        <v>0</v>
      </c>
      <c r="AG56" s="7">
        <f>VC_NEW!AB26</f>
        <v>0</v>
      </c>
      <c r="AH56" s="7">
        <f>VC_NEW!AC26</f>
        <v>0</v>
      </c>
      <c r="AI56" s="7">
        <f>VC_NEW!AD26</f>
        <v>0</v>
      </c>
      <c r="AJ56" s="7">
        <f>VC_NEW!AE26</f>
        <v>0</v>
      </c>
      <c r="AK56" s="7">
        <f>VC_NEW!AF26</f>
        <v>0</v>
      </c>
      <c r="AL56" s="7">
        <f>VC_NEW!AG26</f>
        <v>0</v>
      </c>
      <c r="AM56" s="7">
        <f>VC_NEW!AH26</f>
        <v>0</v>
      </c>
      <c r="AN56" s="7">
        <f>VC_NEW!AI26</f>
        <v>0</v>
      </c>
      <c r="AO56" s="7" t="str">
        <f>VC_NEW!AJ26</f>
        <v>Y61H</v>
      </c>
      <c r="AP56" s="7">
        <f>VC_NEW!AK26</f>
        <v>0</v>
      </c>
      <c r="AQ56" s="7">
        <f>VC_NEW!AL26</f>
        <v>0</v>
      </c>
      <c r="AR56" s="7">
        <f>VC_NEW!AM26</f>
        <v>0</v>
      </c>
      <c r="AS56" s="7">
        <f>VC_NEW!AN26</f>
        <v>0</v>
      </c>
      <c r="AT56" s="7">
        <f>VC_NEW!AO26</f>
        <v>0</v>
      </c>
      <c r="AU56" s="7">
        <f>VC_NEW!AP26</f>
        <v>0</v>
      </c>
      <c r="AV56" s="7">
        <f>VC_NEW!AQ26</f>
        <v>0</v>
      </c>
      <c r="AW56" s="7">
        <f>VC_NEW!AR26</f>
        <v>0</v>
      </c>
      <c r="AX56" s="7">
        <f>VC_NEW!AS26</f>
        <v>0</v>
      </c>
      <c r="AY56" s="7">
        <f>VC_NEW!AT26</f>
        <v>0</v>
      </c>
      <c r="AZ56" s="7">
        <f>VC_NEW!AU26</f>
        <v>0</v>
      </c>
      <c r="BA56" s="7">
        <f>VC_NEW!AV26</f>
        <v>0</v>
      </c>
      <c r="BB56" s="7">
        <f>VC_NEW!AW26</f>
        <v>0</v>
      </c>
      <c r="BC56" s="7">
        <f>VC_NEW!AX26</f>
        <v>0</v>
      </c>
      <c r="BD56" s="7">
        <f>VC_NEW!AY26</f>
        <v>0</v>
      </c>
      <c r="BE56" s="7">
        <f>VC_NEW!AZ26</f>
        <v>0</v>
      </c>
      <c r="BF56" s="7">
        <f>VC_NEW!BA26</f>
        <v>0</v>
      </c>
      <c r="BG56" s="7">
        <f>VC_NEW!BB26</f>
        <v>0</v>
      </c>
      <c r="BH56" s="7">
        <f>VC_NEW!BC26</f>
        <v>0</v>
      </c>
      <c r="BI56" s="7">
        <f>VC_NEW!BD26</f>
        <v>0</v>
      </c>
      <c r="BJ56" s="7">
        <f>VC_NEW!BE26</f>
        <v>0</v>
      </c>
      <c r="BK56" s="7">
        <f>VC_NEW!BF26</f>
        <v>0</v>
      </c>
      <c r="BL56" s="7">
        <f>VC_NEW!BG26</f>
        <v>0</v>
      </c>
      <c r="BM56" s="7">
        <f>VC_NEW!BH26</f>
        <v>0</v>
      </c>
      <c r="BN56" s="7">
        <f>VC_NEW!BI26</f>
        <v>0</v>
      </c>
      <c r="BO56" s="7">
        <f>VC_NEW!BJ26</f>
        <v>0</v>
      </c>
      <c r="BP56" s="7">
        <f>VC_NEW!BK26</f>
        <v>0</v>
      </c>
      <c r="BQ56" s="7">
        <f>VC_NEW!BL26</f>
        <v>0</v>
      </c>
      <c r="BR56" s="7">
        <f>VC_NEW!BM26</f>
        <v>0</v>
      </c>
      <c r="BS56" s="7">
        <f>VC_NEW!BN26</f>
        <v>0</v>
      </c>
      <c r="BT56" s="7">
        <f>VC_NEW!BO26</f>
        <v>0</v>
      </c>
      <c r="BU56" s="7">
        <f>VC_NEW!BP26</f>
        <v>0</v>
      </c>
      <c r="BV56" s="7" t="str">
        <f>VC_NEW!BQ26</f>
        <v>G263S</v>
      </c>
      <c r="BW56" s="7">
        <f>VC_NEW!BR26</f>
        <v>0</v>
      </c>
      <c r="BX56" s="7" t="str">
        <f>VC_NEW!BS26</f>
        <v>D176N</v>
      </c>
      <c r="BY56" s="7">
        <f>VC_NEW!BT26</f>
        <v>0</v>
      </c>
      <c r="BZ56" s="7">
        <f>VC_NEW!BU26</f>
        <v>0</v>
      </c>
      <c r="CA56" s="7" t="str">
        <f>VC_NEW!BV26</f>
        <v>A340G</v>
      </c>
      <c r="CB56" s="7">
        <f>VC_NEW!BW26</f>
        <v>0</v>
      </c>
      <c r="CC56" s="7">
        <f>VC_NEW!BX26</f>
        <v>0</v>
      </c>
      <c r="CD56" s="7">
        <f>VC_NEW!BY26</f>
        <v>0</v>
      </c>
      <c r="CE56" s="7">
        <f>VC_NEW!BZ26</f>
        <v>0</v>
      </c>
      <c r="CF56" s="7">
        <f>VC_NEW!CA26</f>
        <v>0</v>
      </c>
      <c r="CG56" s="7">
        <f>VC_NEW!CB26</f>
        <v>0</v>
      </c>
      <c r="CH56" s="7">
        <f>VC_NEW!CC26</f>
        <v>0</v>
      </c>
      <c r="CI56" s="7">
        <f>VC_NEW!CD26</f>
        <v>0</v>
      </c>
      <c r="CJ56" s="7">
        <f>VC_NEW!CE26</f>
        <v>0</v>
      </c>
      <c r="CK56" s="7">
        <f>VC_NEW!CF26</f>
        <v>0</v>
      </c>
      <c r="CL56" s="7">
        <f>VC_NEW!CG26</f>
        <v>0</v>
      </c>
      <c r="CM56" s="7">
        <f>VC_NEW!CH26</f>
        <v>0</v>
      </c>
      <c r="CN56" s="7">
        <f>VC_NEW!CI26</f>
        <v>0</v>
      </c>
      <c r="CO56" s="7">
        <f>VC_NEW!CJ26</f>
        <v>0</v>
      </c>
      <c r="CP56" s="7">
        <f>VC_NEW!CK26</f>
        <v>0</v>
      </c>
      <c r="CQ56" s="7" t="str">
        <f>VC_NEW!CL26</f>
        <v>A434T</v>
      </c>
      <c r="CR56" s="7">
        <f>VC_NEW!CM26</f>
        <v>0</v>
      </c>
      <c r="CS56" s="7">
        <f>VC_NEW!CN26</f>
        <v>0</v>
      </c>
      <c r="CT56" s="7">
        <f>VC_NEW!CO26</f>
        <v>0</v>
      </c>
      <c r="CU56" s="7">
        <f>VC_NEW!CP26</f>
        <v>0</v>
      </c>
      <c r="CV56" s="7">
        <f>VC_NEW!CQ26</f>
        <v>0</v>
      </c>
      <c r="CW56" s="7">
        <f>VC_NEW!CR26</f>
        <v>0</v>
      </c>
      <c r="CX56" s="7">
        <f>VC_NEW!CS26</f>
        <v>0</v>
      </c>
      <c r="CY56" s="7">
        <f>VC_NEW!CT26</f>
        <v>0</v>
      </c>
      <c r="CZ56" s="7">
        <f>VC_NEW!CU26</f>
        <v>0</v>
      </c>
      <c r="DA56" s="7">
        <f>VC_NEW!CV26</f>
        <v>0</v>
      </c>
      <c r="DB56" s="7">
        <f>VC_NEW!CW26</f>
        <v>0</v>
      </c>
      <c r="DC56" s="7">
        <f>VC_NEW!CX26</f>
        <v>0</v>
      </c>
      <c r="DD56" s="7">
        <f>VC_NEW!CY26</f>
        <v>0</v>
      </c>
      <c r="DE56" s="7">
        <f>VC_NEW!CZ26</f>
        <v>0</v>
      </c>
      <c r="DF56" s="7">
        <f>VC_NEW!DA26</f>
        <v>0</v>
      </c>
      <c r="DG56" s="7">
        <f>VC_NEW!DB26</f>
        <v>0</v>
      </c>
      <c r="DH56" s="7">
        <f>VC_NEW!DC26</f>
        <v>0</v>
      </c>
      <c r="DI56" s="7">
        <f>VC_NEW!DD26</f>
        <v>0</v>
      </c>
      <c r="DJ56" s="7">
        <f>VC_NEW!DE26</f>
        <v>0</v>
      </c>
      <c r="DK56" s="7">
        <f>VC_NEW!DF26</f>
        <v>0</v>
      </c>
      <c r="DL56" s="7">
        <f>VC_NEW!DG26</f>
        <v>0</v>
      </c>
      <c r="DM56" s="7">
        <f>VC_NEW!DH26</f>
        <v>0</v>
      </c>
      <c r="DN56" s="7">
        <f>VC_NEW!DI26</f>
        <v>0</v>
      </c>
      <c r="DO56" s="7">
        <f>VC_NEW!DJ26</f>
        <v>0</v>
      </c>
      <c r="DP56" s="7">
        <f>VC_NEW!DK26</f>
        <v>0</v>
      </c>
      <c r="DQ56" s="7">
        <f>VC_NEW!DL26</f>
        <v>0</v>
      </c>
      <c r="DR56" s="7">
        <f>VC_NEW!DM26</f>
        <v>0</v>
      </c>
      <c r="DS56" s="7">
        <f>VC_NEW!DN26</f>
        <v>0</v>
      </c>
      <c r="DT56" s="7">
        <f>VC_NEW!DO26</f>
        <v>0</v>
      </c>
      <c r="DU56" s="7">
        <f>VC_NEW!DP26</f>
        <v>0</v>
      </c>
      <c r="DV56" s="7">
        <f>VC_NEW!DQ26</f>
        <v>0</v>
      </c>
      <c r="DW56" s="7">
        <f>VC_NEW!DR26</f>
        <v>0</v>
      </c>
      <c r="DX56" s="7">
        <f>VC_NEW!DS26</f>
        <v>0</v>
      </c>
      <c r="DY56" s="7">
        <f>VC_NEW!DT26</f>
        <v>0</v>
      </c>
      <c r="DZ56" s="7">
        <f>VC_NEW!DU26</f>
        <v>0</v>
      </c>
      <c r="EA56" s="7">
        <f>VC_NEW!DV26</f>
        <v>0</v>
      </c>
      <c r="EB56" s="7">
        <f>VC_NEW!DW26</f>
        <v>0</v>
      </c>
      <c r="EC56" s="7">
        <f>VC_NEW!DX26</f>
        <v>0</v>
      </c>
      <c r="ED56" s="7">
        <f>VC_NEW!DY26</f>
        <v>0</v>
      </c>
      <c r="EE56" s="7">
        <f>VC_NEW!DZ26</f>
        <v>0</v>
      </c>
      <c r="EF56" s="7">
        <f>VC_NEW!EA26</f>
        <v>0</v>
      </c>
      <c r="EG56" s="7">
        <f>VC_NEW!EB26</f>
        <v>0</v>
      </c>
      <c r="EH56" s="7" t="str">
        <f>VC_NEW!EC26</f>
        <v>T27S; S150G</v>
      </c>
      <c r="EI56" s="7">
        <f>VC_NEW!ED26</f>
        <v>0</v>
      </c>
      <c r="EJ56" s="7">
        <f>VC_NEW!EE26</f>
        <v>0</v>
      </c>
      <c r="EK56" s="7">
        <f>VC_NEW!EF26</f>
        <v>0</v>
      </c>
      <c r="EL56" s="7">
        <f>VC_NEW!EG26</f>
        <v>0</v>
      </c>
      <c r="EM56" s="7">
        <f>VC_NEW!EH26</f>
        <v>0</v>
      </c>
      <c r="EN56" s="7">
        <f>VC_NEW!EI26</f>
        <v>0</v>
      </c>
      <c r="EO56" s="7">
        <f>VC_NEW!EJ26</f>
        <v>0</v>
      </c>
      <c r="EP56" s="7">
        <f>VC_NEW!EK26</f>
        <v>0</v>
      </c>
      <c r="EQ56" s="7">
        <f>VC_NEW!EL26</f>
        <v>0</v>
      </c>
      <c r="ER56" s="7">
        <f>VC_NEW!EM26</f>
        <v>0</v>
      </c>
      <c r="ES56" s="7">
        <f>VC_NEW!EN26</f>
        <v>0</v>
      </c>
      <c r="ET56" s="7">
        <f>VC_NEW!EO26</f>
        <v>0</v>
      </c>
      <c r="EU56" s="7">
        <f>VC_NEW!EP26</f>
        <v>0</v>
      </c>
      <c r="EV56" s="7">
        <f>VC_NEW!EQ26</f>
        <v>0</v>
      </c>
      <c r="EW56" s="7" t="str">
        <f>VC_NEW!ER26</f>
        <v>R475Q</v>
      </c>
      <c r="EX56" s="7">
        <f>VC_NEW!ES26</f>
        <v>0</v>
      </c>
      <c r="EY56" s="7">
        <f>VC_NEW!ET26</f>
        <v>0</v>
      </c>
      <c r="EZ56" s="7">
        <f>VC_NEW!EU26</f>
        <v>0</v>
      </c>
      <c r="FA56" s="7">
        <f>VC_NEW!EV26</f>
        <v>0</v>
      </c>
      <c r="FB56" s="7">
        <f>VC_NEW!EW26</f>
        <v>0</v>
      </c>
      <c r="FC56" s="7">
        <f>VC_NEW!EX26</f>
        <v>0</v>
      </c>
      <c r="FD56" s="7">
        <f>VC_NEW!EY26</f>
        <v>0</v>
      </c>
      <c r="FE56" s="7">
        <f>VC_NEW!EZ26</f>
        <v>0</v>
      </c>
      <c r="FF56" s="7">
        <f>VC_NEW!FA26</f>
        <v>0</v>
      </c>
      <c r="FG56" s="7">
        <f>VC_NEW!FB26</f>
        <v>0</v>
      </c>
      <c r="FH56" s="7">
        <f>VC_NEW!FC26</f>
        <v>0</v>
      </c>
      <c r="FI56" s="7" t="str">
        <f>VC_NEW!FD26</f>
        <v>F324I</v>
      </c>
      <c r="FJ56" s="7">
        <f>VC_NEW!FE26</f>
        <v>0</v>
      </c>
      <c r="FK56" s="7">
        <f>VC_NEW!FF26</f>
        <v>0</v>
      </c>
      <c r="FL56" s="7" t="str">
        <f>VC_NEW!FG26</f>
        <v>Q212K</v>
      </c>
      <c r="FM56" s="7">
        <f>VC_NEW!FH26</f>
        <v>0</v>
      </c>
      <c r="FN56" s="7">
        <f>VC_NEW!FI26</f>
        <v>0</v>
      </c>
      <c r="FO56" s="7">
        <f>VC_NEW!FJ26</f>
        <v>0</v>
      </c>
      <c r="FP56" s="7">
        <f>VC_NEW!FK26</f>
        <v>0</v>
      </c>
      <c r="FQ56" s="7">
        <f>VC_NEW!FL26</f>
        <v>0</v>
      </c>
      <c r="FR56" s="7">
        <f>VC_NEW!FM26</f>
        <v>0</v>
      </c>
      <c r="FS56" s="7">
        <f>VC_NEW!FN26</f>
        <v>0</v>
      </c>
      <c r="FT56" s="7">
        <f>VC_NEW!FO26</f>
        <v>0</v>
      </c>
      <c r="FU56" s="7">
        <f>VC_NEW!FP26</f>
        <v>0</v>
      </c>
      <c r="FV56" s="7">
        <f>VC_NEW!FQ26</f>
        <v>0</v>
      </c>
      <c r="FW56" s="7">
        <f>VC_NEW!FR26</f>
        <v>0</v>
      </c>
      <c r="FX56" s="7">
        <f>VC_NEW!FS26</f>
        <v>0</v>
      </c>
      <c r="FY56" s="7">
        <f>VC_NEW!FT26</f>
        <v>0</v>
      </c>
      <c r="FZ56" s="7">
        <f>VC_NEW!FU26</f>
        <v>0</v>
      </c>
      <c r="GA56" s="7">
        <f>VC_NEW!FV26</f>
        <v>0</v>
      </c>
      <c r="GB56" s="7">
        <f>VC_NEW!FW26</f>
        <v>0</v>
      </c>
      <c r="GC56" s="7">
        <f>VC_NEW!FX26</f>
        <v>0</v>
      </c>
      <c r="GD56" s="7">
        <f>VC_NEW!FY26</f>
        <v>0</v>
      </c>
      <c r="GE56" s="7">
        <f>VC_NEW!FZ26</f>
        <v>0</v>
      </c>
      <c r="GF56" s="7">
        <f>VC_NEW!GA26</f>
        <v>0</v>
      </c>
      <c r="GG56" s="7">
        <f>VC_NEW!GB26</f>
        <v>0</v>
      </c>
      <c r="GH56" s="7">
        <f>VC_NEW!GC26</f>
        <v>0</v>
      </c>
      <c r="GI56" s="7">
        <f>VC_NEW!GD26</f>
        <v>0</v>
      </c>
      <c r="GJ56" s="7">
        <f>VC_NEW!GE26</f>
        <v>0</v>
      </c>
      <c r="GK56" s="7">
        <f>VC_NEW!GF26</f>
        <v>0</v>
      </c>
      <c r="GL56" s="7">
        <f>VC_NEW!GG26</f>
        <v>0</v>
      </c>
      <c r="GM56" s="7">
        <f>VC_NEW!GH26</f>
        <v>0</v>
      </c>
      <c r="GN56" s="7">
        <f>VC_NEW!GI26</f>
        <v>0</v>
      </c>
      <c r="GO56" s="7">
        <f>VC_NEW!GJ26</f>
        <v>0</v>
      </c>
      <c r="GP56" s="7">
        <f>VC_NEW!GK26</f>
        <v>0</v>
      </c>
      <c r="GQ56" s="7">
        <f>VC_NEW!GL26</f>
        <v>0</v>
      </c>
      <c r="GR56" s="7">
        <f>VC_NEW!GM26</f>
        <v>0</v>
      </c>
      <c r="GS56" s="7" t="str">
        <f>VC_NEW!GN26</f>
        <v>V289I</v>
      </c>
      <c r="GT56" s="7">
        <f>VC_NEW!GO26</f>
        <v>0</v>
      </c>
      <c r="GU56" s="7">
        <f>VC_NEW!GP26</f>
        <v>0</v>
      </c>
      <c r="GV56" s="7">
        <f>VC_NEW!GQ26</f>
        <v>0</v>
      </c>
      <c r="GW56" s="7">
        <f>VC_NEW!GR26</f>
        <v>0</v>
      </c>
      <c r="GX56" s="7">
        <f>VC_NEW!GS26</f>
        <v>0</v>
      </c>
      <c r="GY56" s="7" t="str">
        <f>VC_NEW!GT26</f>
        <v>nt675InsTGGCC</v>
      </c>
      <c r="GZ56" s="7">
        <f>VC_NEW!GU26</f>
        <v>0</v>
      </c>
      <c r="HA56" s="7">
        <f>VC_NEW!GV26</f>
        <v>0</v>
      </c>
      <c r="HB56" s="7">
        <f>VC_NEW!GW26</f>
        <v>0</v>
      </c>
      <c r="HC56" s="7">
        <f>VC_NEW!GX26</f>
        <v>0</v>
      </c>
    </row>
    <row r="57" spans="1:211" s="1" customFormat="1" ht="15" hidden="1" customHeight="1" x14ac:dyDescent="0.25">
      <c r="A57" s="1" t="s">
        <v>64</v>
      </c>
      <c r="B57" s="1" t="s">
        <v>65</v>
      </c>
      <c r="C57" s="4" t="s">
        <v>4</v>
      </c>
      <c r="D57" s="1" t="s">
        <v>76</v>
      </c>
      <c r="E57" s="2">
        <v>1</v>
      </c>
      <c r="F57" s="2" t="s">
        <v>73</v>
      </c>
      <c r="G57" s="12" t="s">
        <v>145</v>
      </c>
      <c r="H57" s="1" t="str">
        <f>VC_NEW!C27</f>
        <v>T83I</v>
      </c>
      <c r="I57" s="1">
        <f>VC_NEW!D27</f>
        <v>0</v>
      </c>
      <c r="J57" s="1">
        <f>VC_NEW!E27</f>
        <v>0</v>
      </c>
      <c r="K57" s="1">
        <f>VC_NEW!F27</f>
        <v>0</v>
      </c>
      <c r="L57" s="1" t="str">
        <f>VC_NEW!G27</f>
        <v>T83I</v>
      </c>
      <c r="M57" s="1">
        <f>VC_NEW!H27</f>
        <v>0</v>
      </c>
      <c r="N57" s="1" t="str">
        <f>VC_NEW!I27</f>
        <v>T83I</v>
      </c>
      <c r="O57" s="1">
        <f>VC_NEW!J27</f>
        <v>0</v>
      </c>
      <c r="P57" s="1">
        <f>VC_NEW!K27</f>
        <v>0</v>
      </c>
      <c r="Q57" s="1">
        <f>VC_NEW!L27</f>
        <v>0</v>
      </c>
      <c r="R57" s="1">
        <f>VC_NEW!M27</f>
        <v>0</v>
      </c>
      <c r="S57" s="1">
        <f>VC_NEW!N27</f>
        <v>0</v>
      </c>
      <c r="T57" s="1">
        <f>VC_NEW!O27</f>
        <v>0</v>
      </c>
      <c r="U57" s="1">
        <f>VC_NEW!P27</f>
        <v>0</v>
      </c>
      <c r="V57" s="1" t="str">
        <f>VC_NEW!Q27</f>
        <v>T83I</v>
      </c>
      <c r="W57" s="1">
        <f>VC_NEW!R27</f>
        <v>0</v>
      </c>
      <c r="X57" s="1">
        <f>VC_NEW!S27</f>
        <v>0</v>
      </c>
      <c r="Y57" s="1">
        <f>VC_NEW!T27</f>
        <v>0</v>
      </c>
      <c r="Z57" s="1">
        <f>VC_NEW!U27</f>
        <v>0</v>
      </c>
      <c r="AA57" s="1">
        <f>VC_NEW!V27</f>
        <v>0</v>
      </c>
      <c r="AB57" s="1">
        <f>VC_NEW!W27</f>
        <v>0</v>
      </c>
      <c r="AC57" s="1" t="str">
        <f>VC_NEW!X27</f>
        <v>D87N</v>
      </c>
      <c r="AD57" s="1">
        <f>VC_NEW!Y27</f>
        <v>0</v>
      </c>
      <c r="AE57" s="1">
        <f>VC_NEW!Z27</f>
        <v>0</v>
      </c>
      <c r="AF57" s="1">
        <f>VC_NEW!AA27</f>
        <v>0</v>
      </c>
      <c r="AG57" s="1">
        <f>VC_NEW!AB27</f>
        <v>0</v>
      </c>
      <c r="AH57" s="1">
        <f>VC_NEW!AC27</f>
        <v>0</v>
      </c>
      <c r="AI57" s="1">
        <f>VC_NEW!AD27</f>
        <v>0</v>
      </c>
      <c r="AJ57" s="1">
        <f>VC_NEW!AE27</f>
        <v>0</v>
      </c>
      <c r="AK57" s="1">
        <f>VC_NEW!AF27</f>
        <v>0</v>
      </c>
      <c r="AL57" s="1">
        <f>VC_NEW!AG27</f>
        <v>0</v>
      </c>
      <c r="AM57" s="1">
        <f>VC_NEW!AH27</f>
        <v>0</v>
      </c>
      <c r="AN57" s="1">
        <f>VC_NEW!AI27</f>
        <v>0</v>
      </c>
      <c r="AO57" s="1">
        <f>VC_NEW!AJ27</f>
        <v>0</v>
      </c>
      <c r="AP57" s="1">
        <f>VC_NEW!AK27</f>
        <v>0</v>
      </c>
      <c r="AQ57" s="1">
        <f>VC_NEW!AL27</f>
        <v>0</v>
      </c>
      <c r="AR57" s="1">
        <f>VC_NEW!AM27</f>
        <v>0</v>
      </c>
      <c r="AS57" s="1">
        <f>VC_NEW!AN27</f>
        <v>0</v>
      </c>
      <c r="AT57" s="1">
        <f>VC_NEW!AO27</f>
        <v>0</v>
      </c>
      <c r="AU57" s="1" t="str">
        <f>VC_NEW!AP27</f>
        <v>D87N</v>
      </c>
      <c r="AV57" s="1">
        <f>VC_NEW!AQ27</f>
        <v>0</v>
      </c>
      <c r="AW57" s="1">
        <f>VC_NEW!AR27</f>
        <v>0</v>
      </c>
      <c r="AX57" s="1">
        <f>VC_NEW!AS27</f>
        <v>0</v>
      </c>
      <c r="AY57" s="1">
        <f>VC_NEW!AT27</f>
        <v>0</v>
      </c>
      <c r="AZ57" s="1">
        <f>VC_NEW!AU27</f>
        <v>0</v>
      </c>
      <c r="BA57" s="1" t="str">
        <f>VC_NEW!AV27</f>
        <v>T83I; D87N</v>
      </c>
      <c r="BB57" s="1">
        <f>VC_NEW!AW27</f>
        <v>0</v>
      </c>
      <c r="BC57" s="1" t="str">
        <f>VC_NEW!AX27</f>
        <v>T83I; D87N</v>
      </c>
      <c r="BD57" s="1">
        <f>VC_NEW!AY27</f>
        <v>0</v>
      </c>
      <c r="BE57" s="1">
        <f>VC_NEW!AZ27</f>
        <v>0</v>
      </c>
      <c r="BF57" s="1">
        <f>VC_NEW!BA27</f>
        <v>0</v>
      </c>
      <c r="BG57" s="1">
        <f>VC_NEW!BB27</f>
        <v>0</v>
      </c>
      <c r="BH57" s="1">
        <f>VC_NEW!BC27</f>
        <v>0</v>
      </c>
      <c r="BI57" s="1" t="str">
        <f>VC_NEW!BD27</f>
        <v>T83I; D87N</v>
      </c>
      <c r="BJ57" s="1">
        <f>VC_NEW!BE27</f>
        <v>0</v>
      </c>
      <c r="BK57" s="1" t="str">
        <f>VC_NEW!BF27</f>
        <v>D87G</v>
      </c>
      <c r="BL57" s="1">
        <f>VC_NEW!BG27</f>
        <v>0</v>
      </c>
      <c r="BM57" s="1">
        <f>VC_NEW!BH27</f>
        <v>0</v>
      </c>
      <c r="BN57" s="1" t="str">
        <f>VC_NEW!BI27</f>
        <v>T83I</v>
      </c>
      <c r="BO57" s="1">
        <f>VC_NEW!BJ27</f>
        <v>0</v>
      </c>
      <c r="BP57" s="1">
        <f>VC_NEW!BK27</f>
        <v>0</v>
      </c>
      <c r="BQ57" s="1">
        <f>VC_NEW!BL27</f>
        <v>0</v>
      </c>
      <c r="BR57" s="1" t="str">
        <f>VC_NEW!BM27</f>
        <v>T83I; V671I</v>
      </c>
      <c r="BS57" s="1" t="str">
        <f>VC_NEW!BN27</f>
        <v>T83I; D87N</v>
      </c>
      <c r="BT57" s="1" t="str">
        <f>VC_NEW!BO27</f>
        <v>T83I</v>
      </c>
      <c r="BU57" s="1">
        <f>VC_NEW!BP27</f>
        <v>0</v>
      </c>
      <c r="BV57" s="1">
        <f>VC_NEW!BQ27</f>
        <v>0</v>
      </c>
      <c r="BW57" s="1" t="str">
        <f>VC_NEW!BR27</f>
        <v>T83I; D87N</v>
      </c>
      <c r="BX57" s="1">
        <f>VC_NEW!BS27</f>
        <v>0</v>
      </c>
      <c r="BY57" s="1">
        <f>VC_NEW!BT27</f>
        <v>0</v>
      </c>
      <c r="BZ57" s="1">
        <f>VC_NEW!BU27</f>
        <v>0</v>
      </c>
      <c r="CA57" s="1">
        <f>VC_NEW!BV27</f>
        <v>0</v>
      </c>
      <c r="CB57" s="1">
        <f>VC_NEW!BW27</f>
        <v>0</v>
      </c>
      <c r="CC57" s="1">
        <f>VC_NEW!BX27</f>
        <v>0</v>
      </c>
      <c r="CD57" s="1" t="str">
        <f>VC_NEW!BY27</f>
        <v>T83I; D87N</v>
      </c>
      <c r="CE57" s="1">
        <f>VC_NEW!BZ27</f>
        <v>0</v>
      </c>
      <c r="CF57" s="1" t="str">
        <f>VC_NEW!CA27</f>
        <v xml:space="preserve">T83I; </v>
      </c>
      <c r="CG57" s="1">
        <f>VC_NEW!CB27</f>
        <v>0</v>
      </c>
      <c r="CH57" s="1">
        <f>VC_NEW!CC27</f>
        <v>0</v>
      </c>
      <c r="CI57" s="1">
        <f>VC_NEW!CD27</f>
        <v>0</v>
      </c>
      <c r="CJ57" s="1" t="str">
        <f>VC_NEW!CE27</f>
        <v>T83I; D87N</v>
      </c>
      <c r="CK57" s="1" t="str">
        <f>VC_NEW!CF27</f>
        <v>T83I; D87N</v>
      </c>
      <c r="CL57" s="1">
        <f>VC_NEW!CG27</f>
        <v>0</v>
      </c>
      <c r="CM57" s="1" t="str">
        <f>VC_NEW!CH27</f>
        <v>T83I; V671I</v>
      </c>
      <c r="CN57" s="1">
        <f>VC_NEW!CI27</f>
        <v>0</v>
      </c>
      <c r="CO57" s="1">
        <f>VC_NEW!CJ27</f>
        <v>0</v>
      </c>
      <c r="CP57" s="1" t="str">
        <f>VC_NEW!CK27</f>
        <v>T83I; D87N</v>
      </c>
      <c r="CQ57" s="1" t="str">
        <f>VC_NEW!CL27</f>
        <v>T83I; D87N</v>
      </c>
      <c r="CR57" s="1">
        <f>VC_NEW!CM27</f>
        <v>0</v>
      </c>
      <c r="CS57" s="1">
        <f>VC_NEW!CN27</f>
        <v>0</v>
      </c>
      <c r="CT57" s="1">
        <f>VC_NEW!CO27</f>
        <v>0</v>
      </c>
      <c r="CU57" s="1">
        <f>VC_NEW!CP27</f>
        <v>0</v>
      </c>
      <c r="CV57" s="1">
        <f>VC_NEW!CQ27</f>
        <v>0</v>
      </c>
      <c r="CW57" s="1" t="str">
        <f>VC_NEW!CR27</f>
        <v>T83I</v>
      </c>
      <c r="CX57" s="1">
        <f>VC_NEW!CS27</f>
        <v>0</v>
      </c>
      <c r="CY57" s="1">
        <f>VC_NEW!CT27</f>
        <v>0</v>
      </c>
      <c r="CZ57" s="1" t="str">
        <f>VC_NEW!CU27</f>
        <v>T83I</v>
      </c>
      <c r="DA57" s="1">
        <f>VC_NEW!CV27</f>
        <v>0</v>
      </c>
      <c r="DB57" s="1">
        <f>VC_NEW!CW27</f>
        <v>0</v>
      </c>
      <c r="DC57" s="1">
        <f>VC_NEW!CX27</f>
        <v>0</v>
      </c>
      <c r="DD57" s="1">
        <f>VC_NEW!CY27</f>
        <v>0</v>
      </c>
      <c r="DE57" s="1">
        <f>VC_NEW!CZ27</f>
        <v>0</v>
      </c>
      <c r="DF57" s="1">
        <f>VC_NEW!DA27</f>
        <v>0</v>
      </c>
      <c r="DG57" s="1">
        <f>VC_NEW!DB27</f>
        <v>0</v>
      </c>
      <c r="DH57" s="1">
        <f>VC_NEW!DC27</f>
        <v>0</v>
      </c>
      <c r="DI57" s="1">
        <f>VC_NEW!DD27</f>
        <v>0</v>
      </c>
      <c r="DJ57" s="1" t="str">
        <f>VC_NEW!DE27</f>
        <v>T83I</v>
      </c>
      <c r="DK57" s="1" t="str">
        <f>VC_NEW!DF27</f>
        <v>T83I</v>
      </c>
      <c r="DL57" s="1" t="str">
        <f>VC_NEW!DG27</f>
        <v>T83I</v>
      </c>
      <c r="DM57" s="1">
        <f>VC_NEW!DH27</f>
        <v>0</v>
      </c>
      <c r="DN57" s="1">
        <f>VC_NEW!DI27</f>
        <v>0</v>
      </c>
      <c r="DO57" s="1" t="str">
        <f>VC_NEW!DJ27</f>
        <v>D87N</v>
      </c>
      <c r="DP57" s="1" t="str">
        <f>VC_NEW!DK27</f>
        <v>T83I</v>
      </c>
      <c r="DQ57" s="1">
        <f>VC_NEW!DL27</f>
        <v>0</v>
      </c>
      <c r="DR57" s="1">
        <f>VC_NEW!DM27</f>
        <v>0</v>
      </c>
      <c r="DS57" s="1">
        <f>VC_NEW!DN27</f>
        <v>0</v>
      </c>
      <c r="DT57" s="1">
        <f>VC_NEW!DO27</f>
        <v>0</v>
      </c>
      <c r="DU57" s="1" t="str">
        <f>VC_NEW!DP27</f>
        <v>T83I</v>
      </c>
      <c r="DV57" s="1" t="str">
        <f>VC_NEW!DQ27</f>
        <v>T83I</v>
      </c>
      <c r="DW57" s="1" t="str">
        <f>VC_NEW!DR27</f>
        <v>T83I</v>
      </c>
      <c r="DX57" s="1">
        <f>VC_NEW!DS27</f>
        <v>0</v>
      </c>
      <c r="DY57" s="1" t="str">
        <f>VC_NEW!DT27</f>
        <v>D87N</v>
      </c>
      <c r="DZ57" s="1">
        <f>VC_NEW!DU27</f>
        <v>0</v>
      </c>
      <c r="EA57" s="1" t="str">
        <f>VC_NEW!DV27</f>
        <v>T83I; D87N</v>
      </c>
      <c r="EB57" s="1">
        <f>VC_NEW!DW27</f>
        <v>0</v>
      </c>
      <c r="EC57" s="1">
        <f>VC_NEW!DX27</f>
        <v>0</v>
      </c>
      <c r="ED57" s="1">
        <f>VC_NEW!DY27</f>
        <v>0</v>
      </c>
      <c r="EE57" s="1" t="str">
        <f>VC_NEW!DZ27</f>
        <v>T83I; D87N</v>
      </c>
      <c r="EF57" s="1">
        <f>VC_NEW!EA27</f>
        <v>0</v>
      </c>
      <c r="EG57" s="1" t="str">
        <f>VC_NEW!EB27</f>
        <v>T83A; D87N</v>
      </c>
      <c r="EH57" s="1" t="str">
        <f>VC_NEW!EC27</f>
        <v>T83I</v>
      </c>
      <c r="EI57" s="1">
        <f>VC_NEW!ED27</f>
        <v>0</v>
      </c>
      <c r="EJ57" s="1" t="str">
        <f>VC_NEW!EE27</f>
        <v>T83I</v>
      </c>
      <c r="EK57" s="1" t="str">
        <f>VC_NEW!EF27</f>
        <v>T83I</v>
      </c>
      <c r="EL57" s="1">
        <f>VC_NEW!EG27</f>
        <v>0</v>
      </c>
      <c r="EM57" s="1">
        <f>VC_NEW!EH27</f>
        <v>0</v>
      </c>
      <c r="EN57" s="1" t="str">
        <f>VC_NEW!EI27</f>
        <v>T83I</v>
      </c>
      <c r="EO57" s="1">
        <f>VC_NEW!EJ27</f>
        <v>0</v>
      </c>
      <c r="EP57" s="1">
        <f>VC_NEW!EK27</f>
        <v>0</v>
      </c>
      <c r="EQ57" s="1" t="str">
        <f>VC_NEW!EL27</f>
        <v>T83I</v>
      </c>
      <c r="ER57" s="1">
        <f>VC_NEW!EM27</f>
        <v>0</v>
      </c>
      <c r="ES57" s="1">
        <f>VC_NEW!EN27</f>
        <v>0</v>
      </c>
      <c r="ET57" s="1">
        <f>VC_NEW!EO27</f>
        <v>0</v>
      </c>
      <c r="EU57" s="1" t="str">
        <f>VC_NEW!EP27</f>
        <v>T83I</v>
      </c>
      <c r="EV57" s="1" t="str">
        <f>VC_NEW!EQ27</f>
        <v>D87N</v>
      </c>
      <c r="EW57" s="1">
        <f>VC_NEW!ER27</f>
        <v>0</v>
      </c>
      <c r="EX57" s="1">
        <f>VC_NEW!ES27</f>
        <v>0</v>
      </c>
      <c r="EY57" s="1">
        <f>VC_NEW!ET27</f>
        <v>0</v>
      </c>
      <c r="EZ57" s="1">
        <f>VC_NEW!EU27</f>
        <v>0</v>
      </c>
      <c r="FA57" s="1" t="str">
        <f>VC_NEW!EV27</f>
        <v>T83I</v>
      </c>
      <c r="FB57" s="1">
        <f>VC_NEW!EW27</f>
        <v>0</v>
      </c>
      <c r="FC57" s="1" t="str">
        <f>VC_NEW!EX27</f>
        <v>T83I</v>
      </c>
      <c r="FD57" s="1">
        <f>VC_NEW!EY27</f>
        <v>0</v>
      </c>
      <c r="FE57" s="1" t="str">
        <f>VC_NEW!EZ27</f>
        <v>T83I</v>
      </c>
      <c r="FF57" s="1">
        <f>VC_NEW!FA27</f>
        <v>0</v>
      </c>
      <c r="FG57" s="1">
        <f>VC_NEW!FB27</f>
        <v>0</v>
      </c>
      <c r="FH57" s="1">
        <f>VC_NEW!FC27</f>
        <v>0</v>
      </c>
      <c r="FI57" s="1" t="str">
        <f>VC_NEW!FD27</f>
        <v>T83I; D87N</v>
      </c>
      <c r="FJ57" s="1">
        <f>VC_NEW!FE27</f>
        <v>0</v>
      </c>
      <c r="FK57" s="1">
        <f>VC_NEW!FF27</f>
        <v>0</v>
      </c>
      <c r="FL57" s="1" t="str">
        <f>VC_NEW!FG27</f>
        <v>T83I</v>
      </c>
      <c r="FM57" s="1">
        <f>VC_NEW!FH27</f>
        <v>0</v>
      </c>
      <c r="FN57" s="1">
        <f>VC_NEW!FI27</f>
        <v>0</v>
      </c>
      <c r="FO57" s="1">
        <f>VC_NEW!FJ27</f>
        <v>0</v>
      </c>
      <c r="FP57" s="1">
        <f>VC_NEW!FK27</f>
        <v>0</v>
      </c>
      <c r="FQ57" s="1" t="str">
        <f>VC_NEW!FL27</f>
        <v>T83I; D87N</v>
      </c>
      <c r="FR57" s="1">
        <f>VC_NEW!FM27</f>
        <v>0</v>
      </c>
      <c r="FS57" s="1">
        <f>VC_NEW!FN27</f>
        <v>0</v>
      </c>
      <c r="FT57" s="1">
        <f>VC_NEW!FO27</f>
        <v>0</v>
      </c>
      <c r="FU57" s="1">
        <f>VC_NEW!FP27</f>
        <v>0</v>
      </c>
      <c r="FV57" s="1">
        <f>VC_NEW!FQ27</f>
        <v>0</v>
      </c>
      <c r="FW57" s="1" t="str">
        <f>VC_NEW!FR27</f>
        <v>T83I; V671I</v>
      </c>
      <c r="FX57" s="1">
        <f>VC_NEW!FS27</f>
        <v>0</v>
      </c>
      <c r="FY57" s="1">
        <f>VC_NEW!FT27</f>
        <v>0</v>
      </c>
      <c r="FZ57" s="1">
        <f>VC_NEW!FU27</f>
        <v>0</v>
      </c>
      <c r="GA57" s="1" t="str">
        <f>VC_NEW!FV27</f>
        <v>T83I; D87N</v>
      </c>
      <c r="GB57" s="1" t="str">
        <f>VC_NEW!FW27</f>
        <v>T83I</v>
      </c>
      <c r="GC57" s="1" t="str">
        <f>VC_NEW!FX27</f>
        <v>D87N</v>
      </c>
      <c r="GD57" s="1">
        <f>VC_NEW!FY27</f>
        <v>0</v>
      </c>
      <c r="GE57" s="1">
        <f>VC_NEW!FZ27</f>
        <v>0</v>
      </c>
      <c r="GF57" s="1">
        <f>VC_NEW!GA27</f>
        <v>0</v>
      </c>
      <c r="GG57" s="1">
        <f>VC_NEW!GB27</f>
        <v>0</v>
      </c>
      <c r="GH57" s="1">
        <f>VC_NEW!GC27</f>
        <v>0</v>
      </c>
      <c r="GI57" s="1">
        <f>VC_NEW!GD27</f>
        <v>0</v>
      </c>
      <c r="GJ57" s="1">
        <f>VC_NEW!GE27</f>
        <v>0</v>
      </c>
      <c r="GK57" s="1">
        <f>VC_NEW!GF27</f>
        <v>0</v>
      </c>
      <c r="GL57" s="1">
        <f>VC_NEW!GG27</f>
        <v>0</v>
      </c>
      <c r="GM57" s="1" t="str">
        <f>VC_NEW!GH27</f>
        <v>T83I; D87N</v>
      </c>
      <c r="GN57" s="1">
        <f>VC_NEW!GI27</f>
        <v>0</v>
      </c>
      <c r="GO57" s="1">
        <f>VC_NEW!GJ27</f>
        <v>0</v>
      </c>
      <c r="GP57" s="1">
        <f>VC_NEW!GK27</f>
        <v>0</v>
      </c>
      <c r="GQ57" s="1">
        <f>VC_NEW!GL27</f>
        <v>0</v>
      </c>
      <c r="GR57" s="1">
        <f>VC_NEW!GM27</f>
        <v>0</v>
      </c>
      <c r="GS57" s="1">
        <f>VC_NEW!GN27</f>
        <v>0</v>
      </c>
      <c r="GT57" s="1">
        <f>VC_NEW!GO27</f>
        <v>0</v>
      </c>
      <c r="GU57" s="1">
        <f>VC_NEW!GP27</f>
        <v>0</v>
      </c>
      <c r="GV57" s="1">
        <f>VC_NEW!GQ27</f>
        <v>0</v>
      </c>
      <c r="GW57" s="1">
        <f>VC_NEW!GR27</f>
        <v>0</v>
      </c>
      <c r="GX57" s="1">
        <f>VC_NEW!GS27</f>
        <v>0</v>
      </c>
      <c r="GY57" s="1" t="str">
        <f>VC_NEW!GT27</f>
        <v>T83I</v>
      </c>
      <c r="GZ57" s="1">
        <f>VC_NEW!GU27</f>
        <v>0</v>
      </c>
      <c r="HA57" s="1" t="str">
        <f>VC_NEW!GV27</f>
        <v>T83I</v>
      </c>
      <c r="HB57" s="1" t="str">
        <f>VC_NEW!GW27</f>
        <v>T83I; D87N</v>
      </c>
      <c r="HC57" s="1">
        <f>VC_NEW!GX27</f>
        <v>0</v>
      </c>
    </row>
    <row r="58" spans="1:211" s="7" customFormat="1" ht="15" customHeight="1" thickBot="1" x14ac:dyDescent="0.3">
      <c r="A58" s="32" t="s">
        <v>20</v>
      </c>
      <c r="B58" s="33" t="s">
        <v>21</v>
      </c>
      <c r="C58" s="34" t="s">
        <v>1</v>
      </c>
      <c r="D58" s="33" t="s">
        <v>76</v>
      </c>
      <c r="E58" s="33" t="s">
        <v>138</v>
      </c>
      <c r="F58" s="33" t="s">
        <v>74</v>
      </c>
      <c r="G58" s="35" t="s">
        <v>136</v>
      </c>
      <c r="H58" s="7">
        <f>VC_NEW!C28</f>
        <v>0</v>
      </c>
      <c r="I58" s="7">
        <f>VC_NEW!D28</f>
        <v>0</v>
      </c>
      <c r="J58" s="7">
        <f>VC_NEW!E28</f>
        <v>0</v>
      </c>
      <c r="K58" s="7">
        <f>VC_NEW!F28</f>
        <v>0</v>
      </c>
      <c r="L58" s="7">
        <f>VC_NEW!G28</f>
        <v>0</v>
      </c>
      <c r="M58" s="7">
        <f>VC_NEW!H28</f>
        <v>0</v>
      </c>
      <c r="N58" s="7">
        <f>VC_NEW!I28</f>
        <v>0</v>
      </c>
      <c r="O58" s="7">
        <f>VC_NEW!J28</f>
        <v>0</v>
      </c>
      <c r="P58" s="7">
        <f>VC_NEW!K28</f>
        <v>0</v>
      </c>
      <c r="Q58" s="7">
        <f>VC_NEW!L28</f>
        <v>0</v>
      </c>
      <c r="R58" s="7">
        <f>VC_NEW!M28</f>
        <v>0</v>
      </c>
      <c r="S58" s="7">
        <f>VC_NEW!N28</f>
        <v>0</v>
      </c>
      <c r="T58" s="7">
        <f>VC_NEW!O28</f>
        <v>0</v>
      </c>
      <c r="U58" s="7">
        <f>VC_NEW!P28</f>
        <v>0</v>
      </c>
      <c r="V58" s="7" t="str">
        <f>VC_NEW!Q28</f>
        <v>Q97X</v>
      </c>
      <c r="W58" s="7">
        <f>VC_NEW!R28</f>
        <v>0</v>
      </c>
      <c r="X58" s="7">
        <f>VC_NEW!S28</f>
        <v>0</v>
      </c>
      <c r="Y58" s="7">
        <f>VC_NEW!T28</f>
        <v>0</v>
      </c>
      <c r="Z58" s="7">
        <f>VC_NEW!U28</f>
        <v>0</v>
      </c>
      <c r="AA58" s="7">
        <f>VC_NEW!V28</f>
        <v>0</v>
      </c>
      <c r="AB58" s="7">
        <f>VC_NEW!W28</f>
        <v>0</v>
      </c>
      <c r="AC58" s="7">
        <f>VC_NEW!X28</f>
        <v>0</v>
      </c>
      <c r="AD58" s="7">
        <f>VC_NEW!Y28</f>
        <v>0</v>
      </c>
      <c r="AE58" s="7">
        <f>VC_NEW!Z28</f>
        <v>0</v>
      </c>
      <c r="AF58" s="7">
        <f>VC_NEW!AA28</f>
        <v>0</v>
      </c>
      <c r="AG58" s="7">
        <f>VC_NEW!AB28</f>
        <v>0</v>
      </c>
      <c r="AH58" s="7">
        <f>VC_NEW!AC28</f>
        <v>0</v>
      </c>
      <c r="AI58" s="7">
        <f>VC_NEW!AD28</f>
        <v>0</v>
      </c>
      <c r="AJ58" s="7">
        <f>VC_NEW!AE28</f>
        <v>0</v>
      </c>
      <c r="AK58" s="7">
        <f>VC_NEW!AF28</f>
        <v>0</v>
      </c>
      <c r="AL58" s="7">
        <f>VC_NEW!AG28</f>
        <v>0</v>
      </c>
      <c r="AM58" s="7">
        <f>VC_NEW!AH28</f>
        <v>0</v>
      </c>
      <c r="AN58" s="7">
        <f>VC_NEW!AI28</f>
        <v>0</v>
      </c>
      <c r="AO58" s="7">
        <f>VC_NEW!AJ28</f>
        <v>0</v>
      </c>
      <c r="AP58" s="7">
        <f>VC_NEW!AK28</f>
        <v>0</v>
      </c>
      <c r="AQ58" s="7">
        <f>VC_NEW!AL28</f>
        <v>0</v>
      </c>
      <c r="AR58" s="7">
        <f>VC_NEW!AM28</f>
        <v>0</v>
      </c>
      <c r="AS58" s="7">
        <f>VC_NEW!AN28</f>
        <v>0</v>
      </c>
      <c r="AT58" s="7">
        <f>VC_NEW!AO28</f>
        <v>0</v>
      </c>
      <c r="AU58" s="7">
        <f>VC_NEW!AP28</f>
        <v>0</v>
      </c>
      <c r="AV58" s="7">
        <f>VC_NEW!AQ28</f>
        <v>0</v>
      </c>
      <c r="AW58" s="7">
        <f>VC_NEW!AR28</f>
        <v>0</v>
      </c>
      <c r="AX58" s="7">
        <f>VC_NEW!AS28</f>
        <v>0</v>
      </c>
      <c r="AY58" s="7">
        <f>VC_NEW!AT28</f>
        <v>0</v>
      </c>
      <c r="AZ58" s="7">
        <f>VC_NEW!AU28</f>
        <v>0</v>
      </c>
      <c r="BA58" s="7">
        <f>VC_NEW!AV28</f>
        <v>0</v>
      </c>
      <c r="BB58" s="7">
        <f>VC_NEW!AW28</f>
        <v>0</v>
      </c>
      <c r="BC58" s="7">
        <f>VC_NEW!AX28</f>
        <v>0</v>
      </c>
      <c r="BD58" s="7">
        <f>VC_NEW!AY28</f>
        <v>0</v>
      </c>
      <c r="BE58" s="7">
        <f>VC_NEW!AZ28</f>
        <v>0</v>
      </c>
      <c r="BF58" s="7">
        <f>VC_NEW!BA28</f>
        <v>0</v>
      </c>
      <c r="BG58" s="7">
        <f>VC_NEW!BB28</f>
        <v>0</v>
      </c>
      <c r="BH58" s="7">
        <f>VC_NEW!BC28</f>
        <v>0</v>
      </c>
      <c r="BI58" s="7">
        <f>VC_NEW!BD28</f>
        <v>0</v>
      </c>
      <c r="BJ58" s="7" t="str">
        <f>VC_NEW!BE28</f>
        <v>aa25∆1</v>
      </c>
      <c r="BK58" s="7">
        <f>VC_NEW!BF28</f>
        <v>0</v>
      </c>
      <c r="BL58" s="7">
        <f>VC_NEW!BG28</f>
        <v>0</v>
      </c>
      <c r="BM58" s="7">
        <f>VC_NEW!BH28</f>
        <v>0</v>
      </c>
      <c r="BN58" s="7">
        <f>VC_NEW!BI28</f>
        <v>0</v>
      </c>
      <c r="BO58" s="7">
        <f>VC_NEW!BJ28</f>
        <v>0</v>
      </c>
      <c r="BP58" s="7">
        <f>VC_NEW!BK28</f>
        <v>0</v>
      </c>
      <c r="BQ58" s="7">
        <f>VC_NEW!BL28</f>
        <v>0</v>
      </c>
      <c r="BR58" s="7">
        <f>VC_NEW!BM28</f>
        <v>0</v>
      </c>
      <c r="BS58" s="7">
        <f>VC_NEW!BN28</f>
        <v>0</v>
      </c>
      <c r="BT58" s="7" t="str">
        <f>VC_NEW!BO28</f>
        <v>T11N</v>
      </c>
      <c r="BU58" s="7">
        <f>VC_NEW!BP28</f>
        <v>0</v>
      </c>
      <c r="BV58" s="7">
        <f>VC_NEW!BQ28</f>
        <v>0</v>
      </c>
      <c r="BW58" s="7" t="str">
        <f>VC_NEW!BR28</f>
        <v>∆204nt</v>
      </c>
      <c r="BX58" s="7">
        <f>VC_NEW!BS28</f>
        <v>0</v>
      </c>
      <c r="BY58" s="7">
        <f>VC_NEW!BT28</f>
        <v>0</v>
      </c>
      <c r="BZ58" s="7">
        <f>VC_NEW!BU28</f>
        <v>0</v>
      </c>
      <c r="CA58" s="7">
        <f>VC_NEW!BV28</f>
        <v>0</v>
      </c>
      <c r="CB58" s="7">
        <f>VC_NEW!BW28</f>
        <v>0</v>
      </c>
      <c r="CC58" s="7">
        <f>VC_NEW!BX28</f>
        <v>0</v>
      </c>
      <c r="CD58" s="7">
        <f>VC_NEW!BY28</f>
        <v>0</v>
      </c>
      <c r="CE58" s="7">
        <f>VC_NEW!BZ28</f>
        <v>0</v>
      </c>
      <c r="CF58" s="7">
        <f>VC_NEW!CA28</f>
        <v>0</v>
      </c>
      <c r="CG58" s="7">
        <f>VC_NEW!CB28</f>
        <v>0</v>
      </c>
      <c r="CH58" s="7">
        <f>VC_NEW!CC28</f>
        <v>0</v>
      </c>
      <c r="CI58" s="7">
        <f>VC_NEW!CD28</f>
        <v>0</v>
      </c>
      <c r="CJ58" s="7">
        <f>VC_NEW!CE28</f>
        <v>0</v>
      </c>
      <c r="CK58" s="7">
        <f>VC_NEW!CF28</f>
        <v>0</v>
      </c>
      <c r="CL58" s="7">
        <f>VC_NEW!CG28</f>
        <v>0</v>
      </c>
      <c r="CM58" s="7">
        <f>VC_NEW!CH28</f>
        <v>0</v>
      </c>
      <c r="CN58" s="7">
        <f>VC_NEW!CI28</f>
        <v>0</v>
      </c>
      <c r="CO58" s="7">
        <f>VC_NEW!CJ28</f>
        <v>0</v>
      </c>
      <c r="CP58" s="7">
        <f>VC_NEW!CK28</f>
        <v>0</v>
      </c>
      <c r="CQ58" s="7">
        <f>VC_NEW!CL28</f>
        <v>0</v>
      </c>
      <c r="CR58" s="7">
        <f>VC_NEW!CM28</f>
        <v>0</v>
      </c>
      <c r="CS58" s="7">
        <f>VC_NEW!CN28</f>
        <v>0</v>
      </c>
      <c r="CT58" s="7">
        <f>VC_NEW!CO28</f>
        <v>0</v>
      </c>
      <c r="CU58" s="7">
        <f>VC_NEW!CP28</f>
        <v>0</v>
      </c>
      <c r="CV58" s="7">
        <f>VC_NEW!CQ28</f>
        <v>0</v>
      </c>
      <c r="CW58" s="7">
        <f>VC_NEW!CR28</f>
        <v>0</v>
      </c>
      <c r="CX58" s="7" t="str">
        <f>VC_NEW!CS28</f>
        <v>T188A</v>
      </c>
      <c r="CY58" s="7">
        <f>VC_NEW!CT28</f>
        <v>0</v>
      </c>
      <c r="CZ58" s="7" t="str">
        <f>VC_NEW!CU28</f>
        <v>nt263∆17</v>
      </c>
      <c r="DA58" s="7">
        <f>VC_NEW!CV28</f>
        <v>0</v>
      </c>
      <c r="DB58" s="7">
        <f>VC_NEW!CW28</f>
        <v>0</v>
      </c>
      <c r="DC58" s="7">
        <f>VC_NEW!CX28</f>
        <v>0</v>
      </c>
      <c r="DD58" s="7">
        <f>VC_NEW!CY28</f>
        <v>0</v>
      </c>
      <c r="DE58" s="7">
        <f>VC_NEW!CZ28</f>
        <v>0</v>
      </c>
      <c r="DF58" s="7">
        <f>VC_NEW!DA28</f>
        <v>0</v>
      </c>
      <c r="DG58" s="7">
        <f>VC_NEW!DB28</f>
        <v>0</v>
      </c>
      <c r="DH58" s="7">
        <f>VC_NEW!DC28</f>
        <v>0</v>
      </c>
      <c r="DI58" s="7">
        <f>VC_NEW!DD28</f>
        <v>0</v>
      </c>
      <c r="DJ58" s="7">
        <f>VC_NEW!DE28</f>
        <v>0</v>
      </c>
      <c r="DK58" s="7" t="str">
        <f>VC_NEW!DF28</f>
        <v>nt396∆2</v>
      </c>
      <c r="DL58" s="7">
        <f>VC_NEW!DG28</f>
        <v>0</v>
      </c>
      <c r="DM58" s="7">
        <f>VC_NEW!DH28</f>
        <v>0</v>
      </c>
      <c r="DN58" s="7">
        <f>VC_NEW!DI28</f>
        <v>0</v>
      </c>
      <c r="DO58" s="7">
        <f>VC_NEW!DJ28</f>
        <v>0</v>
      </c>
      <c r="DP58" s="7" t="str">
        <f>VC_NEW!DK28</f>
        <v>C149Y</v>
      </c>
      <c r="DQ58" s="7">
        <f>VC_NEW!DL28</f>
        <v>0</v>
      </c>
      <c r="DR58" s="7">
        <f>VC_NEW!DM28</f>
        <v>0</v>
      </c>
      <c r="DS58" s="7">
        <f>VC_NEW!DN28</f>
        <v>0</v>
      </c>
      <c r="DT58" s="7">
        <f>VC_NEW!DO28</f>
        <v>0</v>
      </c>
      <c r="DU58" s="7">
        <f>VC_NEW!DP28</f>
        <v>0</v>
      </c>
      <c r="DV58" s="7">
        <f>VC_NEW!DQ28</f>
        <v>0</v>
      </c>
      <c r="DW58" s="7">
        <f>VC_NEW!DR28</f>
        <v>0</v>
      </c>
      <c r="DX58" s="7">
        <f>VC_NEW!DS28</f>
        <v>0</v>
      </c>
      <c r="DY58" s="7">
        <f>VC_NEW!DT28</f>
        <v>0</v>
      </c>
      <c r="DZ58" s="7">
        <f>VC_NEW!DU28</f>
        <v>0</v>
      </c>
      <c r="EA58" s="7">
        <f>VC_NEW!DV28</f>
        <v>0</v>
      </c>
      <c r="EB58" s="7">
        <f>VC_NEW!DW28</f>
        <v>0</v>
      </c>
      <c r="EC58" s="7">
        <f>VC_NEW!DX28</f>
        <v>0</v>
      </c>
      <c r="ED58" s="7">
        <f>VC_NEW!DY28</f>
        <v>0</v>
      </c>
      <c r="EE58" s="7">
        <f>VC_NEW!DZ28</f>
        <v>0</v>
      </c>
      <c r="EF58" s="7">
        <f>VC_NEW!EA28</f>
        <v>0</v>
      </c>
      <c r="EG58" s="7">
        <f>VC_NEW!EB28</f>
        <v>0</v>
      </c>
      <c r="EH58" s="7" t="str">
        <f>VC_NEW!EC28</f>
        <v>G78R; nt232∆19</v>
      </c>
      <c r="EI58" s="7">
        <f>VC_NEW!ED28</f>
        <v>0</v>
      </c>
      <c r="EJ58" s="7">
        <f>VC_NEW!EE28</f>
        <v>0</v>
      </c>
      <c r="EK58" s="7">
        <f>VC_NEW!EF28</f>
        <v>0</v>
      </c>
      <c r="EL58" s="7">
        <f>VC_NEW!EG28</f>
        <v>0</v>
      </c>
      <c r="EM58" s="7">
        <f>VC_NEW!EH28</f>
        <v>0</v>
      </c>
      <c r="EN58" s="7">
        <f>VC_NEW!EI28</f>
        <v>0</v>
      </c>
      <c r="EO58" s="7">
        <f>VC_NEW!EJ28</f>
        <v>0</v>
      </c>
      <c r="EP58" s="7">
        <f>VC_NEW!EK28</f>
        <v>0</v>
      </c>
      <c r="EQ58" s="7" t="str">
        <f>VC_NEW!EL28</f>
        <v>nt232∆19</v>
      </c>
      <c r="ER58" s="7">
        <f>VC_NEW!EM28</f>
        <v>0</v>
      </c>
      <c r="ES58" s="7">
        <f>VC_NEW!EN28</f>
        <v>0</v>
      </c>
      <c r="ET58" s="7">
        <f>VC_NEW!EO28</f>
        <v>0</v>
      </c>
      <c r="EU58" s="7" t="str">
        <f>VC_NEW!EP28</f>
        <v>nt232∆19</v>
      </c>
      <c r="EV58" s="7">
        <f>VC_NEW!EQ28</f>
        <v>0</v>
      </c>
      <c r="EW58" s="7" t="str">
        <f>VC_NEW!ER28</f>
        <v>E21D</v>
      </c>
      <c r="EX58" s="7">
        <f>VC_NEW!ES28</f>
        <v>0</v>
      </c>
      <c r="EY58" s="7">
        <f>VC_NEW!ET28</f>
        <v>0</v>
      </c>
      <c r="EZ58" s="7">
        <f>VC_NEW!EU28</f>
        <v>0</v>
      </c>
      <c r="FA58" s="7" t="str">
        <f>VC_NEW!EV28</f>
        <v>nt295∆17</v>
      </c>
      <c r="FB58" s="7">
        <f>VC_NEW!EW28</f>
        <v>0</v>
      </c>
      <c r="FC58" s="7" t="str">
        <f>VC_NEW!EX28</f>
        <v>T188A</v>
      </c>
      <c r="FD58" s="7">
        <f>VC_NEW!EY28</f>
        <v>0</v>
      </c>
      <c r="FE58" s="7">
        <f>VC_NEW!EZ28</f>
        <v>0</v>
      </c>
      <c r="FF58" s="7">
        <f>VC_NEW!FA28</f>
        <v>0</v>
      </c>
      <c r="FG58" s="7">
        <f>VC_NEW!FB28</f>
        <v>0</v>
      </c>
      <c r="FH58" s="7">
        <f>VC_NEW!FC28</f>
        <v>0</v>
      </c>
      <c r="FI58" s="7" t="str">
        <f>VC_NEW!FD28</f>
        <v>∆605nt</v>
      </c>
      <c r="FJ58" s="7">
        <f>VC_NEW!FE28</f>
        <v>0</v>
      </c>
      <c r="FK58" s="7">
        <f>VC_NEW!FF28</f>
        <v>0</v>
      </c>
      <c r="FL58" s="7">
        <f>VC_NEW!FG28</f>
        <v>0</v>
      </c>
      <c r="FM58" s="7">
        <f>VC_NEW!FH28</f>
        <v>0</v>
      </c>
      <c r="FN58" s="7">
        <f>VC_NEW!FI28</f>
        <v>0</v>
      </c>
      <c r="FO58" s="7">
        <f>VC_NEW!FJ28</f>
        <v>0</v>
      </c>
      <c r="FP58" s="7">
        <f>VC_NEW!FK28</f>
        <v>0</v>
      </c>
      <c r="FQ58" s="7">
        <f>VC_NEW!FL28</f>
        <v>0</v>
      </c>
      <c r="FR58" s="7">
        <f>VC_NEW!FM28</f>
        <v>0</v>
      </c>
      <c r="FS58" s="7">
        <f>VC_NEW!FN28</f>
        <v>0</v>
      </c>
      <c r="FT58" s="7">
        <f>VC_NEW!FO28</f>
        <v>0</v>
      </c>
      <c r="FU58" s="7">
        <f>VC_NEW!FP28</f>
        <v>0</v>
      </c>
      <c r="FV58" s="7">
        <f>VC_NEW!FQ28</f>
        <v>0</v>
      </c>
      <c r="FW58" s="7">
        <f>VC_NEW!FR28</f>
        <v>0</v>
      </c>
      <c r="FX58" s="7">
        <f>VC_NEW!FS28</f>
        <v>0</v>
      </c>
      <c r="FY58" s="7">
        <f>VC_NEW!FT28</f>
        <v>0</v>
      </c>
      <c r="FZ58" s="7">
        <f>VC_NEW!FU28</f>
        <v>0</v>
      </c>
      <c r="GA58" s="7">
        <f>VC_NEW!FV28</f>
        <v>0</v>
      </c>
      <c r="GB58" s="7" t="str">
        <f>VC_NEW!FW28</f>
        <v>nt475∆16</v>
      </c>
      <c r="GC58" s="7">
        <f>VC_NEW!FX28</f>
        <v>0</v>
      </c>
      <c r="GD58" s="7">
        <f>VC_NEW!FY28</f>
        <v>0</v>
      </c>
      <c r="GE58" s="7">
        <f>VC_NEW!FZ28</f>
        <v>0</v>
      </c>
      <c r="GF58" s="7" t="str">
        <f>VC_NEW!GA28</f>
        <v>T188A</v>
      </c>
      <c r="GG58" s="7">
        <f>VC_NEW!GB28</f>
        <v>0</v>
      </c>
      <c r="GH58" s="7">
        <f>VC_NEW!GC28</f>
        <v>0</v>
      </c>
      <c r="GI58" s="7" t="str">
        <f>VC_NEW!GD28</f>
        <v>T188A</v>
      </c>
      <c r="GJ58" s="7">
        <f>VC_NEW!GE28</f>
        <v>0</v>
      </c>
      <c r="GK58" s="7">
        <f>VC_NEW!GF28</f>
        <v>0</v>
      </c>
      <c r="GL58" s="7">
        <f>VC_NEW!GG28</f>
        <v>0</v>
      </c>
      <c r="GM58" s="7">
        <f>VC_NEW!GH28</f>
        <v>0</v>
      </c>
      <c r="GN58" s="7">
        <f>VC_NEW!GI28</f>
        <v>0</v>
      </c>
      <c r="GO58" s="7" t="str">
        <f>VC_NEW!GJ28</f>
        <v>T188A</v>
      </c>
      <c r="GP58" s="7">
        <f>VC_NEW!GK28</f>
        <v>0</v>
      </c>
      <c r="GQ58" s="7">
        <f>VC_NEW!GL28</f>
        <v>0</v>
      </c>
      <c r="GR58" s="7">
        <f>VC_NEW!GM28</f>
        <v>0</v>
      </c>
      <c r="GS58" s="7">
        <f>VC_NEW!GN28</f>
        <v>0</v>
      </c>
      <c r="GT58" s="7">
        <f>VC_NEW!GO28</f>
        <v>0</v>
      </c>
      <c r="GU58" s="7">
        <f>VC_NEW!GP28</f>
        <v>0</v>
      </c>
      <c r="GV58" s="7" t="str">
        <f>VC_NEW!GQ28</f>
        <v>G172D</v>
      </c>
      <c r="GW58" s="7">
        <f>VC_NEW!GR28</f>
        <v>0</v>
      </c>
      <c r="GX58" s="7">
        <f>VC_NEW!GS28</f>
        <v>0</v>
      </c>
      <c r="GY58" s="7">
        <f>VC_NEW!GT28</f>
        <v>0</v>
      </c>
      <c r="GZ58" s="7">
        <f>VC_NEW!GU28</f>
        <v>0</v>
      </c>
      <c r="HA58" s="7">
        <f>VC_NEW!GV28</f>
        <v>0</v>
      </c>
      <c r="HB58" s="7">
        <f>VC_NEW!GW28</f>
        <v>0</v>
      </c>
      <c r="HC58" s="7">
        <f>VC_NEW!GX28</f>
        <v>0</v>
      </c>
    </row>
    <row r="59" spans="1:211" s="7" customFormat="1" ht="15.75" hidden="1" customHeight="1" x14ac:dyDescent="0.25">
      <c r="A59" s="36" t="s">
        <v>20</v>
      </c>
      <c r="B59" s="37" t="s">
        <v>21</v>
      </c>
      <c r="C59" s="38" t="s">
        <v>2</v>
      </c>
      <c r="D59" s="37" t="s">
        <v>76</v>
      </c>
      <c r="E59" s="37" t="s">
        <v>138</v>
      </c>
      <c r="F59" s="37" t="s">
        <v>74</v>
      </c>
      <c r="G59" s="39" t="s">
        <v>136</v>
      </c>
      <c r="H59" s="7">
        <f>VC_NEW!C28</f>
        <v>0</v>
      </c>
      <c r="I59" s="7">
        <f>VC_NEW!D28</f>
        <v>0</v>
      </c>
      <c r="J59" s="7">
        <f>VC_NEW!E28</f>
        <v>0</v>
      </c>
      <c r="K59" s="7">
        <f>VC_NEW!F28</f>
        <v>0</v>
      </c>
      <c r="L59" s="7">
        <f>VC_NEW!G28</f>
        <v>0</v>
      </c>
      <c r="M59" s="7">
        <f>VC_NEW!H28</f>
        <v>0</v>
      </c>
      <c r="N59" s="7">
        <f>VC_NEW!I28</f>
        <v>0</v>
      </c>
      <c r="O59" s="7">
        <f>VC_NEW!J28</f>
        <v>0</v>
      </c>
      <c r="P59" s="7">
        <f>VC_NEW!K28</f>
        <v>0</v>
      </c>
      <c r="Q59" s="7">
        <f>VC_NEW!L28</f>
        <v>0</v>
      </c>
      <c r="R59" s="7">
        <f>VC_NEW!M28</f>
        <v>0</v>
      </c>
      <c r="S59" s="7">
        <f>VC_NEW!N28</f>
        <v>0</v>
      </c>
      <c r="T59" s="7">
        <f>VC_NEW!O28</f>
        <v>0</v>
      </c>
      <c r="U59" s="7">
        <f>VC_NEW!P28</f>
        <v>0</v>
      </c>
      <c r="V59" s="7" t="str">
        <f>VC_NEW!Q28</f>
        <v>Q97X</v>
      </c>
      <c r="W59" s="7">
        <f>VC_NEW!R28</f>
        <v>0</v>
      </c>
      <c r="X59" s="7">
        <f>VC_NEW!S28</f>
        <v>0</v>
      </c>
      <c r="Y59" s="7">
        <f>VC_NEW!T28</f>
        <v>0</v>
      </c>
      <c r="Z59" s="7">
        <f>VC_NEW!U28</f>
        <v>0</v>
      </c>
      <c r="AA59" s="7">
        <f>VC_NEW!V28</f>
        <v>0</v>
      </c>
      <c r="AB59" s="7">
        <f>VC_NEW!W28</f>
        <v>0</v>
      </c>
      <c r="AC59" s="7">
        <f>VC_NEW!X28</f>
        <v>0</v>
      </c>
      <c r="AD59" s="7">
        <f>VC_NEW!Y28</f>
        <v>0</v>
      </c>
      <c r="AE59" s="7">
        <f>VC_NEW!Z28</f>
        <v>0</v>
      </c>
      <c r="AF59" s="7">
        <f>VC_NEW!AA28</f>
        <v>0</v>
      </c>
      <c r="AG59" s="7">
        <f>VC_NEW!AB28</f>
        <v>0</v>
      </c>
      <c r="AH59" s="7">
        <f>VC_NEW!AC28</f>
        <v>0</v>
      </c>
      <c r="AI59" s="7">
        <f>VC_NEW!AD28</f>
        <v>0</v>
      </c>
      <c r="AJ59" s="7">
        <f>VC_NEW!AE28</f>
        <v>0</v>
      </c>
      <c r="AK59" s="7">
        <f>VC_NEW!AF28</f>
        <v>0</v>
      </c>
      <c r="AL59" s="7">
        <f>VC_NEW!AG28</f>
        <v>0</v>
      </c>
      <c r="AM59" s="7">
        <f>VC_NEW!AH28</f>
        <v>0</v>
      </c>
      <c r="AN59" s="7">
        <f>VC_NEW!AI28</f>
        <v>0</v>
      </c>
      <c r="AO59" s="7">
        <f>VC_NEW!AJ28</f>
        <v>0</v>
      </c>
      <c r="AP59" s="7">
        <f>VC_NEW!AK28</f>
        <v>0</v>
      </c>
      <c r="AQ59" s="7">
        <f>VC_NEW!AL28</f>
        <v>0</v>
      </c>
      <c r="AR59" s="7">
        <f>VC_NEW!AM28</f>
        <v>0</v>
      </c>
      <c r="AS59" s="7">
        <f>VC_NEW!AN28</f>
        <v>0</v>
      </c>
      <c r="AT59" s="7">
        <f>VC_NEW!AO28</f>
        <v>0</v>
      </c>
      <c r="AU59" s="7">
        <f>VC_NEW!AP28</f>
        <v>0</v>
      </c>
      <c r="AV59" s="7">
        <f>VC_NEW!AQ28</f>
        <v>0</v>
      </c>
      <c r="AW59" s="7">
        <f>VC_NEW!AR28</f>
        <v>0</v>
      </c>
      <c r="AX59" s="7">
        <f>VC_NEW!AS28</f>
        <v>0</v>
      </c>
      <c r="AY59" s="7">
        <f>VC_NEW!AT28</f>
        <v>0</v>
      </c>
      <c r="AZ59" s="7">
        <f>VC_NEW!AU28</f>
        <v>0</v>
      </c>
      <c r="BA59" s="7">
        <f>VC_NEW!AV28</f>
        <v>0</v>
      </c>
      <c r="BB59" s="7">
        <f>VC_NEW!AW28</f>
        <v>0</v>
      </c>
      <c r="BC59" s="7">
        <f>VC_NEW!AX28</f>
        <v>0</v>
      </c>
      <c r="BD59" s="7">
        <f>VC_NEW!AY28</f>
        <v>0</v>
      </c>
      <c r="BE59" s="7">
        <f>VC_NEW!AZ28</f>
        <v>0</v>
      </c>
      <c r="BF59" s="7">
        <f>VC_NEW!BA28</f>
        <v>0</v>
      </c>
      <c r="BG59" s="7">
        <f>VC_NEW!BB28</f>
        <v>0</v>
      </c>
      <c r="BH59" s="7">
        <f>VC_NEW!BC28</f>
        <v>0</v>
      </c>
      <c r="BI59" s="7">
        <f>VC_NEW!BD28</f>
        <v>0</v>
      </c>
      <c r="BJ59" s="7" t="str">
        <f>VC_NEW!BE28</f>
        <v>aa25∆1</v>
      </c>
      <c r="BK59" s="7">
        <f>VC_NEW!BF28</f>
        <v>0</v>
      </c>
      <c r="BL59" s="7">
        <f>VC_NEW!BG28</f>
        <v>0</v>
      </c>
      <c r="BM59" s="7">
        <f>VC_NEW!BH28</f>
        <v>0</v>
      </c>
      <c r="BN59" s="7">
        <f>VC_NEW!BI28</f>
        <v>0</v>
      </c>
      <c r="BO59" s="7">
        <f>VC_NEW!BJ28</f>
        <v>0</v>
      </c>
      <c r="BP59" s="7">
        <f>VC_NEW!BK28</f>
        <v>0</v>
      </c>
      <c r="BQ59" s="7">
        <f>VC_NEW!BL28</f>
        <v>0</v>
      </c>
      <c r="BR59" s="7">
        <f>VC_NEW!BM28</f>
        <v>0</v>
      </c>
      <c r="BS59" s="7">
        <f>VC_NEW!BN28</f>
        <v>0</v>
      </c>
      <c r="BT59" s="7" t="str">
        <f>VC_NEW!BO28</f>
        <v>T11N</v>
      </c>
      <c r="BU59" s="7">
        <f>VC_NEW!BP28</f>
        <v>0</v>
      </c>
      <c r="BV59" s="7">
        <f>VC_NEW!BQ28</f>
        <v>0</v>
      </c>
      <c r="BW59" s="7" t="str">
        <f>VC_NEW!BR28</f>
        <v>∆204nt</v>
      </c>
      <c r="BX59" s="7">
        <f>VC_NEW!BS28</f>
        <v>0</v>
      </c>
      <c r="BY59" s="7">
        <f>VC_NEW!BT28</f>
        <v>0</v>
      </c>
      <c r="BZ59" s="7">
        <f>VC_NEW!BU28</f>
        <v>0</v>
      </c>
      <c r="CA59" s="7">
        <f>VC_NEW!BV28</f>
        <v>0</v>
      </c>
      <c r="CB59" s="7">
        <f>VC_NEW!BW28</f>
        <v>0</v>
      </c>
      <c r="CC59" s="7">
        <f>VC_NEW!BX28</f>
        <v>0</v>
      </c>
      <c r="CD59" s="7">
        <f>VC_NEW!BY28</f>
        <v>0</v>
      </c>
      <c r="CE59" s="7">
        <f>VC_NEW!BZ28</f>
        <v>0</v>
      </c>
      <c r="CF59" s="7">
        <f>VC_NEW!CA28</f>
        <v>0</v>
      </c>
      <c r="CG59" s="7">
        <f>VC_NEW!CB28</f>
        <v>0</v>
      </c>
      <c r="CH59" s="7">
        <f>VC_NEW!CC28</f>
        <v>0</v>
      </c>
      <c r="CI59" s="7">
        <f>VC_NEW!CD28</f>
        <v>0</v>
      </c>
      <c r="CJ59" s="7">
        <f>VC_NEW!CE28</f>
        <v>0</v>
      </c>
      <c r="CK59" s="7">
        <f>VC_NEW!CF28</f>
        <v>0</v>
      </c>
      <c r="CL59" s="7">
        <f>VC_NEW!CG28</f>
        <v>0</v>
      </c>
      <c r="CM59" s="7">
        <f>VC_NEW!CH28</f>
        <v>0</v>
      </c>
      <c r="CN59" s="7">
        <f>VC_NEW!CI28</f>
        <v>0</v>
      </c>
      <c r="CO59" s="7">
        <f>VC_NEW!CJ28</f>
        <v>0</v>
      </c>
      <c r="CP59" s="7">
        <f>VC_NEW!CK28</f>
        <v>0</v>
      </c>
      <c r="CQ59" s="7">
        <f>VC_NEW!CL28</f>
        <v>0</v>
      </c>
      <c r="CR59" s="7">
        <f>VC_NEW!CM28</f>
        <v>0</v>
      </c>
      <c r="CS59" s="7">
        <f>VC_NEW!CN28</f>
        <v>0</v>
      </c>
      <c r="CT59" s="7">
        <f>VC_NEW!CO28</f>
        <v>0</v>
      </c>
      <c r="CU59" s="7">
        <f>VC_NEW!CP28</f>
        <v>0</v>
      </c>
      <c r="CV59" s="7">
        <f>VC_NEW!CQ28</f>
        <v>0</v>
      </c>
      <c r="CW59" s="7">
        <f>VC_NEW!CR28</f>
        <v>0</v>
      </c>
      <c r="CX59" s="7" t="str">
        <f>VC_NEW!CS28</f>
        <v>T188A</v>
      </c>
      <c r="CY59" s="7">
        <f>VC_NEW!CT28</f>
        <v>0</v>
      </c>
      <c r="CZ59" s="7" t="str">
        <f>VC_NEW!CU28</f>
        <v>nt263∆17</v>
      </c>
      <c r="DA59" s="7">
        <f>VC_NEW!CV28</f>
        <v>0</v>
      </c>
      <c r="DB59" s="7">
        <f>VC_NEW!CW28</f>
        <v>0</v>
      </c>
      <c r="DC59" s="7">
        <f>VC_NEW!CX28</f>
        <v>0</v>
      </c>
      <c r="DD59" s="7">
        <f>VC_NEW!CY28</f>
        <v>0</v>
      </c>
      <c r="DE59" s="7">
        <f>VC_NEW!CZ28</f>
        <v>0</v>
      </c>
      <c r="DF59" s="7">
        <f>VC_NEW!DA28</f>
        <v>0</v>
      </c>
      <c r="DG59" s="7">
        <f>VC_NEW!DB28</f>
        <v>0</v>
      </c>
      <c r="DH59" s="7">
        <f>VC_NEW!DC28</f>
        <v>0</v>
      </c>
      <c r="DI59" s="7">
        <f>VC_NEW!DD28</f>
        <v>0</v>
      </c>
      <c r="DJ59" s="7">
        <f>VC_NEW!DE28</f>
        <v>0</v>
      </c>
      <c r="DK59" s="7" t="str">
        <f>VC_NEW!DF28</f>
        <v>nt396∆2</v>
      </c>
      <c r="DL59" s="7">
        <f>VC_NEW!DG28</f>
        <v>0</v>
      </c>
      <c r="DM59" s="7">
        <f>VC_NEW!DH28</f>
        <v>0</v>
      </c>
      <c r="DN59" s="7">
        <f>VC_NEW!DI28</f>
        <v>0</v>
      </c>
      <c r="DO59" s="7">
        <f>VC_NEW!DJ28</f>
        <v>0</v>
      </c>
      <c r="DP59" s="7" t="str">
        <f>VC_NEW!DK28</f>
        <v>C149Y</v>
      </c>
      <c r="DQ59" s="7">
        <f>VC_NEW!DL28</f>
        <v>0</v>
      </c>
      <c r="DR59" s="7">
        <f>VC_NEW!DM28</f>
        <v>0</v>
      </c>
      <c r="DS59" s="7">
        <f>VC_NEW!DN28</f>
        <v>0</v>
      </c>
      <c r="DT59" s="7">
        <f>VC_NEW!DO28</f>
        <v>0</v>
      </c>
      <c r="DU59" s="7">
        <f>VC_NEW!DP28</f>
        <v>0</v>
      </c>
      <c r="DV59" s="7">
        <f>VC_NEW!DQ28</f>
        <v>0</v>
      </c>
      <c r="DW59" s="7">
        <f>VC_NEW!DR28</f>
        <v>0</v>
      </c>
      <c r="DX59" s="7">
        <f>VC_NEW!DS28</f>
        <v>0</v>
      </c>
      <c r="DY59" s="7">
        <f>VC_NEW!DT28</f>
        <v>0</v>
      </c>
      <c r="DZ59" s="7">
        <f>VC_NEW!DU28</f>
        <v>0</v>
      </c>
      <c r="EA59" s="7">
        <f>VC_NEW!DV28</f>
        <v>0</v>
      </c>
      <c r="EB59" s="7">
        <f>VC_NEW!DW28</f>
        <v>0</v>
      </c>
      <c r="EC59" s="7">
        <f>VC_NEW!DX28</f>
        <v>0</v>
      </c>
      <c r="ED59" s="7">
        <f>VC_NEW!DY28</f>
        <v>0</v>
      </c>
      <c r="EE59" s="7">
        <f>VC_NEW!DZ28</f>
        <v>0</v>
      </c>
      <c r="EF59" s="7">
        <f>VC_NEW!EA28</f>
        <v>0</v>
      </c>
      <c r="EG59" s="7">
        <f>VC_NEW!EB28</f>
        <v>0</v>
      </c>
      <c r="EH59" s="7" t="str">
        <f>VC_NEW!EC28</f>
        <v>G78R; nt232∆19</v>
      </c>
      <c r="EI59" s="7">
        <f>VC_NEW!ED28</f>
        <v>0</v>
      </c>
      <c r="EJ59" s="7">
        <f>VC_NEW!EE28</f>
        <v>0</v>
      </c>
      <c r="EK59" s="7">
        <f>VC_NEW!EF28</f>
        <v>0</v>
      </c>
      <c r="EL59" s="7">
        <f>VC_NEW!EG28</f>
        <v>0</v>
      </c>
      <c r="EM59" s="7">
        <f>VC_NEW!EH28</f>
        <v>0</v>
      </c>
      <c r="EN59" s="7">
        <f>VC_NEW!EI28</f>
        <v>0</v>
      </c>
      <c r="EO59" s="7">
        <f>VC_NEW!EJ28</f>
        <v>0</v>
      </c>
      <c r="EP59" s="7">
        <f>VC_NEW!EK28</f>
        <v>0</v>
      </c>
      <c r="EQ59" s="7" t="str">
        <f>VC_NEW!EL28</f>
        <v>nt232∆19</v>
      </c>
      <c r="ER59" s="7">
        <f>VC_NEW!EM28</f>
        <v>0</v>
      </c>
      <c r="ES59" s="7">
        <f>VC_NEW!EN28</f>
        <v>0</v>
      </c>
      <c r="ET59" s="7">
        <f>VC_NEW!EO28</f>
        <v>0</v>
      </c>
      <c r="EU59" s="7" t="str">
        <f>VC_NEW!EP28</f>
        <v>nt232∆19</v>
      </c>
      <c r="EV59" s="7">
        <f>VC_NEW!EQ28</f>
        <v>0</v>
      </c>
      <c r="EW59" s="7" t="str">
        <f>VC_NEW!ER28</f>
        <v>E21D</v>
      </c>
      <c r="EX59" s="7">
        <f>VC_NEW!ES28</f>
        <v>0</v>
      </c>
      <c r="EY59" s="7">
        <f>VC_NEW!ET28</f>
        <v>0</v>
      </c>
      <c r="EZ59" s="7">
        <f>VC_NEW!EU28</f>
        <v>0</v>
      </c>
      <c r="FA59" s="7" t="str">
        <f>VC_NEW!EV28</f>
        <v>nt295∆17</v>
      </c>
      <c r="FB59" s="7">
        <f>VC_NEW!EW28</f>
        <v>0</v>
      </c>
      <c r="FC59" s="7" t="str">
        <f>VC_NEW!EX28</f>
        <v>T188A</v>
      </c>
      <c r="FD59" s="7">
        <f>VC_NEW!EY28</f>
        <v>0</v>
      </c>
      <c r="FE59" s="7">
        <f>VC_NEW!EZ28</f>
        <v>0</v>
      </c>
      <c r="FF59" s="7">
        <f>VC_NEW!FA28</f>
        <v>0</v>
      </c>
      <c r="FG59" s="7">
        <f>VC_NEW!FB28</f>
        <v>0</v>
      </c>
      <c r="FH59" s="7">
        <f>VC_NEW!FC28</f>
        <v>0</v>
      </c>
      <c r="FI59" s="7" t="str">
        <f>VC_NEW!FD28</f>
        <v>∆605nt</v>
      </c>
      <c r="FJ59" s="7">
        <f>VC_NEW!FE28</f>
        <v>0</v>
      </c>
      <c r="FK59" s="7">
        <f>VC_NEW!FF28</f>
        <v>0</v>
      </c>
      <c r="FL59" s="7">
        <f>VC_NEW!FG28</f>
        <v>0</v>
      </c>
      <c r="FM59" s="7">
        <f>VC_NEW!FH28</f>
        <v>0</v>
      </c>
      <c r="FN59" s="7">
        <f>VC_NEW!FI28</f>
        <v>0</v>
      </c>
      <c r="FO59" s="7">
        <f>VC_NEW!FJ28</f>
        <v>0</v>
      </c>
      <c r="FP59" s="7">
        <f>VC_NEW!FK28</f>
        <v>0</v>
      </c>
      <c r="FQ59" s="7">
        <f>VC_NEW!FL28</f>
        <v>0</v>
      </c>
      <c r="FR59" s="7">
        <f>VC_NEW!FM28</f>
        <v>0</v>
      </c>
      <c r="FS59" s="7">
        <f>VC_NEW!FN28</f>
        <v>0</v>
      </c>
      <c r="FT59" s="7">
        <f>VC_NEW!FO28</f>
        <v>0</v>
      </c>
      <c r="FU59" s="7">
        <f>VC_NEW!FP28</f>
        <v>0</v>
      </c>
      <c r="FV59" s="7">
        <f>VC_NEW!FQ28</f>
        <v>0</v>
      </c>
      <c r="FW59" s="7">
        <f>VC_NEW!FR28</f>
        <v>0</v>
      </c>
      <c r="FX59" s="7">
        <f>VC_NEW!FS28</f>
        <v>0</v>
      </c>
      <c r="FY59" s="7">
        <f>VC_NEW!FT28</f>
        <v>0</v>
      </c>
      <c r="FZ59" s="7">
        <f>VC_NEW!FU28</f>
        <v>0</v>
      </c>
      <c r="GA59" s="7">
        <f>VC_NEW!FV28</f>
        <v>0</v>
      </c>
      <c r="GB59" s="7" t="str">
        <f>VC_NEW!FW28</f>
        <v>nt475∆16</v>
      </c>
      <c r="GC59" s="7">
        <f>VC_NEW!FX28</f>
        <v>0</v>
      </c>
      <c r="GD59" s="7">
        <f>VC_NEW!FY28</f>
        <v>0</v>
      </c>
      <c r="GE59" s="7">
        <f>VC_NEW!FZ28</f>
        <v>0</v>
      </c>
      <c r="GF59" s="7" t="str">
        <f>VC_NEW!GA28</f>
        <v>T188A</v>
      </c>
      <c r="GG59" s="7">
        <f>VC_NEW!GB28</f>
        <v>0</v>
      </c>
      <c r="GH59" s="7">
        <f>VC_NEW!GC28</f>
        <v>0</v>
      </c>
      <c r="GI59" s="7" t="str">
        <f>VC_NEW!GD28</f>
        <v>T188A</v>
      </c>
      <c r="GJ59" s="7">
        <f>VC_NEW!GE28</f>
        <v>0</v>
      </c>
      <c r="GK59" s="7">
        <f>VC_NEW!GF28</f>
        <v>0</v>
      </c>
      <c r="GL59" s="7">
        <f>VC_NEW!GG28</f>
        <v>0</v>
      </c>
      <c r="GM59" s="7">
        <f>VC_NEW!GH28</f>
        <v>0</v>
      </c>
      <c r="GN59" s="7">
        <f>VC_NEW!GI28</f>
        <v>0</v>
      </c>
      <c r="GO59" s="7" t="str">
        <f>VC_NEW!GJ28</f>
        <v>T188A</v>
      </c>
      <c r="GP59" s="7">
        <f>VC_NEW!GK28</f>
        <v>0</v>
      </c>
      <c r="GQ59" s="7">
        <f>VC_NEW!GL28</f>
        <v>0</v>
      </c>
      <c r="GR59" s="7">
        <f>VC_NEW!GM28</f>
        <v>0</v>
      </c>
      <c r="GS59" s="7">
        <f>VC_NEW!GN28</f>
        <v>0</v>
      </c>
      <c r="GT59" s="7">
        <f>VC_NEW!GO28</f>
        <v>0</v>
      </c>
      <c r="GU59" s="7">
        <f>VC_NEW!GP28</f>
        <v>0</v>
      </c>
      <c r="GV59" s="7" t="str">
        <f>VC_NEW!GQ28</f>
        <v>G172D</v>
      </c>
      <c r="GW59" s="7">
        <f>VC_NEW!GR28</f>
        <v>0</v>
      </c>
      <c r="GX59" s="7">
        <f>VC_NEW!GS28</f>
        <v>0</v>
      </c>
      <c r="GY59" s="7">
        <f>VC_NEW!GT28</f>
        <v>0</v>
      </c>
      <c r="GZ59" s="7">
        <f>VC_NEW!GU28</f>
        <v>0</v>
      </c>
      <c r="HA59" s="7">
        <f>VC_NEW!GV28</f>
        <v>0</v>
      </c>
      <c r="HB59" s="7">
        <f>VC_NEW!GW28</f>
        <v>0</v>
      </c>
      <c r="HC59" s="7">
        <f>VC_NEW!GX28</f>
        <v>0</v>
      </c>
    </row>
    <row r="60" spans="1:211" s="7" customFormat="1" ht="15" hidden="1" customHeight="1" x14ac:dyDescent="0.25">
      <c r="A60" s="36" t="s">
        <v>20</v>
      </c>
      <c r="B60" s="37" t="s">
        <v>21</v>
      </c>
      <c r="C60" s="38" t="s">
        <v>4</v>
      </c>
      <c r="D60" s="37" t="s">
        <v>76</v>
      </c>
      <c r="E60" s="37" t="s">
        <v>138</v>
      </c>
      <c r="F60" s="37" t="s">
        <v>74</v>
      </c>
      <c r="G60" s="39" t="s">
        <v>136</v>
      </c>
      <c r="H60" s="7">
        <f>VC_NEW!C28</f>
        <v>0</v>
      </c>
      <c r="I60" s="7">
        <f>VC_NEW!D28</f>
        <v>0</v>
      </c>
      <c r="J60" s="7">
        <f>VC_NEW!E28</f>
        <v>0</v>
      </c>
      <c r="K60" s="7">
        <f>VC_NEW!F28</f>
        <v>0</v>
      </c>
      <c r="L60" s="7">
        <f>VC_NEW!G28</f>
        <v>0</v>
      </c>
      <c r="M60" s="7">
        <f>VC_NEW!H28</f>
        <v>0</v>
      </c>
      <c r="N60" s="7">
        <f>VC_NEW!I28</f>
        <v>0</v>
      </c>
      <c r="O60" s="7">
        <f>VC_NEW!J28</f>
        <v>0</v>
      </c>
      <c r="P60" s="7">
        <f>VC_NEW!K28</f>
        <v>0</v>
      </c>
      <c r="Q60" s="7">
        <f>VC_NEW!L28</f>
        <v>0</v>
      </c>
      <c r="R60" s="7">
        <f>VC_NEW!M28</f>
        <v>0</v>
      </c>
      <c r="S60" s="7">
        <f>VC_NEW!N28</f>
        <v>0</v>
      </c>
      <c r="T60" s="7">
        <f>VC_NEW!O28</f>
        <v>0</v>
      </c>
      <c r="U60" s="7">
        <f>VC_NEW!P28</f>
        <v>0</v>
      </c>
      <c r="V60" s="7" t="str">
        <f>VC_NEW!Q28</f>
        <v>Q97X</v>
      </c>
      <c r="W60" s="7">
        <f>VC_NEW!R28</f>
        <v>0</v>
      </c>
      <c r="X60" s="7">
        <f>VC_NEW!S28</f>
        <v>0</v>
      </c>
      <c r="Y60" s="7">
        <f>VC_NEW!T28</f>
        <v>0</v>
      </c>
      <c r="Z60" s="7">
        <f>VC_NEW!U28</f>
        <v>0</v>
      </c>
      <c r="AA60" s="7">
        <f>VC_NEW!V28</f>
        <v>0</v>
      </c>
      <c r="AB60" s="7">
        <f>VC_NEW!W28</f>
        <v>0</v>
      </c>
      <c r="AC60" s="7">
        <f>VC_NEW!X28</f>
        <v>0</v>
      </c>
      <c r="AD60" s="7">
        <f>VC_NEW!Y28</f>
        <v>0</v>
      </c>
      <c r="AE60" s="7">
        <f>VC_NEW!Z28</f>
        <v>0</v>
      </c>
      <c r="AF60" s="7">
        <f>VC_NEW!AA28</f>
        <v>0</v>
      </c>
      <c r="AG60" s="7">
        <f>VC_NEW!AB28</f>
        <v>0</v>
      </c>
      <c r="AH60" s="7">
        <f>VC_NEW!AC28</f>
        <v>0</v>
      </c>
      <c r="AI60" s="7">
        <f>VC_NEW!AD28</f>
        <v>0</v>
      </c>
      <c r="AJ60" s="7">
        <f>VC_NEW!AE28</f>
        <v>0</v>
      </c>
      <c r="AK60" s="7">
        <f>VC_NEW!AF28</f>
        <v>0</v>
      </c>
      <c r="AL60" s="7">
        <f>VC_NEW!AG28</f>
        <v>0</v>
      </c>
      <c r="AM60" s="7">
        <f>VC_NEW!AH28</f>
        <v>0</v>
      </c>
      <c r="AN60" s="7">
        <f>VC_NEW!AI28</f>
        <v>0</v>
      </c>
      <c r="AO60" s="7">
        <f>VC_NEW!AJ28</f>
        <v>0</v>
      </c>
      <c r="AP60" s="7">
        <f>VC_NEW!AK28</f>
        <v>0</v>
      </c>
      <c r="AQ60" s="7">
        <f>VC_NEW!AL28</f>
        <v>0</v>
      </c>
      <c r="AR60" s="7">
        <f>VC_NEW!AM28</f>
        <v>0</v>
      </c>
      <c r="AS60" s="7">
        <f>VC_NEW!AN28</f>
        <v>0</v>
      </c>
      <c r="AT60" s="7">
        <f>VC_NEW!AO28</f>
        <v>0</v>
      </c>
      <c r="AU60" s="7">
        <f>VC_NEW!AP28</f>
        <v>0</v>
      </c>
      <c r="AV60" s="7">
        <f>VC_NEW!AQ28</f>
        <v>0</v>
      </c>
      <c r="AW60" s="7">
        <f>VC_NEW!AR28</f>
        <v>0</v>
      </c>
      <c r="AX60" s="7">
        <f>VC_NEW!AS28</f>
        <v>0</v>
      </c>
      <c r="AY60" s="7">
        <f>VC_NEW!AT28</f>
        <v>0</v>
      </c>
      <c r="AZ60" s="7">
        <f>VC_NEW!AU28</f>
        <v>0</v>
      </c>
      <c r="BA60" s="7">
        <f>VC_NEW!AV28</f>
        <v>0</v>
      </c>
      <c r="BB60" s="7">
        <f>VC_NEW!AW28</f>
        <v>0</v>
      </c>
      <c r="BC60" s="7">
        <f>VC_NEW!AX28</f>
        <v>0</v>
      </c>
      <c r="BD60" s="7">
        <f>VC_NEW!AY28</f>
        <v>0</v>
      </c>
      <c r="BE60" s="7">
        <f>VC_NEW!AZ28</f>
        <v>0</v>
      </c>
      <c r="BF60" s="7">
        <f>VC_NEW!BA28</f>
        <v>0</v>
      </c>
      <c r="BG60" s="7">
        <f>VC_NEW!BB28</f>
        <v>0</v>
      </c>
      <c r="BH60" s="7">
        <f>VC_NEW!BC28</f>
        <v>0</v>
      </c>
      <c r="BI60" s="7">
        <f>VC_NEW!BD28</f>
        <v>0</v>
      </c>
      <c r="BJ60" s="7" t="str">
        <f>VC_NEW!BE28</f>
        <v>aa25∆1</v>
      </c>
      <c r="BK60" s="7">
        <f>VC_NEW!BF28</f>
        <v>0</v>
      </c>
      <c r="BL60" s="7">
        <f>VC_NEW!BG28</f>
        <v>0</v>
      </c>
      <c r="BM60" s="7">
        <f>VC_NEW!BH28</f>
        <v>0</v>
      </c>
      <c r="BN60" s="7">
        <f>VC_NEW!BI28</f>
        <v>0</v>
      </c>
      <c r="BO60" s="7">
        <f>VC_NEW!BJ28</f>
        <v>0</v>
      </c>
      <c r="BP60" s="7">
        <f>VC_NEW!BK28</f>
        <v>0</v>
      </c>
      <c r="BQ60" s="7">
        <f>VC_NEW!BL28</f>
        <v>0</v>
      </c>
      <c r="BR60" s="7">
        <f>VC_NEW!BM28</f>
        <v>0</v>
      </c>
      <c r="BS60" s="7">
        <f>VC_NEW!BN28</f>
        <v>0</v>
      </c>
      <c r="BT60" s="7" t="str">
        <f>VC_NEW!BO28</f>
        <v>T11N</v>
      </c>
      <c r="BU60" s="7">
        <f>VC_NEW!BP28</f>
        <v>0</v>
      </c>
      <c r="BV60" s="7">
        <f>VC_NEW!BQ28</f>
        <v>0</v>
      </c>
      <c r="BW60" s="7" t="str">
        <f>VC_NEW!BR28</f>
        <v>∆204nt</v>
      </c>
      <c r="BX60" s="7">
        <f>VC_NEW!BS28</f>
        <v>0</v>
      </c>
      <c r="BY60" s="7">
        <f>VC_NEW!BT28</f>
        <v>0</v>
      </c>
      <c r="BZ60" s="7">
        <f>VC_NEW!BU28</f>
        <v>0</v>
      </c>
      <c r="CA60" s="7">
        <f>VC_NEW!BV28</f>
        <v>0</v>
      </c>
      <c r="CB60" s="7">
        <f>VC_NEW!BW28</f>
        <v>0</v>
      </c>
      <c r="CC60" s="7">
        <f>VC_NEW!BX28</f>
        <v>0</v>
      </c>
      <c r="CD60" s="7">
        <f>VC_NEW!BY28</f>
        <v>0</v>
      </c>
      <c r="CE60" s="7">
        <f>VC_NEW!BZ28</f>
        <v>0</v>
      </c>
      <c r="CF60" s="7">
        <f>VC_NEW!CA28</f>
        <v>0</v>
      </c>
      <c r="CG60" s="7">
        <f>VC_NEW!CB28</f>
        <v>0</v>
      </c>
      <c r="CH60" s="7">
        <f>VC_NEW!CC28</f>
        <v>0</v>
      </c>
      <c r="CI60" s="7">
        <f>VC_NEW!CD28</f>
        <v>0</v>
      </c>
      <c r="CJ60" s="7">
        <f>VC_NEW!CE28</f>
        <v>0</v>
      </c>
      <c r="CK60" s="7">
        <f>VC_NEW!CF28</f>
        <v>0</v>
      </c>
      <c r="CL60" s="7">
        <f>VC_NEW!CG28</f>
        <v>0</v>
      </c>
      <c r="CM60" s="7">
        <f>VC_NEW!CH28</f>
        <v>0</v>
      </c>
      <c r="CN60" s="7">
        <f>VC_NEW!CI28</f>
        <v>0</v>
      </c>
      <c r="CO60" s="7">
        <f>VC_NEW!CJ28</f>
        <v>0</v>
      </c>
      <c r="CP60" s="7">
        <f>VC_NEW!CK28</f>
        <v>0</v>
      </c>
      <c r="CQ60" s="7">
        <f>VC_NEW!CL28</f>
        <v>0</v>
      </c>
      <c r="CR60" s="7">
        <f>VC_NEW!CM28</f>
        <v>0</v>
      </c>
      <c r="CS60" s="7">
        <f>VC_NEW!CN28</f>
        <v>0</v>
      </c>
      <c r="CT60" s="7">
        <f>VC_NEW!CO28</f>
        <v>0</v>
      </c>
      <c r="CU60" s="7">
        <f>VC_NEW!CP28</f>
        <v>0</v>
      </c>
      <c r="CV60" s="7">
        <f>VC_NEW!CQ28</f>
        <v>0</v>
      </c>
      <c r="CW60" s="7">
        <f>VC_NEW!CR28</f>
        <v>0</v>
      </c>
      <c r="CX60" s="7" t="str">
        <f>VC_NEW!CS28</f>
        <v>T188A</v>
      </c>
      <c r="CY60" s="7">
        <f>VC_NEW!CT28</f>
        <v>0</v>
      </c>
      <c r="CZ60" s="7" t="str">
        <f>VC_NEW!CU28</f>
        <v>nt263∆17</v>
      </c>
      <c r="DA60" s="7">
        <f>VC_NEW!CV28</f>
        <v>0</v>
      </c>
      <c r="DB60" s="7">
        <f>VC_NEW!CW28</f>
        <v>0</v>
      </c>
      <c r="DC60" s="7">
        <f>VC_NEW!CX28</f>
        <v>0</v>
      </c>
      <c r="DD60" s="7">
        <f>VC_NEW!CY28</f>
        <v>0</v>
      </c>
      <c r="DE60" s="7">
        <f>VC_NEW!CZ28</f>
        <v>0</v>
      </c>
      <c r="DF60" s="7">
        <f>VC_NEW!DA28</f>
        <v>0</v>
      </c>
      <c r="DG60" s="7">
        <f>VC_NEW!DB28</f>
        <v>0</v>
      </c>
      <c r="DH60" s="7">
        <f>VC_NEW!DC28</f>
        <v>0</v>
      </c>
      <c r="DI60" s="7">
        <f>VC_NEW!DD28</f>
        <v>0</v>
      </c>
      <c r="DJ60" s="7">
        <f>VC_NEW!DE28</f>
        <v>0</v>
      </c>
      <c r="DK60" s="7" t="str">
        <f>VC_NEW!DF28</f>
        <v>nt396∆2</v>
      </c>
      <c r="DL60" s="7">
        <f>VC_NEW!DG28</f>
        <v>0</v>
      </c>
      <c r="DM60" s="7">
        <f>VC_NEW!DH28</f>
        <v>0</v>
      </c>
      <c r="DN60" s="7">
        <f>VC_NEW!DI28</f>
        <v>0</v>
      </c>
      <c r="DO60" s="7">
        <f>VC_NEW!DJ28</f>
        <v>0</v>
      </c>
      <c r="DP60" s="7" t="str">
        <f>VC_NEW!DK28</f>
        <v>C149Y</v>
      </c>
      <c r="DQ60" s="7">
        <f>VC_NEW!DL28</f>
        <v>0</v>
      </c>
      <c r="DR60" s="7">
        <f>VC_NEW!DM28</f>
        <v>0</v>
      </c>
      <c r="DS60" s="7">
        <f>VC_NEW!DN28</f>
        <v>0</v>
      </c>
      <c r="DT60" s="7">
        <f>VC_NEW!DO28</f>
        <v>0</v>
      </c>
      <c r="DU60" s="7">
        <f>VC_NEW!DP28</f>
        <v>0</v>
      </c>
      <c r="DV60" s="7">
        <f>VC_NEW!DQ28</f>
        <v>0</v>
      </c>
      <c r="DW60" s="7">
        <f>VC_NEW!DR28</f>
        <v>0</v>
      </c>
      <c r="DX60" s="7">
        <f>VC_NEW!DS28</f>
        <v>0</v>
      </c>
      <c r="DY60" s="7">
        <f>VC_NEW!DT28</f>
        <v>0</v>
      </c>
      <c r="DZ60" s="7">
        <f>VC_NEW!DU28</f>
        <v>0</v>
      </c>
      <c r="EA60" s="7">
        <f>VC_NEW!DV28</f>
        <v>0</v>
      </c>
      <c r="EB60" s="7">
        <f>VC_NEW!DW28</f>
        <v>0</v>
      </c>
      <c r="EC60" s="7">
        <f>VC_NEW!DX28</f>
        <v>0</v>
      </c>
      <c r="ED60" s="7">
        <f>VC_NEW!DY28</f>
        <v>0</v>
      </c>
      <c r="EE60" s="7">
        <f>VC_NEW!DZ28</f>
        <v>0</v>
      </c>
      <c r="EF60" s="7">
        <f>VC_NEW!EA28</f>
        <v>0</v>
      </c>
      <c r="EG60" s="7">
        <f>VC_NEW!EB28</f>
        <v>0</v>
      </c>
      <c r="EH60" s="7" t="str">
        <f>VC_NEW!EC28</f>
        <v>G78R; nt232∆19</v>
      </c>
      <c r="EI60" s="7">
        <f>VC_NEW!ED28</f>
        <v>0</v>
      </c>
      <c r="EJ60" s="7">
        <f>VC_NEW!EE28</f>
        <v>0</v>
      </c>
      <c r="EK60" s="7">
        <f>VC_NEW!EF28</f>
        <v>0</v>
      </c>
      <c r="EL60" s="7">
        <f>VC_NEW!EG28</f>
        <v>0</v>
      </c>
      <c r="EM60" s="7">
        <f>VC_NEW!EH28</f>
        <v>0</v>
      </c>
      <c r="EN60" s="7">
        <f>VC_NEW!EI28</f>
        <v>0</v>
      </c>
      <c r="EO60" s="7">
        <f>VC_NEW!EJ28</f>
        <v>0</v>
      </c>
      <c r="EP60" s="7">
        <f>VC_NEW!EK28</f>
        <v>0</v>
      </c>
      <c r="EQ60" s="7" t="str">
        <f>VC_NEW!EL28</f>
        <v>nt232∆19</v>
      </c>
      <c r="ER60" s="7">
        <f>VC_NEW!EM28</f>
        <v>0</v>
      </c>
      <c r="ES60" s="7">
        <f>VC_NEW!EN28</f>
        <v>0</v>
      </c>
      <c r="ET60" s="7">
        <f>VC_NEW!EO28</f>
        <v>0</v>
      </c>
      <c r="EU60" s="7" t="str">
        <f>VC_NEW!EP28</f>
        <v>nt232∆19</v>
      </c>
      <c r="EV60" s="7">
        <f>VC_NEW!EQ28</f>
        <v>0</v>
      </c>
      <c r="EW60" s="7" t="str">
        <f>VC_NEW!ER28</f>
        <v>E21D</v>
      </c>
      <c r="EX60" s="7">
        <f>VC_NEW!ES28</f>
        <v>0</v>
      </c>
      <c r="EY60" s="7">
        <f>VC_NEW!ET28</f>
        <v>0</v>
      </c>
      <c r="EZ60" s="7">
        <f>VC_NEW!EU28</f>
        <v>0</v>
      </c>
      <c r="FA60" s="7" t="str">
        <f>VC_NEW!EV28</f>
        <v>nt295∆17</v>
      </c>
      <c r="FB60" s="7">
        <f>VC_NEW!EW28</f>
        <v>0</v>
      </c>
      <c r="FC60" s="7" t="str">
        <f>VC_NEW!EX28</f>
        <v>T188A</v>
      </c>
      <c r="FD60" s="7">
        <f>VC_NEW!EY28</f>
        <v>0</v>
      </c>
      <c r="FE60" s="7">
        <f>VC_NEW!EZ28</f>
        <v>0</v>
      </c>
      <c r="FF60" s="7">
        <f>VC_NEW!FA28</f>
        <v>0</v>
      </c>
      <c r="FG60" s="7">
        <f>VC_NEW!FB28</f>
        <v>0</v>
      </c>
      <c r="FH60" s="7">
        <f>VC_NEW!FC28</f>
        <v>0</v>
      </c>
      <c r="FI60" s="7" t="str">
        <f>VC_NEW!FD28</f>
        <v>∆605nt</v>
      </c>
      <c r="FJ60" s="7">
        <f>VC_NEW!FE28</f>
        <v>0</v>
      </c>
      <c r="FK60" s="7">
        <f>VC_NEW!FF28</f>
        <v>0</v>
      </c>
      <c r="FL60" s="7">
        <f>VC_NEW!FG28</f>
        <v>0</v>
      </c>
      <c r="FM60" s="7">
        <f>VC_NEW!FH28</f>
        <v>0</v>
      </c>
      <c r="FN60" s="7">
        <f>VC_NEW!FI28</f>
        <v>0</v>
      </c>
      <c r="FO60" s="7">
        <f>VC_NEW!FJ28</f>
        <v>0</v>
      </c>
      <c r="FP60" s="7">
        <f>VC_NEW!FK28</f>
        <v>0</v>
      </c>
      <c r="FQ60" s="7">
        <f>VC_NEW!FL28</f>
        <v>0</v>
      </c>
      <c r="FR60" s="7">
        <f>VC_NEW!FM28</f>
        <v>0</v>
      </c>
      <c r="FS60" s="7">
        <f>VC_NEW!FN28</f>
        <v>0</v>
      </c>
      <c r="FT60" s="7">
        <f>VC_NEW!FO28</f>
        <v>0</v>
      </c>
      <c r="FU60" s="7">
        <f>VC_NEW!FP28</f>
        <v>0</v>
      </c>
      <c r="FV60" s="7">
        <f>VC_NEW!FQ28</f>
        <v>0</v>
      </c>
      <c r="FW60" s="7">
        <f>VC_NEW!FR28</f>
        <v>0</v>
      </c>
      <c r="FX60" s="7">
        <f>VC_NEW!FS28</f>
        <v>0</v>
      </c>
      <c r="FY60" s="7">
        <f>VC_NEW!FT28</f>
        <v>0</v>
      </c>
      <c r="FZ60" s="7">
        <f>VC_NEW!FU28</f>
        <v>0</v>
      </c>
      <c r="GA60" s="7">
        <f>VC_NEW!FV28</f>
        <v>0</v>
      </c>
      <c r="GB60" s="7" t="str">
        <f>VC_NEW!FW28</f>
        <v>nt475∆16</v>
      </c>
      <c r="GC60" s="7">
        <f>VC_NEW!FX28</f>
        <v>0</v>
      </c>
      <c r="GD60" s="7">
        <f>VC_NEW!FY28</f>
        <v>0</v>
      </c>
      <c r="GE60" s="7">
        <f>VC_NEW!FZ28</f>
        <v>0</v>
      </c>
      <c r="GF60" s="7" t="str">
        <f>VC_NEW!GA28</f>
        <v>T188A</v>
      </c>
      <c r="GG60" s="7">
        <f>VC_NEW!GB28</f>
        <v>0</v>
      </c>
      <c r="GH60" s="7">
        <f>VC_NEW!GC28</f>
        <v>0</v>
      </c>
      <c r="GI60" s="7" t="str">
        <f>VC_NEW!GD28</f>
        <v>T188A</v>
      </c>
      <c r="GJ60" s="7">
        <f>VC_NEW!GE28</f>
        <v>0</v>
      </c>
      <c r="GK60" s="7">
        <f>VC_NEW!GF28</f>
        <v>0</v>
      </c>
      <c r="GL60" s="7">
        <f>VC_NEW!GG28</f>
        <v>0</v>
      </c>
      <c r="GM60" s="7">
        <f>VC_NEW!GH28</f>
        <v>0</v>
      </c>
      <c r="GN60" s="7">
        <f>VC_NEW!GI28</f>
        <v>0</v>
      </c>
      <c r="GO60" s="7" t="str">
        <f>VC_NEW!GJ28</f>
        <v>T188A</v>
      </c>
      <c r="GP60" s="7">
        <f>VC_NEW!GK28</f>
        <v>0</v>
      </c>
      <c r="GQ60" s="7">
        <f>VC_NEW!GL28</f>
        <v>0</v>
      </c>
      <c r="GR60" s="7">
        <f>VC_NEW!GM28</f>
        <v>0</v>
      </c>
      <c r="GS60" s="7">
        <f>VC_NEW!GN28</f>
        <v>0</v>
      </c>
      <c r="GT60" s="7">
        <f>VC_NEW!GO28</f>
        <v>0</v>
      </c>
      <c r="GU60" s="7">
        <f>VC_NEW!GP28</f>
        <v>0</v>
      </c>
      <c r="GV60" s="7" t="str">
        <f>VC_NEW!GQ28</f>
        <v>G172D</v>
      </c>
      <c r="GW60" s="7">
        <f>VC_NEW!GR28</f>
        <v>0</v>
      </c>
      <c r="GX60" s="7">
        <f>VC_NEW!GS28</f>
        <v>0</v>
      </c>
      <c r="GY60" s="7">
        <f>VC_NEW!GT28</f>
        <v>0</v>
      </c>
      <c r="GZ60" s="7">
        <f>VC_NEW!GU28</f>
        <v>0</v>
      </c>
      <c r="HA60" s="7">
        <f>VC_NEW!GV28</f>
        <v>0</v>
      </c>
      <c r="HB60" s="7">
        <f>VC_NEW!GW28</f>
        <v>0</v>
      </c>
      <c r="HC60" s="7">
        <f>VC_NEW!GX28</f>
        <v>0</v>
      </c>
    </row>
    <row r="61" spans="1:211" s="7" customFormat="1" ht="15.75" hidden="1" customHeight="1" thickBot="1" x14ac:dyDescent="0.3">
      <c r="A61" s="40" t="s">
        <v>20</v>
      </c>
      <c r="B61" s="41" t="s">
        <v>21</v>
      </c>
      <c r="C61" s="42" t="s">
        <v>3</v>
      </c>
      <c r="D61" s="41" t="s">
        <v>76</v>
      </c>
      <c r="E61" s="41" t="s">
        <v>139</v>
      </c>
      <c r="F61" s="41" t="s">
        <v>74</v>
      </c>
      <c r="G61" s="43" t="s">
        <v>136</v>
      </c>
      <c r="H61" s="7">
        <f>VC_NEW!C28</f>
        <v>0</v>
      </c>
      <c r="I61" s="7">
        <f>VC_NEW!D28</f>
        <v>0</v>
      </c>
      <c r="J61" s="7">
        <f>VC_NEW!E28</f>
        <v>0</v>
      </c>
      <c r="K61" s="7">
        <f>VC_NEW!F28</f>
        <v>0</v>
      </c>
      <c r="L61" s="7">
        <f>VC_NEW!G28</f>
        <v>0</v>
      </c>
      <c r="M61" s="7">
        <f>VC_NEW!H28</f>
        <v>0</v>
      </c>
      <c r="N61" s="7">
        <f>VC_NEW!I28</f>
        <v>0</v>
      </c>
      <c r="O61" s="7">
        <f>VC_NEW!J28</f>
        <v>0</v>
      </c>
      <c r="P61" s="7">
        <f>VC_NEW!K28</f>
        <v>0</v>
      </c>
      <c r="Q61" s="7">
        <f>VC_NEW!L28</f>
        <v>0</v>
      </c>
      <c r="R61" s="7">
        <f>VC_NEW!M28</f>
        <v>0</v>
      </c>
      <c r="S61" s="7">
        <f>VC_NEW!N28</f>
        <v>0</v>
      </c>
      <c r="T61" s="7">
        <f>VC_NEW!O28</f>
        <v>0</v>
      </c>
      <c r="U61" s="7">
        <f>VC_NEW!P28</f>
        <v>0</v>
      </c>
      <c r="V61" s="7" t="str">
        <f>VC_NEW!Q28</f>
        <v>Q97X</v>
      </c>
      <c r="W61" s="7">
        <f>VC_NEW!R28</f>
        <v>0</v>
      </c>
      <c r="X61" s="7">
        <f>VC_NEW!S28</f>
        <v>0</v>
      </c>
      <c r="Y61" s="7">
        <f>VC_NEW!T28</f>
        <v>0</v>
      </c>
      <c r="Z61" s="7">
        <f>VC_NEW!U28</f>
        <v>0</v>
      </c>
      <c r="AA61" s="7">
        <f>VC_NEW!V28</f>
        <v>0</v>
      </c>
      <c r="AB61" s="7">
        <f>VC_NEW!W28</f>
        <v>0</v>
      </c>
      <c r="AC61" s="7">
        <f>VC_NEW!X28</f>
        <v>0</v>
      </c>
      <c r="AD61" s="7">
        <f>VC_NEW!Y28</f>
        <v>0</v>
      </c>
      <c r="AE61" s="7">
        <f>VC_NEW!Z28</f>
        <v>0</v>
      </c>
      <c r="AF61" s="7">
        <f>VC_NEW!AA28</f>
        <v>0</v>
      </c>
      <c r="AG61" s="7">
        <f>VC_NEW!AB28</f>
        <v>0</v>
      </c>
      <c r="AH61" s="7">
        <f>VC_NEW!AC28</f>
        <v>0</v>
      </c>
      <c r="AI61" s="7">
        <f>VC_NEW!AD28</f>
        <v>0</v>
      </c>
      <c r="AJ61" s="7">
        <f>VC_NEW!AE28</f>
        <v>0</v>
      </c>
      <c r="AK61" s="7">
        <f>VC_NEW!AF28</f>
        <v>0</v>
      </c>
      <c r="AL61" s="7">
        <f>VC_NEW!AG28</f>
        <v>0</v>
      </c>
      <c r="AM61" s="7">
        <f>VC_NEW!AH28</f>
        <v>0</v>
      </c>
      <c r="AN61" s="7">
        <f>VC_NEW!AI28</f>
        <v>0</v>
      </c>
      <c r="AO61" s="7">
        <f>VC_NEW!AJ28</f>
        <v>0</v>
      </c>
      <c r="AP61" s="7">
        <f>VC_NEW!AK28</f>
        <v>0</v>
      </c>
      <c r="AQ61" s="7">
        <f>VC_NEW!AL28</f>
        <v>0</v>
      </c>
      <c r="AR61" s="7">
        <f>VC_NEW!AM28</f>
        <v>0</v>
      </c>
      <c r="AS61" s="7">
        <f>VC_NEW!AN28</f>
        <v>0</v>
      </c>
      <c r="AT61" s="7">
        <f>VC_NEW!AO28</f>
        <v>0</v>
      </c>
      <c r="AU61" s="7">
        <f>VC_NEW!AP28</f>
        <v>0</v>
      </c>
      <c r="AV61" s="7">
        <f>VC_NEW!AQ28</f>
        <v>0</v>
      </c>
      <c r="AW61" s="7">
        <f>VC_NEW!AR28</f>
        <v>0</v>
      </c>
      <c r="AX61" s="7">
        <f>VC_NEW!AS28</f>
        <v>0</v>
      </c>
      <c r="AY61" s="7">
        <f>VC_NEW!AT28</f>
        <v>0</v>
      </c>
      <c r="AZ61" s="7">
        <f>VC_NEW!AU28</f>
        <v>0</v>
      </c>
      <c r="BA61" s="7">
        <f>VC_NEW!AV28</f>
        <v>0</v>
      </c>
      <c r="BB61" s="7">
        <f>VC_NEW!AW28</f>
        <v>0</v>
      </c>
      <c r="BC61" s="7">
        <f>VC_NEW!AX28</f>
        <v>0</v>
      </c>
      <c r="BD61" s="7">
        <f>VC_NEW!AY28</f>
        <v>0</v>
      </c>
      <c r="BE61" s="7">
        <f>VC_NEW!AZ28</f>
        <v>0</v>
      </c>
      <c r="BF61" s="7">
        <f>VC_NEW!BA28</f>
        <v>0</v>
      </c>
      <c r="BG61" s="7">
        <f>VC_NEW!BB28</f>
        <v>0</v>
      </c>
      <c r="BH61" s="7">
        <f>VC_NEW!BC28</f>
        <v>0</v>
      </c>
      <c r="BI61" s="7">
        <f>VC_NEW!BD28</f>
        <v>0</v>
      </c>
      <c r="BJ61" s="7" t="str">
        <f>VC_NEW!BE28</f>
        <v>aa25∆1</v>
      </c>
      <c r="BK61" s="7">
        <f>VC_NEW!BF28</f>
        <v>0</v>
      </c>
      <c r="BL61" s="7">
        <f>VC_NEW!BG28</f>
        <v>0</v>
      </c>
      <c r="BM61" s="7">
        <f>VC_NEW!BH28</f>
        <v>0</v>
      </c>
      <c r="BN61" s="7">
        <f>VC_NEW!BI28</f>
        <v>0</v>
      </c>
      <c r="BO61" s="7">
        <f>VC_NEW!BJ28</f>
        <v>0</v>
      </c>
      <c r="BP61" s="7">
        <f>VC_NEW!BK28</f>
        <v>0</v>
      </c>
      <c r="BQ61" s="7">
        <f>VC_NEW!BL28</f>
        <v>0</v>
      </c>
      <c r="BR61" s="7">
        <f>VC_NEW!BM28</f>
        <v>0</v>
      </c>
      <c r="BS61" s="7">
        <f>VC_NEW!BN28</f>
        <v>0</v>
      </c>
      <c r="BT61" s="7" t="str">
        <f>VC_NEW!BO28</f>
        <v>T11N</v>
      </c>
      <c r="BU61" s="7">
        <f>VC_NEW!BP28</f>
        <v>0</v>
      </c>
      <c r="BV61" s="7">
        <f>VC_NEW!BQ28</f>
        <v>0</v>
      </c>
      <c r="BW61" s="7" t="str">
        <f>VC_NEW!BR28</f>
        <v>∆204nt</v>
      </c>
      <c r="BX61" s="7">
        <f>VC_NEW!BS28</f>
        <v>0</v>
      </c>
      <c r="BY61" s="7">
        <f>VC_NEW!BT28</f>
        <v>0</v>
      </c>
      <c r="BZ61" s="7">
        <f>VC_NEW!BU28</f>
        <v>0</v>
      </c>
      <c r="CA61" s="7">
        <f>VC_NEW!BV28</f>
        <v>0</v>
      </c>
      <c r="CB61" s="7">
        <f>VC_NEW!BW28</f>
        <v>0</v>
      </c>
      <c r="CC61" s="7">
        <f>VC_NEW!BX28</f>
        <v>0</v>
      </c>
      <c r="CD61" s="7">
        <f>VC_NEW!BY28</f>
        <v>0</v>
      </c>
      <c r="CE61" s="7">
        <f>VC_NEW!BZ28</f>
        <v>0</v>
      </c>
      <c r="CF61" s="7">
        <f>VC_NEW!CA28</f>
        <v>0</v>
      </c>
      <c r="CG61" s="7">
        <f>VC_NEW!CB28</f>
        <v>0</v>
      </c>
      <c r="CH61" s="7">
        <f>VC_NEW!CC28</f>
        <v>0</v>
      </c>
      <c r="CI61" s="7">
        <f>VC_NEW!CD28</f>
        <v>0</v>
      </c>
      <c r="CJ61" s="7">
        <f>VC_NEW!CE28</f>
        <v>0</v>
      </c>
      <c r="CK61" s="7">
        <f>VC_NEW!CF28</f>
        <v>0</v>
      </c>
      <c r="CL61" s="7">
        <f>VC_NEW!CG28</f>
        <v>0</v>
      </c>
      <c r="CM61" s="7">
        <f>VC_NEW!CH28</f>
        <v>0</v>
      </c>
      <c r="CN61" s="7">
        <f>VC_NEW!CI28</f>
        <v>0</v>
      </c>
      <c r="CO61" s="7">
        <f>VC_NEW!CJ28</f>
        <v>0</v>
      </c>
      <c r="CP61" s="7">
        <f>VC_NEW!CK28</f>
        <v>0</v>
      </c>
      <c r="CQ61" s="7">
        <f>VC_NEW!CL28</f>
        <v>0</v>
      </c>
      <c r="CR61" s="7">
        <f>VC_NEW!CM28</f>
        <v>0</v>
      </c>
      <c r="CS61" s="7">
        <f>VC_NEW!CN28</f>
        <v>0</v>
      </c>
      <c r="CT61" s="7">
        <f>VC_NEW!CO28</f>
        <v>0</v>
      </c>
      <c r="CU61" s="7">
        <f>VC_NEW!CP28</f>
        <v>0</v>
      </c>
      <c r="CV61" s="7">
        <f>VC_NEW!CQ28</f>
        <v>0</v>
      </c>
      <c r="CW61" s="7">
        <f>VC_NEW!CR28</f>
        <v>0</v>
      </c>
      <c r="CX61" s="7" t="str">
        <f>VC_NEW!CS28</f>
        <v>T188A</v>
      </c>
      <c r="CY61" s="7">
        <f>VC_NEW!CT28</f>
        <v>0</v>
      </c>
      <c r="CZ61" s="7" t="str">
        <f>VC_NEW!CU28</f>
        <v>nt263∆17</v>
      </c>
      <c r="DA61" s="7">
        <f>VC_NEW!CV28</f>
        <v>0</v>
      </c>
      <c r="DB61" s="7">
        <f>VC_NEW!CW28</f>
        <v>0</v>
      </c>
      <c r="DC61" s="7">
        <f>VC_NEW!CX28</f>
        <v>0</v>
      </c>
      <c r="DD61" s="7">
        <f>VC_NEW!CY28</f>
        <v>0</v>
      </c>
      <c r="DE61" s="7">
        <f>VC_NEW!CZ28</f>
        <v>0</v>
      </c>
      <c r="DF61" s="7">
        <f>VC_NEW!DA28</f>
        <v>0</v>
      </c>
      <c r="DG61" s="7">
        <f>VC_NEW!DB28</f>
        <v>0</v>
      </c>
      <c r="DH61" s="7">
        <f>VC_NEW!DC28</f>
        <v>0</v>
      </c>
      <c r="DI61" s="7">
        <f>VC_NEW!DD28</f>
        <v>0</v>
      </c>
      <c r="DJ61" s="7">
        <f>VC_NEW!DE28</f>
        <v>0</v>
      </c>
      <c r="DK61" s="7" t="str">
        <f>VC_NEW!DF28</f>
        <v>nt396∆2</v>
      </c>
      <c r="DL61" s="7">
        <f>VC_NEW!DG28</f>
        <v>0</v>
      </c>
      <c r="DM61" s="7">
        <f>VC_NEW!DH28</f>
        <v>0</v>
      </c>
      <c r="DN61" s="7">
        <f>VC_NEW!DI28</f>
        <v>0</v>
      </c>
      <c r="DO61" s="7">
        <f>VC_NEW!DJ28</f>
        <v>0</v>
      </c>
      <c r="DP61" s="7" t="str">
        <f>VC_NEW!DK28</f>
        <v>C149Y</v>
      </c>
      <c r="DQ61" s="7">
        <f>VC_NEW!DL28</f>
        <v>0</v>
      </c>
      <c r="DR61" s="7">
        <f>VC_NEW!DM28</f>
        <v>0</v>
      </c>
      <c r="DS61" s="7">
        <f>VC_NEW!DN28</f>
        <v>0</v>
      </c>
      <c r="DT61" s="7">
        <f>VC_NEW!DO28</f>
        <v>0</v>
      </c>
      <c r="DU61" s="7">
        <f>VC_NEW!DP28</f>
        <v>0</v>
      </c>
      <c r="DV61" s="7">
        <f>VC_NEW!DQ28</f>
        <v>0</v>
      </c>
      <c r="DW61" s="7">
        <f>VC_NEW!DR28</f>
        <v>0</v>
      </c>
      <c r="DX61" s="7">
        <f>VC_NEW!DS28</f>
        <v>0</v>
      </c>
      <c r="DY61" s="7">
        <f>VC_NEW!DT28</f>
        <v>0</v>
      </c>
      <c r="DZ61" s="7">
        <f>VC_NEW!DU28</f>
        <v>0</v>
      </c>
      <c r="EA61" s="7">
        <f>VC_NEW!DV28</f>
        <v>0</v>
      </c>
      <c r="EB61" s="7">
        <f>VC_NEW!DW28</f>
        <v>0</v>
      </c>
      <c r="EC61" s="7">
        <f>VC_NEW!DX28</f>
        <v>0</v>
      </c>
      <c r="ED61" s="7">
        <f>VC_NEW!DY28</f>
        <v>0</v>
      </c>
      <c r="EE61" s="7">
        <f>VC_NEW!DZ28</f>
        <v>0</v>
      </c>
      <c r="EF61" s="7">
        <f>VC_NEW!EA28</f>
        <v>0</v>
      </c>
      <c r="EG61" s="7">
        <f>VC_NEW!EB28</f>
        <v>0</v>
      </c>
      <c r="EH61" s="7" t="str">
        <f>VC_NEW!EC28</f>
        <v>G78R; nt232∆19</v>
      </c>
      <c r="EI61" s="7">
        <f>VC_NEW!ED28</f>
        <v>0</v>
      </c>
      <c r="EJ61" s="7">
        <f>VC_NEW!EE28</f>
        <v>0</v>
      </c>
      <c r="EK61" s="7">
        <f>VC_NEW!EF28</f>
        <v>0</v>
      </c>
      <c r="EL61" s="7">
        <f>VC_NEW!EG28</f>
        <v>0</v>
      </c>
      <c r="EM61" s="7">
        <f>VC_NEW!EH28</f>
        <v>0</v>
      </c>
      <c r="EN61" s="7">
        <f>VC_NEW!EI28</f>
        <v>0</v>
      </c>
      <c r="EO61" s="7">
        <f>VC_NEW!EJ28</f>
        <v>0</v>
      </c>
      <c r="EP61" s="7">
        <f>VC_NEW!EK28</f>
        <v>0</v>
      </c>
      <c r="EQ61" s="7" t="str">
        <f>VC_NEW!EL28</f>
        <v>nt232∆19</v>
      </c>
      <c r="ER61" s="7">
        <f>VC_NEW!EM28</f>
        <v>0</v>
      </c>
      <c r="ES61" s="7">
        <f>VC_NEW!EN28</f>
        <v>0</v>
      </c>
      <c r="ET61" s="7">
        <f>VC_NEW!EO28</f>
        <v>0</v>
      </c>
      <c r="EU61" s="7" t="str">
        <f>VC_NEW!EP28</f>
        <v>nt232∆19</v>
      </c>
      <c r="EV61" s="7">
        <f>VC_NEW!EQ28</f>
        <v>0</v>
      </c>
      <c r="EW61" s="7" t="str">
        <f>VC_NEW!ER28</f>
        <v>E21D</v>
      </c>
      <c r="EX61" s="7">
        <f>VC_NEW!ES28</f>
        <v>0</v>
      </c>
      <c r="EY61" s="7">
        <f>VC_NEW!ET28</f>
        <v>0</v>
      </c>
      <c r="EZ61" s="7">
        <f>VC_NEW!EU28</f>
        <v>0</v>
      </c>
      <c r="FA61" s="7" t="str">
        <f>VC_NEW!EV28</f>
        <v>nt295∆17</v>
      </c>
      <c r="FB61" s="7">
        <f>VC_NEW!EW28</f>
        <v>0</v>
      </c>
      <c r="FC61" s="7" t="str">
        <f>VC_NEW!EX28</f>
        <v>T188A</v>
      </c>
      <c r="FD61" s="7">
        <f>VC_NEW!EY28</f>
        <v>0</v>
      </c>
      <c r="FE61" s="7">
        <f>VC_NEW!EZ28</f>
        <v>0</v>
      </c>
      <c r="FF61" s="7">
        <f>VC_NEW!FA28</f>
        <v>0</v>
      </c>
      <c r="FG61" s="7">
        <f>VC_NEW!FB28</f>
        <v>0</v>
      </c>
      <c r="FH61" s="7">
        <f>VC_NEW!FC28</f>
        <v>0</v>
      </c>
      <c r="FI61" s="7" t="str">
        <f>VC_NEW!FD28</f>
        <v>∆605nt</v>
      </c>
      <c r="FJ61" s="7">
        <f>VC_NEW!FE28</f>
        <v>0</v>
      </c>
      <c r="FK61" s="7">
        <f>VC_NEW!FF28</f>
        <v>0</v>
      </c>
      <c r="FL61" s="7">
        <f>VC_NEW!FG28</f>
        <v>0</v>
      </c>
      <c r="FM61" s="7">
        <f>VC_NEW!FH28</f>
        <v>0</v>
      </c>
      <c r="FN61" s="7">
        <f>VC_NEW!FI28</f>
        <v>0</v>
      </c>
      <c r="FO61" s="7">
        <f>VC_NEW!FJ28</f>
        <v>0</v>
      </c>
      <c r="FP61" s="7">
        <f>VC_NEW!FK28</f>
        <v>0</v>
      </c>
      <c r="FQ61" s="7">
        <f>VC_NEW!FL28</f>
        <v>0</v>
      </c>
      <c r="FR61" s="7">
        <f>VC_NEW!FM28</f>
        <v>0</v>
      </c>
      <c r="FS61" s="7">
        <f>VC_NEW!FN28</f>
        <v>0</v>
      </c>
      <c r="FT61" s="7">
        <f>VC_NEW!FO28</f>
        <v>0</v>
      </c>
      <c r="FU61" s="7">
        <f>VC_NEW!FP28</f>
        <v>0</v>
      </c>
      <c r="FV61" s="7">
        <f>VC_NEW!FQ28</f>
        <v>0</v>
      </c>
      <c r="FW61" s="7">
        <f>VC_NEW!FR28</f>
        <v>0</v>
      </c>
      <c r="FX61" s="7">
        <f>VC_NEW!FS28</f>
        <v>0</v>
      </c>
      <c r="FY61" s="7">
        <f>VC_NEW!FT28</f>
        <v>0</v>
      </c>
      <c r="FZ61" s="7">
        <f>VC_NEW!FU28</f>
        <v>0</v>
      </c>
      <c r="GA61" s="7">
        <f>VC_NEW!FV28</f>
        <v>0</v>
      </c>
      <c r="GB61" s="7" t="str">
        <f>VC_NEW!FW28</f>
        <v>nt475∆16</v>
      </c>
      <c r="GC61" s="7">
        <f>VC_NEW!FX28</f>
        <v>0</v>
      </c>
      <c r="GD61" s="7">
        <f>VC_NEW!FY28</f>
        <v>0</v>
      </c>
      <c r="GE61" s="7">
        <f>VC_NEW!FZ28</f>
        <v>0</v>
      </c>
      <c r="GF61" s="7" t="str">
        <f>VC_NEW!GA28</f>
        <v>T188A</v>
      </c>
      <c r="GG61" s="7">
        <f>VC_NEW!GB28</f>
        <v>0</v>
      </c>
      <c r="GH61" s="7">
        <f>VC_NEW!GC28</f>
        <v>0</v>
      </c>
      <c r="GI61" s="7" t="str">
        <f>VC_NEW!GD28</f>
        <v>T188A</v>
      </c>
      <c r="GJ61" s="7">
        <f>VC_NEW!GE28</f>
        <v>0</v>
      </c>
      <c r="GK61" s="7">
        <f>VC_NEW!GF28</f>
        <v>0</v>
      </c>
      <c r="GL61" s="7">
        <f>VC_NEW!GG28</f>
        <v>0</v>
      </c>
      <c r="GM61" s="7">
        <f>VC_NEW!GH28</f>
        <v>0</v>
      </c>
      <c r="GN61" s="7">
        <f>VC_NEW!GI28</f>
        <v>0</v>
      </c>
      <c r="GO61" s="7" t="str">
        <f>VC_NEW!GJ28</f>
        <v>T188A</v>
      </c>
      <c r="GP61" s="7">
        <f>VC_NEW!GK28</f>
        <v>0</v>
      </c>
      <c r="GQ61" s="7">
        <f>VC_NEW!GL28</f>
        <v>0</v>
      </c>
      <c r="GR61" s="7">
        <f>VC_NEW!GM28</f>
        <v>0</v>
      </c>
      <c r="GS61" s="7">
        <f>VC_NEW!GN28</f>
        <v>0</v>
      </c>
      <c r="GT61" s="7">
        <f>VC_NEW!GO28</f>
        <v>0</v>
      </c>
      <c r="GU61" s="7">
        <f>VC_NEW!GP28</f>
        <v>0</v>
      </c>
      <c r="GV61" s="7" t="str">
        <f>VC_NEW!GQ28</f>
        <v>G172D</v>
      </c>
      <c r="GW61" s="7">
        <f>VC_NEW!GR28</f>
        <v>0</v>
      </c>
      <c r="GX61" s="7">
        <f>VC_NEW!GS28</f>
        <v>0</v>
      </c>
      <c r="GY61" s="7">
        <f>VC_NEW!GT28</f>
        <v>0</v>
      </c>
      <c r="GZ61" s="7">
        <f>VC_NEW!GU28</f>
        <v>0</v>
      </c>
      <c r="HA61" s="7">
        <f>VC_NEW!GV28</f>
        <v>0</v>
      </c>
      <c r="HB61" s="7">
        <f>VC_NEW!GW28</f>
        <v>0</v>
      </c>
      <c r="HC61" s="7">
        <f>VC_NEW!GX28</f>
        <v>0</v>
      </c>
    </row>
    <row r="62" spans="1:211" s="1" customFormat="1" ht="15" customHeight="1" x14ac:dyDescent="0.25">
      <c r="A62" s="32" t="s">
        <v>22</v>
      </c>
      <c r="B62" s="33" t="s">
        <v>23</v>
      </c>
      <c r="C62" s="34" t="s">
        <v>1</v>
      </c>
      <c r="D62" s="33" t="s">
        <v>76</v>
      </c>
      <c r="E62" s="33" t="s">
        <v>138</v>
      </c>
      <c r="F62" s="33" t="s">
        <v>74</v>
      </c>
      <c r="G62" s="35" t="s">
        <v>136</v>
      </c>
      <c r="H62" s="1">
        <f>VC_NEW!C29</f>
        <v>0</v>
      </c>
      <c r="I62" s="1" t="str">
        <f>VC_NEW!D29</f>
        <v>T50P</v>
      </c>
      <c r="J62" s="1">
        <f>VC_NEW!E29</f>
        <v>0</v>
      </c>
      <c r="K62" s="1">
        <f>VC_NEW!F29</f>
        <v>0</v>
      </c>
      <c r="L62" s="1">
        <f>VC_NEW!G29</f>
        <v>0</v>
      </c>
      <c r="M62" s="1">
        <f>VC_NEW!H29</f>
        <v>0</v>
      </c>
      <c r="N62" s="1">
        <f>VC_NEW!I29</f>
        <v>0</v>
      </c>
      <c r="O62" s="1">
        <f>VC_NEW!J29</f>
        <v>0</v>
      </c>
      <c r="P62" s="1">
        <f>VC_NEW!K29</f>
        <v>0</v>
      </c>
      <c r="Q62" s="1">
        <f>VC_NEW!L29</f>
        <v>0</v>
      </c>
      <c r="R62" s="1" t="str">
        <f>VC_NEW!M29</f>
        <v>G213D</v>
      </c>
      <c r="S62" s="1">
        <f>VC_NEW!N29</f>
        <v>0</v>
      </c>
      <c r="T62" s="1">
        <f>VC_NEW!O29</f>
        <v>0</v>
      </c>
      <c r="U62" s="1">
        <f>VC_NEW!P29</f>
        <v>0</v>
      </c>
      <c r="V62" s="1">
        <f>VC_NEW!Q29</f>
        <v>0</v>
      </c>
      <c r="W62" s="1">
        <f>VC_NEW!R29</f>
        <v>0</v>
      </c>
      <c r="X62" s="1">
        <f>VC_NEW!S29</f>
        <v>0</v>
      </c>
      <c r="Y62" s="1">
        <f>VC_NEW!T29</f>
        <v>0</v>
      </c>
      <c r="Z62" s="1">
        <f>VC_NEW!U29</f>
        <v>0</v>
      </c>
      <c r="AA62" s="1">
        <f>VC_NEW!V29</f>
        <v>0</v>
      </c>
      <c r="AB62" s="1">
        <f>VC_NEW!W29</f>
        <v>0</v>
      </c>
      <c r="AC62" s="1">
        <f>VC_NEW!X29</f>
        <v>0</v>
      </c>
      <c r="AD62" s="1">
        <f>VC_NEW!Y29</f>
        <v>0</v>
      </c>
      <c r="AE62" s="1">
        <f>VC_NEW!Z29</f>
        <v>0</v>
      </c>
      <c r="AF62" s="1">
        <f>VC_NEW!AA29</f>
        <v>0</v>
      </c>
      <c r="AG62" s="1">
        <f>VC_NEW!AB29</f>
        <v>0</v>
      </c>
      <c r="AH62" s="1">
        <f>VC_NEW!AC29</f>
        <v>0</v>
      </c>
      <c r="AI62" s="1">
        <f>VC_NEW!AD29</f>
        <v>0</v>
      </c>
      <c r="AJ62" s="1">
        <f>VC_NEW!AE29</f>
        <v>0</v>
      </c>
      <c r="AK62" s="1">
        <f>VC_NEW!AF29</f>
        <v>0</v>
      </c>
      <c r="AL62" s="1">
        <f>VC_NEW!AG29</f>
        <v>0</v>
      </c>
      <c r="AM62" s="1">
        <f>VC_NEW!AH29</f>
        <v>0</v>
      </c>
      <c r="AN62" s="1">
        <f>VC_NEW!AI29</f>
        <v>0</v>
      </c>
      <c r="AO62" s="1">
        <f>VC_NEW!AJ29</f>
        <v>0</v>
      </c>
      <c r="AP62" s="1">
        <f>VC_NEW!AK29</f>
        <v>0</v>
      </c>
      <c r="AQ62" s="1">
        <f>VC_NEW!AL29</f>
        <v>0</v>
      </c>
      <c r="AR62" s="1">
        <f>VC_NEW!AM29</f>
        <v>0</v>
      </c>
      <c r="AS62" s="1">
        <f>VC_NEW!AN29</f>
        <v>0</v>
      </c>
      <c r="AT62" s="1">
        <f>VC_NEW!AO29</f>
        <v>0</v>
      </c>
      <c r="AU62" s="1">
        <f>VC_NEW!AP29</f>
        <v>0</v>
      </c>
      <c r="AV62" s="1">
        <f>VC_NEW!AQ29</f>
        <v>0</v>
      </c>
      <c r="AW62" s="1">
        <f>VC_NEW!AR29</f>
        <v>0</v>
      </c>
      <c r="AX62" s="1">
        <f>VC_NEW!AS29</f>
        <v>0</v>
      </c>
      <c r="AY62" s="1">
        <f>VC_NEW!AT29</f>
        <v>0</v>
      </c>
      <c r="AZ62" s="1">
        <f>VC_NEW!AU29</f>
        <v>0</v>
      </c>
      <c r="BA62" s="1">
        <f>VC_NEW!AV29</f>
        <v>0</v>
      </c>
      <c r="BB62" s="1">
        <f>VC_NEW!AW29</f>
        <v>0</v>
      </c>
      <c r="BC62" s="1">
        <f>VC_NEW!AX29</f>
        <v>0</v>
      </c>
      <c r="BD62" s="1">
        <f>VC_NEW!AY29</f>
        <v>0</v>
      </c>
      <c r="BE62" s="1">
        <f>VC_NEW!AZ29</f>
        <v>0</v>
      </c>
      <c r="BF62" s="1">
        <f>VC_NEW!BA29</f>
        <v>0</v>
      </c>
      <c r="BG62" s="1">
        <f>VC_NEW!BB29</f>
        <v>0</v>
      </c>
      <c r="BH62" s="1">
        <f>VC_NEW!BC29</f>
        <v>0</v>
      </c>
      <c r="BI62" s="1">
        <f>VC_NEW!BD29</f>
        <v>0</v>
      </c>
      <c r="BJ62" s="1">
        <f>VC_NEW!BE29</f>
        <v>0</v>
      </c>
      <c r="BK62" s="1">
        <f>VC_NEW!BF29</f>
        <v>0</v>
      </c>
      <c r="BL62" s="1">
        <f>VC_NEW!BG29</f>
        <v>0</v>
      </c>
      <c r="BM62" s="1">
        <f>VC_NEW!BH29</f>
        <v>0</v>
      </c>
      <c r="BN62" s="1">
        <f>VC_NEW!BI29</f>
        <v>0</v>
      </c>
      <c r="BO62" s="1">
        <f>VC_NEW!BJ29</f>
        <v>0</v>
      </c>
      <c r="BP62" s="1">
        <f>VC_NEW!BK29</f>
        <v>0</v>
      </c>
      <c r="BQ62" s="1">
        <f>VC_NEW!BL29</f>
        <v>0</v>
      </c>
      <c r="BR62" s="1">
        <f>VC_NEW!BM29</f>
        <v>0</v>
      </c>
      <c r="BS62" s="1">
        <f>VC_NEW!BN29</f>
        <v>0</v>
      </c>
      <c r="BT62" s="1">
        <f>VC_NEW!BO29</f>
        <v>0</v>
      </c>
      <c r="BU62" s="1">
        <f>VC_NEW!BP29</f>
        <v>0</v>
      </c>
      <c r="BV62" s="1">
        <f>VC_NEW!BQ29</f>
        <v>0</v>
      </c>
      <c r="BW62" s="1">
        <f>VC_NEW!BR29</f>
        <v>0</v>
      </c>
      <c r="BX62" s="1">
        <f>VC_NEW!BS29</f>
        <v>0</v>
      </c>
      <c r="BY62" s="1">
        <f>VC_NEW!BT29</f>
        <v>0</v>
      </c>
      <c r="BZ62" s="1">
        <f>VC_NEW!BU29</f>
        <v>0</v>
      </c>
      <c r="CA62" s="1">
        <f>VC_NEW!BV29</f>
        <v>0</v>
      </c>
      <c r="CB62" s="1">
        <f>VC_NEW!BW29</f>
        <v>0</v>
      </c>
      <c r="CC62" s="1">
        <f>VC_NEW!BX29</f>
        <v>0</v>
      </c>
      <c r="CD62" s="1">
        <f>VC_NEW!BY29</f>
        <v>0</v>
      </c>
      <c r="CE62" s="1">
        <f>VC_NEW!BZ29</f>
        <v>0</v>
      </c>
      <c r="CF62" s="1">
        <f>VC_NEW!CA29</f>
        <v>0</v>
      </c>
      <c r="CG62" s="1">
        <f>VC_NEW!CB29</f>
        <v>0</v>
      </c>
      <c r="CH62" s="1">
        <f>VC_NEW!CC29</f>
        <v>0</v>
      </c>
      <c r="CI62" s="1">
        <f>VC_NEW!CD29</f>
        <v>0</v>
      </c>
      <c r="CJ62" s="1">
        <f>VC_NEW!CE29</f>
        <v>0</v>
      </c>
      <c r="CK62" s="1">
        <f>VC_NEW!CF29</f>
        <v>0</v>
      </c>
      <c r="CL62" s="1">
        <f>VC_NEW!CG29</f>
        <v>0</v>
      </c>
      <c r="CM62" s="1">
        <f>VC_NEW!CH29</f>
        <v>0</v>
      </c>
      <c r="CN62" s="1">
        <f>VC_NEW!CI29</f>
        <v>0</v>
      </c>
      <c r="CO62" s="1">
        <f>VC_NEW!CJ29</f>
        <v>0</v>
      </c>
      <c r="CP62" s="1">
        <f>VC_NEW!CK29</f>
        <v>0</v>
      </c>
      <c r="CQ62" s="1">
        <f>VC_NEW!CL29</f>
        <v>0</v>
      </c>
      <c r="CR62" s="1">
        <f>VC_NEW!CM29</f>
        <v>0</v>
      </c>
      <c r="CS62" s="1">
        <f>VC_NEW!CN29</f>
        <v>0</v>
      </c>
      <c r="CT62" s="1">
        <f>VC_NEW!CO29</f>
        <v>0</v>
      </c>
      <c r="CU62" s="1">
        <f>VC_NEW!CP29</f>
        <v>0</v>
      </c>
      <c r="CV62" s="1">
        <f>VC_NEW!CQ29</f>
        <v>0</v>
      </c>
      <c r="CW62" s="1">
        <f>VC_NEW!CR29</f>
        <v>0</v>
      </c>
      <c r="CX62" s="1">
        <f>VC_NEW!CS29</f>
        <v>0</v>
      </c>
      <c r="CY62" s="1">
        <f>VC_NEW!CT29</f>
        <v>0</v>
      </c>
      <c r="CZ62" s="1">
        <f>VC_NEW!CU29</f>
        <v>0</v>
      </c>
      <c r="DA62" s="1">
        <f>VC_NEW!CV29</f>
        <v>0</v>
      </c>
      <c r="DB62" s="1">
        <f>VC_NEW!CW29</f>
        <v>0</v>
      </c>
      <c r="DC62" s="1">
        <f>VC_NEW!CX29</f>
        <v>0</v>
      </c>
      <c r="DD62" s="1">
        <f>VC_NEW!CY29</f>
        <v>0</v>
      </c>
      <c r="DE62" s="1">
        <f>VC_NEW!CZ29</f>
        <v>0</v>
      </c>
      <c r="DF62" s="1">
        <f>VC_NEW!DA29</f>
        <v>0</v>
      </c>
      <c r="DG62" s="1">
        <f>VC_NEW!DB29</f>
        <v>0</v>
      </c>
      <c r="DH62" s="1">
        <f>VC_NEW!DC29</f>
        <v>0</v>
      </c>
      <c r="DI62" s="1" t="str">
        <f>VC_NEW!DD29</f>
        <v>R191L</v>
      </c>
      <c r="DJ62" s="1" t="str">
        <f>VC_NEW!DE29</f>
        <v>nt12InsG</v>
      </c>
      <c r="DK62" s="1">
        <f>VC_NEW!DF29</f>
        <v>0</v>
      </c>
      <c r="DL62" s="1">
        <f>VC_NEW!DG29</f>
        <v>0</v>
      </c>
      <c r="DM62" s="1">
        <f>VC_NEW!DH29</f>
        <v>0</v>
      </c>
      <c r="DN62" s="1">
        <f>VC_NEW!DI29</f>
        <v>0</v>
      </c>
      <c r="DO62" s="1">
        <f>VC_NEW!DJ29</f>
        <v>0</v>
      </c>
      <c r="DP62" s="1">
        <f>VC_NEW!DK29</f>
        <v>0</v>
      </c>
      <c r="DQ62" s="1">
        <f>VC_NEW!DL29</f>
        <v>0</v>
      </c>
      <c r="DR62" s="1">
        <f>VC_NEW!DM29</f>
        <v>0</v>
      </c>
      <c r="DS62" s="1">
        <f>VC_NEW!DN29</f>
        <v>0</v>
      </c>
      <c r="DT62" s="1">
        <f>VC_NEW!DO29</f>
        <v>0</v>
      </c>
      <c r="DU62" s="1">
        <f>VC_NEW!DP29</f>
        <v>0</v>
      </c>
      <c r="DV62" s="1">
        <f>VC_NEW!DQ29</f>
        <v>0</v>
      </c>
      <c r="DW62" s="1">
        <f>VC_NEW!DR29</f>
        <v>0</v>
      </c>
      <c r="DX62" s="1">
        <f>VC_NEW!DS29</f>
        <v>0</v>
      </c>
      <c r="DY62" s="1">
        <f>VC_NEW!DT29</f>
        <v>0</v>
      </c>
      <c r="DZ62" s="1">
        <f>VC_NEW!DU29</f>
        <v>0</v>
      </c>
      <c r="EA62" s="1">
        <f>VC_NEW!DV29</f>
        <v>0</v>
      </c>
      <c r="EB62" s="1" t="str">
        <f>VC_NEW!DW29</f>
        <v>nt15∆1</v>
      </c>
      <c r="EC62" s="1">
        <f>VC_NEW!DX29</f>
        <v>0</v>
      </c>
      <c r="ED62" s="1">
        <f>VC_NEW!DY29</f>
        <v>0</v>
      </c>
      <c r="EE62" s="1">
        <f>VC_NEW!DZ29</f>
        <v>0</v>
      </c>
      <c r="EF62" s="1">
        <f>VC_NEW!EA29</f>
        <v>0</v>
      </c>
      <c r="EG62" s="1">
        <f>VC_NEW!EB29</f>
        <v>0</v>
      </c>
      <c r="EH62" s="1">
        <f>VC_NEW!EC29</f>
        <v>0</v>
      </c>
      <c r="EI62" s="1">
        <f>VC_NEW!ED29</f>
        <v>0</v>
      </c>
      <c r="EJ62" s="1">
        <f>VC_NEW!EE29</f>
        <v>0</v>
      </c>
      <c r="EK62" s="1">
        <f>VC_NEW!EF29</f>
        <v>0</v>
      </c>
      <c r="EL62" s="1">
        <f>VC_NEW!EG29</f>
        <v>0</v>
      </c>
      <c r="EM62" s="1">
        <f>VC_NEW!EH29</f>
        <v>0</v>
      </c>
      <c r="EN62" s="1">
        <f>VC_NEW!EI29</f>
        <v>0</v>
      </c>
      <c r="EO62" s="1">
        <f>VC_NEW!EJ29</f>
        <v>0</v>
      </c>
      <c r="EP62" s="1">
        <f>VC_NEW!EK29</f>
        <v>0</v>
      </c>
      <c r="EQ62" s="1">
        <f>VC_NEW!EL29</f>
        <v>0</v>
      </c>
      <c r="ER62" s="1">
        <f>VC_NEW!EM29</f>
        <v>0</v>
      </c>
      <c r="ES62" s="1">
        <f>VC_NEW!EN29</f>
        <v>0</v>
      </c>
      <c r="ET62" s="1">
        <f>VC_NEW!EO29</f>
        <v>0</v>
      </c>
      <c r="EU62" s="1">
        <f>VC_NEW!EP29</f>
        <v>0</v>
      </c>
      <c r="EV62" s="1">
        <f>VC_NEW!EQ29</f>
        <v>0</v>
      </c>
      <c r="EW62" s="1" t="str">
        <f>VC_NEW!ER29</f>
        <v>A4V</v>
      </c>
      <c r="EX62" s="1">
        <f>VC_NEW!ES29</f>
        <v>0</v>
      </c>
      <c r="EY62" s="1">
        <f>VC_NEW!ET29</f>
        <v>0</v>
      </c>
      <c r="EZ62" s="1">
        <f>VC_NEW!EU29</f>
        <v>0</v>
      </c>
      <c r="FA62" s="1">
        <f>VC_NEW!EV29</f>
        <v>0</v>
      </c>
      <c r="FB62" s="1">
        <f>VC_NEW!EW29</f>
        <v>0</v>
      </c>
      <c r="FC62" s="1" t="str">
        <f>VC_NEW!EX29</f>
        <v>nt15∆1</v>
      </c>
      <c r="FD62" s="1">
        <f>VC_NEW!EY29</f>
        <v>0</v>
      </c>
      <c r="FE62" s="1">
        <f>VC_NEW!EZ29</f>
        <v>0</v>
      </c>
      <c r="FF62" s="1">
        <f>VC_NEW!FA29</f>
        <v>0</v>
      </c>
      <c r="FG62" s="1">
        <f>VC_NEW!FB29</f>
        <v>0</v>
      </c>
      <c r="FH62" s="1">
        <f>VC_NEW!FC29</f>
        <v>0</v>
      </c>
      <c r="FI62" s="1">
        <f>VC_NEW!FD29</f>
        <v>0</v>
      </c>
      <c r="FJ62" s="1">
        <f>VC_NEW!FE29</f>
        <v>0</v>
      </c>
      <c r="FK62" s="1">
        <f>VC_NEW!FF29</f>
        <v>0</v>
      </c>
      <c r="FL62" s="1">
        <f>VC_NEW!FG29</f>
        <v>0</v>
      </c>
      <c r="FM62" s="1">
        <f>VC_NEW!FH29</f>
        <v>0</v>
      </c>
      <c r="FN62" s="1">
        <f>VC_NEW!FI29</f>
        <v>0</v>
      </c>
      <c r="FO62" s="1">
        <f>VC_NEW!FJ29</f>
        <v>0</v>
      </c>
      <c r="FP62" s="1">
        <f>VC_NEW!FK29</f>
        <v>0</v>
      </c>
      <c r="FQ62" s="1">
        <f>VC_NEW!FL29</f>
        <v>0</v>
      </c>
      <c r="FR62" s="1">
        <f>VC_NEW!FM29</f>
        <v>0</v>
      </c>
      <c r="FS62" s="1">
        <f>VC_NEW!FN29</f>
        <v>0</v>
      </c>
      <c r="FT62" s="1">
        <f>VC_NEW!FO29</f>
        <v>0</v>
      </c>
      <c r="FU62" s="1">
        <f>VC_NEW!FP29</f>
        <v>0</v>
      </c>
      <c r="FV62" s="1">
        <f>VC_NEW!FQ29</f>
        <v>0</v>
      </c>
      <c r="FW62" s="1">
        <f>VC_NEW!FR29</f>
        <v>0</v>
      </c>
      <c r="FX62" s="1">
        <f>VC_NEW!FS29</f>
        <v>0</v>
      </c>
      <c r="FY62" s="1">
        <f>VC_NEW!FT29</f>
        <v>0</v>
      </c>
      <c r="FZ62" s="1">
        <f>VC_NEW!FU29</f>
        <v>0</v>
      </c>
      <c r="GA62" s="1">
        <f>VC_NEW!FV29</f>
        <v>0</v>
      </c>
      <c r="GB62" s="1">
        <f>VC_NEW!FW29</f>
        <v>0</v>
      </c>
      <c r="GC62" s="1">
        <f>VC_NEW!FX29</f>
        <v>0</v>
      </c>
      <c r="GD62" s="1">
        <f>VC_NEW!FY29</f>
        <v>0</v>
      </c>
      <c r="GE62" s="1">
        <f>VC_NEW!FZ29</f>
        <v>0</v>
      </c>
      <c r="GF62" s="1">
        <f>VC_NEW!GA29</f>
        <v>0</v>
      </c>
      <c r="GG62" s="1">
        <f>VC_NEW!GB29</f>
        <v>0</v>
      </c>
      <c r="GH62" s="1">
        <f>VC_NEW!GC29</f>
        <v>0</v>
      </c>
      <c r="GI62" s="1">
        <f>VC_NEW!GD29</f>
        <v>0</v>
      </c>
      <c r="GJ62" s="1">
        <f>VC_NEW!GE29</f>
        <v>0</v>
      </c>
      <c r="GK62" s="1">
        <f>VC_NEW!GF29</f>
        <v>0</v>
      </c>
      <c r="GL62" s="1">
        <f>VC_NEW!GG29</f>
        <v>0</v>
      </c>
      <c r="GM62" s="1">
        <f>VC_NEW!GH29</f>
        <v>0</v>
      </c>
      <c r="GN62" s="1">
        <f>VC_NEW!GI29</f>
        <v>0</v>
      </c>
      <c r="GO62" s="1">
        <f>VC_NEW!GJ29</f>
        <v>0</v>
      </c>
      <c r="GP62" s="1">
        <f>VC_NEW!GK29</f>
        <v>0</v>
      </c>
      <c r="GQ62" s="1">
        <f>VC_NEW!GL29</f>
        <v>0</v>
      </c>
      <c r="GR62" s="1">
        <f>VC_NEW!GM29</f>
        <v>0</v>
      </c>
      <c r="GS62" s="1">
        <f>VC_NEW!GN29</f>
        <v>0</v>
      </c>
      <c r="GT62" s="1" t="str">
        <f>VC_NEW!GO29</f>
        <v>T100S</v>
      </c>
      <c r="GU62" s="1">
        <f>VC_NEW!GP29</f>
        <v>0</v>
      </c>
      <c r="GV62" s="1">
        <f>VC_NEW!GQ29</f>
        <v>0</v>
      </c>
      <c r="GW62" s="1">
        <f>VC_NEW!GR29</f>
        <v>0</v>
      </c>
      <c r="GX62" s="1">
        <f>VC_NEW!GS29</f>
        <v>0</v>
      </c>
      <c r="GY62" s="1">
        <f>VC_NEW!GT29</f>
        <v>0</v>
      </c>
      <c r="GZ62" s="1">
        <f>VC_NEW!GU29</f>
        <v>0</v>
      </c>
      <c r="HA62" s="1">
        <f>VC_NEW!GV29</f>
        <v>0</v>
      </c>
      <c r="HB62" s="1">
        <f>VC_NEW!GW29</f>
        <v>0</v>
      </c>
      <c r="HC62" s="1">
        <f>VC_NEW!GX29</f>
        <v>0</v>
      </c>
    </row>
    <row r="63" spans="1:211" s="1" customFormat="1" ht="15" hidden="1" customHeight="1" x14ac:dyDescent="0.25">
      <c r="A63" s="36" t="s">
        <v>22</v>
      </c>
      <c r="B63" s="37" t="s">
        <v>23</v>
      </c>
      <c r="C63" s="38" t="s">
        <v>2</v>
      </c>
      <c r="D63" s="37" t="s">
        <v>76</v>
      </c>
      <c r="E63" s="37" t="s">
        <v>138</v>
      </c>
      <c r="F63" s="37" t="s">
        <v>74</v>
      </c>
      <c r="G63" s="39" t="s">
        <v>136</v>
      </c>
      <c r="H63" s="1">
        <f>VC_NEW!C29</f>
        <v>0</v>
      </c>
      <c r="I63" s="1" t="str">
        <f>VC_NEW!D29</f>
        <v>T50P</v>
      </c>
      <c r="J63" s="1">
        <f>VC_NEW!E29</f>
        <v>0</v>
      </c>
      <c r="K63" s="1">
        <f>VC_NEW!F29</f>
        <v>0</v>
      </c>
      <c r="L63" s="1">
        <f>VC_NEW!G29</f>
        <v>0</v>
      </c>
      <c r="M63" s="1">
        <f>VC_NEW!H29</f>
        <v>0</v>
      </c>
      <c r="N63" s="1">
        <f>VC_NEW!I29</f>
        <v>0</v>
      </c>
      <c r="O63" s="1">
        <f>VC_NEW!J29</f>
        <v>0</v>
      </c>
      <c r="P63" s="1">
        <f>VC_NEW!K29</f>
        <v>0</v>
      </c>
      <c r="Q63" s="1">
        <f>VC_NEW!L29</f>
        <v>0</v>
      </c>
      <c r="R63" s="1" t="str">
        <f>VC_NEW!M29</f>
        <v>G213D</v>
      </c>
      <c r="S63" s="1">
        <f>VC_NEW!N29</f>
        <v>0</v>
      </c>
      <c r="T63" s="1">
        <f>VC_NEW!O29</f>
        <v>0</v>
      </c>
      <c r="U63" s="1">
        <f>VC_NEW!P29</f>
        <v>0</v>
      </c>
      <c r="V63" s="1">
        <f>VC_NEW!Q29</f>
        <v>0</v>
      </c>
      <c r="W63" s="1">
        <f>VC_NEW!R29</f>
        <v>0</v>
      </c>
      <c r="X63" s="1">
        <f>VC_NEW!S29</f>
        <v>0</v>
      </c>
      <c r="Y63" s="1">
        <f>VC_NEW!T29</f>
        <v>0</v>
      </c>
      <c r="Z63" s="1">
        <f>VC_NEW!U29</f>
        <v>0</v>
      </c>
      <c r="AA63" s="1">
        <f>VC_NEW!V29</f>
        <v>0</v>
      </c>
      <c r="AB63" s="1">
        <f>VC_NEW!W29</f>
        <v>0</v>
      </c>
      <c r="AC63" s="1">
        <f>VC_NEW!X29</f>
        <v>0</v>
      </c>
      <c r="AD63" s="1">
        <f>VC_NEW!Y29</f>
        <v>0</v>
      </c>
      <c r="AE63" s="1">
        <f>VC_NEW!Z29</f>
        <v>0</v>
      </c>
      <c r="AF63" s="1">
        <f>VC_NEW!AA29</f>
        <v>0</v>
      </c>
      <c r="AG63" s="1">
        <f>VC_NEW!AB29</f>
        <v>0</v>
      </c>
      <c r="AH63" s="1">
        <f>VC_NEW!AC29</f>
        <v>0</v>
      </c>
      <c r="AI63" s="1">
        <f>VC_NEW!AD29</f>
        <v>0</v>
      </c>
      <c r="AJ63" s="1">
        <f>VC_NEW!AE29</f>
        <v>0</v>
      </c>
      <c r="AK63" s="1">
        <f>VC_NEW!AF29</f>
        <v>0</v>
      </c>
      <c r="AL63" s="1">
        <f>VC_NEW!AG29</f>
        <v>0</v>
      </c>
      <c r="AM63" s="1">
        <f>VC_NEW!AH29</f>
        <v>0</v>
      </c>
      <c r="AN63" s="1">
        <f>VC_NEW!AI29</f>
        <v>0</v>
      </c>
      <c r="AO63" s="1">
        <f>VC_NEW!AJ29</f>
        <v>0</v>
      </c>
      <c r="AP63" s="1">
        <f>VC_NEW!AK29</f>
        <v>0</v>
      </c>
      <c r="AQ63" s="1">
        <f>VC_NEW!AL29</f>
        <v>0</v>
      </c>
      <c r="AR63" s="1">
        <f>VC_NEW!AM29</f>
        <v>0</v>
      </c>
      <c r="AS63" s="1">
        <f>VC_NEW!AN29</f>
        <v>0</v>
      </c>
      <c r="AT63" s="1">
        <f>VC_NEW!AO29</f>
        <v>0</v>
      </c>
      <c r="AU63" s="1">
        <f>VC_NEW!AP29</f>
        <v>0</v>
      </c>
      <c r="AV63" s="1">
        <f>VC_NEW!AQ29</f>
        <v>0</v>
      </c>
      <c r="AW63" s="1">
        <f>VC_NEW!AR29</f>
        <v>0</v>
      </c>
      <c r="AX63" s="1">
        <f>VC_NEW!AS29</f>
        <v>0</v>
      </c>
      <c r="AY63" s="1">
        <f>VC_NEW!AT29</f>
        <v>0</v>
      </c>
      <c r="AZ63" s="1">
        <f>VC_NEW!AU29</f>
        <v>0</v>
      </c>
      <c r="BA63" s="1">
        <f>VC_NEW!AV29</f>
        <v>0</v>
      </c>
      <c r="BB63" s="1">
        <f>VC_NEW!AW29</f>
        <v>0</v>
      </c>
      <c r="BC63" s="1">
        <f>VC_NEW!AX29</f>
        <v>0</v>
      </c>
      <c r="BD63" s="1">
        <f>VC_NEW!AY29</f>
        <v>0</v>
      </c>
      <c r="BE63" s="1">
        <f>VC_NEW!AZ29</f>
        <v>0</v>
      </c>
      <c r="BF63" s="1">
        <f>VC_NEW!BA29</f>
        <v>0</v>
      </c>
      <c r="BG63" s="1">
        <f>VC_NEW!BB29</f>
        <v>0</v>
      </c>
      <c r="BH63" s="1">
        <f>VC_NEW!BC29</f>
        <v>0</v>
      </c>
      <c r="BI63" s="1">
        <f>VC_NEW!BD29</f>
        <v>0</v>
      </c>
      <c r="BJ63" s="1">
        <f>VC_NEW!BE29</f>
        <v>0</v>
      </c>
      <c r="BK63" s="1">
        <f>VC_NEW!BF29</f>
        <v>0</v>
      </c>
      <c r="BL63" s="1">
        <f>VC_NEW!BG29</f>
        <v>0</v>
      </c>
      <c r="BM63" s="1">
        <f>VC_NEW!BH29</f>
        <v>0</v>
      </c>
      <c r="BN63" s="1">
        <f>VC_NEW!BI29</f>
        <v>0</v>
      </c>
      <c r="BO63" s="1">
        <f>VC_NEW!BJ29</f>
        <v>0</v>
      </c>
      <c r="BP63" s="1">
        <f>VC_NEW!BK29</f>
        <v>0</v>
      </c>
      <c r="BQ63" s="1">
        <f>VC_NEW!BL29</f>
        <v>0</v>
      </c>
      <c r="BR63" s="1">
        <f>VC_NEW!BM29</f>
        <v>0</v>
      </c>
      <c r="BS63" s="1">
        <f>VC_NEW!BN29</f>
        <v>0</v>
      </c>
      <c r="BT63" s="1">
        <f>VC_NEW!BO29</f>
        <v>0</v>
      </c>
      <c r="BU63" s="1">
        <f>VC_NEW!BP29</f>
        <v>0</v>
      </c>
      <c r="BV63" s="1">
        <f>VC_NEW!BQ29</f>
        <v>0</v>
      </c>
      <c r="BW63" s="1">
        <f>VC_NEW!BR29</f>
        <v>0</v>
      </c>
      <c r="BX63" s="1">
        <f>VC_NEW!BS29</f>
        <v>0</v>
      </c>
      <c r="BY63" s="1">
        <f>VC_NEW!BT29</f>
        <v>0</v>
      </c>
      <c r="BZ63" s="1">
        <f>VC_NEW!BU29</f>
        <v>0</v>
      </c>
      <c r="CA63" s="1">
        <f>VC_NEW!BV29</f>
        <v>0</v>
      </c>
      <c r="CB63" s="1">
        <f>VC_NEW!BW29</f>
        <v>0</v>
      </c>
      <c r="CC63" s="1">
        <f>VC_NEW!BX29</f>
        <v>0</v>
      </c>
      <c r="CD63" s="1">
        <f>VC_NEW!BY29</f>
        <v>0</v>
      </c>
      <c r="CE63" s="1">
        <f>VC_NEW!BZ29</f>
        <v>0</v>
      </c>
      <c r="CF63" s="1">
        <f>VC_NEW!CA29</f>
        <v>0</v>
      </c>
      <c r="CG63" s="1">
        <f>VC_NEW!CB29</f>
        <v>0</v>
      </c>
      <c r="CH63" s="1">
        <f>VC_NEW!CC29</f>
        <v>0</v>
      </c>
      <c r="CI63" s="1">
        <f>VC_NEW!CD29</f>
        <v>0</v>
      </c>
      <c r="CJ63" s="1">
        <f>VC_NEW!CE29</f>
        <v>0</v>
      </c>
      <c r="CK63" s="1">
        <f>VC_NEW!CF29</f>
        <v>0</v>
      </c>
      <c r="CL63" s="1">
        <f>VC_NEW!CG29</f>
        <v>0</v>
      </c>
      <c r="CM63" s="1">
        <f>VC_NEW!CH29</f>
        <v>0</v>
      </c>
      <c r="CN63" s="1">
        <f>VC_NEW!CI29</f>
        <v>0</v>
      </c>
      <c r="CO63" s="1">
        <f>VC_NEW!CJ29</f>
        <v>0</v>
      </c>
      <c r="CP63" s="1">
        <f>VC_NEW!CK29</f>
        <v>0</v>
      </c>
      <c r="CQ63" s="1">
        <f>VC_NEW!CL29</f>
        <v>0</v>
      </c>
      <c r="CR63" s="1">
        <f>VC_NEW!CM29</f>
        <v>0</v>
      </c>
      <c r="CS63" s="1">
        <f>VC_NEW!CN29</f>
        <v>0</v>
      </c>
      <c r="CT63" s="1">
        <f>VC_NEW!CO29</f>
        <v>0</v>
      </c>
      <c r="CU63" s="1">
        <f>VC_NEW!CP29</f>
        <v>0</v>
      </c>
      <c r="CV63" s="1">
        <f>VC_NEW!CQ29</f>
        <v>0</v>
      </c>
      <c r="CW63" s="1">
        <f>VC_NEW!CR29</f>
        <v>0</v>
      </c>
      <c r="CX63" s="1">
        <f>VC_NEW!CS29</f>
        <v>0</v>
      </c>
      <c r="CY63" s="1">
        <f>VC_NEW!CT29</f>
        <v>0</v>
      </c>
      <c r="CZ63" s="1">
        <f>VC_NEW!CU29</f>
        <v>0</v>
      </c>
      <c r="DA63" s="1">
        <f>VC_NEW!CV29</f>
        <v>0</v>
      </c>
      <c r="DB63" s="1">
        <f>VC_NEW!CW29</f>
        <v>0</v>
      </c>
      <c r="DC63" s="1">
        <f>VC_NEW!CX29</f>
        <v>0</v>
      </c>
      <c r="DD63" s="1">
        <f>VC_NEW!CY29</f>
        <v>0</v>
      </c>
      <c r="DE63" s="1">
        <f>VC_NEW!CZ29</f>
        <v>0</v>
      </c>
      <c r="DF63" s="1">
        <f>VC_NEW!DA29</f>
        <v>0</v>
      </c>
      <c r="DG63" s="1">
        <f>VC_NEW!DB29</f>
        <v>0</v>
      </c>
      <c r="DH63" s="1">
        <f>VC_NEW!DC29</f>
        <v>0</v>
      </c>
      <c r="DI63" s="1" t="str">
        <f>VC_NEW!DD29</f>
        <v>R191L</v>
      </c>
      <c r="DJ63" s="1" t="str">
        <f>VC_NEW!DE29</f>
        <v>nt12InsG</v>
      </c>
      <c r="DK63" s="1">
        <f>VC_NEW!DF29</f>
        <v>0</v>
      </c>
      <c r="DL63" s="1">
        <f>VC_NEW!DG29</f>
        <v>0</v>
      </c>
      <c r="DM63" s="1">
        <f>VC_NEW!DH29</f>
        <v>0</v>
      </c>
      <c r="DN63" s="1">
        <f>VC_NEW!DI29</f>
        <v>0</v>
      </c>
      <c r="DO63" s="1">
        <f>VC_NEW!DJ29</f>
        <v>0</v>
      </c>
      <c r="DP63" s="1">
        <f>VC_NEW!DK29</f>
        <v>0</v>
      </c>
      <c r="DQ63" s="1">
        <f>VC_NEW!DL29</f>
        <v>0</v>
      </c>
      <c r="DR63" s="1">
        <f>VC_NEW!DM29</f>
        <v>0</v>
      </c>
      <c r="DS63" s="1">
        <f>VC_NEW!DN29</f>
        <v>0</v>
      </c>
      <c r="DT63" s="1">
        <f>VC_NEW!DO29</f>
        <v>0</v>
      </c>
      <c r="DU63" s="1">
        <f>VC_NEW!DP29</f>
        <v>0</v>
      </c>
      <c r="DV63" s="1">
        <f>VC_NEW!DQ29</f>
        <v>0</v>
      </c>
      <c r="DW63" s="1">
        <f>VC_NEW!DR29</f>
        <v>0</v>
      </c>
      <c r="DX63" s="1">
        <f>VC_NEW!DS29</f>
        <v>0</v>
      </c>
      <c r="DY63" s="1">
        <f>VC_NEW!DT29</f>
        <v>0</v>
      </c>
      <c r="DZ63" s="1">
        <f>VC_NEW!DU29</f>
        <v>0</v>
      </c>
      <c r="EA63" s="1">
        <f>VC_NEW!DV29</f>
        <v>0</v>
      </c>
      <c r="EB63" s="1" t="str">
        <f>VC_NEW!DW29</f>
        <v>nt15∆1</v>
      </c>
      <c r="EC63" s="1">
        <f>VC_NEW!DX29</f>
        <v>0</v>
      </c>
      <c r="ED63" s="1">
        <f>VC_NEW!DY29</f>
        <v>0</v>
      </c>
      <c r="EE63" s="1">
        <f>VC_NEW!DZ29</f>
        <v>0</v>
      </c>
      <c r="EF63" s="1">
        <f>VC_NEW!EA29</f>
        <v>0</v>
      </c>
      <c r="EG63" s="1">
        <f>VC_NEW!EB29</f>
        <v>0</v>
      </c>
      <c r="EH63" s="1">
        <f>VC_NEW!EC29</f>
        <v>0</v>
      </c>
      <c r="EI63" s="1">
        <f>VC_NEW!ED29</f>
        <v>0</v>
      </c>
      <c r="EJ63" s="1">
        <f>VC_NEW!EE29</f>
        <v>0</v>
      </c>
      <c r="EK63" s="1">
        <f>VC_NEW!EF29</f>
        <v>0</v>
      </c>
      <c r="EL63" s="1">
        <f>VC_NEW!EG29</f>
        <v>0</v>
      </c>
      <c r="EM63" s="1">
        <f>VC_NEW!EH29</f>
        <v>0</v>
      </c>
      <c r="EN63" s="1">
        <f>VC_NEW!EI29</f>
        <v>0</v>
      </c>
      <c r="EO63" s="1">
        <f>VC_NEW!EJ29</f>
        <v>0</v>
      </c>
      <c r="EP63" s="1">
        <f>VC_NEW!EK29</f>
        <v>0</v>
      </c>
      <c r="EQ63" s="1">
        <f>VC_NEW!EL29</f>
        <v>0</v>
      </c>
      <c r="ER63" s="1">
        <f>VC_NEW!EM29</f>
        <v>0</v>
      </c>
      <c r="ES63" s="1">
        <f>VC_NEW!EN29</f>
        <v>0</v>
      </c>
      <c r="ET63" s="1">
        <f>VC_NEW!EO29</f>
        <v>0</v>
      </c>
      <c r="EU63" s="1">
        <f>VC_NEW!EP29</f>
        <v>0</v>
      </c>
      <c r="EV63" s="1">
        <f>VC_NEW!EQ29</f>
        <v>0</v>
      </c>
      <c r="EW63" s="1" t="str">
        <f>VC_NEW!ER29</f>
        <v>A4V</v>
      </c>
      <c r="EX63" s="1">
        <f>VC_NEW!ES29</f>
        <v>0</v>
      </c>
      <c r="EY63" s="1">
        <f>VC_NEW!ET29</f>
        <v>0</v>
      </c>
      <c r="EZ63" s="1">
        <f>VC_NEW!EU29</f>
        <v>0</v>
      </c>
      <c r="FA63" s="1">
        <f>VC_NEW!EV29</f>
        <v>0</v>
      </c>
      <c r="FB63" s="1">
        <f>VC_NEW!EW29</f>
        <v>0</v>
      </c>
      <c r="FC63" s="1" t="str">
        <f>VC_NEW!EX29</f>
        <v>nt15∆1</v>
      </c>
      <c r="FD63" s="1">
        <f>VC_NEW!EY29</f>
        <v>0</v>
      </c>
      <c r="FE63" s="1">
        <f>VC_NEW!EZ29</f>
        <v>0</v>
      </c>
      <c r="FF63" s="1">
        <f>VC_NEW!FA29</f>
        <v>0</v>
      </c>
      <c r="FG63" s="1">
        <f>VC_NEW!FB29</f>
        <v>0</v>
      </c>
      <c r="FH63" s="1">
        <f>VC_NEW!FC29</f>
        <v>0</v>
      </c>
      <c r="FI63" s="1">
        <f>VC_NEW!FD29</f>
        <v>0</v>
      </c>
      <c r="FJ63" s="1">
        <f>VC_NEW!FE29</f>
        <v>0</v>
      </c>
      <c r="FK63" s="1">
        <f>VC_NEW!FF29</f>
        <v>0</v>
      </c>
      <c r="FL63" s="1">
        <f>VC_NEW!FG29</f>
        <v>0</v>
      </c>
      <c r="FM63" s="1">
        <f>VC_NEW!FH29</f>
        <v>0</v>
      </c>
      <c r="FN63" s="1">
        <f>VC_NEW!FI29</f>
        <v>0</v>
      </c>
      <c r="FO63" s="1">
        <f>VC_NEW!FJ29</f>
        <v>0</v>
      </c>
      <c r="FP63" s="1">
        <f>VC_NEW!FK29</f>
        <v>0</v>
      </c>
      <c r="FQ63" s="1">
        <f>VC_NEW!FL29</f>
        <v>0</v>
      </c>
      <c r="FR63" s="1">
        <f>VC_NEW!FM29</f>
        <v>0</v>
      </c>
      <c r="FS63" s="1">
        <f>VC_NEW!FN29</f>
        <v>0</v>
      </c>
      <c r="FT63" s="1">
        <f>VC_NEW!FO29</f>
        <v>0</v>
      </c>
      <c r="FU63" s="1">
        <f>VC_NEW!FP29</f>
        <v>0</v>
      </c>
      <c r="FV63" s="1">
        <f>VC_NEW!FQ29</f>
        <v>0</v>
      </c>
      <c r="FW63" s="1">
        <f>VC_NEW!FR29</f>
        <v>0</v>
      </c>
      <c r="FX63" s="1">
        <f>VC_NEW!FS29</f>
        <v>0</v>
      </c>
      <c r="FY63" s="1">
        <f>VC_NEW!FT29</f>
        <v>0</v>
      </c>
      <c r="FZ63" s="1">
        <f>VC_NEW!FU29</f>
        <v>0</v>
      </c>
      <c r="GA63" s="1">
        <f>VC_NEW!FV29</f>
        <v>0</v>
      </c>
      <c r="GB63" s="1">
        <f>VC_NEW!FW29</f>
        <v>0</v>
      </c>
      <c r="GC63" s="1">
        <f>VC_NEW!FX29</f>
        <v>0</v>
      </c>
      <c r="GD63" s="1">
        <f>VC_NEW!FY29</f>
        <v>0</v>
      </c>
      <c r="GE63" s="1">
        <f>VC_NEW!FZ29</f>
        <v>0</v>
      </c>
      <c r="GF63" s="1">
        <f>VC_NEW!GA29</f>
        <v>0</v>
      </c>
      <c r="GG63" s="1">
        <f>VC_NEW!GB29</f>
        <v>0</v>
      </c>
      <c r="GH63" s="1">
        <f>VC_NEW!GC29</f>
        <v>0</v>
      </c>
      <c r="GI63" s="1">
        <f>VC_NEW!GD29</f>
        <v>0</v>
      </c>
      <c r="GJ63" s="1">
        <f>VC_NEW!GE29</f>
        <v>0</v>
      </c>
      <c r="GK63" s="1">
        <f>VC_NEW!GF29</f>
        <v>0</v>
      </c>
      <c r="GL63" s="1">
        <f>VC_NEW!GG29</f>
        <v>0</v>
      </c>
      <c r="GM63" s="1">
        <f>VC_NEW!GH29</f>
        <v>0</v>
      </c>
      <c r="GN63" s="1">
        <f>VC_NEW!GI29</f>
        <v>0</v>
      </c>
      <c r="GO63" s="1">
        <f>VC_NEW!GJ29</f>
        <v>0</v>
      </c>
      <c r="GP63" s="1">
        <f>VC_NEW!GK29</f>
        <v>0</v>
      </c>
      <c r="GQ63" s="1">
        <f>VC_NEW!GL29</f>
        <v>0</v>
      </c>
      <c r="GR63" s="1">
        <f>VC_NEW!GM29</f>
        <v>0</v>
      </c>
      <c r="GS63" s="1">
        <f>VC_NEW!GN29</f>
        <v>0</v>
      </c>
      <c r="GT63" s="1" t="str">
        <f>VC_NEW!GO29</f>
        <v>T100S</v>
      </c>
      <c r="GU63" s="1">
        <f>VC_NEW!GP29</f>
        <v>0</v>
      </c>
      <c r="GV63" s="1">
        <f>VC_NEW!GQ29</f>
        <v>0</v>
      </c>
      <c r="GW63" s="1">
        <f>VC_NEW!GR29</f>
        <v>0</v>
      </c>
      <c r="GX63" s="1">
        <f>VC_NEW!GS29</f>
        <v>0</v>
      </c>
      <c r="GY63" s="1">
        <f>VC_NEW!GT29</f>
        <v>0</v>
      </c>
      <c r="GZ63" s="1">
        <f>VC_NEW!GU29</f>
        <v>0</v>
      </c>
      <c r="HA63" s="1">
        <f>VC_NEW!GV29</f>
        <v>0</v>
      </c>
      <c r="HB63" s="1">
        <f>VC_NEW!GW29</f>
        <v>0</v>
      </c>
      <c r="HC63" s="1">
        <f>VC_NEW!GX29</f>
        <v>0</v>
      </c>
    </row>
    <row r="64" spans="1:211" s="1" customFormat="1" ht="15.75" hidden="1" customHeight="1" thickBot="1" x14ac:dyDescent="0.3">
      <c r="A64" s="36" t="s">
        <v>22</v>
      </c>
      <c r="B64" s="37" t="s">
        <v>23</v>
      </c>
      <c r="C64" s="38" t="s">
        <v>4</v>
      </c>
      <c r="D64" s="37" t="s">
        <v>76</v>
      </c>
      <c r="E64" s="37" t="s">
        <v>138</v>
      </c>
      <c r="F64" s="37" t="s">
        <v>74</v>
      </c>
      <c r="G64" s="39" t="s">
        <v>136</v>
      </c>
      <c r="H64" s="1">
        <f>VC_NEW!C29</f>
        <v>0</v>
      </c>
      <c r="I64" s="1" t="str">
        <f>VC_NEW!D29</f>
        <v>T50P</v>
      </c>
      <c r="J64" s="1">
        <f>VC_NEW!E29</f>
        <v>0</v>
      </c>
      <c r="K64" s="1">
        <f>VC_NEW!F29</f>
        <v>0</v>
      </c>
      <c r="L64" s="1">
        <f>VC_NEW!G29</f>
        <v>0</v>
      </c>
      <c r="M64" s="1">
        <f>VC_NEW!H29</f>
        <v>0</v>
      </c>
      <c r="N64" s="1">
        <f>VC_NEW!I29</f>
        <v>0</v>
      </c>
      <c r="O64" s="1">
        <f>VC_NEW!J29</f>
        <v>0</v>
      </c>
      <c r="P64" s="1">
        <f>VC_NEW!K29</f>
        <v>0</v>
      </c>
      <c r="Q64" s="1">
        <f>VC_NEW!L29</f>
        <v>0</v>
      </c>
      <c r="R64" s="1" t="str">
        <f>VC_NEW!M29</f>
        <v>G213D</v>
      </c>
      <c r="S64" s="1">
        <f>VC_NEW!N29</f>
        <v>0</v>
      </c>
      <c r="T64" s="1">
        <f>VC_NEW!O29</f>
        <v>0</v>
      </c>
      <c r="U64" s="1">
        <f>VC_NEW!P29</f>
        <v>0</v>
      </c>
      <c r="V64" s="1">
        <f>VC_NEW!Q29</f>
        <v>0</v>
      </c>
      <c r="W64" s="1">
        <f>VC_NEW!R29</f>
        <v>0</v>
      </c>
      <c r="X64" s="1">
        <f>VC_NEW!S29</f>
        <v>0</v>
      </c>
      <c r="Y64" s="1">
        <f>VC_NEW!T29</f>
        <v>0</v>
      </c>
      <c r="Z64" s="1">
        <f>VC_NEW!U29</f>
        <v>0</v>
      </c>
      <c r="AA64" s="1">
        <f>VC_NEW!V29</f>
        <v>0</v>
      </c>
      <c r="AB64" s="1">
        <f>VC_NEW!W29</f>
        <v>0</v>
      </c>
      <c r="AC64" s="1">
        <f>VC_NEW!X29</f>
        <v>0</v>
      </c>
      <c r="AD64" s="1">
        <f>VC_NEW!Y29</f>
        <v>0</v>
      </c>
      <c r="AE64" s="1">
        <f>VC_NEW!Z29</f>
        <v>0</v>
      </c>
      <c r="AF64" s="1">
        <f>VC_NEW!AA29</f>
        <v>0</v>
      </c>
      <c r="AG64" s="1">
        <f>VC_NEW!AB29</f>
        <v>0</v>
      </c>
      <c r="AH64" s="1">
        <f>VC_NEW!AC29</f>
        <v>0</v>
      </c>
      <c r="AI64" s="1">
        <f>VC_NEW!AD29</f>
        <v>0</v>
      </c>
      <c r="AJ64" s="1">
        <f>VC_NEW!AE29</f>
        <v>0</v>
      </c>
      <c r="AK64" s="1">
        <f>VC_NEW!AF29</f>
        <v>0</v>
      </c>
      <c r="AL64" s="1">
        <f>VC_NEW!AG29</f>
        <v>0</v>
      </c>
      <c r="AM64" s="1">
        <f>VC_NEW!AH29</f>
        <v>0</v>
      </c>
      <c r="AN64" s="1">
        <f>VC_NEW!AI29</f>
        <v>0</v>
      </c>
      <c r="AO64" s="1">
        <f>VC_NEW!AJ29</f>
        <v>0</v>
      </c>
      <c r="AP64" s="1">
        <f>VC_NEW!AK29</f>
        <v>0</v>
      </c>
      <c r="AQ64" s="1">
        <f>VC_NEW!AL29</f>
        <v>0</v>
      </c>
      <c r="AR64" s="1">
        <f>VC_NEW!AM29</f>
        <v>0</v>
      </c>
      <c r="AS64" s="1">
        <f>VC_NEW!AN29</f>
        <v>0</v>
      </c>
      <c r="AT64" s="1">
        <f>VC_NEW!AO29</f>
        <v>0</v>
      </c>
      <c r="AU64" s="1">
        <f>VC_NEW!AP29</f>
        <v>0</v>
      </c>
      <c r="AV64" s="1">
        <f>VC_NEW!AQ29</f>
        <v>0</v>
      </c>
      <c r="AW64" s="1">
        <f>VC_NEW!AR29</f>
        <v>0</v>
      </c>
      <c r="AX64" s="1">
        <f>VC_NEW!AS29</f>
        <v>0</v>
      </c>
      <c r="AY64" s="1">
        <f>VC_NEW!AT29</f>
        <v>0</v>
      </c>
      <c r="AZ64" s="1">
        <f>VC_NEW!AU29</f>
        <v>0</v>
      </c>
      <c r="BA64" s="1">
        <f>VC_NEW!AV29</f>
        <v>0</v>
      </c>
      <c r="BB64" s="1">
        <f>VC_NEW!AW29</f>
        <v>0</v>
      </c>
      <c r="BC64" s="1">
        <f>VC_NEW!AX29</f>
        <v>0</v>
      </c>
      <c r="BD64" s="1">
        <f>VC_NEW!AY29</f>
        <v>0</v>
      </c>
      <c r="BE64" s="1">
        <f>VC_NEW!AZ29</f>
        <v>0</v>
      </c>
      <c r="BF64" s="1">
        <f>VC_NEW!BA29</f>
        <v>0</v>
      </c>
      <c r="BG64" s="1">
        <f>VC_NEW!BB29</f>
        <v>0</v>
      </c>
      <c r="BH64" s="1">
        <f>VC_NEW!BC29</f>
        <v>0</v>
      </c>
      <c r="BI64" s="1">
        <f>VC_NEW!BD29</f>
        <v>0</v>
      </c>
      <c r="BJ64" s="1">
        <f>VC_NEW!BE29</f>
        <v>0</v>
      </c>
      <c r="BK64" s="1">
        <f>VC_NEW!BF29</f>
        <v>0</v>
      </c>
      <c r="BL64" s="1">
        <f>VC_NEW!BG29</f>
        <v>0</v>
      </c>
      <c r="BM64" s="1">
        <f>VC_NEW!BH29</f>
        <v>0</v>
      </c>
      <c r="BN64" s="1">
        <f>VC_NEW!BI29</f>
        <v>0</v>
      </c>
      <c r="BO64" s="1">
        <f>VC_NEW!BJ29</f>
        <v>0</v>
      </c>
      <c r="BP64" s="1">
        <f>VC_NEW!BK29</f>
        <v>0</v>
      </c>
      <c r="BQ64" s="1">
        <f>VC_NEW!BL29</f>
        <v>0</v>
      </c>
      <c r="BR64" s="1">
        <f>VC_NEW!BM29</f>
        <v>0</v>
      </c>
      <c r="BS64" s="1">
        <f>VC_NEW!BN29</f>
        <v>0</v>
      </c>
      <c r="BT64" s="1">
        <f>VC_NEW!BO29</f>
        <v>0</v>
      </c>
      <c r="BU64" s="1">
        <f>VC_NEW!BP29</f>
        <v>0</v>
      </c>
      <c r="BV64" s="1">
        <f>VC_NEW!BQ29</f>
        <v>0</v>
      </c>
      <c r="BW64" s="1">
        <f>VC_NEW!BR29</f>
        <v>0</v>
      </c>
      <c r="BX64" s="1">
        <f>VC_NEW!BS29</f>
        <v>0</v>
      </c>
      <c r="BY64" s="1">
        <f>VC_NEW!BT29</f>
        <v>0</v>
      </c>
      <c r="BZ64" s="1">
        <f>VC_NEW!BU29</f>
        <v>0</v>
      </c>
      <c r="CA64" s="1">
        <f>VC_NEW!BV29</f>
        <v>0</v>
      </c>
      <c r="CB64" s="1">
        <f>VC_NEW!BW29</f>
        <v>0</v>
      </c>
      <c r="CC64" s="1">
        <f>VC_NEW!BX29</f>
        <v>0</v>
      </c>
      <c r="CD64" s="1">
        <f>VC_NEW!BY29</f>
        <v>0</v>
      </c>
      <c r="CE64" s="1">
        <f>VC_NEW!BZ29</f>
        <v>0</v>
      </c>
      <c r="CF64" s="1">
        <f>VC_NEW!CA29</f>
        <v>0</v>
      </c>
      <c r="CG64" s="1">
        <f>VC_NEW!CB29</f>
        <v>0</v>
      </c>
      <c r="CH64" s="1">
        <f>VC_NEW!CC29</f>
        <v>0</v>
      </c>
      <c r="CI64" s="1">
        <f>VC_NEW!CD29</f>
        <v>0</v>
      </c>
      <c r="CJ64" s="1">
        <f>VC_NEW!CE29</f>
        <v>0</v>
      </c>
      <c r="CK64" s="1">
        <f>VC_NEW!CF29</f>
        <v>0</v>
      </c>
      <c r="CL64" s="1">
        <f>VC_NEW!CG29</f>
        <v>0</v>
      </c>
      <c r="CM64" s="1">
        <f>VC_NEW!CH29</f>
        <v>0</v>
      </c>
      <c r="CN64" s="1">
        <f>VC_NEW!CI29</f>
        <v>0</v>
      </c>
      <c r="CO64" s="1">
        <f>VC_NEW!CJ29</f>
        <v>0</v>
      </c>
      <c r="CP64" s="1">
        <f>VC_NEW!CK29</f>
        <v>0</v>
      </c>
      <c r="CQ64" s="1">
        <f>VC_NEW!CL29</f>
        <v>0</v>
      </c>
      <c r="CR64" s="1">
        <f>VC_NEW!CM29</f>
        <v>0</v>
      </c>
      <c r="CS64" s="1">
        <f>VC_NEW!CN29</f>
        <v>0</v>
      </c>
      <c r="CT64" s="1">
        <f>VC_NEW!CO29</f>
        <v>0</v>
      </c>
      <c r="CU64" s="1">
        <f>VC_NEW!CP29</f>
        <v>0</v>
      </c>
      <c r="CV64" s="1">
        <f>VC_NEW!CQ29</f>
        <v>0</v>
      </c>
      <c r="CW64" s="1">
        <f>VC_NEW!CR29</f>
        <v>0</v>
      </c>
      <c r="CX64" s="1">
        <f>VC_NEW!CS29</f>
        <v>0</v>
      </c>
      <c r="CY64" s="1">
        <f>VC_NEW!CT29</f>
        <v>0</v>
      </c>
      <c r="CZ64" s="1">
        <f>VC_NEW!CU29</f>
        <v>0</v>
      </c>
      <c r="DA64" s="1">
        <f>VC_NEW!CV29</f>
        <v>0</v>
      </c>
      <c r="DB64" s="1">
        <f>VC_NEW!CW29</f>
        <v>0</v>
      </c>
      <c r="DC64" s="1">
        <f>VC_NEW!CX29</f>
        <v>0</v>
      </c>
      <c r="DD64" s="1">
        <f>VC_NEW!CY29</f>
        <v>0</v>
      </c>
      <c r="DE64" s="1">
        <f>VC_NEW!CZ29</f>
        <v>0</v>
      </c>
      <c r="DF64" s="1">
        <f>VC_NEW!DA29</f>
        <v>0</v>
      </c>
      <c r="DG64" s="1">
        <f>VC_NEW!DB29</f>
        <v>0</v>
      </c>
      <c r="DH64" s="1">
        <f>VC_NEW!DC29</f>
        <v>0</v>
      </c>
      <c r="DI64" s="1" t="str">
        <f>VC_NEW!DD29</f>
        <v>R191L</v>
      </c>
      <c r="DJ64" s="1" t="str">
        <f>VC_NEW!DE29</f>
        <v>nt12InsG</v>
      </c>
      <c r="DK64" s="1">
        <f>VC_NEW!DF29</f>
        <v>0</v>
      </c>
      <c r="DL64" s="1">
        <f>VC_NEW!DG29</f>
        <v>0</v>
      </c>
      <c r="DM64" s="1">
        <f>VC_NEW!DH29</f>
        <v>0</v>
      </c>
      <c r="DN64" s="1">
        <f>VC_NEW!DI29</f>
        <v>0</v>
      </c>
      <c r="DO64" s="1">
        <f>VC_NEW!DJ29</f>
        <v>0</v>
      </c>
      <c r="DP64" s="1">
        <f>VC_NEW!DK29</f>
        <v>0</v>
      </c>
      <c r="DQ64" s="1">
        <f>VC_NEW!DL29</f>
        <v>0</v>
      </c>
      <c r="DR64" s="1">
        <f>VC_NEW!DM29</f>
        <v>0</v>
      </c>
      <c r="DS64" s="1">
        <f>VC_NEW!DN29</f>
        <v>0</v>
      </c>
      <c r="DT64" s="1">
        <f>VC_NEW!DO29</f>
        <v>0</v>
      </c>
      <c r="DU64" s="1">
        <f>VC_NEW!DP29</f>
        <v>0</v>
      </c>
      <c r="DV64" s="1">
        <f>VC_NEW!DQ29</f>
        <v>0</v>
      </c>
      <c r="DW64" s="1">
        <f>VC_NEW!DR29</f>
        <v>0</v>
      </c>
      <c r="DX64" s="1">
        <f>VC_NEW!DS29</f>
        <v>0</v>
      </c>
      <c r="DY64" s="1">
        <f>VC_NEW!DT29</f>
        <v>0</v>
      </c>
      <c r="DZ64" s="1">
        <f>VC_NEW!DU29</f>
        <v>0</v>
      </c>
      <c r="EA64" s="1">
        <f>VC_NEW!DV29</f>
        <v>0</v>
      </c>
      <c r="EB64" s="1" t="str">
        <f>VC_NEW!DW29</f>
        <v>nt15∆1</v>
      </c>
      <c r="EC64" s="1">
        <f>VC_NEW!DX29</f>
        <v>0</v>
      </c>
      <c r="ED64" s="1">
        <f>VC_NEW!DY29</f>
        <v>0</v>
      </c>
      <c r="EE64" s="1">
        <f>VC_NEW!DZ29</f>
        <v>0</v>
      </c>
      <c r="EF64" s="1">
        <f>VC_NEW!EA29</f>
        <v>0</v>
      </c>
      <c r="EG64" s="1">
        <f>VC_NEW!EB29</f>
        <v>0</v>
      </c>
      <c r="EH64" s="1">
        <f>VC_NEW!EC29</f>
        <v>0</v>
      </c>
      <c r="EI64" s="1">
        <f>VC_NEW!ED29</f>
        <v>0</v>
      </c>
      <c r="EJ64" s="1">
        <f>VC_NEW!EE29</f>
        <v>0</v>
      </c>
      <c r="EK64" s="1">
        <f>VC_NEW!EF29</f>
        <v>0</v>
      </c>
      <c r="EL64" s="1">
        <f>VC_NEW!EG29</f>
        <v>0</v>
      </c>
      <c r="EM64" s="1">
        <f>VC_NEW!EH29</f>
        <v>0</v>
      </c>
      <c r="EN64" s="1">
        <f>VC_NEW!EI29</f>
        <v>0</v>
      </c>
      <c r="EO64" s="1">
        <f>VC_NEW!EJ29</f>
        <v>0</v>
      </c>
      <c r="EP64" s="1">
        <f>VC_NEW!EK29</f>
        <v>0</v>
      </c>
      <c r="EQ64" s="1">
        <f>VC_NEW!EL29</f>
        <v>0</v>
      </c>
      <c r="ER64" s="1">
        <f>VC_NEW!EM29</f>
        <v>0</v>
      </c>
      <c r="ES64" s="1">
        <f>VC_NEW!EN29</f>
        <v>0</v>
      </c>
      <c r="ET64" s="1">
        <f>VC_NEW!EO29</f>
        <v>0</v>
      </c>
      <c r="EU64" s="1">
        <f>VC_NEW!EP29</f>
        <v>0</v>
      </c>
      <c r="EV64" s="1">
        <f>VC_NEW!EQ29</f>
        <v>0</v>
      </c>
      <c r="EW64" s="1" t="str">
        <f>VC_NEW!ER29</f>
        <v>A4V</v>
      </c>
      <c r="EX64" s="1">
        <f>VC_NEW!ES29</f>
        <v>0</v>
      </c>
      <c r="EY64" s="1">
        <f>VC_NEW!ET29</f>
        <v>0</v>
      </c>
      <c r="EZ64" s="1">
        <f>VC_NEW!EU29</f>
        <v>0</v>
      </c>
      <c r="FA64" s="1">
        <f>VC_NEW!EV29</f>
        <v>0</v>
      </c>
      <c r="FB64" s="1">
        <f>VC_NEW!EW29</f>
        <v>0</v>
      </c>
      <c r="FC64" s="1" t="str">
        <f>VC_NEW!EX29</f>
        <v>nt15∆1</v>
      </c>
      <c r="FD64" s="1">
        <f>VC_NEW!EY29</f>
        <v>0</v>
      </c>
      <c r="FE64" s="1">
        <f>VC_NEW!EZ29</f>
        <v>0</v>
      </c>
      <c r="FF64" s="1">
        <f>VC_NEW!FA29</f>
        <v>0</v>
      </c>
      <c r="FG64" s="1">
        <f>VC_NEW!FB29</f>
        <v>0</v>
      </c>
      <c r="FH64" s="1">
        <f>VC_NEW!FC29</f>
        <v>0</v>
      </c>
      <c r="FI64" s="1">
        <f>VC_NEW!FD29</f>
        <v>0</v>
      </c>
      <c r="FJ64" s="1">
        <f>VC_NEW!FE29</f>
        <v>0</v>
      </c>
      <c r="FK64" s="1">
        <f>VC_NEW!FF29</f>
        <v>0</v>
      </c>
      <c r="FL64" s="1">
        <f>VC_NEW!FG29</f>
        <v>0</v>
      </c>
      <c r="FM64" s="1">
        <f>VC_NEW!FH29</f>
        <v>0</v>
      </c>
      <c r="FN64" s="1">
        <f>VC_NEW!FI29</f>
        <v>0</v>
      </c>
      <c r="FO64" s="1">
        <f>VC_NEW!FJ29</f>
        <v>0</v>
      </c>
      <c r="FP64" s="1">
        <f>VC_NEW!FK29</f>
        <v>0</v>
      </c>
      <c r="FQ64" s="1">
        <f>VC_NEW!FL29</f>
        <v>0</v>
      </c>
      <c r="FR64" s="1">
        <f>VC_NEW!FM29</f>
        <v>0</v>
      </c>
      <c r="FS64" s="1">
        <f>VC_NEW!FN29</f>
        <v>0</v>
      </c>
      <c r="FT64" s="1">
        <f>VC_NEW!FO29</f>
        <v>0</v>
      </c>
      <c r="FU64" s="1">
        <f>VC_NEW!FP29</f>
        <v>0</v>
      </c>
      <c r="FV64" s="1">
        <f>VC_NEW!FQ29</f>
        <v>0</v>
      </c>
      <c r="FW64" s="1">
        <f>VC_NEW!FR29</f>
        <v>0</v>
      </c>
      <c r="FX64" s="1">
        <f>VC_NEW!FS29</f>
        <v>0</v>
      </c>
      <c r="FY64" s="1">
        <f>VC_NEW!FT29</f>
        <v>0</v>
      </c>
      <c r="FZ64" s="1">
        <f>VC_NEW!FU29</f>
        <v>0</v>
      </c>
      <c r="GA64" s="1">
        <f>VC_NEW!FV29</f>
        <v>0</v>
      </c>
      <c r="GB64" s="1">
        <f>VC_NEW!FW29</f>
        <v>0</v>
      </c>
      <c r="GC64" s="1">
        <f>VC_NEW!FX29</f>
        <v>0</v>
      </c>
      <c r="GD64" s="1">
        <f>VC_NEW!FY29</f>
        <v>0</v>
      </c>
      <c r="GE64" s="1">
        <f>VC_NEW!FZ29</f>
        <v>0</v>
      </c>
      <c r="GF64" s="1">
        <f>VC_NEW!GA29</f>
        <v>0</v>
      </c>
      <c r="GG64" s="1">
        <f>VC_NEW!GB29</f>
        <v>0</v>
      </c>
      <c r="GH64" s="1">
        <f>VC_NEW!GC29</f>
        <v>0</v>
      </c>
      <c r="GI64" s="1">
        <f>VC_NEW!GD29</f>
        <v>0</v>
      </c>
      <c r="GJ64" s="1">
        <f>VC_NEW!GE29</f>
        <v>0</v>
      </c>
      <c r="GK64" s="1">
        <f>VC_NEW!GF29</f>
        <v>0</v>
      </c>
      <c r="GL64" s="1">
        <f>VC_NEW!GG29</f>
        <v>0</v>
      </c>
      <c r="GM64" s="1">
        <f>VC_NEW!GH29</f>
        <v>0</v>
      </c>
      <c r="GN64" s="1">
        <f>VC_NEW!GI29</f>
        <v>0</v>
      </c>
      <c r="GO64" s="1">
        <f>VC_NEW!GJ29</f>
        <v>0</v>
      </c>
      <c r="GP64" s="1">
        <f>VC_NEW!GK29</f>
        <v>0</v>
      </c>
      <c r="GQ64" s="1">
        <f>VC_NEW!GL29</f>
        <v>0</v>
      </c>
      <c r="GR64" s="1">
        <f>VC_NEW!GM29</f>
        <v>0</v>
      </c>
      <c r="GS64" s="1">
        <f>VC_NEW!GN29</f>
        <v>0</v>
      </c>
      <c r="GT64" s="1" t="str">
        <f>VC_NEW!GO29</f>
        <v>T100S</v>
      </c>
      <c r="GU64" s="1">
        <f>VC_NEW!GP29</f>
        <v>0</v>
      </c>
      <c r="GV64" s="1">
        <f>VC_NEW!GQ29</f>
        <v>0</v>
      </c>
      <c r="GW64" s="1">
        <f>VC_NEW!GR29</f>
        <v>0</v>
      </c>
      <c r="GX64" s="1">
        <f>VC_NEW!GS29</f>
        <v>0</v>
      </c>
      <c r="GY64" s="1">
        <f>VC_NEW!GT29</f>
        <v>0</v>
      </c>
      <c r="GZ64" s="1">
        <f>VC_NEW!GU29</f>
        <v>0</v>
      </c>
      <c r="HA64" s="1">
        <f>VC_NEW!GV29</f>
        <v>0</v>
      </c>
      <c r="HB64" s="1">
        <f>VC_NEW!GW29</f>
        <v>0</v>
      </c>
      <c r="HC64" s="1">
        <f>VC_NEW!GX29</f>
        <v>0</v>
      </c>
    </row>
    <row r="65" spans="1:211" s="1" customFormat="1" ht="15.75" hidden="1" customHeight="1" thickBot="1" x14ac:dyDescent="0.3">
      <c r="A65" s="40" t="s">
        <v>22</v>
      </c>
      <c r="B65" s="41" t="s">
        <v>23</v>
      </c>
      <c r="C65" s="42" t="s">
        <v>3</v>
      </c>
      <c r="D65" s="41" t="s">
        <v>76</v>
      </c>
      <c r="E65" s="41" t="s">
        <v>139</v>
      </c>
      <c r="F65" s="41" t="s">
        <v>74</v>
      </c>
      <c r="G65" s="43" t="s">
        <v>136</v>
      </c>
      <c r="H65" s="1">
        <f>VC_NEW!C29</f>
        <v>0</v>
      </c>
      <c r="I65" s="1" t="str">
        <f>VC_NEW!D29</f>
        <v>T50P</v>
      </c>
      <c r="J65" s="1">
        <f>VC_NEW!E29</f>
        <v>0</v>
      </c>
      <c r="K65" s="1">
        <f>VC_NEW!F29</f>
        <v>0</v>
      </c>
      <c r="L65" s="1">
        <f>VC_NEW!G29</f>
        <v>0</v>
      </c>
      <c r="M65" s="1">
        <f>VC_NEW!H29</f>
        <v>0</v>
      </c>
      <c r="N65" s="1">
        <f>VC_NEW!I29</f>
        <v>0</v>
      </c>
      <c r="O65" s="1">
        <f>VC_NEW!J29</f>
        <v>0</v>
      </c>
      <c r="P65" s="1">
        <f>VC_NEW!K29</f>
        <v>0</v>
      </c>
      <c r="Q65" s="1">
        <f>VC_NEW!L29</f>
        <v>0</v>
      </c>
      <c r="R65" s="1" t="str">
        <f>VC_NEW!M29</f>
        <v>G213D</v>
      </c>
      <c r="S65" s="1">
        <f>VC_NEW!N29</f>
        <v>0</v>
      </c>
      <c r="T65" s="1">
        <f>VC_NEW!O29</f>
        <v>0</v>
      </c>
      <c r="U65" s="1">
        <f>VC_NEW!P29</f>
        <v>0</v>
      </c>
      <c r="V65" s="1">
        <f>VC_NEW!Q29</f>
        <v>0</v>
      </c>
      <c r="W65" s="1">
        <f>VC_NEW!R29</f>
        <v>0</v>
      </c>
      <c r="X65" s="1">
        <f>VC_NEW!S29</f>
        <v>0</v>
      </c>
      <c r="Y65" s="1">
        <f>VC_NEW!T29</f>
        <v>0</v>
      </c>
      <c r="Z65" s="1">
        <f>VC_NEW!U29</f>
        <v>0</v>
      </c>
      <c r="AA65" s="1">
        <f>VC_NEW!V29</f>
        <v>0</v>
      </c>
      <c r="AB65" s="1">
        <f>VC_NEW!W29</f>
        <v>0</v>
      </c>
      <c r="AC65" s="1">
        <f>VC_NEW!X29</f>
        <v>0</v>
      </c>
      <c r="AD65" s="1">
        <f>VC_NEW!Y29</f>
        <v>0</v>
      </c>
      <c r="AE65" s="1">
        <f>VC_NEW!Z29</f>
        <v>0</v>
      </c>
      <c r="AF65" s="1">
        <f>VC_NEW!AA29</f>
        <v>0</v>
      </c>
      <c r="AG65" s="1">
        <f>VC_NEW!AB29</f>
        <v>0</v>
      </c>
      <c r="AH65" s="1">
        <f>VC_NEW!AC29</f>
        <v>0</v>
      </c>
      <c r="AI65" s="1">
        <f>VC_NEW!AD29</f>
        <v>0</v>
      </c>
      <c r="AJ65" s="1">
        <f>VC_NEW!AE29</f>
        <v>0</v>
      </c>
      <c r="AK65" s="1">
        <f>VC_NEW!AF29</f>
        <v>0</v>
      </c>
      <c r="AL65" s="1">
        <f>VC_NEW!AG29</f>
        <v>0</v>
      </c>
      <c r="AM65" s="1">
        <f>VC_NEW!AH29</f>
        <v>0</v>
      </c>
      <c r="AN65" s="1">
        <f>VC_NEW!AI29</f>
        <v>0</v>
      </c>
      <c r="AO65" s="1">
        <f>VC_NEW!AJ29</f>
        <v>0</v>
      </c>
      <c r="AP65" s="1">
        <f>VC_NEW!AK29</f>
        <v>0</v>
      </c>
      <c r="AQ65" s="1">
        <f>VC_NEW!AL29</f>
        <v>0</v>
      </c>
      <c r="AR65" s="1">
        <f>VC_NEW!AM29</f>
        <v>0</v>
      </c>
      <c r="AS65" s="1">
        <f>VC_NEW!AN29</f>
        <v>0</v>
      </c>
      <c r="AT65" s="1">
        <f>VC_NEW!AO29</f>
        <v>0</v>
      </c>
      <c r="AU65" s="1">
        <f>VC_NEW!AP29</f>
        <v>0</v>
      </c>
      <c r="AV65" s="1">
        <f>VC_NEW!AQ29</f>
        <v>0</v>
      </c>
      <c r="AW65" s="1">
        <f>VC_NEW!AR29</f>
        <v>0</v>
      </c>
      <c r="AX65" s="1">
        <f>VC_NEW!AS29</f>
        <v>0</v>
      </c>
      <c r="AY65" s="1">
        <f>VC_NEW!AT29</f>
        <v>0</v>
      </c>
      <c r="AZ65" s="1">
        <f>VC_NEW!AU29</f>
        <v>0</v>
      </c>
      <c r="BA65" s="1">
        <f>VC_NEW!AV29</f>
        <v>0</v>
      </c>
      <c r="BB65" s="1">
        <f>VC_NEW!AW29</f>
        <v>0</v>
      </c>
      <c r="BC65" s="1">
        <f>VC_NEW!AX29</f>
        <v>0</v>
      </c>
      <c r="BD65" s="1">
        <f>VC_NEW!AY29</f>
        <v>0</v>
      </c>
      <c r="BE65" s="1">
        <f>VC_NEW!AZ29</f>
        <v>0</v>
      </c>
      <c r="BF65" s="1">
        <f>VC_NEW!BA29</f>
        <v>0</v>
      </c>
      <c r="BG65" s="1">
        <f>VC_NEW!BB29</f>
        <v>0</v>
      </c>
      <c r="BH65" s="1">
        <f>VC_NEW!BC29</f>
        <v>0</v>
      </c>
      <c r="BI65" s="1">
        <f>VC_NEW!BD29</f>
        <v>0</v>
      </c>
      <c r="BJ65" s="1">
        <f>VC_NEW!BE29</f>
        <v>0</v>
      </c>
      <c r="BK65" s="1">
        <f>VC_NEW!BF29</f>
        <v>0</v>
      </c>
      <c r="BL65" s="1">
        <f>VC_NEW!BG29</f>
        <v>0</v>
      </c>
      <c r="BM65" s="1">
        <f>VC_NEW!BH29</f>
        <v>0</v>
      </c>
      <c r="BN65" s="1">
        <f>VC_NEW!BI29</f>
        <v>0</v>
      </c>
      <c r="BO65" s="1">
        <f>VC_NEW!BJ29</f>
        <v>0</v>
      </c>
      <c r="BP65" s="1">
        <f>VC_NEW!BK29</f>
        <v>0</v>
      </c>
      <c r="BQ65" s="1">
        <f>VC_NEW!BL29</f>
        <v>0</v>
      </c>
      <c r="BR65" s="1">
        <f>VC_NEW!BM29</f>
        <v>0</v>
      </c>
      <c r="BS65" s="1">
        <f>VC_NEW!BN29</f>
        <v>0</v>
      </c>
      <c r="BT65" s="1">
        <f>VC_NEW!BO29</f>
        <v>0</v>
      </c>
      <c r="BU65" s="1">
        <f>VC_NEW!BP29</f>
        <v>0</v>
      </c>
      <c r="BV65" s="1">
        <f>VC_NEW!BQ29</f>
        <v>0</v>
      </c>
      <c r="BW65" s="1">
        <f>VC_NEW!BR29</f>
        <v>0</v>
      </c>
      <c r="BX65" s="1">
        <f>VC_NEW!BS29</f>
        <v>0</v>
      </c>
      <c r="BY65" s="1">
        <f>VC_NEW!BT29</f>
        <v>0</v>
      </c>
      <c r="BZ65" s="1">
        <f>VC_NEW!BU29</f>
        <v>0</v>
      </c>
      <c r="CA65" s="1">
        <f>VC_NEW!BV29</f>
        <v>0</v>
      </c>
      <c r="CB65" s="1">
        <f>VC_NEW!BW29</f>
        <v>0</v>
      </c>
      <c r="CC65" s="1">
        <f>VC_NEW!BX29</f>
        <v>0</v>
      </c>
      <c r="CD65" s="1">
        <f>VC_NEW!BY29</f>
        <v>0</v>
      </c>
      <c r="CE65" s="1">
        <f>VC_NEW!BZ29</f>
        <v>0</v>
      </c>
      <c r="CF65" s="1">
        <f>VC_NEW!CA29</f>
        <v>0</v>
      </c>
      <c r="CG65" s="1">
        <f>VC_NEW!CB29</f>
        <v>0</v>
      </c>
      <c r="CH65" s="1">
        <f>VC_NEW!CC29</f>
        <v>0</v>
      </c>
      <c r="CI65" s="1">
        <f>VC_NEW!CD29</f>
        <v>0</v>
      </c>
      <c r="CJ65" s="1">
        <f>VC_NEW!CE29</f>
        <v>0</v>
      </c>
      <c r="CK65" s="1">
        <f>VC_NEW!CF29</f>
        <v>0</v>
      </c>
      <c r="CL65" s="1">
        <f>VC_NEW!CG29</f>
        <v>0</v>
      </c>
      <c r="CM65" s="1">
        <f>VC_NEW!CH29</f>
        <v>0</v>
      </c>
      <c r="CN65" s="1">
        <f>VC_NEW!CI29</f>
        <v>0</v>
      </c>
      <c r="CO65" s="1">
        <f>VC_NEW!CJ29</f>
        <v>0</v>
      </c>
      <c r="CP65" s="1">
        <f>VC_NEW!CK29</f>
        <v>0</v>
      </c>
      <c r="CQ65" s="1">
        <f>VC_NEW!CL29</f>
        <v>0</v>
      </c>
      <c r="CR65" s="1">
        <f>VC_NEW!CM29</f>
        <v>0</v>
      </c>
      <c r="CS65" s="1">
        <f>VC_NEW!CN29</f>
        <v>0</v>
      </c>
      <c r="CT65" s="1">
        <f>VC_NEW!CO29</f>
        <v>0</v>
      </c>
      <c r="CU65" s="1">
        <f>VC_NEW!CP29</f>
        <v>0</v>
      </c>
      <c r="CV65" s="1">
        <f>VC_NEW!CQ29</f>
        <v>0</v>
      </c>
      <c r="CW65" s="1">
        <f>VC_NEW!CR29</f>
        <v>0</v>
      </c>
      <c r="CX65" s="1">
        <f>VC_NEW!CS29</f>
        <v>0</v>
      </c>
      <c r="CY65" s="1">
        <f>VC_NEW!CT29</f>
        <v>0</v>
      </c>
      <c r="CZ65" s="1">
        <f>VC_NEW!CU29</f>
        <v>0</v>
      </c>
      <c r="DA65" s="1">
        <f>VC_NEW!CV29</f>
        <v>0</v>
      </c>
      <c r="DB65" s="1">
        <f>VC_NEW!CW29</f>
        <v>0</v>
      </c>
      <c r="DC65" s="1">
        <f>VC_NEW!CX29</f>
        <v>0</v>
      </c>
      <c r="DD65" s="1">
        <f>VC_NEW!CY29</f>
        <v>0</v>
      </c>
      <c r="DE65" s="1">
        <f>VC_NEW!CZ29</f>
        <v>0</v>
      </c>
      <c r="DF65" s="1">
        <f>VC_NEW!DA29</f>
        <v>0</v>
      </c>
      <c r="DG65" s="1">
        <f>VC_NEW!DB29</f>
        <v>0</v>
      </c>
      <c r="DH65" s="1">
        <f>VC_NEW!DC29</f>
        <v>0</v>
      </c>
      <c r="DI65" s="1" t="str">
        <f>VC_NEW!DD29</f>
        <v>R191L</v>
      </c>
      <c r="DJ65" s="1" t="str">
        <f>VC_NEW!DE29</f>
        <v>nt12InsG</v>
      </c>
      <c r="DK65" s="1">
        <f>VC_NEW!DF29</f>
        <v>0</v>
      </c>
      <c r="DL65" s="1">
        <f>VC_NEW!DG29</f>
        <v>0</v>
      </c>
      <c r="DM65" s="1">
        <f>VC_NEW!DH29</f>
        <v>0</v>
      </c>
      <c r="DN65" s="1">
        <f>VC_NEW!DI29</f>
        <v>0</v>
      </c>
      <c r="DO65" s="1">
        <f>VC_NEW!DJ29</f>
        <v>0</v>
      </c>
      <c r="DP65" s="1">
        <f>VC_NEW!DK29</f>
        <v>0</v>
      </c>
      <c r="DQ65" s="1">
        <f>VC_NEW!DL29</f>
        <v>0</v>
      </c>
      <c r="DR65" s="1">
        <f>VC_NEW!DM29</f>
        <v>0</v>
      </c>
      <c r="DS65" s="1">
        <f>VC_NEW!DN29</f>
        <v>0</v>
      </c>
      <c r="DT65" s="1">
        <f>VC_NEW!DO29</f>
        <v>0</v>
      </c>
      <c r="DU65" s="1">
        <f>VC_NEW!DP29</f>
        <v>0</v>
      </c>
      <c r="DV65" s="1">
        <f>VC_NEW!DQ29</f>
        <v>0</v>
      </c>
      <c r="DW65" s="1">
        <f>VC_NEW!DR29</f>
        <v>0</v>
      </c>
      <c r="DX65" s="1">
        <f>VC_NEW!DS29</f>
        <v>0</v>
      </c>
      <c r="DY65" s="1">
        <f>VC_NEW!DT29</f>
        <v>0</v>
      </c>
      <c r="DZ65" s="1">
        <f>VC_NEW!DU29</f>
        <v>0</v>
      </c>
      <c r="EA65" s="1">
        <f>VC_NEW!DV29</f>
        <v>0</v>
      </c>
      <c r="EB65" s="1" t="str">
        <f>VC_NEW!DW29</f>
        <v>nt15∆1</v>
      </c>
      <c r="EC65" s="1">
        <f>VC_NEW!DX29</f>
        <v>0</v>
      </c>
      <c r="ED65" s="1">
        <f>VC_NEW!DY29</f>
        <v>0</v>
      </c>
      <c r="EE65" s="1">
        <f>VC_NEW!DZ29</f>
        <v>0</v>
      </c>
      <c r="EF65" s="1">
        <f>VC_NEW!EA29</f>
        <v>0</v>
      </c>
      <c r="EG65" s="1">
        <f>VC_NEW!EB29</f>
        <v>0</v>
      </c>
      <c r="EH65" s="1">
        <f>VC_NEW!EC29</f>
        <v>0</v>
      </c>
      <c r="EI65" s="1">
        <f>VC_NEW!ED29</f>
        <v>0</v>
      </c>
      <c r="EJ65" s="1">
        <f>VC_NEW!EE29</f>
        <v>0</v>
      </c>
      <c r="EK65" s="1">
        <f>VC_NEW!EF29</f>
        <v>0</v>
      </c>
      <c r="EL65" s="1">
        <f>VC_NEW!EG29</f>
        <v>0</v>
      </c>
      <c r="EM65" s="1">
        <f>VC_NEW!EH29</f>
        <v>0</v>
      </c>
      <c r="EN65" s="1">
        <f>VC_NEW!EI29</f>
        <v>0</v>
      </c>
      <c r="EO65" s="1">
        <f>VC_NEW!EJ29</f>
        <v>0</v>
      </c>
      <c r="EP65" s="1">
        <f>VC_NEW!EK29</f>
        <v>0</v>
      </c>
      <c r="EQ65" s="1">
        <f>VC_NEW!EL29</f>
        <v>0</v>
      </c>
      <c r="ER65" s="1">
        <f>VC_NEW!EM29</f>
        <v>0</v>
      </c>
      <c r="ES65" s="1">
        <f>VC_NEW!EN29</f>
        <v>0</v>
      </c>
      <c r="ET65" s="1">
        <f>VC_NEW!EO29</f>
        <v>0</v>
      </c>
      <c r="EU65" s="1">
        <f>VC_NEW!EP29</f>
        <v>0</v>
      </c>
      <c r="EV65" s="1">
        <f>VC_NEW!EQ29</f>
        <v>0</v>
      </c>
      <c r="EW65" s="1" t="str">
        <f>VC_NEW!ER29</f>
        <v>A4V</v>
      </c>
      <c r="EX65" s="1">
        <f>VC_NEW!ES29</f>
        <v>0</v>
      </c>
      <c r="EY65" s="1">
        <f>VC_NEW!ET29</f>
        <v>0</v>
      </c>
      <c r="EZ65" s="1">
        <f>VC_NEW!EU29</f>
        <v>0</v>
      </c>
      <c r="FA65" s="1">
        <f>VC_NEW!EV29</f>
        <v>0</v>
      </c>
      <c r="FB65" s="1">
        <f>VC_NEW!EW29</f>
        <v>0</v>
      </c>
      <c r="FC65" s="1" t="str">
        <f>VC_NEW!EX29</f>
        <v>nt15∆1</v>
      </c>
      <c r="FD65" s="1">
        <f>VC_NEW!EY29</f>
        <v>0</v>
      </c>
      <c r="FE65" s="1">
        <f>VC_NEW!EZ29</f>
        <v>0</v>
      </c>
      <c r="FF65" s="1">
        <f>VC_NEW!FA29</f>
        <v>0</v>
      </c>
      <c r="FG65" s="1">
        <f>VC_NEW!FB29</f>
        <v>0</v>
      </c>
      <c r="FH65" s="1">
        <f>VC_NEW!FC29</f>
        <v>0</v>
      </c>
      <c r="FI65" s="1">
        <f>VC_NEW!FD29</f>
        <v>0</v>
      </c>
      <c r="FJ65" s="1">
        <f>VC_NEW!FE29</f>
        <v>0</v>
      </c>
      <c r="FK65" s="1">
        <f>VC_NEW!FF29</f>
        <v>0</v>
      </c>
      <c r="FL65" s="1">
        <f>VC_NEW!FG29</f>
        <v>0</v>
      </c>
      <c r="FM65" s="1">
        <f>VC_NEW!FH29</f>
        <v>0</v>
      </c>
      <c r="FN65" s="1">
        <f>VC_NEW!FI29</f>
        <v>0</v>
      </c>
      <c r="FO65" s="1">
        <f>VC_NEW!FJ29</f>
        <v>0</v>
      </c>
      <c r="FP65" s="1">
        <f>VC_NEW!FK29</f>
        <v>0</v>
      </c>
      <c r="FQ65" s="1">
        <f>VC_NEW!FL29</f>
        <v>0</v>
      </c>
      <c r="FR65" s="1">
        <f>VC_NEW!FM29</f>
        <v>0</v>
      </c>
      <c r="FS65" s="1">
        <f>VC_NEW!FN29</f>
        <v>0</v>
      </c>
      <c r="FT65" s="1">
        <f>VC_NEW!FO29</f>
        <v>0</v>
      </c>
      <c r="FU65" s="1">
        <f>VC_NEW!FP29</f>
        <v>0</v>
      </c>
      <c r="FV65" s="1">
        <f>VC_NEW!FQ29</f>
        <v>0</v>
      </c>
      <c r="FW65" s="1">
        <f>VC_NEW!FR29</f>
        <v>0</v>
      </c>
      <c r="FX65" s="1">
        <f>VC_NEW!FS29</f>
        <v>0</v>
      </c>
      <c r="FY65" s="1">
        <f>VC_NEW!FT29</f>
        <v>0</v>
      </c>
      <c r="FZ65" s="1">
        <f>VC_NEW!FU29</f>
        <v>0</v>
      </c>
      <c r="GA65" s="1">
        <f>VC_NEW!FV29</f>
        <v>0</v>
      </c>
      <c r="GB65" s="1">
        <f>VC_NEW!FW29</f>
        <v>0</v>
      </c>
      <c r="GC65" s="1">
        <f>VC_NEW!FX29</f>
        <v>0</v>
      </c>
      <c r="GD65" s="1">
        <f>VC_NEW!FY29</f>
        <v>0</v>
      </c>
      <c r="GE65" s="1">
        <f>VC_NEW!FZ29</f>
        <v>0</v>
      </c>
      <c r="GF65" s="1">
        <f>VC_NEW!GA29</f>
        <v>0</v>
      </c>
      <c r="GG65" s="1">
        <f>VC_NEW!GB29</f>
        <v>0</v>
      </c>
      <c r="GH65" s="1">
        <f>VC_NEW!GC29</f>
        <v>0</v>
      </c>
      <c r="GI65" s="1">
        <f>VC_NEW!GD29</f>
        <v>0</v>
      </c>
      <c r="GJ65" s="1">
        <f>VC_NEW!GE29</f>
        <v>0</v>
      </c>
      <c r="GK65" s="1">
        <f>VC_NEW!GF29</f>
        <v>0</v>
      </c>
      <c r="GL65" s="1">
        <f>VC_NEW!GG29</f>
        <v>0</v>
      </c>
      <c r="GM65" s="1">
        <f>VC_NEW!GH29</f>
        <v>0</v>
      </c>
      <c r="GN65" s="1">
        <f>VC_NEW!GI29</f>
        <v>0</v>
      </c>
      <c r="GO65" s="1">
        <f>VC_NEW!GJ29</f>
        <v>0</v>
      </c>
      <c r="GP65" s="1">
        <f>VC_NEW!GK29</f>
        <v>0</v>
      </c>
      <c r="GQ65" s="1">
        <f>VC_NEW!GL29</f>
        <v>0</v>
      </c>
      <c r="GR65" s="1">
        <f>VC_NEW!GM29</f>
        <v>0</v>
      </c>
      <c r="GS65" s="1">
        <f>VC_NEW!GN29</f>
        <v>0</v>
      </c>
      <c r="GT65" s="1" t="str">
        <f>VC_NEW!GO29</f>
        <v>T100S</v>
      </c>
      <c r="GU65" s="1">
        <f>VC_NEW!GP29</f>
        <v>0</v>
      </c>
      <c r="GV65" s="1">
        <f>VC_NEW!GQ29</f>
        <v>0</v>
      </c>
      <c r="GW65" s="1">
        <f>VC_NEW!GR29</f>
        <v>0</v>
      </c>
      <c r="GX65" s="1">
        <f>VC_NEW!GS29</f>
        <v>0</v>
      </c>
      <c r="GY65" s="1">
        <f>VC_NEW!GT29</f>
        <v>0</v>
      </c>
      <c r="GZ65" s="1">
        <f>VC_NEW!GU29</f>
        <v>0</v>
      </c>
      <c r="HA65" s="1">
        <f>VC_NEW!GV29</f>
        <v>0</v>
      </c>
      <c r="HB65" s="1">
        <f>VC_NEW!GW29</f>
        <v>0</v>
      </c>
      <c r="HC65" s="1">
        <f>VC_NEW!GX29</f>
        <v>0</v>
      </c>
    </row>
    <row r="66" spans="1:211" s="7" customFormat="1" ht="15" customHeight="1" x14ac:dyDescent="0.25">
      <c r="A66" s="7" t="s">
        <v>24</v>
      </c>
      <c r="B66" s="7" t="s">
        <v>98</v>
      </c>
      <c r="C66" s="8" t="s">
        <v>1</v>
      </c>
      <c r="D66" s="7" t="s">
        <v>76</v>
      </c>
      <c r="E66" s="7">
        <v>0.125</v>
      </c>
      <c r="F66" s="7" t="s">
        <v>73</v>
      </c>
      <c r="G66" s="7" t="s">
        <v>160</v>
      </c>
      <c r="H66" s="7">
        <f>VC_NEW!C30</f>
        <v>0</v>
      </c>
      <c r="I66" s="7">
        <f>VC_NEW!D30</f>
        <v>0</v>
      </c>
      <c r="J66" s="7">
        <f>VC_NEW!E30</f>
        <v>0</v>
      </c>
      <c r="K66" s="7">
        <f>VC_NEW!F30</f>
        <v>0</v>
      </c>
      <c r="L66" s="7">
        <f>VC_NEW!G30</f>
        <v>0</v>
      </c>
      <c r="M66" s="7">
        <f>VC_NEW!H30</f>
        <v>0</v>
      </c>
      <c r="N66" s="7">
        <f>VC_NEW!I30</f>
        <v>0</v>
      </c>
      <c r="O66" s="7">
        <f>VC_NEW!J30</f>
        <v>0</v>
      </c>
      <c r="P66" s="7">
        <f>VC_NEW!K30</f>
        <v>0</v>
      </c>
      <c r="Q66" s="7">
        <f>VC_NEW!L30</f>
        <v>0</v>
      </c>
      <c r="R66" s="7">
        <f>VC_NEW!M30</f>
        <v>0</v>
      </c>
      <c r="S66" s="7">
        <f>VC_NEW!N30</f>
        <v>0</v>
      </c>
      <c r="T66" s="7">
        <f>VC_NEW!O30</f>
        <v>0</v>
      </c>
      <c r="U66" s="7">
        <f>VC_NEW!P30</f>
        <v>0</v>
      </c>
      <c r="V66" s="7">
        <f>VC_NEW!Q30</f>
        <v>0</v>
      </c>
      <c r="W66" s="7">
        <f>VC_NEW!R30</f>
        <v>0</v>
      </c>
      <c r="X66" s="7">
        <f>VC_NEW!S30</f>
        <v>0</v>
      </c>
      <c r="Y66" s="7">
        <f>VC_NEW!T30</f>
        <v>0</v>
      </c>
      <c r="Z66" s="7">
        <f>VC_NEW!U30</f>
        <v>0</v>
      </c>
      <c r="AA66" s="7">
        <f>VC_NEW!V30</f>
        <v>0</v>
      </c>
      <c r="AB66" s="7">
        <f>VC_NEW!W30</f>
        <v>0</v>
      </c>
      <c r="AC66" s="7">
        <f>VC_NEW!X30</f>
        <v>0</v>
      </c>
      <c r="AD66" s="7">
        <f>VC_NEW!Y30</f>
        <v>0</v>
      </c>
      <c r="AE66" s="7">
        <f>VC_NEW!Z30</f>
        <v>0</v>
      </c>
      <c r="AF66" s="7">
        <f>VC_NEW!AA30</f>
        <v>0</v>
      </c>
      <c r="AG66" s="7">
        <f>VC_NEW!AB30</f>
        <v>0</v>
      </c>
      <c r="AH66" s="7">
        <f>VC_NEW!AC30</f>
        <v>0</v>
      </c>
      <c r="AI66" s="7">
        <f>VC_NEW!AD30</f>
        <v>0</v>
      </c>
      <c r="AJ66" s="7">
        <f>VC_NEW!AE30</f>
        <v>0</v>
      </c>
      <c r="AK66" s="7">
        <f>VC_NEW!AF30</f>
        <v>0</v>
      </c>
      <c r="AL66" s="7">
        <f>VC_NEW!AG30</f>
        <v>0</v>
      </c>
      <c r="AM66" s="7">
        <f>VC_NEW!AH30</f>
        <v>0</v>
      </c>
      <c r="AN66" s="7">
        <f>VC_NEW!AI30</f>
        <v>0</v>
      </c>
      <c r="AO66" s="7">
        <f>VC_NEW!AJ30</f>
        <v>0</v>
      </c>
      <c r="AP66" s="7">
        <f>VC_NEW!AK30</f>
        <v>0</v>
      </c>
      <c r="AQ66" s="7">
        <f>VC_NEW!AL30</f>
        <v>0</v>
      </c>
      <c r="AR66" s="7">
        <f>VC_NEW!AM30</f>
        <v>0</v>
      </c>
      <c r="AS66" s="7">
        <f>VC_NEW!AN30</f>
        <v>0</v>
      </c>
      <c r="AT66" s="7">
        <f>VC_NEW!AO30</f>
        <v>0</v>
      </c>
      <c r="AU66" s="7">
        <f>VC_NEW!AP30</f>
        <v>0</v>
      </c>
      <c r="AV66" s="7">
        <f>VC_NEW!AQ30</f>
        <v>0</v>
      </c>
      <c r="AW66" s="7">
        <f>VC_NEW!AR30</f>
        <v>0</v>
      </c>
      <c r="AX66" s="7">
        <f>VC_NEW!AS30</f>
        <v>0</v>
      </c>
      <c r="AY66" s="7">
        <f>VC_NEW!AT30</f>
        <v>0</v>
      </c>
      <c r="AZ66" s="7">
        <f>VC_NEW!AU30</f>
        <v>0</v>
      </c>
      <c r="BA66" s="7">
        <f>VC_NEW!AV30</f>
        <v>0</v>
      </c>
      <c r="BB66" s="7">
        <f>VC_NEW!AW30</f>
        <v>0</v>
      </c>
      <c r="BC66" s="7">
        <f>VC_NEW!AX30</f>
        <v>0</v>
      </c>
      <c r="BD66" s="7">
        <f>VC_NEW!AY30</f>
        <v>0</v>
      </c>
      <c r="BE66" s="7">
        <f>VC_NEW!AZ30</f>
        <v>0</v>
      </c>
      <c r="BF66" s="7">
        <f>VC_NEW!BA30</f>
        <v>0</v>
      </c>
      <c r="BG66" s="7">
        <f>VC_NEW!BB30</f>
        <v>0</v>
      </c>
      <c r="BH66" s="7">
        <f>VC_NEW!BC30</f>
        <v>0</v>
      </c>
      <c r="BI66" s="7">
        <f>VC_NEW!BD30</f>
        <v>0</v>
      </c>
      <c r="BJ66" s="7">
        <f>VC_NEW!BE30</f>
        <v>0</v>
      </c>
      <c r="BK66" s="7">
        <f>VC_NEW!BF30</f>
        <v>0</v>
      </c>
      <c r="BL66" s="7">
        <f>VC_NEW!BG30</f>
        <v>0</v>
      </c>
      <c r="BM66" s="7">
        <f>VC_NEW!BH30</f>
        <v>0</v>
      </c>
      <c r="BN66" s="7">
        <f>VC_NEW!BI30</f>
        <v>0</v>
      </c>
      <c r="BO66" s="7">
        <f>VC_NEW!BJ30</f>
        <v>0</v>
      </c>
      <c r="BP66" s="7">
        <f>VC_NEW!BK30</f>
        <v>0</v>
      </c>
      <c r="BQ66" s="7">
        <f>VC_NEW!BL30</f>
        <v>0</v>
      </c>
      <c r="BR66" s="7">
        <f>VC_NEW!BM30</f>
        <v>0</v>
      </c>
      <c r="BS66" s="7">
        <f>VC_NEW!BN30</f>
        <v>0</v>
      </c>
      <c r="BT66" s="7">
        <f>VC_NEW!BO30</f>
        <v>0</v>
      </c>
      <c r="BU66" s="7">
        <f>VC_NEW!BP30</f>
        <v>0</v>
      </c>
      <c r="BV66" s="7">
        <f>VC_NEW!BQ30</f>
        <v>0</v>
      </c>
      <c r="BW66" s="7">
        <f>VC_NEW!BR30</f>
        <v>0</v>
      </c>
      <c r="BX66" s="7">
        <f>VC_NEW!BS30</f>
        <v>0</v>
      </c>
      <c r="BY66" s="7">
        <f>VC_NEW!BT30</f>
        <v>0</v>
      </c>
      <c r="BZ66" s="7">
        <f>VC_NEW!BU30</f>
        <v>0</v>
      </c>
      <c r="CA66" s="7">
        <f>VC_NEW!BV30</f>
        <v>0</v>
      </c>
      <c r="CB66" s="7">
        <f>VC_NEW!BW30</f>
        <v>0</v>
      </c>
      <c r="CC66" s="7">
        <f>VC_NEW!BX30</f>
        <v>0</v>
      </c>
      <c r="CD66" s="7">
        <f>VC_NEW!BY30</f>
        <v>0</v>
      </c>
      <c r="CE66" s="7">
        <f>VC_NEW!BZ30</f>
        <v>0</v>
      </c>
      <c r="CF66" s="7">
        <f>VC_NEW!CA30</f>
        <v>0</v>
      </c>
      <c r="CG66" s="7">
        <f>VC_NEW!CB30</f>
        <v>0</v>
      </c>
      <c r="CH66" s="7">
        <f>VC_NEW!CC30</f>
        <v>0</v>
      </c>
      <c r="CI66" s="7">
        <f>VC_NEW!CD30</f>
        <v>0</v>
      </c>
      <c r="CJ66" s="7">
        <f>VC_NEW!CE30</f>
        <v>0</v>
      </c>
      <c r="CK66" s="7">
        <f>VC_NEW!CF30</f>
        <v>0</v>
      </c>
      <c r="CL66" s="7">
        <f>VC_NEW!CG30</f>
        <v>0</v>
      </c>
      <c r="CM66" s="7">
        <f>VC_NEW!CH30</f>
        <v>0</v>
      </c>
      <c r="CN66" s="7">
        <f>VC_NEW!CI30</f>
        <v>0</v>
      </c>
      <c r="CO66" s="7">
        <f>VC_NEW!CJ30</f>
        <v>0</v>
      </c>
      <c r="CP66" s="7">
        <f>VC_NEW!CK30</f>
        <v>0</v>
      </c>
      <c r="CQ66" s="7">
        <f>VC_NEW!CL30</f>
        <v>0</v>
      </c>
      <c r="CR66" s="7">
        <f>VC_NEW!CM30</f>
        <v>0</v>
      </c>
      <c r="CS66" s="7">
        <f>VC_NEW!CN30</f>
        <v>0</v>
      </c>
      <c r="CT66" s="7">
        <f>VC_NEW!CO30</f>
        <v>0</v>
      </c>
      <c r="CU66" s="7">
        <f>VC_NEW!CP30</f>
        <v>0</v>
      </c>
      <c r="CV66" s="7">
        <f>VC_NEW!CQ30</f>
        <v>0</v>
      </c>
      <c r="CW66" s="7">
        <f>VC_NEW!CR30</f>
        <v>0</v>
      </c>
      <c r="CX66" s="7">
        <f>VC_NEW!CS30</f>
        <v>0</v>
      </c>
      <c r="CY66" s="7">
        <f>VC_NEW!CT30</f>
        <v>0</v>
      </c>
      <c r="CZ66" s="7">
        <f>VC_NEW!CU30</f>
        <v>0</v>
      </c>
      <c r="DA66" s="7">
        <f>VC_NEW!CV30</f>
        <v>0</v>
      </c>
      <c r="DB66" s="7">
        <f>VC_NEW!CW30</f>
        <v>0</v>
      </c>
      <c r="DC66" s="7">
        <f>VC_NEW!CX30</f>
        <v>0</v>
      </c>
      <c r="DD66" s="7">
        <f>VC_NEW!CY30</f>
        <v>0</v>
      </c>
      <c r="DE66" s="7">
        <f>VC_NEW!CZ30</f>
        <v>0</v>
      </c>
      <c r="DF66" s="7">
        <f>VC_NEW!DA30</f>
        <v>0</v>
      </c>
      <c r="DG66" s="7">
        <f>VC_NEW!DB30</f>
        <v>0</v>
      </c>
      <c r="DH66" s="7">
        <f>VC_NEW!DC30</f>
        <v>0</v>
      </c>
      <c r="DI66" s="7">
        <f>VC_NEW!DD30</f>
        <v>0</v>
      </c>
      <c r="DJ66" s="7">
        <f>VC_NEW!DE30</f>
        <v>0</v>
      </c>
      <c r="DK66" s="7">
        <f>VC_NEW!DF30</f>
        <v>0</v>
      </c>
      <c r="DL66" s="7">
        <f>VC_NEW!DG30</f>
        <v>0</v>
      </c>
      <c r="DM66" s="7">
        <f>VC_NEW!DH30</f>
        <v>0</v>
      </c>
      <c r="DN66" s="7">
        <f>VC_NEW!DI30</f>
        <v>0</v>
      </c>
      <c r="DO66" s="7">
        <f>VC_NEW!DJ30</f>
        <v>0</v>
      </c>
      <c r="DP66" s="7">
        <f>VC_NEW!DK30</f>
        <v>0</v>
      </c>
      <c r="DQ66" s="7">
        <f>VC_NEW!DL30</f>
        <v>0</v>
      </c>
      <c r="DR66" s="7">
        <f>VC_NEW!DM30</f>
        <v>0</v>
      </c>
      <c r="DS66" s="7">
        <f>VC_NEW!DN30</f>
        <v>0</v>
      </c>
      <c r="DT66" s="7">
        <f>VC_NEW!DO30</f>
        <v>0</v>
      </c>
      <c r="DU66" s="7">
        <f>VC_NEW!DP30</f>
        <v>0</v>
      </c>
      <c r="DV66" s="7">
        <f>VC_NEW!DQ30</f>
        <v>0</v>
      </c>
      <c r="DW66" s="7">
        <f>VC_NEW!DR30</f>
        <v>0</v>
      </c>
      <c r="DX66" s="7">
        <f>VC_NEW!DS30</f>
        <v>0</v>
      </c>
      <c r="DY66" s="7">
        <f>VC_NEW!DT30</f>
        <v>0</v>
      </c>
      <c r="DZ66" s="7">
        <f>VC_NEW!DU30</f>
        <v>0</v>
      </c>
      <c r="EA66" s="7">
        <f>VC_NEW!DV30</f>
        <v>0</v>
      </c>
      <c r="EB66" s="7">
        <f>VC_NEW!DW30</f>
        <v>0</v>
      </c>
      <c r="EC66" s="7">
        <f>VC_NEW!DX30</f>
        <v>0</v>
      </c>
      <c r="ED66" s="7">
        <f>VC_NEW!DY30</f>
        <v>0</v>
      </c>
      <c r="EE66" s="7">
        <f>VC_NEW!DZ30</f>
        <v>0</v>
      </c>
      <c r="EF66" s="7">
        <f>VC_NEW!EA30</f>
        <v>0</v>
      </c>
      <c r="EG66" s="7" t="str">
        <f>VC_NEW!EB30</f>
        <v>nt390InsGT</v>
      </c>
      <c r="EH66" s="7">
        <f>VC_NEW!EC30</f>
        <v>0</v>
      </c>
      <c r="EI66" s="7">
        <f>VC_NEW!ED30</f>
        <v>0</v>
      </c>
      <c r="EJ66" s="7">
        <f>VC_NEW!EE30</f>
        <v>0</v>
      </c>
      <c r="EK66" s="7">
        <f>VC_NEW!EF30</f>
        <v>0</v>
      </c>
      <c r="EL66" s="7">
        <f>VC_NEW!EG30</f>
        <v>0</v>
      </c>
      <c r="EM66" s="7">
        <f>VC_NEW!EH30</f>
        <v>0</v>
      </c>
      <c r="EN66" s="7">
        <f>VC_NEW!EI30</f>
        <v>0</v>
      </c>
      <c r="EO66" s="7">
        <f>VC_NEW!EJ30</f>
        <v>0</v>
      </c>
      <c r="EP66" s="7">
        <f>VC_NEW!EK30</f>
        <v>0</v>
      </c>
      <c r="EQ66" s="7">
        <f>VC_NEW!EL30</f>
        <v>0</v>
      </c>
      <c r="ER66" s="7">
        <f>VC_NEW!EM30</f>
        <v>0</v>
      </c>
      <c r="ES66" s="7">
        <f>VC_NEW!EN30</f>
        <v>0</v>
      </c>
      <c r="ET66" s="7">
        <f>VC_NEW!EO30</f>
        <v>0</v>
      </c>
      <c r="EU66" s="7">
        <f>VC_NEW!EP30</f>
        <v>0</v>
      </c>
      <c r="EV66" s="7">
        <f>VC_NEW!EQ30</f>
        <v>0</v>
      </c>
      <c r="EW66" s="7" t="str">
        <f>VC_NEW!ER30</f>
        <v>N86S; S355T</v>
      </c>
      <c r="EX66" s="7">
        <f>VC_NEW!ES30</f>
        <v>0</v>
      </c>
      <c r="EY66" s="7">
        <f>VC_NEW!ET30</f>
        <v>0</v>
      </c>
      <c r="EZ66" s="7">
        <f>VC_NEW!EU30</f>
        <v>0</v>
      </c>
      <c r="FA66" s="7">
        <f>VC_NEW!EV30</f>
        <v>0</v>
      </c>
      <c r="FB66" s="7">
        <f>VC_NEW!EW30</f>
        <v>0</v>
      </c>
      <c r="FC66" s="7">
        <f>VC_NEW!EX30</f>
        <v>0</v>
      </c>
      <c r="FD66" s="7">
        <f>VC_NEW!EY30</f>
        <v>0</v>
      </c>
      <c r="FE66" s="7">
        <f>VC_NEW!EZ30</f>
        <v>0</v>
      </c>
      <c r="FF66" s="7">
        <f>VC_NEW!FA30</f>
        <v>0</v>
      </c>
      <c r="FG66" s="7">
        <f>VC_NEW!FB30</f>
        <v>0</v>
      </c>
      <c r="FH66" s="7">
        <f>VC_NEW!FC30</f>
        <v>0</v>
      </c>
      <c r="FI66" s="7">
        <f>VC_NEW!FD30</f>
        <v>0</v>
      </c>
      <c r="FJ66" s="7">
        <f>VC_NEW!FE30</f>
        <v>0</v>
      </c>
      <c r="FK66" s="7">
        <f>VC_NEW!FF30</f>
        <v>0</v>
      </c>
      <c r="FL66" s="7">
        <f>VC_NEW!FG30</f>
        <v>0</v>
      </c>
      <c r="FM66" s="7">
        <f>VC_NEW!FH30</f>
        <v>0</v>
      </c>
      <c r="FN66" s="7">
        <f>VC_NEW!FI30</f>
        <v>0</v>
      </c>
      <c r="FO66" s="7">
        <f>VC_NEW!FJ30</f>
        <v>0</v>
      </c>
      <c r="FP66" s="7">
        <f>VC_NEW!FK30</f>
        <v>0</v>
      </c>
      <c r="FQ66" s="7">
        <f>VC_NEW!FL30</f>
        <v>0</v>
      </c>
      <c r="FR66" s="7">
        <f>VC_NEW!FM30</f>
        <v>0</v>
      </c>
      <c r="FS66" s="7">
        <f>VC_NEW!FN30</f>
        <v>0</v>
      </c>
      <c r="FT66" s="7">
        <f>VC_NEW!FO30</f>
        <v>0</v>
      </c>
      <c r="FU66" s="7">
        <f>VC_NEW!FP30</f>
        <v>0</v>
      </c>
      <c r="FV66" s="7">
        <f>VC_NEW!FQ30</f>
        <v>0</v>
      </c>
      <c r="FW66" s="7">
        <f>VC_NEW!FR30</f>
        <v>0</v>
      </c>
      <c r="FX66" s="7">
        <f>VC_NEW!FS30</f>
        <v>0</v>
      </c>
      <c r="FY66" s="7" t="str">
        <f>VC_NEW!FT30</f>
        <v>N54S</v>
      </c>
      <c r="FZ66" s="7">
        <f>VC_NEW!FU30</f>
        <v>0</v>
      </c>
      <c r="GA66" s="7">
        <f>VC_NEW!FV30</f>
        <v>0</v>
      </c>
      <c r="GB66" s="7">
        <f>VC_NEW!FW30</f>
        <v>0</v>
      </c>
      <c r="GC66" s="7">
        <f>VC_NEW!FX30</f>
        <v>0</v>
      </c>
      <c r="GD66" s="7">
        <f>VC_NEW!FY30</f>
        <v>0</v>
      </c>
      <c r="GE66" s="7">
        <f>VC_NEW!FZ30</f>
        <v>0</v>
      </c>
      <c r="GF66" s="7">
        <f>VC_NEW!GA30</f>
        <v>0</v>
      </c>
      <c r="GG66" s="7">
        <f>VC_NEW!GB30</f>
        <v>0</v>
      </c>
      <c r="GH66" s="7">
        <f>VC_NEW!GC30</f>
        <v>0</v>
      </c>
      <c r="GI66" s="7">
        <f>VC_NEW!GD30</f>
        <v>0</v>
      </c>
      <c r="GJ66" s="7">
        <f>VC_NEW!GE30</f>
        <v>0</v>
      </c>
      <c r="GK66" s="7">
        <f>VC_NEW!GF30</f>
        <v>0</v>
      </c>
      <c r="GL66" s="7">
        <f>VC_NEW!GG30</f>
        <v>0</v>
      </c>
      <c r="GM66" s="7">
        <f>VC_NEW!GH30</f>
        <v>0</v>
      </c>
      <c r="GN66" s="7">
        <f>VC_NEW!GI30</f>
        <v>0</v>
      </c>
      <c r="GO66" s="7">
        <f>VC_NEW!GJ30</f>
        <v>0</v>
      </c>
      <c r="GP66" s="7">
        <f>VC_NEW!GK30</f>
        <v>0</v>
      </c>
      <c r="GQ66" s="7">
        <f>VC_NEW!GL30</f>
        <v>0</v>
      </c>
      <c r="GR66" s="7">
        <f>VC_NEW!GM30</f>
        <v>0</v>
      </c>
      <c r="GS66" s="7">
        <f>VC_NEW!GN30</f>
        <v>0</v>
      </c>
      <c r="GT66" s="7">
        <f>VC_NEW!GO30</f>
        <v>0</v>
      </c>
      <c r="GU66" s="7">
        <f>VC_NEW!GP30</f>
        <v>0</v>
      </c>
      <c r="GV66" s="7">
        <f>VC_NEW!GQ30</f>
        <v>0</v>
      </c>
      <c r="GW66" s="7">
        <f>VC_NEW!GR30</f>
        <v>0</v>
      </c>
      <c r="GX66" s="7">
        <f>VC_NEW!GS30</f>
        <v>0</v>
      </c>
      <c r="GY66" s="7">
        <f>VC_NEW!GT30</f>
        <v>0</v>
      </c>
      <c r="GZ66" s="7">
        <f>VC_NEW!GU30</f>
        <v>0</v>
      </c>
      <c r="HA66" s="7">
        <f>VC_NEW!GV30</f>
        <v>0</v>
      </c>
      <c r="HB66" s="7">
        <f>VC_NEW!GW30</f>
        <v>0</v>
      </c>
      <c r="HC66" s="7">
        <f>VC_NEW!GX30</f>
        <v>0</v>
      </c>
    </row>
    <row r="67" spans="1:211" s="1" customFormat="1" ht="15" hidden="1" customHeight="1" x14ac:dyDescent="0.25">
      <c r="A67" s="2" t="s">
        <v>25</v>
      </c>
      <c r="B67" s="2" t="s">
        <v>81</v>
      </c>
      <c r="C67" s="4" t="s">
        <v>2</v>
      </c>
      <c r="D67" s="2" t="s">
        <v>76</v>
      </c>
      <c r="E67" s="2">
        <v>0.25</v>
      </c>
      <c r="F67" s="2" t="s">
        <v>73</v>
      </c>
      <c r="G67" s="2" t="s">
        <v>160</v>
      </c>
      <c r="H67" s="1">
        <f>VC_NEW!C31</f>
        <v>0</v>
      </c>
      <c r="I67" s="1">
        <f>VC_NEW!D31</f>
        <v>0</v>
      </c>
      <c r="J67" s="1">
        <f>VC_NEW!E31</f>
        <v>0</v>
      </c>
      <c r="K67" s="1">
        <f>VC_NEW!F31</f>
        <v>0</v>
      </c>
      <c r="L67" s="1">
        <f>VC_NEW!G31</f>
        <v>0</v>
      </c>
      <c r="M67" s="1">
        <f>VC_NEW!H31</f>
        <v>0</v>
      </c>
      <c r="N67" s="1">
        <f>VC_NEW!I31</f>
        <v>0</v>
      </c>
      <c r="O67" s="1">
        <f>VC_NEW!J31</f>
        <v>0</v>
      </c>
      <c r="P67" s="1">
        <f>VC_NEW!K31</f>
        <v>0</v>
      </c>
      <c r="Q67" s="1">
        <f>VC_NEW!L31</f>
        <v>0</v>
      </c>
      <c r="R67" s="1">
        <f>VC_NEW!M31</f>
        <v>0</v>
      </c>
      <c r="S67" s="1">
        <f>VC_NEW!N31</f>
        <v>0</v>
      </c>
      <c r="T67" s="1">
        <f>VC_NEW!O31</f>
        <v>0</v>
      </c>
      <c r="U67" s="1">
        <f>VC_NEW!P31</f>
        <v>0</v>
      </c>
      <c r="V67" s="1">
        <f>VC_NEW!Q31</f>
        <v>0</v>
      </c>
      <c r="W67" s="1">
        <f>VC_NEW!R31</f>
        <v>0</v>
      </c>
      <c r="X67" s="1">
        <f>VC_NEW!S31</f>
        <v>0</v>
      </c>
      <c r="Y67" s="1">
        <f>VC_NEW!T31</f>
        <v>0</v>
      </c>
      <c r="Z67" s="1">
        <f>VC_NEW!U31</f>
        <v>0</v>
      </c>
      <c r="AA67" s="1">
        <f>VC_NEW!V31</f>
        <v>0</v>
      </c>
      <c r="AB67" s="1">
        <f>VC_NEW!W31</f>
        <v>0</v>
      </c>
      <c r="AC67" s="1">
        <f>VC_NEW!X31</f>
        <v>0</v>
      </c>
      <c r="AD67" s="1">
        <f>VC_NEW!Y31</f>
        <v>0</v>
      </c>
      <c r="AE67" s="1">
        <f>VC_NEW!Z31</f>
        <v>0</v>
      </c>
      <c r="AF67" s="1">
        <f>VC_NEW!AA31</f>
        <v>0</v>
      </c>
      <c r="AG67" s="1">
        <f>VC_NEW!AB31</f>
        <v>0</v>
      </c>
      <c r="AH67" s="1">
        <f>VC_NEW!AC31</f>
        <v>0</v>
      </c>
      <c r="AI67" s="1">
        <f>VC_NEW!AD31</f>
        <v>0</v>
      </c>
      <c r="AJ67" s="1">
        <f>VC_NEW!AE31</f>
        <v>0</v>
      </c>
      <c r="AK67" s="1" t="str">
        <f>VC_NEW!AF31</f>
        <v>A481T</v>
      </c>
      <c r="AL67" s="1">
        <f>VC_NEW!AG31</f>
        <v>0</v>
      </c>
      <c r="AM67" s="1">
        <f>VC_NEW!AH31</f>
        <v>0</v>
      </c>
      <c r="AN67" s="1">
        <f>VC_NEW!AI31</f>
        <v>0</v>
      </c>
      <c r="AO67" s="1">
        <f>VC_NEW!AJ31</f>
        <v>0</v>
      </c>
      <c r="AP67" s="1">
        <f>VC_NEW!AK31</f>
        <v>0</v>
      </c>
      <c r="AQ67" s="1">
        <f>VC_NEW!AL31</f>
        <v>0</v>
      </c>
      <c r="AR67" s="1">
        <f>VC_NEW!AM31</f>
        <v>0</v>
      </c>
      <c r="AS67" s="1">
        <f>VC_NEW!AN31</f>
        <v>0</v>
      </c>
      <c r="AT67" s="1">
        <f>VC_NEW!AO31</f>
        <v>0</v>
      </c>
      <c r="AU67" s="1">
        <f>VC_NEW!AP31</f>
        <v>0</v>
      </c>
      <c r="AV67" s="1">
        <f>VC_NEW!AQ31</f>
        <v>0</v>
      </c>
      <c r="AW67" s="1">
        <f>VC_NEW!AR31</f>
        <v>0</v>
      </c>
      <c r="AX67" s="1">
        <f>VC_NEW!AS31</f>
        <v>0</v>
      </c>
      <c r="AY67" s="1">
        <f>VC_NEW!AT31</f>
        <v>0</v>
      </c>
      <c r="AZ67" s="1">
        <f>VC_NEW!AU31</f>
        <v>0</v>
      </c>
      <c r="BA67" s="1">
        <f>VC_NEW!AV31</f>
        <v>0</v>
      </c>
      <c r="BB67" s="1">
        <f>VC_NEW!AW31</f>
        <v>0</v>
      </c>
      <c r="BC67" s="1">
        <f>VC_NEW!AX31</f>
        <v>0</v>
      </c>
      <c r="BD67" s="1">
        <f>VC_NEW!AY31</f>
        <v>0</v>
      </c>
      <c r="BE67" s="1">
        <f>VC_NEW!AZ31</f>
        <v>0</v>
      </c>
      <c r="BF67" s="1">
        <f>VC_NEW!BA31</f>
        <v>0</v>
      </c>
      <c r="BG67" s="1">
        <f>VC_NEW!BB31</f>
        <v>0</v>
      </c>
      <c r="BH67" s="1">
        <f>VC_NEW!BC31</f>
        <v>0</v>
      </c>
      <c r="BI67" s="1">
        <f>VC_NEW!BD31</f>
        <v>0</v>
      </c>
      <c r="BJ67" s="1">
        <f>VC_NEW!BE31</f>
        <v>0</v>
      </c>
      <c r="BK67" s="1">
        <f>VC_NEW!BF31</f>
        <v>0</v>
      </c>
      <c r="BL67" s="1">
        <f>VC_NEW!BG31</f>
        <v>0</v>
      </c>
      <c r="BM67" s="1">
        <f>VC_NEW!BH31</f>
        <v>0</v>
      </c>
      <c r="BN67" s="1">
        <f>VC_NEW!BI31</f>
        <v>0</v>
      </c>
      <c r="BO67" s="1">
        <f>VC_NEW!BJ31</f>
        <v>0</v>
      </c>
      <c r="BP67" s="1">
        <f>VC_NEW!BK31</f>
        <v>0</v>
      </c>
      <c r="BQ67" s="1">
        <f>VC_NEW!BL31</f>
        <v>0</v>
      </c>
      <c r="BR67" s="1">
        <f>VC_NEW!BM31</f>
        <v>0</v>
      </c>
      <c r="BS67" s="1">
        <f>VC_NEW!BN31</f>
        <v>0</v>
      </c>
      <c r="BT67" s="1" t="str">
        <f>VC_NEW!BO31</f>
        <v>A619E</v>
      </c>
      <c r="BU67" s="1">
        <f>VC_NEW!BP31</f>
        <v>0</v>
      </c>
      <c r="BV67" s="1">
        <f>VC_NEW!BQ31</f>
        <v>0</v>
      </c>
      <c r="BW67" s="1" t="str">
        <f>VC_NEW!BR31</f>
        <v>A481T</v>
      </c>
      <c r="BX67" s="1">
        <f>VC_NEW!BS31</f>
        <v>0</v>
      </c>
      <c r="BY67" s="1">
        <f>VC_NEW!BT31</f>
        <v>0</v>
      </c>
      <c r="BZ67" s="1">
        <f>VC_NEW!BU31</f>
        <v>0</v>
      </c>
      <c r="CA67" s="1">
        <f>VC_NEW!BV31</f>
        <v>0</v>
      </c>
      <c r="CB67" s="1">
        <f>VC_NEW!BW31</f>
        <v>0</v>
      </c>
      <c r="CC67" s="1">
        <f>VC_NEW!BX31</f>
        <v>0</v>
      </c>
      <c r="CD67" s="1">
        <f>VC_NEW!BY31</f>
        <v>0</v>
      </c>
      <c r="CE67" s="1">
        <f>VC_NEW!BZ31</f>
        <v>0</v>
      </c>
      <c r="CF67" s="1" t="str">
        <f>VC_NEW!CA31</f>
        <v>A481T</v>
      </c>
      <c r="CG67" s="1">
        <f>VC_NEW!CB31</f>
        <v>0</v>
      </c>
      <c r="CH67" s="1">
        <f>VC_NEW!CC31</f>
        <v>0</v>
      </c>
      <c r="CI67" s="1">
        <f>VC_NEW!CD31</f>
        <v>0</v>
      </c>
      <c r="CJ67" s="1">
        <f>VC_NEW!CE31</f>
        <v>0</v>
      </c>
      <c r="CK67" s="1">
        <f>VC_NEW!CF31</f>
        <v>0</v>
      </c>
      <c r="CL67" s="1" t="str">
        <f>VC_NEW!CG31</f>
        <v>D485N</v>
      </c>
      <c r="CM67" s="1" t="str">
        <f>VC_NEW!CH31</f>
        <v>A481T</v>
      </c>
      <c r="CN67" s="1">
        <f>VC_NEW!CI31</f>
        <v>0</v>
      </c>
      <c r="CO67" s="1">
        <f>VC_NEW!CJ31</f>
        <v>0</v>
      </c>
      <c r="CP67" s="1">
        <f>VC_NEW!CK31</f>
        <v>0</v>
      </c>
      <c r="CQ67" s="1">
        <f>VC_NEW!CL31</f>
        <v>0</v>
      </c>
      <c r="CR67" s="1">
        <f>VC_NEW!CM31</f>
        <v>0</v>
      </c>
      <c r="CS67" s="1">
        <f>VC_NEW!CN31</f>
        <v>0</v>
      </c>
      <c r="CT67" s="1">
        <f>VC_NEW!CO31</f>
        <v>0</v>
      </c>
      <c r="CU67" s="1">
        <f>VC_NEW!CP31</f>
        <v>0</v>
      </c>
      <c r="CV67" s="1">
        <f>VC_NEW!CQ31</f>
        <v>0</v>
      </c>
      <c r="CW67" s="1">
        <f>VC_NEW!CR31</f>
        <v>0</v>
      </c>
      <c r="CX67" s="1">
        <f>VC_NEW!CS31</f>
        <v>0</v>
      </c>
      <c r="CY67" s="1">
        <f>VC_NEW!CT31</f>
        <v>0</v>
      </c>
      <c r="CZ67" s="1">
        <f>VC_NEW!CU31</f>
        <v>0</v>
      </c>
      <c r="DA67" s="1">
        <f>VC_NEW!CV31</f>
        <v>0</v>
      </c>
      <c r="DB67" s="1">
        <f>VC_NEW!CW31</f>
        <v>0</v>
      </c>
      <c r="DC67" s="1">
        <f>VC_NEW!CX31</f>
        <v>0</v>
      </c>
      <c r="DD67" s="1">
        <f>VC_NEW!CY31</f>
        <v>0</v>
      </c>
      <c r="DE67" s="1">
        <f>VC_NEW!CZ31</f>
        <v>0</v>
      </c>
      <c r="DF67" s="1">
        <f>VC_NEW!DA31</f>
        <v>0</v>
      </c>
      <c r="DG67" s="1">
        <f>VC_NEW!DB31</f>
        <v>0</v>
      </c>
      <c r="DH67" s="1">
        <f>VC_NEW!DC31</f>
        <v>0</v>
      </c>
      <c r="DI67" s="1">
        <f>VC_NEW!DD31</f>
        <v>0</v>
      </c>
      <c r="DJ67" s="1">
        <f>VC_NEW!DE31</f>
        <v>0</v>
      </c>
      <c r="DK67" s="1">
        <f>VC_NEW!DF31</f>
        <v>0</v>
      </c>
      <c r="DL67" s="1">
        <f>VC_NEW!DG31</f>
        <v>0</v>
      </c>
      <c r="DM67" s="1">
        <f>VC_NEW!DH31</f>
        <v>0</v>
      </c>
      <c r="DN67" s="1">
        <f>VC_NEW!DI31</f>
        <v>0</v>
      </c>
      <c r="DO67" s="1">
        <f>VC_NEW!DJ31</f>
        <v>0</v>
      </c>
      <c r="DP67" s="1">
        <f>VC_NEW!DK31</f>
        <v>0</v>
      </c>
      <c r="DQ67" s="1">
        <f>VC_NEW!DL31</f>
        <v>0</v>
      </c>
      <c r="DR67" s="1">
        <f>VC_NEW!DM31</f>
        <v>0</v>
      </c>
      <c r="DS67" s="1">
        <f>VC_NEW!DN31</f>
        <v>0</v>
      </c>
      <c r="DT67" s="1">
        <f>VC_NEW!DO31</f>
        <v>0</v>
      </c>
      <c r="DU67" s="1">
        <f>VC_NEW!DP31</f>
        <v>0</v>
      </c>
      <c r="DV67" s="1">
        <f>VC_NEW!DQ31</f>
        <v>0</v>
      </c>
      <c r="DW67" s="1">
        <f>VC_NEW!DR31</f>
        <v>0</v>
      </c>
      <c r="DX67" s="1">
        <f>VC_NEW!DS31</f>
        <v>0</v>
      </c>
      <c r="DY67" s="1">
        <f>VC_NEW!DT31</f>
        <v>0</v>
      </c>
      <c r="DZ67" s="1">
        <f>VC_NEW!DU31</f>
        <v>0</v>
      </c>
      <c r="EA67" s="1">
        <f>VC_NEW!DV31</f>
        <v>0</v>
      </c>
      <c r="EB67" s="1">
        <f>VC_NEW!DW31</f>
        <v>0</v>
      </c>
      <c r="EC67" s="1">
        <f>VC_NEW!DX31</f>
        <v>0</v>
      </c>
      <c r="ED67" s="1">
        <f>VC_NEW!DY31</f>
        <v>0</v>
      </c>
      <c r="EE67" s="1">
        <f>VC_NEW!DZ31</f>
        <v>0</v>
      </c>
      <c r="EF67" s="1">
        <f>VC_NEW!EA31</f>
        <v>0</v>
      </c>
      <c r="EG67" s="1" t="str">
        <f>VC_NEW!EB31</f>
        <v>D507G</v>
      </c>
      <c r="EH67" s="1">
        <f>VC_NEW!EC31</f>
        <v>0</v>
      </c>
      <c r="EI67" s="1" t="str">
        <f>VC_NEW!ED31</f>
        <v>V29I</v>
      </c>
      <c r="EJ67" s="1">
        <f>VC_NEW!EE31</f>
        <v>0</v>
      </c>
      <c r="EK67" s="1">
        <f>VC_NEW!EF31</f>
        <v>0</v>
      </c>
      <c r="EL67" s="1">
        <f>VC_NEW!EG31</f>
        <v>0</v>
      </c>
      <c r="EM67" s="1">
        <f>VC_NEW!EH31</f>
        <v>0</v>
      </c>
      <c r="EN67" s="1">
        <f>VC_NEW!EI31</f>
        <v>0</v>
      </c>
      <c r="EO67" s="1">
        <f>VC_NEW!EJ31</f>
        <v>0</v>
      </c>
      <c r="EP67" s="1">
        <f>VC_NEW!EK31</f>
        <v>0</v>
      </c>
      <c r="EQ67" s="1">
        <f>VC_NEW!EL31</f>
        <v>0</v>
      </c>
      <c r="ER67" s="1">
        <f>VC_NEW!EM31</f>
        <v>0</v>
      </c>
      <c r="ES67" s="1">
        <f>VC_NEW!EN31</f>
        <v>0</v>
      </c>
      <c r="ET67" s="1">
        <f>VC_NEW!EO31</f>
        <v>0</v>
      </c>
      <c r="EU67" s="1">
        <f>VC_NEW!EP31</f>
        <v>0</v>
      </c>
      <c r="EV67" s="1">
        <f>VC_NEW!EQ31</f>
        <v>0</v>
      </c>
      <c r="EW67" s="1" t="str">
        <f>VC_NEW!ER31</f>
        <v>A532V</v>
      </c>
      <c r="EX67" s="1">
        <f>VC_NEW!ES31</f>
        <v>0</v>
      </c>
      <c r="EY67" s="1" t="str">
        <f>VC_NEW!ET31</f>
        <v>L33P</v>
      </c>
      <c r="EZ67" s="1">
        <f>VC_NEW!EU31</f>
        <v>0</v>
      </c>
      <c r="FA67" s="1">
        <f>VC_NEW!EV31</f>
        <v>0</v>
      </c>
      <c r="FB67" s="1">
        <f>VC_NEW!EW31</f>
        <v>0</v>
      </c>
      <c r="FC67" s="1">
        <f>VC_NEW!EX31</f>
        <v>0</v>
      </c>
      <c r="FD67" s="1">
        <f>VC_NEW!EY31</f>
        <v>0</v>
      </c>
      <c r="FE67" s="1">
        <f>VC_NEW!EZ31</f>
        <v>0</v>
      </c>
      <c r="FF67" s="1">
        <f>VC_NEW!FA31</f>
        <v>0</v>
      </c>
      <c r="FG67" s="1">
        <f>VC_NEW!FB31</f>
        <v>0</v>
      </c>
      <c r="FH67" s="1">
        <f>VC_NEW!FC31</f>
        <v>0</v>
      </c>
      <c r="FI67" s="1">
        <f>VC_NEW!FD31</f>
        <v>0</v>
      </c>
      <c r="FJ67" s="1">
        <f>VC_NEW!FE31</f>
        <v>0</v>
      </c>
      <c r="FK67" s="1">
        <f>VC_NEW!FF31</f>
        <v>0</v>
      </c>
      <c r="FL67" s="1">
        <f>VC_NEW!FG31</f>
        <v>0</v>
      </c>
      <c r="FM67" s="1">
        <f>VC_NEW!FH31</f>
        <v>0</v>
      </c>
      <c r="FN67" s="1">
        <f>VC_NEW!FI31</f>
        <v>0</v>
      </c>
      <c r="FO67" s="1">
        <f>VC_NEW!FJ31</f>
        <v>0</v>
      </c>
      <c r="FP67" s="1">
        <f>VC_NEW!FK31</f>
        <v>0</v>
      </c>
      <c r="FQ67" s="1">
        <f>VC_NEW!FL31</f>
        <v>0</v>
      </c>
      <c r="FR67" s="1">
        <f>VC_NEW!FM31</f>
        <v>0</v>
      </c>
      <c r="FS67" s="1">
        <f>VC_NEW!FN31</f>
        <v>0</v>
      </c>
      <c r="FT67" s="1">
        <f>VC_NEW!FO31</f>
        <v>0</v>
      </c>
      <c r="FU67" s="1">
        <f>VC_NEW!FP31</f>
        <v>0</v>
      </c>
      <c r="FV67" s="1">
        <f>VC_NEW!FQ31</f>
        <v>0</v>
      </c>
      <c r="FW67" s="1">
        <f>VC_NEW!FR31</f>
        <v>0</v>
      </c>
      <c r="FX67" s="1">
        <f>VC_NEW!FS31</f>
        <v>0</v>
      </c>
      <c r="FY67" s="1">
        <f>VC_NEW!FT31</f>
        <v>0</v>
      </c>
      <c r="FZ67" s="1">
        <f>VC_NEW!FU31</f>
        <v>0</v>
      </c>
      <c r="GA67" s="1">
        <f>VC_NEW!FV31</f>
        <v>0</v>
      </c>
      <c r="GB67" s="1">
        <f>VC_NEW!FW31</f>
        <v>0</v>
      </c>
      <c r="GC67" s="1">
        <f>VC_NEW!FX31</f>
        <v>0</v>
      </c>
      <c r="GD67" s="1">
        <f>VC_NEW!FY31</f>
        <v>0</v>
      </c>
      <c r="GE67" s="1">
        <f>VC_NEW!FZ31</f>
        <v>0</v>
      </c>
      <c r="GF67" s="1">
        <f>VC_NEW!GA31</f>
        <v>0</v>
      </c>
      <c r="GG67" s="1">
        <f>VC_NEW!GB31</f>
        <v>0</v>
      </c>
      <c r="GH67" s="1">
        <f>VC_NEW!GC31</f>
        <v>0</v>
      </c>
      <c r="GI67" s="1">
        <f>VC_NEW!GD31</f>
        <v>0</v>
      </c>
      <c r="GJ67" s="1">
        <f>VC_NEW!GE31</f>
        <v>0</v>
      </c>
      <c r="GK67" s="1">
        <f>VC_NEW!GF31</f>
        <v>0</v>
      </c>
      <c r="GL67" s="1">
        <f>VC_NEW!GG31</f>
        <v>0</v>
      </c>
      <c r="GM67" s="1">
        <f>VC_NEW!GH31</f>
        <v>0</v>
      </c>
      <c r="GN67" s="1">
        <f>VC_NEW!GI31</f>
        <v>0</v>
      </c>
      <c r="GO67" s="1">
        <f>VC_NEW!GJ31</f>
        <v>0</v>
      </c>
      <c r="GP67" s="1">
        <f>VC_NEW!GK31</f>
        <v>0</v>
      </c>
      <c r="GQ67" s="1">
        <f>VC_NEW!GL31</f>
        <v>0</v>
      </c>
      <c r="GR67" s="1">
        <f>VC_NEW!GM31</f>
        <v>0</v>
      </c>
      <c r="GS67" s="1" t="str">
        <f>VC_NEW!GN31</f>
        <v>S376N</v>
      </c>
      <c r="GT67" s="1">
        <f>VC_NEW!GO31</f>
        <v>0</v>
      </c>
      <c r="GU67" s="1">
        <f>VC_NEW!GP31</f>
        <v>0</v>
      </c>
      <c r="GV67" s="1">
        <f>VC_NEW!GQ31</f>
        <v>0</v>
      </c>
      <c r="GW67" s="1">
        <f>VC_NEW!GR31</f>
        <v>0</v>
      </c>
      <c r="GX67" s="1">
        <f>VC_NEW!GS31</f>
        <v>0</v>
      </c>
      <c r="GY67" s="1">
        <f>VC_NEW!GT31</f>
        <v>0</v>
      </c>
      <c r="GZ67" s="1">
        <f>VC_NEW!GU31</f>
        <v>0</v>
      </c>
      <c r="HA67" s="1">
        <f>VC_NEW!GV31</f>
        <v>0</v>
      </c>
      <c r="HB67" s="1">
        <f>VC_NEW!GW31</f>
        <v>0</v>
      </c>
      <c r="HC67" s="1">
        <f>VC_NEW!GX31</f>
        <v>0</v>
      </c>
    </row>
    <row r="68" spans="1:211" s="7" customFormat="1" ht="15" customHeight="1" x14ac:dyDescent="0.25">
      <c r="A68" s="30" t="s">
        <v>26</v>
      </c>
      <c r="B68" s="30" t="s">
        <v>27</v>
      </c>
      <c r="C68" s="31" t="s">
        <v>1</v>
      </c>
      <c r="D68" s="30" t="s">
        <v>76</v>
      </c>
      <c r="E68" s="30" t="s">
        <v>138</v>
      </c>
      <c r="F68" s="30" t="s">
        <v>74</v>
      </c>
      <c r="G68" s="30" t="s">
        <v>136</v>
      </c>
      <c r="H68" s="7">
        <f>VC_NEW!C32</f>
        <v>0</v>
      </c>
      <c r="I68" s="7">
        <f>VC_NEW!D32</f>
        <v>0</v>
      </c>
      <c r="J68" s="7" t="str">
        <f>VC_NEW!E32</f>
        <v>A356V</v>
      </c>
      <c r="K68" s="7">
        <f>VC_NEW!F32</f>
        <v>0</v>
      </c>
      <c r="L68" s="7">
        <f>VC_NEW!G32</f>
        <v>0</v>
      </c>
      <c r="M68" s="7">
        <f>VC_NEW!H32</f>
        <v>0</v>
      </c>
      <c r="N68" s="7">
        <f>VC_NEW!I32</f>
        <v>0</v>
      </c>
      <c r="O68" s="7">
        <f>VC_NEW!J32</f>
        <v>0</v>
      </c>
      <c r="P68" s="7" t="str">
        <f>VC_NEW!K32</f>
        <v>A286V</v>
      </c>
      <c r="Q68" s="7">
        <f>VC_NEW!L32</f>
        <v>0</v>
      </c>
      <c r="R68" s="7">
        <f>VC_NEW!M32</f>
        <v>0</v>
      </c>
      <c r="S68" s="7">
        <f>VC_NEW!N32</f>
        <v>0</v>
      </c>
      <c r="T68" s="7">
        <f>VC_NEW!O32</f>
        <v>0</v>
      </c>
      <c r="U68" s="7">
        <f>VC_NEW!P32</f>
        <v>0</v>
      </c>
      <c r="V68" s="7">
        <f>VC_NEW!Q32</f>
        <v>0</v>
      </c>
      <c r="W68" s="7">
        <f>VC_NEW!R32</f>
        <v>0</v>
      </c>
      <c r="X68" s="7">
        <f>VC_NEW!S32</f>
        <v>0</v>
      </c>
      <c r="Y68" s="7">
        <f>VC_NEW!T32</f>
        <v>0</v>
      </c>
      <c r="Z68" s="7">
        <f>VC_NEW!U32</f>
        <v>0</v>
      </c>
      <c r="AA68" s="7">
        <f>VC_NEW!V32</f>
        <v>0</v>
      </c>
      <c r="AB68" s="7">
        <f>VC_NEW!W32</f>
        <v>0</v>
      </c>
      <c r="AC68" s="7">
        <f>VC_NEW!X32</f>
        <v>0</v>
      </c>
      <c r="AD68" s="7">
        <f>VC_NEW!Y32</f>
        <v>0</v>
      </c>
      <c r="AE68" s="7">
        <f>VC_NEW!Z32</f>
        <v>0</v>
      </c>
      <c r="AF68" s="7">
        <f>VC_NEW!AA32</f>
        <v>0</v>
      </c>
      <c r="AG68" s="7">
        <f>VC_NEW!AB32</f>
        <v>0</v>
      </c>
      <c r="AH68" s="7" t="str">
        <f>VC_NEW!AC32</f>
        <v>S306N</v>
      </c>
      <c r="AI68" s="7">
        <f>VC_NEW!AD32</f>
        <v>0</v>
      </c>
      <c r="AJ68" s="7">
        <f>VC_NEW!AE32</f>
        <v>0</v>
      </c>
      <c r="AK68" s="7">
        <f>VC_NEW!AF32</f>
        <v>0</v>
      </c>
      <c r="AL68" s="7">
        <f>VC_NEW!AG32</f>
        <v>0</v>
      </c>
      <c r="AM68" s="7">
        <f>VC_NEW!AH32</f>
        <v>0</v>
      </c>
      <c r="AN68" s="7">
        <f>VC_NEW!AI32</f>
        <v>0</v>
      </c>
      <c r="AO68" s="7" t="str">
        <f>VC_NEW!AJ32</f>
        <v>A222G</v>
      </c>
      <c r="AP68" s="7">
        <f>VC_NEW!AK32</f>
        <v>0</v>
      </c>
      <c r="AQ68" s="7">
        <f>VC_NEW!AL32</f>
        <v>0</v>
      </c>
      <c r="AR68" s="7">
        <f>VC_NEW!AM32</f>
        <v>0</v>
      </c>
      <c r="AS68" s="7">
        <f>VC_NEW!AN32</f>
        <v>0</v>
      </c>
      <c r="AT68" s="7" t="str">
        <f>VC_NEW!AO32</f>
        <v>Y35S</v>
      </c>
      <c r="AU68" s="7" t="str">
        <f>VC_NEW!AP32</f>
        <v>X452ext</v>
      </c>
      <c r="AV68" s="7">
        <f>VC_NEW!AQ32</f>
        <v>0</v>
      </c>
      <c r="AW68" s="7">
        <f>VC_NEW!AR32</f>
        <v>0</v>
      </c>
      <c r="AX68" s="7">
        <f>VC_NEW!AS32</f>
        <v>0</v>
      </c>
      <c r="AY68" s="7">
        <f>VC_NEW!AT32</f>
        <v>0</v>
      </c>
      <c r="AZ68" s="7" t="str">
        <f>VC_NEW!AU32</f>
        <v>X452ext</v>
      </c>
      <c r="BA68" s="7">
        <f>VC_NEW!AV32</f>
        <v>0</v>
      </c>
      <c r="BB68" s="7">
        <f>VC_NEW!AW32</f>
        <v>0</v>
      </c>
      <c r="BC68" s="7">
        <f>VC_NEW!AX32</f>
        <v>0</v>
      </c>
      <c r="BD68" s="7">
        <f>VC_NEW!AY32</f>
        <v>0</v>
      </c>
      <c r="BE68" s="7">
        <f>VC_NEW!AZ32</f>
        <v>0</v>
      </c>
      <c r="BF68" s="7">
        <f>VC_NEW!BA32</f>
        <v>0</v>
      </c>
      <c r="BG68" s="7">
        <f>VC_NEW!BB32</f>
        <v>0</v>
      </c>
      <c r="BH68" s="7">
        <f>VC_NEW!BC32</f>
        <v>0</v>
      </c>
      <c r="BI68" s="7">
        <f>VC_NEW!BD32</f>
        <v>0</v>
      </c>
      <c r="BJ68" s="7">
        <f>VC_NEW!BE32</f>
        <v>0</v>
      </c>
      <c r="BK68" s="7">
        <f>VC_NEW!BF32</f>
        <v>0</v>
      </c>
      <c r="BL68" s="7">
        <f>VC_NEW!BG32</f>
        <v>0</v>
      </c>
      <c r="BM68" s="7">
        <f>VC_NEW!BH32</f>
        <v>0</v>
      </c>
      <c r="BN68" s="7">
        <f>VC_NEW!BI32</f>
        <v>0</v>
      </c>
      <c r="BO68" s="7">
        <f>VC_NEW!BJ32</f>
        <v>0</v>
      </c>
      <c r="BP68" s="7">
        <f>VC_NEW!BK32</f>
        <v>0</v>
      </c>
      <c r="BQ68" s="7">
        <f>VC_NEW!BL32</f>
        <v>0</v>
      </c>
      <c r="BR68" s="7" t="str">
        <f>VC_NEW!BM32</f>
        <v>aa436InsGGF</v>
      </c>
      <c r="BS68" s="7">
        <f>VC_NEW!BN32</f>
        <v>0</v>
      </c>
      <c r="BT68" s="7">
        <f>VC_NEW!BO32</f>
        <v>0</v>
      </c>
      <c r="BU68" s="7">
        <f>VC_NEW!BP32</f>
        <v>0</v>
      </c>
      <c r="BV68" s="7">
        <f>VC_NEW!BQ32</f>
        <v>0</v>
      </c>
      <c r="BW68" s="7">
        <f>VC_NEW!BR32</f>
        <v>0</v>
      </c>
      <c r="BX68" s="7">
        <f>VC_NEW!BS32</f>
        <v>0</v>
      </c>
      <c r="BY68" s="7">
        <f>VC_NEW!BT32</f>
        <v>0</v>
      </c>
      <c r="BZ68" s="7">
        <f>VC_NEW!BU32</f>
        <v>0</v>
      </c>
      <c r="CA68" s="7">
        <f>VC_NEW!BV32</f>
        <v>0</v>
      </c>
      <c r="CB68" s="7">
        <f>VC_NEW!BW32</f>
        <v>0</v>
      </c>
      <c r="CC68" s="7">
        <f>VC_NEW!BX32</f>
        <v>0</v>
      </c>
      <c r="CD68" s="7">
        <f>VC_NEW!BY32</f>
        <v>0</v>
      </c>
      <c r="CE68" s="7">
        <f>VC_NEW!BZ32</f>
        <v>0</v>
      </c>
      <c r="CF68" s="7" t="str">
        <f>VC_NEW!CA32</f>
        <v>V420M</v>
      </c>
      <c r="CG68" s="7">
        <f>VC_NEW!CB32</f>
        <v>0</v>
      </c>
      <c r="CH68" s="7">
        <f>VC_NEW!CC32</f>
        <v>0</v>
      </c>
      <c r="CI68" s="7">
        <f>VC_NEW!CD32</f>
        <v>0</v>
      </c>
      <c r="CJ68" s="7">
        <f>VC_NEW!CE32</f>
        <v>0</v>
      </c>
      <c r="CK68" s="7">
        <f>VC_NEW!CF32</f>
        <v>0</v>
      </c>
      <c r="CL68" s="7">
        <f>VC_NEW!CG32</f>
        <v>0</v>
      </c>
      <c r="CM68" s="7">
        <f>VC_NEW!CH32</f>
        <v>0</v>
      </c>
      <c r="CN68" s="7">
        <f>VC_NEW!CI32</f>
        <v>0</v>
      </c>
      <c r="CO68" s="7">
        <f>VC_NEW!CJ32</f>
        <v>0</v>
      </c>
      <c r="CP68" s="7">
        <f>VC_NEW!CK32</f>
        <v>0</v>
      </c>
      <c r="CQ68" s="7">
        <f>VC_NEW!CL32</f>
        <v>0</v>
      </c>
      <c r="CR68" s="7">
        <f>VC_NEW!CM32</f>
        <v>0</v>
      </c>
      <c r="CS68" s="7" t="str">
        <f>VC_NEW!CN32</f>
        <v>A331T; X452ext</v>
      </c>
      <c r="CT68" s="7">
        <f>VC_NEW!CO32</f>
        <v>0</v>
      </c>
      <c r="CU68" s="7" t="str">
        <f>VC_NEW!CP32</f>
        <v>C410T</v>
      </c>
      <c r="CV68" s="7">
        <f>VC_NEW!CQ32</f>
        <v>0</v>
      </c>
      <c r="CW68" s="7">
        <f>VC_NEW!CR32</f>
        <v>0</v>
      </c>
      <c r="CX68" s="7">
        <f>VC_NEW!CS32</f>
        <v>0</v>
      </c>
      <c r="CY68" s="7">
        <f>VC_NEW!CT32</f>
        <v>0</v>
      </c>
      <c r="CZ68" s="7">
        <f>VC_NEW!CU32</f>
        <v>0</v>
      </c>
      <c r="DA68" s="7">
        <f>VC_NEW!CV32</f>
        <v>0</v>
      </c>
      <c r="DB68" s="7">
        <f>VC_NEW!CW32</f>
        <v>0</v>
      </c>
      <c r="DC68" s="7">
        <f>VC_NEW!CX32</f>
        <v>0</v>
      </c>
      <c r="DD68" s="7">
        <f>VC_NEW!CY32</f>
        <v>0</v>
      </c>
      <c r="DE68" s="7">
        <f>VC_NEW!CZ32</f>
        <v>0</v>
      </c>
      <c r="DF68" s="7">
        <f>VC_NEW!DA32</f>
        <v>0</v>
      </c>
      <c r="DG68" s="7">
        <f>VC_NEW!DB32</f>
        <v>0</v>
      </c>
      <c r="DH68" s="7" t="str">
        <f>VC_NEW!DC32</f>
        <v>G231E</v>
      </c>
      <c r="DI68" s="7">
        <f>VC_NEW!DD32</f>
        <v>0</v>
      </c>
      <c r="DJ68" s="7">
        <f>VC_NEW!DE32</f>
        <v>0</v>
      </c>
      <c r="DK68" s="7">
        <f>VC_NEW!DF32</f>
        <v>0</v>
      </c>
      <c r="DL68" s="7" t="str">
        <f>VC_NEW!DG32</f>
        <v>P178L; X452ext</v>
      </c>
      <c r="DM68" s="7">
        <f>VC_NEW!DH32</f>
        <v>0</v>
      </c>
      <c r="DN68" s="7">
        <f>VC_NEW!DI32</f>
        <v>0</v>
      </c>
      <c r="DO68" s="7">
        <f>VC_NEW!DJ32</f>
        <v>0</v>
      </c>
      <c r="DP68" s="7">
        <f>VC_NEW!DK32</f>
        <v>0</v>
      </c>
      <c r="DQ68" s="7">
        <f>VC_NEW!DL32</f>
        <v>0</v>
      </c>
      <c r="DR68" s="7">
        <f>VC_NEW!DM32</f>
        <v>0</v>
      </c>
      <c r="DS68" s="7" t="str">
        <f>VC_NEW!DN32</f>
        <v>C410T</v>
      </c>
      <c r="DT68" s="7">
        <f>VC_NEW!DO32</f>
        <v>0</v>
      </c>
      <c r="DU68" s="7">
        <f>VC_NEW!DP32</f>
        <v>0</v>
      </c>
      <c r="DV68" s="7">
        <f>VC_NEW!DQ32</f>
        <v>0</v>
      </c>
      <c r="DW68" s="7">
        <f>VC_NEW!DR32</f>
        <v>0</v>
      </c>
      <c r="DX68" s="7">
        <f>VC_NEW!DS32</f>
        <v>0</v>
      </c>
      <c r="DY68" s="7">
        <f>VC_NEW!DT32</f>
        <v>0</v>
      </c>
      <c r="DZ68" s="7">
        <f>VC_NEW!DU32</f>
        <v>0</v>
      </c>
      <c r="EA68" s="7">
        <f>VC_NEW!DV32</f>
        <v>0</v>
      </c>
      <c r="EB68" s="7">
        <f>VC_NEW!DW32</f>
        <v>0</v>
      </c>
      <c r="EC68" s="7" t="str">
        <f>VC_NEW!DX32</f>
        <v>T115A; nt111InsC</v>
      </c>
      <c r="ED68" s="7">
        <f>VC_NEW!DY32</f>
        <v>0</v>
      </c>
      <c r="EE68" s="7">
        <f>VC_NEW!DZ32</f>
        <v>0</v>
      </c>
      <c r="EF68" s="7">
        <f>VC_NEW!EA32</f>
        <v>0</v>
      </c>
      <c r="EG68" s="7">
        <f>VC_NEW!EB32</f>
        <v>0</v>
      </c>
      <c r="EH68" s="7">
        <f>VC_NEW!EC32</f>
        <v>0</v>
      </c>
      <c r="EI68" s="7">
        <f>VC_NEW!ED32</f>
        <v>0</v>
      </c>
      <c r="EJ68" s="7" t="str">
        <f>VC_NEW!EE32</f>
        <v>aa35∆4</v>
      </c>
      <c r="EK68" s="7" t="str">
        <f>VC_NEW!EF32</f>
        <v>G231E</v>
      </c>
      <c r="EL68" s="7" t="str">
        <f>VC_NEW!EG32</f>
        <v>P274L</v>
      </c>
      <c r="EM68" s="7">
        <f>VC_NEW!EH32</f>
        <v>0</v>
      </c>
      <c r="EN68" s="7" t="str">
        <f>VC_NEW!EI32</f>
        <v>nt111InsC</v>
      </c>
      <c r="EO68" s="7">
        <f>VC_NEW!EJ32</f>
        <v>0</v>
      </c>
      <c r="EP68" s="7">
        <f>VC_NEW!EK32</f>
        <v>0</v>
      </c>
      <c r="EQ68" s="7">
        <f>VC_NEW!EL32</f>
        <v>0</v>
      </c>
      <c r="ER68" s="7">
        <f>VC_NEW!EM32</f>
        <v>0</v>
      </c>
      <c r="ES68" s="7">
        <f>VC_NEW!EN32</f>
        <v>0</v>
      </c>
      <c r="ET68" s="7" t="str">
        <f>VC_NEW!EO32</f>
        <v>H190Y</v>
      </c>
      <c r="EU68" s="7" t="str">
        <f>VC_NEW!EP32</f>
        <v>nt111InsC</v>
      </c>
      <c r="EV68" s="7">
        <f>VC_NEW!EQ32</f>
        <v>0</v>
      </c>
      <c r="EW68" s="7" t="str">
        <f>VC_NEW!ER32</f>
        <v>I266S; Q347R</v>
      </c>
      <c r="EX68" s="7">
        <f>VC_NEW!ES32</f>
        <v>0</v>
      </c>
      <c r="EY68" s="7">
        <f>VC_NEW!ET32</f>
        <v>0</v>
      </c>
      <c r="EZ68" s="7">
        <f>VC_NEW!EU32</f>
        <v>0</v>
      </c>
      <c r="FA68" s="7">
        <f>VC_NEW!EV32</f>
        <v>0</v>
      </c>
      <c r="FB68" s="7">
        <f>VC_NEW!EW32</f>
        <v>0</v>
      </c>
      <c r="FC68" s="7">
        <f>VC_NEW!EX32</f>
        <v>0</v>
      </c>
      <c r="FD68" s="7">
        <f>VC_NEW!EY32</f>
        <v>0</v>
      </c>
      <c r="FE68" s="7">
        <f>VC_NEW!EZ32</f>
        <v>0</v>
      </c>
      <c r="FF68" s="7" t="str">
        <f>VC_NEW!FA32</f>
        <v>X452ext</v>
      </c>
      <c r="FG68" s="7">
        <f>VC_NEW!FB32</f>
        <v>0</v>
      </c>
      <c r="FH68" s="7">
        <f>VC_NEW!FC32</f>
        <v>0</v>
      </c>
      <c r="FI68" s="7" t="str">
        <f>VC_NEW!FD32</f>
        <v>S131N; A428T</v>
      </c>
      <c r="FJ68" s="7">
        <f>VC_NEW!FE32</f>
        <v>0</v>
      </c>
      <c r="FK68" s="7">
        <f>VC_NEW!FF32</f>
        <v>0</v>
      </c>
      <c r="FL68" s="7" t="str">
        <f>VC_NEW!FG32</f>
        <v>R103P</v>
      </c>
      <c r="FM68" s="7">
        <f>VC_NEW!FH32</f>
        <v>0</v>
      </c>
      <c r="FN68" s="7">
        <f>VC_NEW!FI32</f>
        <v>0</v>
      </c>
      <c r="FO68" s="7">
        <f>VC_NEW!FJ32</f>
        <v>0</v>
      </c>
      <c r="FP68" s="7">
        <f>VC_NEW!FK32</f>
        <v>0</v>
      </c>
      <c r="FQ68" s="7" t="str">
        <f>VC_NEW!FL32</f>
        <v>V281F</v>
      </c>
      <c r="FR68" s="7">
        <f>VC_NEW!FM32</f>
        <v>0</v>
      </c>
      <c r="FS68" s="7">
        <f>VC_NEW!FN32</f>
        <v>0</v>
      </c>
      <c r="FT68" s="7">
        <f>VC_NEW!FO32</f>
        <v>0</v>
      </c>
      <c r="FU68" s="7">
        <f>VC_NEW!FP32</f>
        <v>0</v>
      </c>
      <c r="FV68" s="7">
        <f>VC_NEW!FQ32</f>
        <v>0</v>
      </c>
      <c r="FW68" s="7">
        <f>VC_NEW!FR32</f>
        <v>0</v>
      </c>
      <c r="FX68" s="7">
        <f>VC_NEW!FS32</f>
        <v>0</v>
      </c>
      <c r="FY68" s="7">
        <f>VC_NEW!FT32</f>
        <v>0</v>
      </c>
      <c r="FZ68" s="7">
        <f>VC_NEW!FU32</f>
        <v>0</v>
      </c>
      <c r="GA68" s="7">
        <f>VC_NEW!FV32</f>
        <v>0</v>
      </c>
      <c r="GB68" s="7" t="str">
        <f>VC_NEW!FW32</f>
        <v>nt111∆1</v>
      </c>
      <c r="GC68" s="7">
        <f>VC_NEW!FX32</f>
        <v>0</v>
      </c>
      <c r="GD68" s="7">
        <f>VC_NEW!FY32</f>
        <v>0</v>
      </c>
      <c r="GE68" s="7">
        <f>VC_NEW!FZ32</f>
        <v>0</v>
      </c>
      <c r="GF68" s="7">
        <f>VC_NEW!GA32</f>
        <v>0</v>
      </c>
      <c r="GG68" s="7">
        <f>VC_NEW!GB32</f>
        <v>0</v>
      </c>
      <c r="GH68" s="7">
        <f>VC_NEW!GC32</f>
        <v>0</v>
      </c>
      <c r="GI68" s="7">
        <f>VC_NEW!GD32</f>
        <v>0</v>
      </c>
      <c r="GJ68" s="7">
        <f>VC_NEW!GE32</f>
        <v>0</v>
      </c>
      <c r="GK68" s="7">
        <f>VC_NEW!GF32</f>
        <v>0</v>
      </c>
      <c r="GL68" s="7">
        <f>VC_NEW!GG32</f>
        <v>0</v>
      </c>
      <c r="GM68" s="7">
        <f>VC_NEW!GH32</f>
        <v>0</v>
      </c>
      <c r="GN68" s="7">
        <f>VC_NEW!GI32</f>
        <v>0</v>
      </c>
      <c r="GO68" s="7">
        <f>VC_NEW!GJ32</f>
        <v>0</v>
      </c>
      <c r="GP68" s="7">
        <f>VC_NEW!GK32</f>
        <v>0</v>
      </c>
      <c r="GQ68" s="7">
        <f>VC_NEW!GL32</f>
        <v>0</v>
      </c>
      <c r="GR68" s="7">
        <f>VC_NEW!GM32</f>
        <v>0</v>
      </c>
      <c r="GS68" s="7">
        <f>VC_NEW!GN32</f>
        <v>0</v>
      </c>
      <c r="GT68" s="7">
        <f>VC_NEW!GO32</f>
        <v>0</v>
      </c>
      <c r="GU68" s="7">
        <f>VC_NEW!GP32</f>
        <v>0</v>
      </c>
      <c r="GV68" s="7">
        <f>VC_NEW!GQ32</f>
        <v>0</v>
      </c>
      <c r="GW68" s="7">
        <f>VC_NEW!GR32</f>
        <v>0</v>
      </c>
      <c r="GX68" s="7">
        <f>VC_NEW!GS32</f>
        <v>0</v>
      </c>
      <c r="GY68" s="7">
        <f>VC_NEW!GT32</f>
        <v>0</v>
      </c>
      <c r="GZ68" s="7">
        <f>VC_NEW!GU32</f>
        <v>0</v>
      </c>
      <c r="HA68" s="7">
        <f>VC_NEW!GV32</f>
        <v>0</v>
      </c>
      <c r="HB68" s="7">
        <f>VC_NEW!GW32</f>
        <v>0</v>
      </c>
      <c r="HC68" s="7">
        <f>VC_NEW!GX32</f>
        <v>0</v>
      </c>
    </row>
    <row r="69" spans="1:211" s="7" customFormat="1" ht="15" hidden="1" customHeight="1" x14ac:dyDescent="0.25">
      <c r="A69" s="30" t="s">
        <v>26</v>
      </c>
      <c r="B69" s="30" t="s">
        <v>27</v>
      </c>
      <c r="C69" s="31" t="s">
        <v>2</v>
      </c>
      <c r="D69" s="30" t="s">
        <v>76</v>
      </c>
      <c r="E69" s="30" t="s">
        <v>139</v>
      </c>
      <c r="F69" s="30" t="s">
        <v>74</v>
      </c>
      <c r="G69" s="30" t="s">
        <v>136</v>
      </c>
      <c r="H69" s="7">
        <f>VC_NEW!C32</f>
        <v>0</v>
      </c>
      <c r="I69" s="7">
        <f>VC_NEW!D32</f>
        <v>0</v>
      </c>
      <c r="J69" s="7" t="str">
        <f>VC_NEW!E32</f>
        <v>A356V</v>
      </c>
      <c r="K69" s="7">
        <f>VC_NEW!F32</f>
        <v>0</v>
      </c>
      <c r="L69" s="7">
        <f>VC_NEW!G32</f>
        <v>0</v>
      </c>
      <c r="M69" s="7">
        <f>VC_NEW!H32</f>
        <v>0</v>
      </c>
      <c r="N69" s="7">
        <f>VC_NEW!I32</f>
        <v>0</v>
      </c>
      <c r="O69" s="7">
        <f>VC_NEW!J32</f>
        <v>0</v>
      </c>
      <c r="P69" s="7" t="str">
        <f>VC_NEW!K32</f>
        <v>A286V</v>
      </c>
      <c r="Q69" s="7">
        <f>VC_NEW!L32</f>
        <v>0</v>
      </c>
      <c r="R69" s="7">
        <f>VC_NEW!M32</f>
        <v>0</v>
      </c>
      <c r="S69" s="7">
        <f>VC_NEW!N32</f>
        <v>0</v>
      </c>
      <c r="T69" s="7">
        <f>VC_NEW!O32</f>
        <v>0</v>
      </c>
      <c r="U69" s="7">
        <f>VC_NEW!P32</f>
        <v>0</v>
      </c>
      <c r="V69" s="7">
        <f>VC_NEW!Q32</f>
        <v>0</v>
      </c>
      <c r="W69" s="7">
        <f>VC_NEW!R32</f>
        <v>0</v>
      </c>
      <c r="X69" s="7">
        <f>VC_NEW!S32</f>
        <v>0</v>
      </c>
      <c r="Y69" s="7">
        <f>VC_NEW!T32</f>
        <v>0</v>
      </c>
      <c r="Z69" s="7">
        <f>VC_NEW!U32</f>
        <v>0</v>
      </c>
      <c r="AA69" s="7">
        <f>VC_NEW!V32</f>
        <v>0</v>
      </c>
      <c r="AB69" s="7">
        <f>VC_NEW!W32</f>
        <v>0</v>
      </c>
      <c r="AC69" s="7">
        <f>VC_NEW!X32</f>
        <v>0</v>
      </c>
      <c r="AD69" s="7">
        <f>VC_NEW!Y32</f>
        <v>0</v>
      </c>
      <c r="AE69" s="7">
        <f>VC_NEW!Z32</f>
        <v>0</v>
      </c>
      <c r="AF69" s="7">
        <f>VC_NEW!AA32</f>
        <v>0</v>
      </c>
      <c r="AG69" s="7">
        <f>VC_NEW!AB32</f>
        <v>0</v>
      </c>
      <c r="AH69" s="7" t="str">
        <f>VC_NEW!AC32</f>
        <v>S306N</v>
      </c>
      <c r="AI69" s="7">
        <f>VC_NEW!AD32</f>
        <v>0</v>
      </c>
      <c r="AJ69" s="7">
        <f>VC_NEW!AE32</f>
        <v>0</v>
      </c>
      <c r="AK69" s="7">
        <f>VC_NEW!AF32</f>
        <v>0</v>
      </c>
      <c r="AL69" s="7">
        <f>VC_NEW!AG32</f>
        <v>0</v>
      </c>
      <c r="AM69" s="7">
        <f>VC_NEW!AH32</f>
        <v>0</v>
      </c>
      <c r="AN69" s="7">
        <f>VC_NEW!AI32</f>
        <v>0</v>
      </c>
      <c r="AO69" s="7" t="str">
        <f>VC_NEW!AJ32</f>
        <v>A222G</v>
      </c>
      <c r="AP69" s="7">
        <f>VC_NEW!AK32</f>
        <v>0</v>
      </c>
      <c r="AQ69" s="7">
        <f>VC_NEW!AL32</f>
        <v>0</v>
      </c>
      <c r="AR69" s="7">
        <f>VC_NEW!AM32</f>
        <v>0</v>
      </c>
      <c r="AS69" s="7">
        <f>VC_NEW!AN32</f>
        <v>0</v>
      </c>
      <c r="AT69" s="7" t="str">
        <f>VC_NEW!AO32</f>
        <v>Y35S</v>
      </c>
      <c r="AU69" s="7" t="str">
        <f>VC_NEW!AP32</f>
        <v>X452ext</v>
      </c>
      <c r="AV69" s="7">
        <f>VC_NEW!AQ32</f>
        <v>0</v>
      </c>
      <c r="AW69" s="7">
        <f>VC_NEW!AR32</f>
        <v>0</v>
      </c>
      <c r="AX69" s="7">
        <f>VC_NEW!AS32</f>
        <v>0</v>
      </c>
      <c r="AY69" s="7">
        <f>VC_NEW!AT32</f>
        <v>0</v>
      </c>
      <c r="AZ69" s="7" t="str">
        <f>VC_NEW!AU32</f>
        <v>X452ext</v>
      </c>
      <c r="BA69" s="7">
        <f>VC_NEW!AV32</f>
        <v>0</v>
      </c>
      <c r="BB69" s="7">
        <f>VC_NEW!AW32</f>
        <v>0</v>
      </c>
      <c r="BC69" s="7">
        <f>VC_NEW!AX32</f>
        <v>0</v>
      </c>
      <c r="BD69" s="7">
        <f>VC_NEW!AY32</f>
        <v>0</v>
      </c>
      <c r="BE69" s="7">
        <f>VC_NEW!AZ32</f>
        <v>0</v>
      </c>
      <c r="BF69" s="7">
        <f>VC_NEW!BA32</f>
        <v>0</v>
      </c>
      <c r="BG69" s="7">
        <f>VC_NEW!BB32</f>
        <v>0</v>
      </c>
      <c r="BH69" s="7">
        <f>VC_NEW!BC32</f>
        <v>0</v>
      </c>
      <c r="BI69" s="7">
        <f>VC_NEW!BD32</f>
        <v>0</v>
      </c>
      <c r="BJ69" s="7">
        <f>VC_NEW!BE32</f>
        <v>0</v>
      </c>
      <c r="BK69" s="7">
        <f>VC_NEW!BF32</f>
        <v>0</v>
      </c>
      <c r="BL69" s="7">
        <f>VC_NEW!BG32</f>
        <v>0</v>
      </c>
      <c r="BM69" s="7">
        <f>VC_NEW!BH32</f>
        <v>0</v>
      </c>
      <c r="BN69" s="7">
        <f>VC_NEW!BI32</f>
        <v>0</v>
      </c>
      <c r="BO69" s="7">
        <f>VC_NEW!BJ32</f>
        <v>0</v>
      </c>
      <c r="BP69" s="7">
        <f>VC_NEW!BK32</f>
        <v>0</v>
      </c>
      <c r="BQ69" s="7">
        <f>VC_NEW!BL32</f>
        <v>0</v>
      </c>
      <c r="BR69" s="7" t="str">
        <f>VC_NEW!BM32</f>
        <v>aa436InsGGF</v>
      </c>
      <c r="BS69" s="7">
        <f>VC_NEW!BN32</f>
        <v>0</v>
      </c>
      <c r="BT69" s="7">
        <f>VC_NEW!BO32</f>
        <v>0</v>
      </c>
      <c r="BU69" s="7">
        <f>VC_NEW!BP32</f>
        <v>0</v>
      </c>
      <c r="BV69" s="7">
        <f>VC_NEW!BQ32</f>
        <v>0</v>
      </c>
      <c r="BW69" s="7">
        <f>VC_NEW!BR32</f>
        <v>0</v>
      </c>
      <c r="BX69" s="7">
        <f>VC_NEW!BS32</f>
        <v>0</v>
      </c>
      <c r="BY69" s="7">
        <f>VC_NEW!BT32</f>
        <v>0</v>
      </c>
      <c r="BZ69" s="7">
        <f>VC_NEW!BU32</f>
        <v>0</v>
      </c>
      <c r="CA69" s="7">
        <f>VC_NEW!BV32</f>
        <v>0</v>
      </c>
      <c r="CB69" s="7">
        <f>VC_NEW!BW32</f>
        <v>0</v>
      </c>
      <c r="CC69" s="7">
        <f>VC_NEW!BX32</f>
        <v>0</v>
      </c>
      <c r="CD69" s="7">
        <f>VC_NEW!BY32</f>
        <v>0</v>
      </c>
      <c r="CE69" s="7">
        <f>VC_NEW!BZ32</f>
        <v>0</v>
      </c>
      <c r="CF69" s="7" t="str">
        <f>VC_NEW!CA32</f>
        <v>V420M</v>
      </c>
      <c r="CG69" s="7">
        <f>VC_NEW!CB32</f>
        <v>0</v>
      </c>
      <c r="CH69" s="7">
        <f>VC_NEW!CC32</f>
        <v>0</v>
      </c>
      <c r="CI69" s="7">
        <f>VC_NEW!CD32</f>
        <v>0</v>
      </c>
      <c r="CJ69" s="7">
        <f>VC_NEW!CE32</f>
        <v>0</v>
      </c>
      <c r="CK69" s="7">
        <f>VC_NEW!CF32</f>
        <v>0</v>
      </c>
      <c r="CL69" s="7">
        <f>VC_NEW!CG32</f>
        <v>0</v>
      </c>
      <c r="CM69" s="7">
        <f>VC_NEW!CH32</f>
        <v>0</v>
      </c>
      <c r="CN69" s="7">
        <f>VC_NEW!CI32</f>
        <v>0</v>
      </c>
      <c r="CO69" s="7">
        <f>VC_NEW!CJ32</f>
        <v>0</v>
      </c>
      <c r="CP69" s="7">
        <f>VC_NEW!CK32</f>
        <v>0</v>
      </c>
      <c r="CQ69" s="7">
        <f>VC_NEW!CL32</f>
        <v>0</v>
      </c>
      <c r="CR69" s="7">
        <f>VC_NEW!CM32</f>
        <v>0</v>
      </c>
      <c r="CS69" s="7" t="str">
        <f>VC_NEW!CN32</f>
        <v>A331T; X452ext</v>
      </c>
      <c r="CT69" s="7">
        <f>VC_NEW!CO32</f>
        <v>0</v>
      </c>
      <c r="CU69" s="7" t="str">
        <f>VC_NEW!CP32</f>
        <v>C410T</v>
      </c>
      <c r="CV69" s="7">
        <f>VC_NEW!CQ32</f>
        <v>0</v>
      </c>
      <c r="CW69" s="7">
        <f>VC_NEW!CR32</f>
        <v>0</v>
      </c>
      <c r="CX69" s="7">
        <f>VC_NEW!CS32</f>
        <v>0</v>
      </c>
      <c r="CY69" s="7">
        <f>VC_NEW!CT32</f>
        <v>0</v>
      </c>
      <c r="CZ69" s="7">
        <f>VC_NEW!CU32</f>
        <v>0</v>
      </c>
      <c r="DA69" s="7">
        <f>VC_NEW!CV32</f>
        <v>0</v>
      </c>
      <c r="DB69" s="7">
        <f>VC_NEW!CW32</f>
        <v>0</v>
      </c>
      <c r="DC69" s="7">
        <f>VC_NEW!CX32</f>
        <v>0</v>
      </c>
      <c r="DD69" s="7">
        <f>VC_NEW!CY32</f>
        <v>0</v>
      </c>
      <c r="DE69" s="7">
        <f>VC_NEW!CZ32</f>
        <v>0</v>
      </c>
      <c r="DF69" s="7">
        <f>VC_NEW!DA32</f>
        <v>0</v>
      </c>
      <c r="DG69" s="7">
        <f>VC_NEW!DB32</f>
        <v>0</v>
      </c>
      <c r="DH69" s="7" t="str">
        <f>VC_NEW!DC32</f>
        <v>G231E</v>
      </c>
      <c r="DI69" s="7">
        <f>VC_NEW!DD32</f>
        <v>0</v>
      </c>
      <c r="DJ69" s="7">
        <f>VC_NEW!DE32</f>
        <v>0</v>
      </c>
      <c r="DK69" s="7">
        <f>VC_NEW!DF32</f>
        <v>0</v>
      </c>
      <c r="DL69" s="7" t="str">
        <f>VC_NEW!DG32</f>
        <v>P178L; X452ext</v>
      </c>
      <c r="DM69" s="7">
        <f>VC_NEW!DH32</f>
        <v>0</v>
      </c>
      <c r="DN69" s="7">
        <f>VC_NEW!DI32</f>
        <v>0</v>
      </c>
      <c r="DO69" s="7">
        <f>VC_NEW!DJ32</f>
        <v>0</v>
      </c>
      <c r="DP69" s="7">
        <f>VC_NEW!DK32</f>
        <v>0</v>
      </c>
      <c r="DQ69" s="7">
        <f>VC_NEW!DL32</f>
        <v>0</v>
      </c>
      <c r="DR69" s="7">
        <f>VC_NEW!DM32</f>
        <v>0</v>
      </c>
      <c r="DS69" s="7" t="str">
        <f>VC_NEW!DN32</f>
        <v>C410T</v>
      </c>
      <c r="DT69" s="7">
        <f>VC_NEW!DO32</f>
        <v>0</v>
      </c>
      <c r="DU69" s="7">
        <f>VC_NEW!DP32</f>
        <v>0</v>
      </c>
      <c r="DV69" s="7">
        <f>VC_NEW!DQ32</f>
        <v>0</v>
      </c>
      <c r="DW69" s="7">
        <f>VC_NEW!DR32</f>
        <v>0</v>
      </c>
      <c r="DX69" s="7">
        <f>VC_NEW!DS32</f>
        <v>0</v>
      </c>
      <c r="DY69" s="7">
        <f>VC_NEW!DT32</f>
        <v>0</v>
      </c>
      <c r="DZ69" s="7">
        <f>VC_NEW!DU32</f>
        <v>0</v>
      </c>
      <c r="EA69" s="7">
        <f>VC_NEW!DV32</f>
        <v>0</v>
      </c>
      <c r="EB69" s="7">
        <f>VC_NEW!DW32</f>
        <v>0</v>
      </c>
      <c r="EC69" s="7" t="str">
        <f>VC_NEW!DX32</f>
        <v>T115A; nt111InsC</v>
      </c>
      <c r="ED69" s="7">
        <f>VC_NEW!DY32</f>
        <v>0</v>
      </c>
      <c r="EE69" s="7">
        <f>VC_NEW!DZ32</f>
        <v>0</v>
      </c>
      <c r="EF69" s="7">
        <f>VC_NEW!EA32</f>
        <v>0</v>
      </c>
      <c r="EG69" s="7">
        <f>VC_NEW!EB32</f>
        <v>0</v>
      </c>
      <c r="EH69" s="7">
        <f>VC_NEW!EC32</f>
        <v>0</v>
      </c>
      <c r="EI69" s="7">
        <f>VC_NEW!ED32</f>
        <v>0</v>
      </c>
      <c r="EJ69" s="7" t="str">
        <f>VC_NEW!EE32</f>
        <v>aa35∆4</v>
      </c>
      <c r="EK69" s="7" t="str">
        <f>VC_NEW!EF32</f>
        <v>G231E</v>
      </c>
      <c r="EL69" s="7" t="str">
        <f>VC_NEW!EG32</f>
        <v>P274L</v>
      </c>
      <c r="EM69" s="7">
        <f>VC_NEW!EH32</f>
        <v>0</v>
      </c>
      <c r="EN69" s="7" t="str">
        <f>VC_NEW!EI32</f>
        <v>nt111InsC</v>
      </c>
      <c r="EO69" s="7">
        <f>VC_NEW!EJ32</f>
        <v>0</v>
      </c>
      <c r="EP69" s="7">
        <f>VC_NEW!EK32</f>
        <v>0</v>
      </c>
      <c r="EQ69" s="7">
        <f>VC_NEW!EL32</f>
        <v>0</v>
      </c>
      <c r="ER69" s="7">
        <f>VC_NEW!EM32</f>
        <v>0</v>
      </c>
      <c r="ES69" s="7">
        <f>VC_NEW!EN32</f>
        <v>0</v>
      </c>
      <c r="ET69" s="7" t="str">
        <f>VC_NEW!EO32</f>
        <v>H190Y</v>
      </c>
      <c r="EU69" s="7" t="str">
        <f>VC_NEW!EP32</f>
        <v>nt111InsC</v>
      </c>
      <c r="EV69" s="7">
        <f>VC_NEW!EQ32</f>
        <v>0</v>
      </c>
      <c r="EW69" s="7" t="str">
        <f>VC_NEW!ER32</f>
        <v>I266S; Q347R</v>
      </c>
      <c r="EX69" s="7">
        <f>VC_NEW!ES32</f>
        <v>0</v>
      </c>
      <c r="EY69" s="7">
        <f>VC_NEW!ET32</f>
        <v>0</v>
      </c>
      <c r="EZ69" s="7">
        <f>VC_NEW!EU32</f>
        <v>0</v>
      </c>
      <c r="FA69" s="7">
        <f>VC_NEW!EV32</f>
        <v>0</v>
      </c>
      <c r="FB69" s="7">
        <f>VC_NEW!EW32</f>
        <v>0</v>
      </c>
      <c r="FC69" s="7">
        <f>VC_NEW!EX32</f>
        <v>0</v>
      </c>
      <c r="FD69" s="7">
        <f>VC_NEW!EY32</f>
        <v>0</v>
      </c>
      <c r="FE69" s="7">
        <f>VC_NEW!EZ32</f>
        <v>0</v>
      </c>
      <c r="FF69" s="7" t="str">
        <f>VC_NEW!FA32</f>
        <v>X452ext</v>
      </c>
      <c r="FG69" s="7">
        <f>VC_NEW!FB32</f>
        <v>0</v>
      </c>
      <c r="FH69" s="7">
        <f>VC_NEW!FC32</f>
        <v>0</v>
      </c>
      <c r="FI69" s="7" t="str">
        <f>VC_NEW!FD32</f>
        <v>S131N; A428T</v>
      </c>
      <c r="FJ69" s="7">
        <f>VC_NEW!FE32</f>
        <v>0</v>
      </c>
      <c r="FK69" s="7">
        <f>VC_NEW!FF32</f>
        <v>0</v>
      </c>
      <c r="FL69" s="7" t="str">
        <f>VC_NEW!FG32</f>
        <v>R103P</v>
      </c>
      <c r="FM69" s="7">
        <f>VC_NEW!FH32</f>
        <v>0</v>
      </c>
      <c r="FN69" s="7">
        <f>VC_NEW!FI32</f>
        <v>0</v>
      </c>
      <c r="FO69" s="7">
        <f>VC_NEW!FJ32</f>
        <v>0</v>
      </c>
      <c r="FP69" s="7">
        <f>VC_NEW!FK32</f>
        <v>0</v>
      </c>
      <c r="FQ69" s="7" t="str">
        <f>VC_NEW!FL32</f>
        <v>V281F</v>
      </c>
      <c r="FR69" s="7">
        <f>VC_NEW!FM32</f>
        <v>0</v>
      </c>
      <c r="FS69" s="7">
        <f>VC_NEW!FN32</f>
        <v>0</v>
      </c>
      <c r="FT69" s="7">
        <f>VC_NEW!FO32</f>
        <v>0</v>
      </c>
      <c r="FU69" s="7">
        <f>VC_NEW!FP32</f>
        <v>0</v>
      </c>
      <c r="FV69" s="7">
        <f>VC_NEW!FQ32</f>
        <v>0</v>
      </c>
      <c r="FW69" s="7">
        <f>VC_NEW!FR32</f>
        <v>0</v>
      </c>
      <c r="FX69" s="7">
        <f>VC_NEW!FS32</f>
        <v>0</v>
      </c>
      <c r="FY69" s="7">
        <f>VC_NEW!FT32</f>
        <v>0</v>
      </c>
      <c r="FZ69" s="7">
        <f>VC_NEW!FU32</f>
        <v>0</v>
      </c>
      <c r="GA69" s="7">
        <f>VC_NEW!FV32</f>
        <v>0</v>
      </c>
      <c r="GB69" s="7" t="str">
        <f>VC_NEW!FW32</f>
        <v>nt111∆1</v>
      </c>
      <c r="GC69" s="7">
        <f>VC_NEW!FX32</f>
        <v>0</v>
      </c>
      <c r="GD69" s="7">
        <f>VC_NEW!FY32</f>
        <v>0</v>
      </c>
      <c r="GE69" s="7">
        <f>VC_NEW!FZ32</f>
        <v>0</v>
      </c>
      <c r="GF69" s="7">
        <f>VC_NEW!GA32</f>
        <v>0</v>
      </c>
      <c r="GG69" s="7">
        <f>VC_NEW!GB32</f>
        <v>0</v>
      </c>
      <c r="GH69" s="7">
        <f>VC_NEW!GC32</f>
        <v>0</v>
      </c>
      <c r="GI69" s="7">
        <f>VC_NEW!GD32</f>
        <v>0</v>
      </c>
      <c r="GJ69" s="7">
        <f>VC_NEW!GE32</f>
        <v>0</v>
      </c>
      <c r="GK69" s="7">
        <f>VC_NEW!GF32</f>
        <v>0</v>
      </c>
      <c r="GL69" s="7">
        <f>VC_NEW!GG32</f>
        <v>0</v>
      </c>
      <c r="GM69" s="7">
        <f>VC_NEW!GH32</f>
        <v>0</v>
      </c>
      <c r="GN69" s="7">
        <f>VC_NEW!GI32</f>
        <v>0</v>
      </c>
      <c r="GO69" s="7">
        <f>VC_NEW!GJ32</f>
        <v>0</v>
      </c>
      <c r="GP69" s="7">
        <f>VC_NEW!GK32</f>
        <v>0</v>
      </c>
      <c r="GQ69" s="7">
        <f>VC_NEW!GL32</f>
        <v>0</v>
      </c>
      <c r="GR69" s="7">
        <f>VC_NEW!GM32</f>
        <v>0</v>
      </c>
      <c r="GS69" s="7">
        <f>VC_NEW!GN32</f>
        <v>0</v>
      </c>
      <c r="GT69" s="7">
        <f>VC_NEW!GO32</f>
        <v>0</v>
      </c>
      <c r="GU69" s="7">
        <f>VC_NEW!GP32</f>
        <v>0</v>
      </c>
      <c r="GV69" s="7">
        <f>VC_NEW!GQ32</f>
        <v>0</v>
      </c>
      <c r="GW69" s="7">
        <f>VC_NEW!GR32</f>
        <v>0</v>
      </c>
      <c r="GX69" s="7">
        <f>VC_NEW!GS32</f>
        <v>0</v>
      </c>
      <c r="GY69" s="7">
        <f>VC_NEW!GT32</f>
        <v>0</v>
      </c>
      <c r="GZ69" s="7">
        <f>VC_NEW!GU32</f>
        <v>0</v>
      </c>
      <c r="HA69" s="7">
        <f>VC_NEW!GV32</f>
        <v>0</v>
      </c>
      <c r="HB69" s="7">
        <f>VC_NEW!GW32</f>
        <v>0</v>
      </c>
      <c r="HC69" s="7">
        <f>VC_NEW!GX32</f>
        <v>0</v>
      </c>
    </row>
    <row r="70" spans="1:211" s="7" customFormat="1" ht="15" hidden="1" customHeight="1" x14ac:dyDescent="0.25">
      <c r="A70" s="30" t="s">
        <v>26</v>
      </c>
      <c r="B70" s="30" t="s">
        <v>27</v>
      </c>
      <c r="C70" s="31" t="s">
        <v>3</v>
      </c>
      <c r="D70" s="30" t="s">
        <v>76</v>
      </c>
      <c r="E70" s="30" t="s">
        <v>139</v>
      </c>
      <c r="F70" s="30" t="s">
        <v>74</v>
      </c>
      <c r="G70" s="30" t="s">
        <v>136</v>
      </c>
      <c r="H70" s="7">
        <f>VC_NEW!C32</f>
        <v>0</v>
      </c>
      <c r="I70" s="7">
        <f>VC_NEW!D32</f>
        <v>0</v>
      </c>
      <c r="J70" s="7" t="str">
        <f>VC_NEW!E32</f>
        <v>A356V</v>
      </c>
      <c r="K70" s="7">
        <f>VC_NEW!F32</f>
        <v>0</v>
      </c>
      <c r="L70" s="7">
        <f>VC_NEW!G32</f>
        <v>0</v>
      </c>
      <c r="M70" s="7">
        <f>VC_NEW!H32</f>
        <v>0</v>
      </c>
      <c r="N70" s="7">
        <f>VC_NEW!I32</f>
        <v>0</v>
      </c>
      <c r="O70" s="7">
        <f>VC_NEW!J32</f>
        <v>0</v>
      </c>
      <c r="P70" s="7" t="str">
        <f>VC_NEW!K32</f>
        <v>A286V</v>
      </c>
      <c r="Q70" s="7">
        <f>VC_NEW!L32</f>
        <v>0</v>
      </c>
      <c r="R70" s="7">
        <f>VC_NEW!M32</f>
        <v>0</v>
      </c>
      <c r="S70" s="7">
        <f>VC_NEW!N32</f>
        <v>0</v>
      </c>
      <c r="T70" s="7">
        <f>VC_NEW!O32</f>
        <v>0</v>
      </c>
      <c r="U70" s="7">
        <f>VC_NEW!P32</f>
        <v>0</v>
      </c>
      <c r="V70" s="7">
        <f>VC_NEW!Q32</f>
        <v>0</v>
      </c>
      <c r="W70" s="7">
        <f>VC_NEW!R32</f>
        <v>0</v>
      </c>
      <c r="X70" s="7">
        <f>VC_NEW!S32</f>
        <v>0</v>
      </c>
      <c r="Y70" s="7">
        <f>VC_NEW!T32</f>
        <v>0</v>
      </c>
      <c r="Z70" s="7">
        <f>VC_NEW!U32</f>
        <v>0</v>
      </c>
      <c r="AA70" s="7">
        <f>VC_NEW!V32</f>
        <v>0</v>
      </c>
      <c r="AB70" s="7">
        <f>VC_NEW!W32</f>
        <v>0</v>
      </c>
      <c r="AC70" s="7">
        <f>VC_NEW!X32</f>
        <v>0</v>
      </c>
      <c r="AD70" s="7">
        <f>VC_NEW!Y32</f>
        <v>0</v>
      </c>
      <c r="AE70" s="7">
        <f>VC_NEW!Z32</f>
        <v>0</v>
      </c>
      <c r="AF70" s="7">
        <f>VC_NEW!AA32</f>
        <v>0</v>
      </c>
      <c r="AG70" s="7">
        <f>VC_NEW!AB32</f>
        <v>0</v>
      </c>
      <c r="AH70" s="7" t="str">
        <f>VC_NEW!AC32</f>
        <v>S306N</v>
      </c>
      <c r="AI70" s="7">
        <f>VC_NEW!AD32</f>
        <v>0</v>
      </c>
      <c r="AJ70" s="7">
        <f>VC_NEW!AE32</f>
        <v>0</v>
      </c>
      <c r="AK70" s="7">
        <f>VC_NEW!AF32</f>
        <v>0</v>
      </c>
      <c r="AL70" s="7">
        <f>VC_NEW!AG32</f>
        <v>0</v>
      </c>
      <c r="AM70" s="7">
        <f>VC_NEW!AH32</f>
        <v>0</v>
      </c>
      <c r="AN70" s="7">
        <f>VC_NEW!AI32</f>
        <v>0</v>
      </c>
      <c r="AO70" s="7" t="str">
        <f>VC_NEW!AJ32</f>
        <v>A222G</v>
      </c>
      <c r="AP70" s="7">
        <f>VC_NEW!AK32</f>
        <v>0</v>
      </c>
      <c r="AQ70" s="7">
        <f>VC_NEW!AL32</f>
        <v>0</v>
      </c>
      <c r="AR70" s="7">
        <f>VC_NEW!AM32</f>
        <v>0</v>
      </c>
      <c r="AS70" s="7">
        <f>VC_NEW!AN32</f>
        <v>0</v>
      </c>
      <c r="AT70" s="7" t="str">
        <f>VC_NEW!AO32</f>
        <v>Y35S</v>
      </c>
      <c r="AU70" s="7" t="str">
        <f>VC_NEW!AP32</f>
        <v>X452ext</v>
      </c>
      <c r="AV70" s="7">
        <f>VC_NEW!AQ32</f>
        <v>0</v>
      </c>
      <c r="AW70" s="7">
        <f>VC_NEW!AR32</f>
        <v>0</v>
      </c>
      <c r="AX70" s="7">
        <f>VC_NEW!AS32</f>
        <v>0</v>
      </c>
      <c r="AY70" s="7">
        <f>VC_NEW!AT32</f>
        <v>0</v>
      </c>
      <c r="AZ70" s="7" t="str">
        <f>VC_NEW!AU32</f>
        <v>X452ext</v>
      </c>
      <c r="BA70" s="7">
        <f>VC_NEW!AV32</f>
        <v>0</v>
      </c>
      <c r="BB70" s="7">
        <f>VC_NEW!AW32</f>
        <v>0</v>
      </c>
      <c r="BC70" s="7">
        <f>VC_NEW!AX32</f>
        <v>0</v>
      </c>
      <c r="BD70" s="7">
        <f>VC_NEW!AY32</f>
        <v>0</v>
      </c>
      <c r="BE70" s="7">
        <f>VC_NEW!AZ32</f>
        <v>0</v>
      </c>
      <c r="BF70" s="7">
        <f>VC_NEW!BA32</f>
        <v>0</v>
      </c>
      <c r="BG70" s="7">
        <f>VC_NEW!BB32</f>
        <v>0</v>
      </c>
      <c r="BH70" s="7">
        <f>VC_NEW!BC32</f>
        <v>0</v>
      </c>
      <c r="BI70" s="7">
        <f>VC_NEW!BD32</f>
        <v>0</v>
      </c>
      <c r="BJ70" s="7">
        <f>VC_NEW!BE32</f>
        <v>0</v>
      </c>
      <c r="BK70" s="7">
        <f>VC_NEW!BF32</f>
        <v>0</v>
      </c>
      <c r="BL70" s="7">
        <f>VC_NEW!BG32</f>
        <v>0</v>
      </c>
      <c r="BM70" s="7">
        <f>VC_NEW!BH32</f>
        <v>0</v>
      </c>
      <c r="BN70" s="7">
        <f>VC_NEW!BI32</f>
        <v>0</v>
      </c>
      <c r="BO70" s="7">
        <f>VC_NEW!BJ32</f>
        <v>0</v>
      </c>
      <c r="BP70" s="7">
        <f>VC_NEW!BK32</f>
        <v>0</v>
      </c>
      <c r="BQ70" s="7">
        <f>VC_NEW!BL32</f>
        <v>0</v>
      </c>
      <c r="BR70" s="7" t="str">
        <f>VC_NEW!BM32</f>
        <v>aa436InsGGF</v>
      </c>
      <c r="BS70" s="7">
        <f>VC_NEW!BN32</f>
        <v>0</v>
      </c>
      <c r="BT70" s="7">
        <f>VC_NEW!BO32</f>
        <v>0</v>
      </c>
      <c r="BU70" s="7">
        <f>VC_NEW!BP32</f>
        <v>0</v>
      </c>
      <c r="BV70" s="7">
        <f>VC_NEW!BQ32</f>
        <v>0</v>
      </c>
      <c r="BW70" s="7">
        <f>VC_NEW!BR32</f>
        <v>0</v>
      </c>
      <c r="BX70" s="7">
        <f>VC_NEW!BS32</f>
        <v>0</v>
      </c>
      <c r="BY70" s="7">
        <f>VC_NEW!BT32</f>
        <v>0</v>
      </c>
      <c r="BZ70" s="7">
        <f>VC_NEW!BU32</f>
        <v>0</v>
      </c>
      <c r="CA70" s="7">
        <f>VC_NEW!BV32</f>
        <v>0</v>
      </c>
      <c r="CB70" s="7">
        <f>VC_NEW!BW32</f>
        <v>0</v>
      </c>
      <c r="CC70" s="7">
        <f>VC_NEW!BX32</f>
        <v>0</v>
      </c>
      <c r="CD70" s="7">
        <f>VC_NEW!BY32</f>
        <v>0</v>
      </c>
      <c r="CE70" s="7">
        <f>VC_NEW!BZ32</f>
        <v>0</v>
      </c>
      <c r="CF70" s="7" t="str">
        <f>VC_NEW!CA32</f>
        <v>V420M</v>
      </c>
      <c r="CG70" s="7">
        <f>VC_NEW!CB32</f>
        <v>0</v>
      </c>
      <c r="CH70" s="7">
        <f>VC_NEW!CC32</f>
        <v>0</v>
      </c>
      <c r="CI70" s="7">
        <f>VC_NEW!CD32</f>
        <v>0</v>
      </c>
      <c r="CJ70" s="7">
        <f>VC_NEW!CE32</f>
        <v>0</v>
      </c>
      <c r="CK70" s="7">
        <f>VC_NEW!CF32</f>
        <v>0</v>
      </c>
      <c r="CL70" s="7">
        <f>VC_NEW!CG32</f>
        <v>0</v>
      </c>
      <c r="CM70" s="7">
        <f>VC_NEW!CH32</f>
        <v>0</v>
      </c>
      <c r="CN70" s="7">
        <f>VC_NEW!CI32</f>
        <v>0</v>
      </c>
      <c r="CO70" s="7">
        <f>VC_NEW!CJ32</f>
        <v>0</v>
      </c>
      <c r="CP70" s="7">
        <f>VC_NEW!CK32</f>
        <v>0</v>
      </c>
      <c r="CQ70" s="7">
        <f>VC_NEW!CL32</f>
        <v>0</v>
      </c>
      <c r="CR70" s="7">
        <f>VC_NEW!CM32</f>
        <v>0</v>
      </c>
      <c r="CS70" s="7" t="str">
        <f>VC_NEW!CN32</f>
        <v>A331T; X452ext</v>
      </c>
      <c r="CT70" s="7">
        <f>VC_NEW!CO32</f>
        <v>0</v>
      </c>
      <c r="CU70" s="7" t="str">
        <f>VC_NEW!CP32</f>
        <v>C410T</v>
      </c>
      <c r="CV70" s="7">
        <f>VC_NEW!CQ32</f>
        <v>0</v>
      </c>
      <c r="CW70" s="7">
        <f>VC_NEW!CR32</f>
        <v>0</v>
      </c>
      <c r="CX70" s="7">
        <f>VC_NEW!CS32</f>
        <v>0</v>
      </c>
      <c r="CY70" s="7">
        <f>VC_NEW!CT32</f>
        <v>0</v>
      </c>
      <c r="CZ70" s="7">
        <f>VC_NEW!CU32</f>
        <v>0</v>
      </c>
      <c r="DA70" s="7">
        <f>VC_NEW!CV32</f>
        <v>0</v>
      </c>
      <c r="DB70" s="7">
        <f>VC_NEW!CW32</f>
        <v>0</v>
      </c>
      <c r="DC70" s="7">
        <f>VC_NEW!CX32</f>
        <v>0</v>
      </c>
      <c r="DD70" s="7">
        <f>VC_NEW!CY32</f>
        <v>0</v>
      </c>
      <c r="DE70" s="7">
        <f>VC_NEW!CZ32</f>
        <v>0</v>
      </c>
      <c r="DF70" s="7">
        <f>VC_NEW!DA32</f>
        <v>0</v>
      </c>
      <c r="DG70" s="7">
        <f>VC_NEW!DB32</f>
        <v>0</v>
      </c>
      <c r="DH70" s="7" t="str">
        <f>VC_NEW!DC32</f>
        <v>G231E</v>
      </c>
      <c r="DI70" s="7">
        <f>VC_NEW!DD32</f>
        <v>0</v>
      </c>
      <c r="DJ70" s="7">
        <f>VC_NEW!DE32</f>
        <v>0</v>
      </c>
      <c r="DK70" s="7">
        <f>VC_NEW!DF32</f>
        <v>0</v>
      </c>
      <c r="DL70" s="7" t="str">
        <f>VC_NEW!DG32</f>
        <v>P178L; X452ext</v>
      </c>
      <c r="DM70" s="7">
        <f>VC_NEW!DH32</f>
        <v>0</v>
      </c>
      <c r="DN70" s="7">
        <f>VC_NEW!DI32</f>
        <v>0</v>
      </c>
      <c r="DO70" s="7">
        <f>VC_NEW!DJ32</f>
        <v>0</v>
      </c>
      <c r="DP70" s="7">
        <f>VC_NEW!DK32</f>
        <v>0</v>
      </c>
      <c r="DQ70" s="7">
        <f>VC_NEW!DL32</f>
        <v>0</v>
      </c>
      <c r="DR70" s="7">
        <f>VC_NEW!DM32</f>
        <v>0</v>
      </c>
      <c r="DS70" s="7" t="str">
        <f>VC_NEW!DN32</f>
        <v>C410T</v>
      </c>
      <c r="DT70" s="7">
        <f>VC_NEW!DO32</f>
        <v>0</v>
      </c>
      <c r="DU70" s="7">
        <f>VC_NEW!DP32</f>
        <v>0</v>
      </c>
      <c r="DV70" s="7">
        <f>VC_NEW!DQ32</f>
        <v>0</v>
      </c>
      <c r="DW70" s="7">
        <f>VC_NEW!DR32</f>
        <v>0</v>
      </c>
      <c r="DX70" s="7">
        <f>VC_NEW!DS32</f>
        <v>0</v>
      </c>
      <c r="DY70" s="7">
        <f>VC_NEW!DT32</f>
        <v>0</v>
      </c>
      <c r="DZ70" s="7">
        <f>VC_NEW!DU32</f>
        <v>0</v>
      </c>
      <c r="EA70" s="7">
        <f>VC_NEW!DV32</f>
        <v>0</v>
      </c>
      <c r="EB70" s="7">
        <f>VC_NEW!DW32</f>
        <v>0</v>
      </c>
      <c r="EC70" s="7" t="str">
        <f>VC_NEW!DX32</f>
        <v>T115A; nt111InsC</v>
      </c>
      <c r="ED70" s="7">
        <f>VC_NEW!DY32</f>
        <v>0</v>
      </c>
      <c r="EE70" s="7">
        <f>VC_NEW!DZ32</f>
        <v>0</v>
      </c>
      <c r="EF70" s="7">
        <f>VC_NEW!EA32</f>
        <v>0</v>
      </c>
      <c r="EG70" s="7">
        <f>VC_NEW!EB32</f>
        <v>0</v>
      </c>
      <c r="EH70" s="7">
        <f>VC_NEW!EC32</f>
        <v>0</v>
      </c>
      <c r="EI70" s="7">
        <f>VC_NEW!ED32</f>
        <v>0</v>
      </c>
      <c r="EJ70" s="7" t="str">
        <f>VC_NEW!EE32</f>
        <v>aa35∆4</v>
      </c>
      <c r="EK70" s="7" t="str">
        <f>VC_NEW!EF32</f>
        <v>G231E</v>
      </c>
      <c r="EL70" s="7" t="str">
        <f>VC_NEW!EG32</f>
        <v>P274L</v>
      </c>
      <c r="EM70" s="7">
        <f>VC_NEW!EH32</f>
        <v>0</v>
      </c>
      <c r="EN70" s="7" t="str">
        <f>VC_NEW!EI32</f>
        <v>nt111InsC</v>
      </c>
      <c r="EO70" s="7">
        <f>VC_NEW!EJ32</f>
        <v>0</v>
      </c>
      <c r="EP70" s="7">
        <f>VC_NEW!EK32</f>
        <v>0</v>
      </c>
      <c r="EQ70" s="7">
        <f>VC_NEW!EL32</f>
        <v>0</v>
      </c>
      <c r="ER70" s="7">
        <f>VC_NEW!EM32</f>
        <v>0</v>
      </c>
      <c r="ES70" s="7">
        <f>VC_NEW!EN32</f>
        <v>0</v>
      </c>
      <c r="ET70" s="7" t="str">
        <f>VC_NEW!EO32</f>
        <v>H190Y</v>
      </c>
      <c r="EU70" s="7" t="str">
        <f>VC_NEW!EP32</f>
        <v>nt111InsC</v>
      </c>
      <c r="EV70" s="7">
        <f>VC_NEW!EQ32</f>
        <v>0</v>
      </c>
      <c r="EW70" s="7" t="str">
        <f>VC_NEW!ER32</f>
        <v>I266S; Q347R</v>
      </c>
      <c r="EX70" s="7">
        <f>VC_NEW!ES32</f>
        <v>0</v>
      </c>
      <c r="EY70" s="7">
        <f>VC_NEW!ET32</f>
        <v>0</v>
      </c>
      <c r="EZ70" s="7">
        <f>VC_NEW!EU32</f>
        <v>0</v>
      </c>
      <c r="FA70" s="7">
        <f>VC_NEW!EV32</f>
        <v>0</v>
      </c>
      <c r="FB70" s="7">
        <f>VC_NEW!EW32</f>
        <v>0</v>
      </c>
      <c r="FC70" s="7">
        <f>VC_NEW!EX32</f>
        <v>0</v>
      </c>
      <c r="FD70" s="7">
        <f>VC_NEW!EY32</f>
        <v>0</v>
      </c>
      <c r="FE70" s="7">
        <f>VC_NEW!EZ32</f>
        <v>0</v>
      </c>
      <c r="FF70" s="7" t="str">
        <f>VC_NEW!FA32</f>
        <v>X452ext</v>
      </c>
      <c r="FG70" s="7">
        <f>VC_NEW!FB32</f>
        <v>0</v>
      </c>
      <c r="FH70" s="7">
        <f>VC_NEW!FC32</f>
        <v>0</v>
      </c>
      <c r="FI70" s="7" t="str">
        <f>VC_NEW!FD32</f>
        <v>S131N; A428T</v>
      </c>
      <c r="FJ70" s="7">
        <f>VC_NEW!FE32</f>
        <v>0</v>
      </c>
      <c r="FK70" s="7">
        <f>VC_NEW!FF32</f>
        <v>0</v>
      </c>
      <c r="FL70" s="7" t="str">
        <f>VC_NEW!FG32</f>
        <v>R103P</v>
      </c>
      <c r="FM70" s="7">
        <f>VC_NEW!FH32</f>
        <v>0</v>
      </c>
      <c r="FN70" s="7">
        <f>VC_NEW!FI32</f>
        <v>0</v>
      </c>
      <c r="FO70" s="7">
        <f>VC_NEW!FJ32</f>
        <v>0</v>
      </c>
      <c r="FP70" s="7">
        <f>VC_NEW!FK32</f>
        <v>0</v>
      </c>
      <c r="FQ70" s="7" t="str">
        <f>VC_NEW!FL32</f>
        <v>V281F</v>
      </c>
      <c r="FR70" s="7">
        <f>VC_NEW!FM32</f>
        <v>0</v>
      </c>
      <c r="FS70" s="7">
        <f>VC_NEW!FN32</f>
        <v>0</v>
      </c>
      <c r="FT70" s="7">
        <f>VC_NEW!FO32</f>
        <v>0</v>
      </c>
      <c r="FU70" s="7">
        <f>VC_NEW!FP32</f>
        <v>0</v>
      </c>
      <c r="FV70" s="7">
        <f>VC_NEW!FQ32</f>
        <v>0</v>
      </c>
      <c r="FW70" s="7">
        <f>VC_NEW!FR32</f>
        <v>0</v>
      </c>
      <c r="FX70" s="7">
        <f>VC_NEW!FS32</f>
        <v>0</v>
      </c>
      <c r="FY70" s="7">
        <f>VC_NEW!FT32</f>
        <v>0</v>
      </c>
      <c r="FZ70" s="7">
        <f>VC_NEW!FU32</f>
        <v>0</v>
      </c>
      <c r="GA70" s="7">
        <f>VC_NEW!FV32</f>
        <v>0</v>
      </c>
      <c r="GB70" s="7" t="str">
        <f>VC_NEW!FW32</f>
        <v>nt111∆1</v>
      </c>
      <c r="GC70" s="7">
        <f>VC_NEW!FX32</f>
        <v>0</v>
      </c>
      <c r="GD70" s="7">
        <f>VC_NEW!FY32</f>
        <v>0</v>
      </c>
      <c r="GE70" s="7">
        <f>VC_NEW!FZ32</f>
        <v>0</v>
      </c>
      <c r="GF70" s="7">
        <f>VC_NEW!GA32</f>
        <v>0</v>
      </c>
      <c r="GG70" s="7">
        <f>VC_NEW!GB32</f>
        <v>0</v>
      </c>
      <c r="GH70" s="7">
        <f>VC_NEW!GC32</f>
        <v>0</v>
      </c>
      <c r="GI70" s="7">
        <f>VC_NEW!GD32</f>
        <v>0</v>
      </c>
      <c r="GJ70" s="7">
        <f>VC_NEW!GE32</f>
        <v>0</v>
      </c>
      <c r="GK70" s="7">
        <f>VC_NEW!GF32</f>
        <v>0</v>
      </c>
      <c r="GL70" s="7">
        <f>VC_NEW!GG32</f>
        <v>0</v>
      </c>
      <c r="GM70" s="7">
        <f>VC_NEW!GH32</f>
        <v>0</v>
      </c>
      <c r="GN70" s="7">
        <f>VC_NEW!GI32</f>
        <v>0</v>
      </c>
      <c r="GO70" s="7">
        <f>VC_NEW!GJ32</f>
        <v>0</v>
      </c>
      <c r="GP70" s="7">
        <f>VC_NEW!GK32</f>
        <v>0</v>
      </c>
      <c r="GQ70" s="7">
        <f>VC_NEW!GL32</f>
        <v>0</v>
      </c>
      <c r="GR70" s="7">
        <f>VC_NEW!GM32</f>
        <v>0</v>
      </c>
      <c r="GS70" s="7">
        <f>VC_NEW!GN32</f>
        <v>0</v>
      </c>
      <c r="GT70" s="7">
        <f>VC_NEW!GO32</f>
        <v>0</v>
      </c>
      <c r="GU70" s="7">
        <f>VC_NEW!GP32</f>
        <v>0</v>
      </c>
      <c r="GV70" s="7">
        <f>VC_NEW!GQ32</f>
        <v>0</v>
      </c>
      <c r="GW70" s="7">
        <f>VC_NEW!GR32</f>
        <v>0</v>
      </c>
      <c r="GX70" s="7">
        <f>VC_NEW!GS32</f>
        <v>0</v>
      </c>
      <c r="GY70" s="7">
        <f>VC_NEW!GT32</f>
        <v>0</v>
      </c>
      <c r="GZ70" s="7">
        <f>VC_NEW!GU32</f>
        <v>0</v>
      </c>
      <c r="HA70" s="7">
        <f>VC_NEW!GV32</f>
        <v>0</v>
      </c>
      <c r="HB70" s="7">
        <f>VC_NEW!GW32</f>
        <v>0</v>
      </c>
      <c r="HC70" s="7">
        <f>VC_NEW!GX32</f>
        <v>0</v>
      </c>
    </row>
    <row r="71" spans="1:211" s="1" customFormat="1" ht="15" customHeight="1" thickBot="1" x14ac:dyDescent="0.3">
      <c r="A71" s="30" t="s">
        <v>28</v>
      </c>
      <c r="B71" s="30" t="s">
        <v>29</v>
      </c>
      <c r="C71" s="31" t="s">
        <v>1</v>
      </c>
      <c r="D71" s="30" t="s">
        <v>76</v>
      </c>
      <c r="E71" s="30">
        <v>1</v>
      </c>
      <c r="F71" s="30" t="s">
        <v>73</v>
      </c>
      <c r="G71" s="30" t="s">
        <v>148</v>
      </c>
      <c r="H71" s="1">
        <f>VC_NEW!C33</f>
        <v>0</v>
      </c>
      <c r="I71" s="1">
        <f>VC_NEW!D33</f>
        <v>0</v>
      </c>
      <c r="J71" s="1">
        <f>VC_NEW!E33</f>
        <v>0</v>
      </c>
      <c r="K71" s="1">
        <f>VC_NEW!F33</f>
        <v>0</v>
      </c>
      <c r="L71" s="1">
        <f>VC_NEW!G33</f>
        <v>0</v>
      </c>
      <c r="M71" s="1">
        <f>VC_NEW!H33</f>
        <v>0</v>
      </c>
      <c r="N71" s="1">
        <f>VC_NEW!I33</f>
        <v>0</v>
      </c>
      <c r="O71" s="1">
        <f>VC_NEW!J33</f>
        <v>0</v>
      </c>
      <c r="P71" s="1">
        <f>VC_NEW!K33</f>
        <v>0</v>
      </c>
      <c r="Q71" s="1">
        <f>VC_NEW!L33</f>
        <v>0</v>
      </c>
      <c r="R71" s="1">
        <f>VC_NEW!M33</f>
        <v>0</v>
      </c>
      <c r="S71" s="1">
        <f>VC_NEW!N33</f>
        <v>0</v>
      </c>
      <c r="T71" s="1">
        <f>VC_NEW!O33</f>
        <v>0</v>
      </c>
      <c r="U71" s="1">
        <f>VC_NEW!P33</f>
        <v>0</v>
      </c>
      <c r="V71" s="1">
        <f>VC_NEW!Q33</f>
        <v>0</v>
      </c>
      <c r="W71" s="1">
        <f>VC_NEW!R33</f>
        <v>0</v>
      </c>
      <c r="X71" s="1">
        <f>VC_NEW!S33</f>
        <v>0</v>
      </c>
      <c r="Y71" s="1">
        <f>VC_NEW!T33</f>
        <v>0</v>
      </c>
      <c r="Z71" s="1">
        <f>VC_NEW!U33</f>
        <v>0</v>
      </c>
      <c r="AA71" s="1">
        <f>VC_NEW!V33</f>
        <v>0</v>
      </c>
      <c r="AB71" s="1">
        <f>VC_NEW!W33</f>
        <v>0</v>
      </c>
      <c r="AC71" s="1">
        <f>VC_NEW!X33</f>
        <v>0</v>
      </c>
      <c r="AD71" s="1">
        <f>VC_NEW!Y33</f>
        <v>0</v>
      </c>
      <c r="AE71" s="1">
        <f>VC_NEW!Z33</f>
        <v>0</v>
      </c>
      <c r="AF71" s="1">
        <f>VC_NEW!AA33</f>
        <v>0</v>
      </c>
      <c r="AG71" s="1">
        <f>VC_NEW!AB33</f>
        <v>0</v>
      </c>
      <c r="AH71" s="1">
        <f>VC_NEW!AC33</f>
        <v>0</v>
      </c>
      <c r="AI71" s="1">
        <f>VC_NEW!AD33</f>
        <v>0</v>
      </c>
      <c r="AJ71" s="1">
        <f>VC_NEW!AE33</f>
        <v>0</v>
      </c>
      <c r="AK71" s="1">
        <f>VC_NEW!AF33</f>
        <v>0</v>
      </c>
      <c r="AL71" s="1">
        <f>VC_NEW!AG33</f>
        <v>0</v>
      </c>
      <c r="AM71" s="1">
        <f>VC_NEW!AH33</f>
        <v>0</v>
      </c>
      <c r="AN71" s="1">
        <f>VC_NEW!AI33</f>
        <v>0</v>
      </c>
      <c r="AO71" s="1">
        <f>VC_NEW!AJ33</f>
        <v>0</v>
      </c>
      <c r="AP71" s="1">
        <f>VC_NEW!AK33</f>
        <v>0</v>
      </c>
      <c r="AQ71" s="1">
        <f>VC_NEW!AL33</f>
        <v>0</v>
      </c>
      <c r="AR71" s="1">
        <f>VC_NEW!AM33</f>
        <v>0</v>
      </c>
      <c r="AS71" s="1">
        <f>VC_NEW!AN33</f>
        <v>0</v>
      </c>
      <c r="AT71" s="1">
        <f>VC_NEW!AO33</f>
        <v>0</v>
      </c>
      <c r="AU71" s="1">
        <f>VC_NEW!AP33</f>
        <v>0</v>
      </c>
      <c r="AV71" s="1">
        <f>VC_NEW!AQ33</f>
        <v>0</v>
      </c>
      <c r="AW71" s="1">
        <f>VC_NEW!AR33</f>
        <v>0</v>
      </c>
      <c r="AX71" s="1">
        <f>VC_NEW!AS33</f>
        <v>0</v>
      </c>
      <c r="AY71" s="1">
        <f>VC_NEW!AT33</f>
        <v>0</v>
      </c>
      <c r="AZ71" s="1">
        <f>VC_NEW!AU33</f>
        <v>0</v>
      </c>
      <c r="BA71" s="1" t="str">
        <f>VC_NEW!AV33</f>
        <v>G154R</v>
      </c>
      <c r="BB71" s="1">
        <f>VC_NEW!AW33</f>
        <v>0</v>
      </c>
      <c r="BC71" s="1" t="str">
        <f>VC_NEW!AX33</f>
        <v>G154R</v>
      </c>
      <c r="BD71" s="1">
        <f>VC_NEW!AY33</f>
        <v>0</v>
      </c>
      <c r="BE71" s="1">
        <f>VC_NEW!AZ33</f>
        <v>0</v>
      </c>
      <c r="BF71" s="1">
        <f>VC_NEW!BA33</f>
        <v>0</v>
      </c>
      <c r="BG71" s="1" t="str">
        <f>VC_NEW!BB33</f>
        <v>A16V</v>
      </c>
      <c r="BH71" s="1">
        <f>VC_NEW!BC33</f>
        <v>0</v>
      </c>
      <c r="BI71" s="1" t="str">
        <f>VC_NEW!BD33</f>
        <v>G154R</v>
      </c>
      <c r="BJ71" s="1">
        <f>VC_NEW!BE33</f>
        <v>0</v>
      </c>
      <c r="BK71" s="1" t="str">
        <f>VC_NEW!BF33</f>
        <v>nt66InsCC</v>
      </c>
      <c r="BL71" s="1">
        <f>VC_NEW!BG33</f>
        <v>0</v>
      </c>
      <c r="BM71" s="1" t="str">
        <f>VC_NEW!BH33</f>
        <v>G295R</v>
      </c>
      <c r="BN71" s="1" t="str">
        <f>VC_NEW!BI33</f>
        <v>D135G</v>
      </c>
      <c r="BO71" s="1">
        <f>VC_NEW!BJ33</f>
        <v>0</v>
      </c>
      <c r="BP71" s="1">
        <f>VC_NEW!BK33</f>
        <v>0</v>
      </c>
      <c r="BQ71" s="1">
        <f>VC_NEW!BL33</f>
        <v>0</v>
      </c>
      <c r="BR71" s="1">
        <f>VC_NEW!BM33</f>
        <v>0</v>
      </c>
      <c r="BS71" s="1">
        <f>VC_NEW!BN33</f>
        <v>0</v>
      </c>
      <c r="BT71" s="1">
        <f>VC_NEW!BO33</f>
        <v>0</v>
      </c>
      <c r="BU71" s="1">
        <f>VC_NEW!BP33</f>
        <v>0</v>
      </c>
      <c r="BV71" s="1">
        <f>VC_NEW!BQ33</f>
        <v>0</v>
      </c>
      <c r="BW71" s="1">
        <f>VC_NEW!BR33</f>
        <v>0</v>
      </c>
      <c r="BX71" s="1" t="str">
        <f>VC_NEW!BS33</f>
        <v>S179N</v>
      </c>
      <c r="BY71" s="1">
        <f>VC_NEW!BT33</f>
        <v>0</v>
      </c>
      <c r="BZ71" s="1">
        <f>VC_NEW!BU33</f>
        <v>0</v>
      </c>
      <c r="CA71" s="1">
        <f>VC_NEW!BV33</f>
        <v>0</v>
      </c>
      <c r="CB71" s="1">
        <f>VC_NEW!BW33</f>
        <v>0</v>
      </c>
      <c r="CC71" s="1">
        <f>VC_NEW!BX33</f>
        <v>0</v>
      </c>
      <c r="CD71" s="1" t="str">
        <f>VC_NEW!BY33</f>
        <v>G154R</v>
      </c>
      <c r="CE71" s="1">
        <f>VC_NEW!BZ33</f>
        <v>0</v>
      </c>
      <c r="CF71" s="1">
        <f>VC_NEW!CA33</f>
        <v>0</v>
      </c>
      <c r="CG71" s="1">
        <f>VC_NEW!CB33</f>
        <v>0</v>
      </c>
      <c r="CH71" s="1">
        <f>VC_NEW!CC33</f>
        <v>0</v>
      </c>
      <c r="CI71" s="1">
        <f>VC_NEW!CD33</f>
        <v>0</v>
      </c>
      <c r="CJ71" s="1" t="str">
        <f>VC_NEW!CE33</f>
        <v>G154R</v>
      </c>
      <c r="CK71" s="1" t="str">
        <f>VC_NEW!CF33</f>
        <v>G154R</v>
      </c>
      <c r="CL71" s="1">
        <f>VC_NEW!CG33</f>
        <v>0</v>
      </c>
      <c r="CM71" s="1">
        <f>VC_NEW!CH33</f>
        <v>0</v>
      </c>
      <c r="CN71" s="1">
        <f>VC_NEW!CI33</f>
        <v>0</v>
      </c>
      <c r="CO71" s="1" t="str">
        <f>VC_NEW!CJ33</f>
        <v>L177V</v>
      </c>
      <c r="CP71" s="1" t="str">
        <f>VC_NEW!CK33</f>
        <v>G154R</v>
      </c>
      <c r="CQ71" s="1" t="str">
        <f>VC_NEW!CL33</f>
        <v>G154R</v>
      </c>
      <c r="CR71" s="1">
        <f>VC_NEW!CM33</f>
        <v>0</v>
      </c>
      <c r="CS71" s="1">
        <f>VC_NEW!CN33</f>
        <v>0</v>
      </c>
      <c r="CT71" s="1">
        <f>VC_NEW!CO33</f>
        <v>0</v>
      </c>
      <c r="CU71" s="1">
        <f>VC_NEW!CP33</f>
        <v>0</v>
      </c>
      <c r="CV71" s="1">
        <f>VC_NEW!CQ33</f>
        <v>0</v>
      </c>
      <c r="CW71" s="1">
        <f>VC_NEW!CR33</f>
        <v>0</v>
      </c>
      <c r="CX71" s="1">
        <f>VC_NEW!CS33</f>
        <v>0</v>
      </c>
      <c r="CY71" s="1">
        <f>VC_NEW!CT33</f>
        <v>0</v>
      </c>
      <c r="CZ71" s="1">
        <f>VC_NEW!CU33</f>
        <v>0</v>
      </c>
      <c r="DA71" s="1">
        <f>VC_NEW!CV33</f>
        <v>0</v>
      </c>
      <c r="DB71" s="1">
        <f>VC_NEW!CW33</f>
        <v>0</v>
      </c>
      <c r="DC71" s="1">
        <f>VC_NEW!CX33</f>
        <v>0</v>
      </c>
      <c r="DD71" s="1">
        <f>VC_NEW!CY33</f>
        <v>0</v>
      </c>
      <c r="DE71" s="1">
        <f>VC_NEW!CZ33</f>
        <v>0</v>
      </c>
      <c r="DF71" s="1">
        <f>VC_NEW!DA33</f>
        <v>0</v>
      </c>
      <c r="DG71" s="1">
        <f>VC_NEW!DB33</f>
        <v>0</v>
      </c>
      <c r="DH71" s="1">
        <f>VC_NEW!DC33</f>
        <v>0</v>
      </c>
      <c r="DI71" s="1">
        <f>VC_NEW!DD33</f>
        <v>0</v>
      </c>
      <c r="DJ71" s="1" t="str">
        <f>VC_NEW!DE33</f>
        <v>D135N</v>
      </c>
      <c r="DK71" s="1">
        <f>VC_NEW!DF33</f>
        <v>0</v>
      </c>
      <c r="DL71" s="1">
        <f>VC_NEW!DG33</f>
        <v>0</v>
      </c>
      <c r="DM71" s="1">
        <f>VC_NEW!DH33</f>
        <v>0</v>
      </c>
      <c r="DN71" s="1">
        <f>VC_NEW!DI33</f>
        <v>0</v>
      </c>
      <c r="DO71" s="1">
        <f>VC_NEW!DJ33</f>
        <v>0</v>
      </c>
      <c r="DP71" s="1">
        <f>VC_NEW!DK33</f>
        <v>0</v>
      </c>
      <c r="DQ71" s="1">
        <f>VC_NEW!DL33</f>
        <v>0</v>
      </c>
      <c r="DR71" s="1" t="str">
        <f>VC_NEW!DM33</f>
        <v>D135N</v>
      </c>
      <c r="DS71" s="1">
        <f>VC_NEW!DN33</f>
        <v>0</v>
      </c>
      <c r="DT71" s="1">
        <f>VC_NEW!DO33</f>
        <v>0</v>
      </c>
      <c r="DU71" s="1">
        <f>VC_NEW!DP33</f>
        <v>0</v>
      </c>
      <c r="DV71" s="1">
        <f>VC_NEW!DQ33</f>
        <v>0</v>
      </c>
      <c r="DW71" s="1">
        <f>VC_NEW!DR33</f>
        <v>0</v>
      </c>
      <c r="DX71" s="1">
        <f>VC_NEW!DS33</f>
        <v>0</v>
      </c>
      <c r="DY71" s="1">
        <f>VC_NEW!DT33</f>
        <v>0</v>
      </c>
      <c r="DZ71" s="1">
        <f>VC_NEW!DU33</f>
        <v>0</v>
      </c>
      <c r="EA71" s="1">
        <f>VC_NEW!DV33</f>
        <v>0</v>
      </c>
      <c r="EB71" s="1">
        <f>VC_NEW!DW33</f>
        <v>0</v>
      </c>
      <c r="EC71" s="1" t="str">
        <f>VC_NEW!DX33</f>
        <v>G295R</v>
      </c>
      <c r="ED71" s="1">
        <f>VC_NEW!DY33</f>
        <v>0</v>
      </c>
      <c r="EE71" s="1">
        <f>VC_NEW!DZ33</f>
        <v>0</v>
      </c>
      <c r="EF71" s="1">
        <f>VC_NEW!EA33</f>
        <v>0</v>
      </c>
      <c r="EG71" s="1">
        <f>VC_NEW!EB33</f>
        <v>0</v>
      </c>
      <c r="EH71" s="1">
        <f>VC_NEW!EC33</f>
        <v>0</v>
      </c>
      <c r="EI71" s="1" t="str">
        <f>VC_NEW!ED33</f>
        <v>G231S</v>
      </c>
      <c r="EJ71" s="1">
        <f>VC_NEW!EE33</f>
        <v>0</v>
      </c>
      <c r="EK71" s="1">
        <f>VC_NEW!EF33</f>
        <v>0</v>
      </c>
      <c r="EL71" s="1">
        <f>VC_NEW!EG33</f>
        <v>0</v>
      </c>
      <c r="EM71" s="1">
        <f>VC_NEW!EH33</f>
        <v>0</v>
      </c>
      <c r="EN71" s="1">
        <f>VC_NEW!EI33</f>
        <v>0</v>
      </c>
      <c r="EO71" s="1">
        <f>VC_NEW!EJ33</f>
        <v>0</v>
      </c>
      <c r="EP71" s="1">
        <f>VC_NEW!EK33</f>
        <v>0</v>
      </c>
      <c r="EQ71" s="1">
        <f>VC_NEW!EL33</f>
        <v>0</v>
      </c>
      <c r="ER71" s="1">
        <f>VC_NEW!EM33</f>
        <v>0</v>
      </c>
      <c r="ES71" s="1">
        <f>VC_NEW!EN33</f>
        <v>0</v>
      </c>
      <c r="ET71" s="1">
        <f>VC_NEW!EO33</f>
        <v>0</v>
      </c>
      <c r="EU71" s="1">
        <f>VC_NEW!EP33</f>
        <v>0</v>
      </c>
      <c r="EV71" s="1">
        <f>VC_NEW!EQ33</f>
        <v>0</v>
      </c>
      <c r="EW71" s="1">
        <f>VC_NEW!ER33</f>
        <v>0</v>
      </c>
      <c r="EX71" s="1">
        <f>VC_NEW!ES33</f>
        <v>0</v>
      </c>
      <c r="EY71" s="1">
        <f>VC_NEW!ET33</f>
        <v>0</v>
      </c>
      <c r="EZ71" s="1">
        <f>VC_NEW!EU33</f>
        <v>0</v>
      </c>
      <c r="FA71" s="1">
        <f>VC_NEW!EV33</f>
        <v>0</v>
      </c>
      <c r="FB71" s="1">
        <f>VC_NEW!EW33</f>
        <v>0</v>
      </c>
      <c r="FC71" s="1">
        <f>VC_NEW!EX33</f>
        <v>0</v>
      </c>
      <c r="FD71" s="1">
        <f>VC_NEW!EY33</f>
        <v>0</v>
      </c>
      <c r="FE71" s="1">
        <f>VC_NEW!EZ33</f>
        <v>0</v>
      </c>
      <c r="FF71" s="1">
        <f>VC_NEW!FA33</f>
        <v>0</v>
      </c>
      <c r="FG71" s="1">
        <f>VC_NEW!FB33</f>
        <v>0</v>
      </c>
      <c r="FH71" s="1">
        <f>VC_NEW!FC33</f>
        <v>0</v>
      </c>
      <c r="FI71" s="1" t="str">
        <f>VC_NEW!FD33</f>
        <v>aa235∆6</v>
      </c>
      <c r="FJ71" s="1">
        <f>VC_NEW!FE33</f>
        <v>0</v>
      </c>
      <c r="FK71" s="1">
        <f>VC_NEW!FF33</f>
        <v>0</v>
      </c>
      <c r="FL71" s="1">
        <f>VC_NEW!FG33</f>
        <v>0</v>
      </c>
      <c r="FM71" s="1">
        <f>VC_NEW!FH33</f>
        <v>0</v>
      </c>
      <c r="FN71" s="1">
        <f>VC_NEW!FI33</f>
        <v>0</v>
      </c>
      <c r="FO71" s="1" t="str">
        <f>VC_NEW!FJ33</f>
        <v>E162Q</v>
      </c>
      <c r="FP71" s="1">
        <f>VC_NEW!FK33</f>
        <v>0</v>
      </c>
      <c r="FQ71" s="1">
        <f>VC_NEW!FL33</f>
        <v>0</v>
      </c>
      <c r="FR71" s="1">
        <f>VC_NEW!FM33</f>
        <v>0</v>
      </c>
      <c r="FS71" s="1">
        <f>VC_NEW!FN33</f>
        <v>0</v>
      </c>
      <c r="FT71" s="1">
        <f>VC_NEW!FO33</f>
        <v>0</v>
      </c>
      <c r="FU71" s="1">
        <f>VC_NEW!FP33</f>
        <v>0</v>
      </c>
      <c r="FV71" s="1">
        <f>VC_NEW!FQ33</f>
        <v>0</v>
      </c>
      <c r="FW71" s="1">
        <f>VC_NEW!FR33</f>
        <v>0</v>
      </c>
      <c r="FX71" s="1">
        <f>VC_NEW!FS33</f>
        <v>0</v>
      </c>
      <c r="FY71" s="1">
        <f>VC_NEW!FT33</f>
        <v>0</v>
      </c>
      <c r="FZ71" s="1">
        <f>VC_NEW!FU33</f>
        <v>0</v>
      </c>
      <c r="GA71" s="1">
        <f>VC_NEW!FV33</f>
        <v>0</v>
      </c>
      <c r="GB71" s="1">
        <f>VC_NEW!FW33</f>
        <v>0</v>
      </c>
      <c r="GC71" s="1">
        <f>VC_NEW!FX33</f>
        <v>0</v>
      </c>
      <c r="GD71" s="1">
        <f>VC_NEW!FY33</f>
        <v>0</v>
      </c>
      <c r="GE71" s="1">
        <f>VC_NEW!FZ33</f>
        <v>0</v>
      </c>
      <c r="GF71" s="1">
        <f>VC_NEW!GA33</f>
        <v>0</v>
      </c>
      <c r="GG71" s="1">
        <f>VC_NEW!GB33</f>
        <v>0</v>
      </c>
      <c r="GH71" s="1">
        <f>VC_NEW!GC33</f>
        <v>0</v>
      </c>
      <c r="GI71" s="1">
        <f>VC_NEW!GD33</f>
        <v>0</v>
      </c>
      <c r="GJ71" s="1">
        <f>VC_NEW!GE33</f>
        <v>0</v>
      </c>
      <c r="GK71" s="1">
        <f>VC_NEW!GF33</f>
        <v>0</v>
      </c>
      <c r="GL71" s="1">
        <f>VC_NEW!GG33</f>
        <v>0</v>
      </c>
      <c r="GM71" s="1">
        <f>VC_NEW!GH33</f>
        <v>0</v>
      </c>
      <c r="GN71" s="1">
        <f>VC_NEW!GI33</f>
        <v>0</v>
      </c>
      <c r="GO71" s="1">
        <f>VC_NEW!GJ33</f>
        <v>0</v>
      </c>
      <c r="GP71" s="1">
        <f>VC_NEW!GK33</f>
        <v>0</v>
      </c>
      <c r="GQ71" s="1">
        <f>VC_NEW!GL33</f>
        <v>0</v>
      </c>
      <c r="GR71" s="1">
        <f>VC_NEW!GM33</f>
        <v>0</v>
      </c>
      <c r="GS71" s="1">
        <f>VC_NEW!GN33</f>
        <v>0</v>
      </c>
      <c r="GT71" s="1">
        <f>VC_NEW!GO33</f>
        <v>0</v>
      </c>
      <c r="GU71" s="1">
        <f>VC_NEW!GP33</f>
        <v>0</v>
      </c>
      <c r="GV71" s="1" t="str">
        <f>VC_NEW!GQ33</f>
        <v>G273E</v>
      </c>
      <c r="GW71" s="1">
        <f>VC_NEW!GR33</f>
        <v>0</v>
      </c>
      <c r="GX71" s="1">
        <f>VC_NEW!GS33</f>
        <v>0</v>
      </c>
      <c r="GY71" s="1">
        <f>VC_NEW!GT33</f>
        <v>0</v>
      </c>
      <c r="GZ71" s="1">
        <f>VC_NEW!GU33</f>
        <v>0</v>
      </c>
      <c r="HA71" s="1">
        <f>VC_NEW!GV33</f>
        <v>0</v>
      </c>
      <c r="HB71" s="1" t="str">
        <f>VC_NEW!GW33</f>
        <v>G154R</v>
      </c>
      <c r="HC71" s="1">
        <f>VC_NEW!GX33</f>
        <v>0</v>
      </c>
    </row>
    <row r="72" spans="1:211" s="1" customFormat="1" ht="15.75" hidden="1" customHeight="1" x14ac:dyDescent="0.25">
      <c r="A72" s="30" t="s">
        <v>28</v>
      </c>
      <c r="B72" s="30" t="s">
        <v>29</v>
      </c>
      <c r="C72" s="31" t="s">
        <v>2</v>
      </c>
      <c r="D72" s="30" t="s">
        <v>76</v>
      </c>
      <c r="E72" s="30">
        <v>0.25</v>
      </c>
      <c r="F72" s="30" t="s">
        <v>73</v>
      </c>
      <c r="G72" s="30" t="s">
        <v>148</v>
      </c>
      <c r="H72" s="1">
        <f>VC_NEW!C33</f>
        <v>0</v>
      </c>
      <c r="I72" s="1">
        <f>VC_NEW!D33</f>
        <v>0</v>
      </c>
      <c r="J72" s="1">
        <f>VC_NEW!E33</f>
        <v>0</v>
      </c>
      <c r="K72" s="1">
        <f>VC_NEW!F33</f>
        <v>0</v>
      </c>
      <c r="L72" s="1">
        <f>VC_NEW!G33</f>
        <v>0</v>
      </c>
      <c r="M72" s="1">
        <f>VC_NEW!H33</f>
        <v>0</v>
      </c>
      <c r="N72" s="1">
        <f>VC_NEW!I33</f>
        <v>0</v>
      </c>
      <c r="O72" s="1">
        <f>VC_NEW!J33</f>
        <v>0</v>
      </c>
      <c r="P72" s="1">
        <f>VC_NEW!K33</f>
        <v>0</v>
      </c>
      <c r="Q72" s="1">
        <f>VC_NEW!L33</f>
        <v>0</v>
      </c>
      <c r="R72" s="1">
        <f>VC_NEW!M33</f>
        <v>0</v>
      </c>
      <c r="S72" s="1">
        <f>VC_NEW!N33</f>
        <v>0</v>
      </c>
      <c r="T72" s="1">
        <f>VC_NEW!O33</f>
        <v>0</v>
      </c>
      <c r="U72" s="1">
        <f>VC_NEW!P33</f>
        <v>0</v>
      </c>
      <c r="V72" s="1">
        <f>VC_NEW!Q33</f>
        <v>0</v>
      </c>
      <c r="W72" s="1">
        <f>VC_NEW!R33</f>
        <v>0</v>
      </c>
      <c r="X72" s="1">
        <f>VC_NEW!S33</f>
        <v>0</v>
      </c>
      <c r="Y72" s="1">
        <f>VC_NEW!T33</f>
        <v>0</v>
      </c>
      <c r="Z72" s="1">
        <f>VC_NEW!U33</f>
        <v>0</v>
      </c>
      <c r="AA72" s="1">
        <f>VC_NEW!V33</f>
        <v>0</v>
      </c>
      <c r="AB72" s="1">
        <f>VC_NEW!W33</f>
        <v>0</v>
      </c>
      <c r="AC72" s="1">
        <f>VC_NEW!X33</f>
        <v>0</v>
      </c>
      <c r="AD72" s="1">
        <f>VC_NEW!Y33</f>
        <v>0</v>
      </c>
      <c r="AE72" s="1">
        <f>VC_NEW!Z33</f>
        <v>0</v>
      </c>
      <c r="AF72" s="1">
        <f>VC_NEW!AA33</f>
        <v>0</v>
      </c>
      <c r="AG72" s="1">
        <f>VC_NEW!AB33</f>
        <v>0</v>
      </c>
      <c r="AH72" s="1">
        <f>VC_NEW!AC33</f>
        <v>0</v>
      </c>
      <c r="AI72" s="1">
        <f>VC_NEW!AD33</f>
        <v>0</v>
      </c>
      <c r="AJ72" s="1">
        <f>VC_NEW!AE33</f>
        <v>0</v>
      </c>
      <c r="AK72" s="1">
        <f>VC_NEW!AF33</f>
        <v>0</v>
      </c>
      <c r="AL72" s="1">
        <f>VC_NEW!AG33</f>
        <v>0</v>
      </c>
      <c r="AM72" s="1">
        <f>VC_NEW!AH33</f>
        <v>0</v>
      </c>
      <c r="AN72" s="1">
        <f>VC_NEW!AI33</f>
        <v>0</v>
      </c>
      <c r="AO72" s="1">
        <f>VC_NEW!AJ33</f>
        <v>0</v>
      </c>
      <c r="AP72" s="1">
        <f>VC_NEW!AK33</f>
        <v>0</v>
      </c>
      <c r="AQ72" s="1">
        <f>VC_NEW!AL33</f>
        <v>0</v>
      </c>
      <c r="AR72" s="1">
        <f>VC_NEW!AM33</f>
        <v>0</v>
      </c>
      <c r="AS72" s="1">
        <f>VC_NEW!AN33</f>
        <v>0</v>
      </c>
      <c r="AT72" s="1">
        <f>VC_NEW!AO33</f>
        <v>0</v>
      </c>
      <c r="AU72" s="1">
        <f>VC_NEW!AP33</f>
        <v>0</v>
      </c>
      <c r="AV72" s="1">
        <f>VC_NEW!AQ33</f>
        <v>0</v>
      </c>
      <c r="AW72" s="1">
        <f>VC_NEW!AR33</f>
        <v>0</v>
      </c>
      <c r="AX72" s="1">
        <f>VC_NEW!AS33</f>
        <v>0</v>
      </c>
      <c r="AY72" s="1">
        <f>VC_NEW!AT33</f>
        <v>0</v>
      </c>
      <c r="AZ72" s="1">
        <f>VC_NEW!AU33</f>
        <v>0</v>
      </c>
      <c r="BA72" s="1" t="str">
        <f>VC_NEW!AV33</f>
        <v>G154R</v>
      </c>
      <c r="BB72" s="1">
        <f>VC_NEW!AW33</f>
        <v>0</v>
      </c>
      <c r="BC72" s="1" t="str">
        <f>VC_NEW!AX33</f>
        <v>G154R</v>
      </c>
      <c r="BD72" s="1">
        <f>VC_NEW!AY33</f>
        <v>0</v>
      </c>
      <c r="BE72" s="1">
        <f>VC_NEW!AZ33</f>
        <v>0</v>
      </c>
      <c r="BF72" s="1">
        <f>VC_NEW!BA33</f>
        <v>0</v>
      </c>
      <c r="BG72" s="1" t="str">
        <f>VC_NEW!BB33</f>
        <v>A16V</v>
      </c>
      <c r="BH72" s="1">
        <f>VC_NEW!BC33</f>
        <v>0</v>
      </c>
      <c r="BI72" s="1" t="str">
        <f>VC_NEW!BD33</f>
        <v>G154R</v>
      </c>
      <c r="BJ72" s="1">
        <f>VC_NEW!BE33</f>
        <v>0</v>
      </c>
      <c r="BK72" s="1" t="str">
        <f>VC_NEW!BF33</f>
        <v>nt66InsCC</v>
      </c>
      <c r="BL72" s="1">
        <f>VC_NEW!BG33</f>
        <v>0</v>
      </c>
      <c r="BM72" s="1" t="str">
        <f>VC_NEW!BH33</f>
        <v>G295R</v>
      </c>
      <c r="BN72" s="1" t="str">
        <f>VC_NEW!BI33</f>
        <v>D135G</v>
      </c>
      <c r="BO72" s="1">
        <f>VC_NEW!BJ33</f>
        <v>0</v>
      </c>
      <c r="BP72" s="1">
        <f>VC_NEW!BK33</f>
        <v>0</v>
      </c>
      <c r="BQ72" s="1">
        <f>VC_NEW!BL33</f>
        <v>0</v>
      </c>
      <c r="BR72" s="1">
        <f>VC_NEW!BM33</f>
        <v>0</v>
      </c>
      <c r="BS72" s="1">
        <f>VC_NEW!BN33</f>
        <v>0</v>
      </c>
      <c r="BT72" s="1">
        <f>VC_NEW!BO33</f>
        <v>0</v>
      </c>
      <c r="BU72" s="1">
        <f>VC_NEW!BP33</f>
        <v>0</v>
      </c>
      <c r="BV72" s="1">
        <f>VC_NEW!BQ33</f>
        <v>0</v>
      </c>
      <c r="BW72" s="1">
        <f>VC_NEW!BR33</f>
        <v>0</v>
      </c>
      <c r="BX72" s="1" t="str">
        <f>VC_NEW!BS33</f>
        <v>S179N</v>
      </c>
      <c r="BY72" s="1">
        <f>VC_NEW!BT33</f>
        <v>0</v>
      </c>
      <c r="BZ72" s="1">
        <f>VC_NEW!BU33</f>
        <v>0</v>
      </c>
      <c r="CA72" s="1">
        <f>VC_NEW!BV33</f>
        <v>0</v>
      </c>
      <c r="CB72" s="1">
        <f>VC_NEW!BW33</f>
        <v>0</v>
      </c>
      <c r="CC72" s="1">
        <f>VC_NEW!BX33</f>
        <v>0</v>
      </c>
      <c r="CD72" s="1" t="str">
        <f>VC_NEW!BY33</f>
        <v>G154R</v>
      </c>
      <c r="CE72" s="1">
        <f>VC_NEW!BZ33</f>
        <v>0</v>
      </c>
      <c r="CF72" s="1">
        <f>VC_NEW!CA33</f>
        <v>0</v>
      </c>
      <c r="CG72" s="1">
        <f>VC_NEW!CB33</f>
        <v>0</v>
      </c>
      <c r="CH72" s="1">
        <f>VC_NEW!CC33</f>
        <v>0</v>
      </c>
      <c r="CI72" s="1">
        <f>VC_NEW!CD33</f>
        <v>0</v>
      </c>
      <c r="CJ72" s="1" t="str">
        <f>VC_NEW!CE33</f>
        <v>G154R</v>
      </c>
      <c r="CK72" s="1" t="str">
        <f>VC_NEW!CF33</f>
        <v>G154R</v>
      </c>
      <c r="CL72" s="1">
        <f>VC_NEW!CG33</f>
        <v>0</v>
      </c>
      <c r="CM72" s="1">
        <f>VC_NEW!CH33</f>
        <v>0</v>
      </c>
      <c r="CN72" s="1">
        <f>VC_NEW!CI33</f>
        <v>0</v>
      </c>
      <c r="CO72" s="1" t="str">
        <f>VC_NEW!CJ33</f>
        <v>L177V</v>
      </c>
      <c r="CP72" s="1" t="str">
        <f>VC_NEW!CK33</f>
        <v>G154R</v>
      </c>
      <c r="CQ72" s="1" t="str">
        <f>VC_NEW!CL33</f>
        <v>G154R</v>
      </c>
      <c r="CR72" s="1">
        <f>VC_NEW!CM33</f>
        <v>0</v>
      </c>
      <c r="CS72" s="1">
        <f>VC_NEW!CN33</f>
        <v>0</v>
      </c>
      <c r="CT72" s="1">
        <f>VC_NEW!CO33</f>
        <v>0</v>
      </c>
      <c r="CU72" s="1">
        <f>VC_NEW!CP33</f>
        <v>0</v>
      </c>
      <c r="CV72" s="1">
        <f>VC_NEW!CQ33</f>
        <v>0</v>
      </c>
      <c r="CW72" s="1">
        <f>VC_NEW!CR33</f>
        <v>0</v>
      </c>
      <c r="CX72" s="1">
        <f>VC_NEW!CS33</f>
        <v>0</v>
      </c>
      <c r="CY72" s="1">
        <f>VC_NEW!CT33</f>
        <v>0</v>
      </c>
      <c r="CZ72" s="1">
        <f>VC_NEW!CU33</f>
        <v>0</v>
      </c>
      <c r="DA72" s="1">
        <f>VC_NEW!CV33</f>
        <v>0</v>
      </c>
      <c r="DB72" s="1">
        <f>VC_NEW!CW33</f>
        <v>0</v>
      </c>
      <c r="DC72" s="1">
        <f>VC_NEW!CX33</f>
        <v>0</v>
      </c>
      <c r="DD72" s="1">
        <f>VC_NEW!CY33</f>
        <v>0</v>
      </c>
      <c r="DE72" s="1">
        <f>VC_NEW!CZ33</f>
        <v>0</v>
      </c>
      <c r="DF72" s="1">
        <f>VC_NEW!DA33</f>
        <v>0</v>
      </c>
      <c r="DG72" s="1">
        <f>VC_NEW!DB33</f>
        <v>0</v>
      </c>
      <c r="DH72" s="1">
        <f>VC_NEW!DC33</f>
        <v>0</v>
      </c>
      <c r="DI72" s="1">
        <f>VC_NEW!DD33</f>
        <v>0</v>
      </c>
      <c r="DJ72" s="1" t="str">
        <f>VC_NEW!DE33</f>
        <v>D135N</v>
      </c>
      <c r="DK72" s="1">
        <f>VC_NEW!DF33</f>
        <v>0</v>
      </c>
      <c r="DL72" s="1">
        <f>VC_NEW!DG33</f>
        <v>0</v>
      </c>
      <c r="DM72" s="1">
        <f>VC_NEW!DH33</f>
        <v>0</v>
      </c>
      <c r="DN72" s="1">
        <f>VC_NEW!DI33</f>
        <v>0</v>
      </c>
      <c r="DO72" s="1">
        <f>VC_NEW!DJ33</f>
        <v>0</v>
      </c>
      <c r="DP72" s="1">
        <f>VC_NEW!DK33</f>
        <v>0</v>
      </c>
      <c r="DQ72" s="1">
        <f>VC_NEW!DL33</f>
        <v>0</v>
      </c>
      <c r="DR72" s="1" t="str">
        <f>VC_NEW!DM33</f>
        <v>D135N</v>
      </c>
      <c r="DS72" s="1">
        <f>VC_NEW!DN33</f>
        <v>0</v>
      </c>
      <c r="DT72" s="1">
        <f>VC_NEW!DO33</f>
        <v>0</v>
      </c>
      <c r="DU72" s="1">
        <f>VC_NEW!DP33</f>
        <v>0</v>
      </c>
      <c r="DV72" s="1">
        <f>VC_NEW!DQ33</f>
        <v>0</v>
      </c>
      <c r="DW72" s="1">
        <f>VC_NEW!DR33</f>
        <v>0</v>
      </c>
      <c r="DX72" s="1">
        <f>VC_NEW!DS33</f>
        <v>0</v>
      </c>
      <c r="DY72" s="1">
        <f>VC_NEW!DT33</f>
        <v>0</v>
      </c>
      <c r="DZ72" s="1">
        <f>VC_NEW!DU33</f>
        <v>0</v>
      </c>
      <c r="EA72" s="1">
        <f>VC_NEW!DV33</f>
        <v>0</v>
      </c>
      <c r="EB72" s="1">
        <f>VC_NEW!DW33</f>
        <v>0</v>
      </c>
      <c r="EC72" s="1" t="str">
        <f>VC_NEW!DX33</f>
        <v>G295R</v>
      </c>
      <c r="ED72" s="1">
        <f>VC_NEW!DY33</f>
        <v>0</v>
      </c>
      <c r="EE72" s="1">
        <f>VC_NEW!DZ33</f>
        <v>0</v>
      </c>
      <c r="EF72" s="1">
        <f>VC_NEW!EA33</f>
        <v>0</v>
      </c>
      <c r="EG72" s="1">
        <f>VC_NEW!EB33</f>
        <v>0</v>
      </c>
      <c r="EH72" s="1">
        <f>VC_NEW!EC33</f>
        <v>0</v>
      </c>
      <c r="EI72" s="1" t="str">
        <f>VC_NEW!ED33</f>
        <v>G231S</v>
      </c>
      <c r="EJ72" s="1">
        <f>VC_NEW!EE33</f>
        <v>0</v>
      </c>
      <c r="EK72" s="1">
        <f>VC_NEW!EF33</f>
        <v>0</v>
      </c>
      <c r="EL72" s="1">
        <f>VC_NEW!EG33</f>
        <v>0</v>
      </c>
      <c r="EM72" s="1">
        <f>VC_NEW!EH33</f>
        <v>0</v>
      </c>
      <c r="EN72" s="1">
        <f>VC_NEW!EI33</f>
        <v>0</v>
      </c>
      <c r="EO72" s="1">
        <f>VC_NEW!EJ33</f>
        <v>0</v>
      </c>
      <c r="EP72" s="1">
        <f>VC_NEW!EK33</f>
        <v>0</v>
      </c>
      <c r="EQ72" s="1">
        <f>VC_NEW!EL33</f>
        <v>0</v>
      </c>
      <c r="ER72" s="1">
        <f>VC_NEW!EM33</f>
        <v>0</v>
      </c>
      <c r="ES72" s="1">
        <f>VC_NEW!EN33</f>
        <v>0</v>
      </c>
      <c r="ET72" s="1">
        <f>VC_NEW!EO33</f>
        <v>0</v>
      </c>
      <c r="EU72" s="1">
        <f>VC_NEW!EP33</f>
        <v>0</v>
      </c>
      <c r="EV72" s="1">
        <f>VC_NEW!EQ33</f>
        <v>0</v>
      </c>
      <c r="EW72" s="1">
        <f>VC_NEW!ER33</f>
        <v>0</v>
      </c>
      <c r="EX72" s="1">
        <f>VC_NEW!ES33</f>
        <v>0</v>
      </c>
      <c r="EY72" s="1">
        <f>VC_NEW!ET33</f>
        <v>0</v>
      </c>
      <c r="EZ72" s="1">
        <f>VC_NEW!EU33</f>
        <v>0</v>
      </c>
      <c r="FA72" s="1">
        <f>VC_NEW!EV33</f>
        <v>0</v>
      </c>
      <c r="FB72" s="1">
        <f>VC_NEW!EW33</f>
        <v>0</v>
      </c>
      <c r="FC72" s="1">
        <f>VC_NEW!EX33</f>
        <v>0</v>
      </c>
      <c r="FD72" s="1">
        <f>VC_NEW!EY33</f>
        <v>0</v>
      </c>
      <c r="FE72" s="1">
        <f>VC_NEW!EZ33</f>
        <v>0</v>
      </c>
      <c r="FF72" s="1">
        <f>VC_NEW!FA33</f>
        <v>0</v>
      </c>
      <c r="FG72" s="1">
        <f>VC_NEW!FB33</f>
        <v>0</v>
      </c>
      <c r="FH72" s="1">
        <f>VC_NEW!FC33</f>
        <v>0</v>
      </c>
      <c r="FI72" s="1" t="str">
        <f>VC_NEW!FD33</f>
        <v>aa235∆6</v>
      </c>
      <c r="FJ72" s="1">
        <f>VC_NEW!FE33</f>
        <v>0</v>
      </c>
      <c r="FK72" s="1">
        <f>VC_NEW!FF33</f>
        <v>0</v>
      </c>
      <c r="FL72" s="1">
        <f>VC_NEW!FG33</f>
        <v>0</v>
      </c>
      <c r="FM72" s="1">
        <f>VC_NEW!FH33</f>
        <v>0</v>
      </c>
      <c r="FN72" s="1">
        <f>VC_NEW!FI33</f>
        <v>0</v>
      </c>
      <c r="FO72" s="1" t="str">
        <f>VC_NEW!FJ33</f>
        <v>E162Q</v>
      </c>
      <c r="FP72" s="1">
        <f>VC_NEW!FK33</f>
        <v>0</v>
      </c>
      <c r="FQ72" s="1">
        <f>VC_NEW!FL33</f>
        <v>0</v>
      </c>
      <c r="FR72" s="1">
        <f>VC_NEW!FM33</f>
        <v>0</v>
      </c>
      <c r="FS72" s="1">
        <f>VC_NEW!FN33</f>
        <v>0</v>
      </c>
      <c r="FT72" s="1">
        <f>VC_NEW!FO33</f>
        <v>0</v>
      </c>
      <c r="FU72" s="1">
        <f>VC_NEW!FP33</f>
        <v>0</v>
      </c>
      <c r="FV72" s="1">
        <f>VC_NEW!FQ33</f>
        <v>0</v>
      </c>
      <c r="FW72" s="1">
        <f>VC_NEW!FR33</f>
        <v>0</v>
      </c>
      <c r="FX72" s="1">
        <f>VC_NEW!FS33</f>
        <v>0</v>
      </c>
      <c r="FY72" s="1">
        <f>VC_NEW!FT33</f>
        <v>0</v>
      </c>
      <c r="FZ72" s="1">
        <f>VC_NEW!FU33</f>
        <v>0</v>
      </c>
      <c r="GA72" s="1">
        <f>VC_NEW!FV33</f>
        <v>0</v>
      </c>
      <c r="GB72" s="1">
        <f>VC_NEW!FW33</f>
        <v>0</v>
      </c>
      <c r="GC72" s="1">
        <f>VC_NEW!FX33</f>
        <v>0</v>
      </c>
      <c r="GD72" s="1">
        <f>VC_NEW!FY33</f>
        <v>0</v>
      </c>
      <c r="GE72" s="1">
        <f>VC_NEW!FZ33</f>
        <v>0</v>
      </c>
      <c r="GF72" s="1">
        <f>VC_NEW!GA33</f>
        <v>0</v>
      </c>
      <c r="GG72" s="1">
        <f>VC_NEW!GB33</f>
        <v>0</v>
      </c>
      <c r="GH72" s="1">
        <f>VC_NEW!GC33</f>
        <v>0</v>
      </c>
      <c r="GI72" s="1">
        <f>VC_NEW!GD33</f>
        <v>0</v>
      </c>
      <c r="GJ72" s="1">
        <f>VC_NEW!GE33</f>
        <v>0</v>
      </c>
      <c r="GK72" s="1">
        <f>VC_NEW!GF33</f>
        <v>0</v>
      </c>
      <c r="GL72" s="1">
        <f>VC_NEW!GG33</f>
        <v>0</v>
      </c>
      <c r="GM72" s="1">
        <f>VC_NEW!GH33</f>
        <v>0</v>
      </c>
      <c r="GN72" s="1">
        <f>VC_NEW!GI33</f>
        <v>0</v>
      </c>
      <c r="GO72" s="1">
        <f>VC_NEW!GJ33</f>
        <v>0</v>
      </c>
      <c r="GP72" s="1">
        <f>VC_NEW!GK33</f>
        <v>0</v>
      </c>
      <c r="GQ72" s="1">
        <f>VC_NEW!GL33</f>
        <v>0</v>
      </c>
      <c r="GR72" s="1">
        <f>VC_NEW!GM33</f>
        <v>0</v>
      </c>
      <c r="GS72" s="1">
        <f>VC_NEW!GN33</f>
        <v>0</v>
      </c>
      <c r="GT72" s="1">
        <f>VC_NEW!GO33</f>
        <v>0</v>
      </c>
      <c r="GU72" s="1">
        <f>VC_NEW!GP33</f>
        <v>0</v>
      </c>
      <c r="GV72" s="1" t="str">
        <f>VC_NEW!GQ33</f>
        <v>G273E</v>
      </c>
      <c r="GW72" s="1">
        <f>VC_NEW!GR33</f>
        <v>0</v>
      </c>
      <c r="GX72" s="1">
        <f>VC_NEW!GS33</f>
        <v>0</v>
      </c>
      <c r="GY72" s="1">
        <f>VC_NEW!GT33</f>
        <v>0</v>
      </c>
      <c r="GZ72" s="1">
        <f>VC_NEW!GU33</f>
        <v>0</v>
      </c>
      <c r="HA72" s="1">
        <f>VC_NEW!GV33</f>
        <v>0</v>
      </c>
      <c r="HB72" s="1" t="str">
        <f>VC_NEW!GW33</f>
        <v>G154R</v>
      </c>
      <c r="HC72" s="1">
        <f>VC_NEW!GX33</f>
        <v>0</v>
      </c>
    </row>
    <row r="73" spans="1:211" s="1" customFormat="1" ht="15.75" hidden="1" customHeight="1" thickBot="1" x14ac:dyDescent="0.3">
      <c r="A73" s="30" t="s">
        <v>28</v>
      </c>
      <c r="B73" s="30" t="s">
        <v>29</v>
      </c>
      <c r="C73" s="31" t="s">
        <v>3</v>
      </c>
      <c r="D73" s="30" t="s">
        <v>76</v>
      </c>
      <c r="E73" s="30">
        <v>0.25</v>
      </c>
      <c r="F73" s="30" t="s">
        <v>73</v>
      </c>
      <c r="G73" s="30" t="s">
        <v>148</v>
      </c>
      <c r="H73" s="1">
        <f>VC_NEW!C33</f>
        <v>0</v>
      </c>
      <c r="I73" s="1">
        <f>VC_NEW!D33</f>
        <v>0</v>
      </c>
      <c r="J73" s="1">
        <f>VC_NEW!E33</f>
        <v>0</v>
      </c>
      <c r="K73" s="1">
        <f>VC_NEW!F33</f>
        <v>0</v>
      </c>
      <c r="L73" s="1">
        <f>VC_NEW!G33</f>
        <v>0</v>
      </c>
      <c r="M73" s="1">
        <f>VC_NEW!H33</f>
        <v>0</v>
      </c>
      <c r="N73" s="1">
        <f>VC_NEW!I33</f>
        <v>0</v>
      </c>
      <c r="O73" s="1">
        <f>VC_NEW!J33</f>
        <v>0</v>
      </c>
      <c r="P73" s="1">
        <f>VC_NEW!K33</f>
        <v>0</v>
      </c>
      <c r="Q73" s="1">
        <f>VC_NEW!L33</f>
        <v>0</v>
      </c>
      <c r="R73" s="1">
        <f>VC_NEW!M33</f>
        <v>0</v>
      </c>
      <c r="S73" s="1">
        <f>VC_NEW!N33</f>
        <v>0</v>
      </c>
      <c r="T73" s="1">
        <f>VC_NEW!O33</f>
        <v>0</v>
      </c>
      <c r="U73" s="1">
        <f>VC_NEW!P33</f>
        <v>0</v>
      </c>
      <c r="V73" s="1">
        <f>VC_NEW!Q33</f>
        <v>0</v>
      </c>
      <c r="W73" s="1">
        <f>VC_NEW!R33</f>
        <v>0</v>
      </c>
      <c r="X73" s="1">
        <f>VC_NEW!S33</f>
        <v>0</v>
      </c>
      <c r="Y73" s="1">
        <f>VC_NEW!T33</f>
        <v>0</v>
      </c>
      <c r="Z73" s="1">
        <f>VC_NEW!U33</f>
        <v>0</v>
      </c>
      <c r="AA73" s="1">
        <f>VC_NEW!V33</f>
        <v>0</v>
      </c>
      <c r="AB73" s="1">
        <f>VC_NEW!W33</f>
        <v>0</v>
      </c>
      <c r="AC73" s="1">
        <f>VC_NEW!X33</f>
        <v>0</v>
      </c>
      <c r="AD73" s="1">
        <f>VC_NEW!Y33</f>
        <v>0</v>
      </c>
      <c r="AE73" s="1">
        <f>VC_NEW!Z33</f>
        <v>0</v>
      </c>
      <c r="AF73" s="1">
        <f>VC_NEW!AA33</f>
        <v>0</v>
      </c>
      <c r="AG73" s="1">
        <f>VC_NEW!AB33</f>
        <v>0</v>
      </c>
      <c r="AH73" s="1">
        <f>VC_NEW!AC33</f>
        <v>0</v>
      </c>
      <c r="AI73" s="1">
        <f>VC_NEW!AD33</f>
        <v>0</v>
      </c>
      <c r="AJ73" s="1">
        <f>VC_NEW!AE33</f>
        <v>0</v>
      </c>
      <c r="AK73" s="1">
        <f>VC_NEW!AF33</f>
        <v>0</v>
      </c>
      <c r="AL73" s="1">
        <f>VC_NEW!AG33</f>
        <v>0</v>
      </c>
      <c r="AM73" s="1">
        <f>VC_NEW!AH33</f>
        <v>0</v>
      </c>
      <c r="AN73" s="1">
        <f>VC_NEW!AI33</f>
        <v>0</v>
      </c>
      <c r="AO73" s="1">
        <f>VC_NEW!AJ33</f>
        <v>0</v>
      </c>
      <c r="AP73" s="1">
        <f>VC_NEW!AK33</f>
        <v>0</v>
      </c>
      <c r="AQ73" s="1">
        <f>VC_NEW!AL33</f>
        <v>0</v>
      </c>
      <c r="AR73" s="1">
        <f>VC_NEW!AM33</f>
        <v>0</v>
      </c>
      <c r="AS73" s="1">
        <f>VC_NEW!AN33</f>
        <v>0</v>
      </c>
      <c r="AT73" s="1">
        <f>VC_NEW!AO33</f>
        <v>0</v>
      </c>
      <c r="AU73" s="1">
        <f>VC_NEW!AP33</f>
        <v>0</v>
      </c>
      <c r="AV73" s="1">
        <f>VC_NEW!AQ33</f>
        <v>0</v>
      </c>
      <c r="AW73" s="1">
        <f>VC_NEW!AR33</f>
        <v>0</v>
      </c>
      <c r="AX73" s="1">
        <f>VC_NEW!AS33</f>
        <v>0</v>
      </c>
      <c r="AY73" s="1">
        <f>VC_NEW!AT33</f>
        <v>0</v>
      </c>
      <c r="AZ73" s="1">
        <f>VC_NEW!AU33</f>
        <v>0</v>
      </c>
      <c r="BA73" s="1" t="str">
        <f>VC_NEW!AV33</f>
        <v>G154R</v>
      </c>
      <c r="BB73" s="1">
        <f>VC_NEW!AW33</f>
        <v>0</v>
      </c>
      <c r="BC73" s="1" t="str">
        <f>VC_NEW!AX33</f>
        <v>G154R</v>
      </c>
      <c r="BD73" s="1">
        <f>VC_NEW!AY33</f>
        <v>0</v>
      </c>
      <c r="BE73" s="1">
        <f>VC_NEW!AZ33</f>
        <v>0</v>
      </c>
      <c r="BF73" s="1">
        <f>VC_NEW!BA33</f>
        <v>0</v>
      </c>
      <c r="BG73" s="1" t="str">
        <f>VC_NEW!BB33</f>
        <v>A16V</v>
      </c>
      <c r="BH73" s="1">
        <f>VC_NEW!BC33</f>
        <v>0</v>
      </c>
      <c r="BI73" s="1" t="str">
        <f>VC_NEW!BD33</f>
        <v>G154R</v>
      </c>
      <c r="BJ73" s="1">
        <f>VC_NEW!BE33</f>
        <v>0</v>
      </c>
      <c r="BK73" s="1" t="str">
        <f>VC_NEW!BF33</f>
        <v>nt66InsCC</v>
      </c>
      <c r="BL73" s="1">
        <f>VC_NEW!BG33</f>
        <v>0</v>
      </c>
      <c r="BM73" s="1" t="str">
        <f>VC_NEW!BH33</f>
        <v>G295R</v>
      </c>
      <c r="BN73" s="1" t="str">
        <f>VC_NEW!BI33</f>
        <v>D135G</v>
      </c>
      <c r="BO73" s="1">
        <f>VC_NEW!BJ33</f>
        <v>0</v>
      </c>
      <c r="BP73" s="1">
        <f>VC_NEW!BK33</f>
        <v>0</v>
      </c>
      <c r="BQ73" s="1">
        <f>VC_NEW!BL33</f>
        <v>0</v>
      </c>
      <c r="BR73" s="1">
        <f>VC_NEW!BM33</f>
        <v>0</v>
      </c>
      <c r="BS73" s="1">
        <f>VC_NEW!BN33</f>
        <v>0</v>
      </c>
      <c r="BT73" s="1">
        <f>VC_NEW!BO33</f>
        <v>0</v>
      </c>
      <c r="BU73" s="1">
        <f>VC_NEW!BP33</f>
        <v>0</v>
      </c>
      <c r="BV73" s="1">
        <f>VC_NEW!BQ33</f>
        <v>0</v>
      </c>
      <c r="BW73" s="1">
        <f>VC_NEW!BR33</f>
        <v>0</v>
      </c>
      <c r="BX73" s="1" t="str">
        <f>VC_NEW!BS33</f>
        <v>S179N</v>
      </c>
      <c r="BY73" s="1">
        <f>VC_NEW!BT33</f>
        <v>0</v>
      </c>
      <c r="BZ73" s="1">
        <f>VC_NEW!BU33</f>
        <v>0</v>
      </c>
      <c r="CA73" s="1">
        <f>VC_NEW!BV33</f>
        <v>0</v>
      </c>
      <c r="CB73" s="1">
        <f>VC_NEW!BW33</f>
        <v>0</v>
      </c>
      <c r="CC73" s="1">
        <f>VC_NEW!BX33</f>
        <v>0</v>
      </c>
      <c r="CD73" s="1" t="str">
        <f>VC_NEW!BY33</f>
        <v>G154R</v>
      </c>
      <c r="CE73" s="1">
        <f>VC_NEW!BZ33</f>
        <v>0</v>
      </c>
      <c r="CF73" s="1">
        <f>VC_NEW!CA33</f>
        <v>0</v>
      </c>
      <c r="CG73" s="1">
        <f>VC_NEW!CB33</f>
        <v>0</v>
      </c>
      <c r="CH73" s="1">
        <f>VC_NEW!CC33</f>
        <v>0</v>
      </c>
      <c r="CI73" s="1">
        <f>VC_NEW!CD33</f>
        <v>0</v>
      </c>
      <c r="CJ73" s="1" t="str">
        <f>VC_NEW!CE33</f>
        <v>G154R</v>
      </c>
      <c r="CK73" s="1" t="str">
        <f>VC_NEW!CF33</f>
        <v>G154R</v>
      </c>
      <c r="CL73" s="1">
        <f>VC_NEW!CG33</f>
        <v>0</v>
      </c>
      <c r="CM73" s="1">
        <f>VC_NEW!CH33</f>
        <v>0</v>
      </c>
      <c r="CN73" s="1">
        <f>VC_NEW!CI33</f>
        <v>0</v>
      </c>
      <c r="CO73" s="1" t="str">
        <f>VC_NEW!CJ33</f>
        <v>L177V</v>
      </c>
      <c r="CP73" s="1" t="str">
        <f>VC_NEW!CK33</f>
        <v>G154R</v>
      </c>
      <c r="CQ73" s="1" t="str">
        <f>VC_NEW!CL33</f>
        <v>G154R</v>
      </c>
      <c r="CR73" s="1">
        <f>VC_NEW!CM33</f>
        <v>0</v>
      </c>
      <c r="CS73" s="1">
        <f>VC_NEW!CN33</f>
        <v>0</v>
      </c>
      <c r="CT73" s="1">
        <f>VC_NEW!CO33</f>
        <v>0</v>
      </c>
      <c r="CU73" s="1">
        <f>VC_NEW!CP33</f>
        <v>0</v>
      </c>
      <c r="CV73" s="1">
        <f>VC_NEW!CQ33</f>
        <v>0</v>
      </c>
      <c r="CW73" s="1">
        <f>VC_NEW!CR33</f>
        <v>0</v>
      </c>
      <c r="CX73" s="1">
        <f>VC_NEW!CS33</f>
        <v>0</v>
      </c>
      <c r="CY73" s="1">
        <f>VC_NEW!CT33</f>
        <v>0</v>
      </c>
      <c r="CZ73" s="1">
        <f>VC_NEW!CU33</f>
        <v>0</v>
      </c>
      <c r="DA73" s="1">
        <f>VC_NEW!CV33</f>
        <v>0</v>
      </c>
      <c r="DB73" s="1">
        <f>VC_NEW!CW33</f>
        <v>0</v>
      </c>
      <c r="DC73" s="1">
        <f>VC_NEW!CX33</f>
        <v>0</v>
      </c>
      <c r="DD73" s="1">
        <f>VC_NEW!CY33</f>
        <v>0</v>
      </c>
      <c r="DE73" s="1">
        <f>VC_NEW!CZ33</f>
        <v>0</v>
      </c>
      <c r="DF73" s="1">
        <f>VC_NEW!DA33</f>
        <v>0</v>
      </c>
      <c r="DG73" s="1">
        <f>VC_NEW!DB33</f>
        <v>0</v>
      </c>
      <c r="DH73" s="1">
        <f>VC_NEW!DC33</f>
        <v>0</v>
      </c>
      <c r="DI73" s="1">
        <f>VC_NEW!DD33</f>
        <v>0</v>
      </c>
      <c r="DJ73" s="1" t="str">
        <f>VC_NEW!DE33</f>
        <v>D135N</v>
      </c>
      <c r="DK73" s="1">
        <f>VC_NEW!DF33</f>
        <v>0</v>
      </c>
      <c r="DL73" s="1">
        <f>VC_NEW!DG33</f>
        <v>0</v>
      </c>
      <c r="DM73" s="1">
        <f>VC_NEW!DH33</f>
        <v>0</v>
      </c>
      <c r="DN73" s="1">
        <f>VC_NEW!DI33</f>
        <v>0</v>
      </c>
      <c r="DO73" s="1">
        <f>VC_NEW!DJ33</f>
        <v>0</v>
      </c>
      <c r="DP73" s="1">
        <f>VC_NEW!DK33</f>
        <v>0</v>
      </c>
      <c r="DQ73" s="1">
        <f>VC_NEW!DL33</f>
        <v>0</v>
      </c>
      <c r="DR73" s="1" t="str">
        <f>VC_NEW!DM33</f>
        <v>D135N</v>
      </c>
      <c r="DS73" s="1">
        <f>VC_NEW!DN33</f>
        <v>0</v>
      </c>
      <c r="DT73" s="1">
        <f>VC_NEW!DO33</f>
        <v>0</v>
      </c>
      <c r="DU73" s="1">
        <f>VC_NEW!DP33</f>
        <v>0</v>
      </c>
      <c r="DV73" s="1">
        <f>VC_NEW!DQ33</f>
        <v>0</v>
      </c>
      <c r="DW73" s="1">
        <f>VC_NEW!DR33</f>
        <v>0</v>
      </c>
      <c r="DX73" s="1">
        <f>VC_NEW!DS33</f>
        <v>0</v>
      </c>
      <c r="DY73" s="1">
        <f>VC_NEW!DT33</f>
        <v>0</v>
      </c>
      <c r="DZ73" s="1">
        <f>VC_NEW!DU33</f>
        <v>0</v>
      </c>
      <c r="EA73" s="1">
        <f>VC_NEW!DV33</f>
        <v>0</v>
      </c>
      <c r="EB73" s="1">
        <f>VC_NEW!DW33</f>
        <v>0</v>
      </c>
      <c r="EC73" s="1" t="str">
        <f>VC_NEW!DX33</f>
        <v>G295R</v>
      </c>
      <c r="ED73" s="1">
        <f>VC_NEW!DY33</f>
        <v>0</v>
      </c>
      <c r="EE73" s="1">
        <f>VC_NEW!DZ33</f>
        <v>0</v>
      </c>
      <c r="EF73" s="1">
        <f>VC_NEW!EA33</f>
        <v>0</v>
      </c>
      <c r="EG73" s="1">
        <f>VC_NEW!EB33</f>
        <v>0</v>
      </c>
      <c r="EH73" s="1">
        <f>VC_NEW!EC33</f>
        <v>0</v>
      </c>
      <c r="EI73" s="1" t="str">
        <f>VC_NEW!ED33</f>
        <v>G231S</v>
      </c>
      <c r="EJ73" s="1">
        <f>VC_NEW!EE33</f>
        <v>0</v>
      </c>
      <c r="EK73" s="1">
        <f>VC_NEW!EF33</f>
        <v>0</v>
      </c>
      <c r="EL73" s="1">
        <f>VC_NEW!EG33</f>
        <v>0</v>
      </c>
      <c r="EM73" s="1">
        <f>VC_NEW!EH33</f>
        <v>0</v>
      </c>
      <c r="EN73" s="1">
        <f>VC_NEW!EI33</f>
        <v>0</v>
      </c>
      <c r="EO73" s="1">
        <f>VC_NEW!EJ33</f>
        <v>0</v>
      </c>
      <c r="EP73" s="1">
        <f>VC_NEW!EK33</f>
        <v>0</v>
      </c>
      <c r="EQ73" s="1">
        <f>VC_NEW!EL33</f>
        <v>0</v>
      </c>
      <c r="ER73" s="1">
        <f>VC_NEW!EM33</f>
        <v>0</v>
      </c>
      <c r="ES73" s="1">
        <f>VC_NEW!EN33</f>
        <v>0</v>
      </c>
      <c r="ET73" s="1">
        <f>VC_NEW!EO33</f>
        <v>0</v>
      </c>
      <c r="EU73" s="1">
        <f>VC_NEW!EP33</f>
        <v>0</v>
      </c>
      <c r="EV73" s="1">
        <f>VC_NEW!EQ33</f>
        <v>0</v>
      </c>
      <c r="EW73" s="1">
        <f>VC_NEW!ER33</f>
        <v>0</v>
      </c>
      <c r="EX73" s="1">
        <f>VC_NEW!ES33</f>
        <v>0</v>
      </c>
      <c r="EY73" s="1">
        <f>VC_NEW!ET33</f>
        <v>0</v>
      </c>
      <c r="EZ73" s="1">
        <f>VC_NEW!EU33</f>
        <v>0</v>
      </c>
      <c r="FA73" s="1">
        <f>VC_NEW!EV33</f>
        <v>0</v>
      </c>
      <c r="FB73" s="1">
        <f>VC_NEW!EW33</f>
        <v>0</v>
      </c>
      <c r="FC73" s="1">
        <f>VC_NEW!EX33</f>
        <v>0</v>
      </c>
      <c r="FD73" s="1">
        <f>VC_NEW!EY33</f>
        <v>0</v>
      </c>
      <c r="FE73" s="1">
        <f>VC_NEW!EZ33</f>
        <v>0</v>
      </c>
      <c r="FF73" s="1">
        <f>VC_NEW!FA33</f>
        <v>0</v>
      </c>
      <c r="FG73" s="1">
        <f>VC_NEW!FB33</f>
        <v>0</v>
      </c>
      <c r="FH73" s="1">
        <f>VC_NEW!FC33</f>
        <v>0</v>
      </c>
      <c r="FI73" s="1" t="str">
        <f>VC_NEW!FD33</f>
        <v>aa235∆6</v>
      </c>
      <c r="FJ73" s="1">
        <f>VC_NEW!FE33</f>
        <v>0</v>
      </c>
      <c r="FK73" s="1">
        <f>VC_NEW!FF33</f>
        <v>0</v>
      </c>
      <c r="FL73" s="1">
        <f>VC_NEW!FG33</f>
        <v>0</v>
      </c>
      <c r="FM73" s="1">
        <f>VC_NEW!FH33</f>
        <v>0</v>
      </c>
      <c r="FN73" s="1">
        <f>VC_NEW!FI33</f>
        <v>0</v>
      </c>
      <c r="FO73" s="1" t="str">
        <f>VC_NEW!FJ33</f>
        <v>E162Q</v>
      </c>
      <c r="FP73" s="1">
        <f>VC_NEW!FK33</f>
        <v>0</v>
      </c>
      <c r="FQ73" s="1">
        <f>VC_NEW!FL33</f>
        <v>0</v>
      </c>
      <c r="FR73" s="1">
        <f>VC_NEW!FM33</f>
        <v>0</v>
      </c>
      <c r="FS73" s="1">
        <f>VC_NEW!FN33</f>
        <v>0</v>
      </c>
      <c r="FT73" s="1">
        <f>VC_NEW!FO33</f>
        <v>0</v>
      </c>
      <c r="FU73" s="1">
        <f>VC_NEW!FP33</f>
        <v>0</v>
      </c>
      <c r="FV73" s="1">
        <f>VC_NEW!FQ33</f>
        <v>0</v>
      </c>
      <c r="FW73" s="1">
        <f>VC_NEW!FR33</f>
        <v>0</v>
      </c>
      <c r="FX73" s="1">
        <f>VC_NEW!FS33</f>
        <v>0</v>
      </c>
      <c r="FY73" s="1">
        <f>VC_NEW!FT33</f>
        <v>0</v>
      </c>
      <c r="FZ73" s="1">
        <f>VC_NEW!FU33</f>
        <v>0</v>
      </c>
      <c r="GA73" s="1">
        <f>VC_NEW!FV33</f>
        <v>0</v>
      </c>
      <c r="GB73" s="1">
        <f>VC_NEW!FW33</f>
        <v>0</v>
      </c>
      <c r="GC73" s="1">
        <f>VC_NEW!FX33</f>
        <v>0</v>
      </c>
      <c r="GD73" s="1">
        <f>VC_NEW!FY33</f>
        <v>0</v>
      </c>
      <c r="GE73" s="1">
        <f>VC_NEW!FZ33</f>
        <v>0</v>
      </c>
      <c r="GF73" s="1">
        <f>VC_NEW!GA33</f>
        <v>0</v>
      </c>
      <c r="GG73" s="1">
        <f>VC_NEW!GB33</f>
        <v>0</v>
      </c>
      <c r="GH73" s="1">
        <f>VC_NEW!GC33</f>
        <v>0</v>
      </c>
      <c r="GI73" s="1">
        <f>VC_NEW!GD33</f>
        <v>0</v>
      </c>
      <c r="GJ73" s="1">
        <f>VC_NEW!GE33</f>
        <v>0</v>
      </c>
      <c r="GK73" s="1">
        <f>VC_NEW!GF33</f>
        <v>0</v>
      </c>
      <c r="GL73" s="1">
        <f>VC_NEW!GG33</f>
        <v>0</v>
      </c>
      <c r="GM73" s="1">
        <f>VC_NEW!GH33</f>
        <v>0</v>
      </c>
      <c r="GN73" s="1">
        <f>VC_NEW!GI33</f>
        <v>0</v>
      </c>
      <c r="GO73" s="1">
        <f>VC_NEW!GJ33</f>
        <v>0</v>
      </c>
      <c r="GP73" s="1">
        <f>VC_NEW!GK33</f>
        <v>0</v>
      </c>
      <c r="GQ73" s="1">
        <f>VC_NEW!GL33</f>
        <v>0</v>
      </c>
      <c r="GR73" s="1">
        <f>VC_NEW!GM33</f>
        <v>0</v>
      </c>
      <c r="GS73" s="1">
        <f>VC_NEW!GN33</f>
        <v>0</v>
      </c>
      <c r="GT73" s="1">
        <f>VC_NEW!GO33</f>
        <v>0</v>
      </c>
      <c r="GU73" s="1">
        <f>VC_NEW!GP33</f>
        <v>0</v>
      </c>
      <c r="GV73" s="1" t="str">
        <f>VC_NEW!GQ33</f>
        <v>G273E</v>
      </c>
      <c r="GW73" s="1">
        <f>VC_NEW!GR33</f>
        <v>0</v>
      </c>
      <c r="GX73" s="1">
        <f>VC_NEW!GS33</f>
        <v>0</v>
      </c>
      <c r="GY73" s="1">
        <f>VC_NEW!GT33</f>
        <v>0</v>
      </c>
      <c r="GZ73" s="1">
        <f>VC_NEW!GU33</f>
        <v>0</v>
      </c>
      <c r="HA73" s="1">
        <f>VC_NEW!GV33</f>
        <v>0</v>
      </c>
      <c r="HB73" s="1" t="str">
        <f>VC_NEW!GW33</f>
        <v>G154R</v>
      </c>
      <c r="HC73" s="1">
        <f>VC_NEW!GX33</f>
        <v>0</v>
      </c>
    </row>
    <row r="74" spans="1:211" s="7" customFormat="1" ht="15" customHeight="1" x14ac:dyDescent="0.25">
      <c r="A74" s="22" t="s">
        <v>30</v>
      </c>
      <c r="B74" s="23" t="s">
        <v>161</v>
      </c>
      <c r="C74" s="24" t="s">
        <v>1</v>
      </c>
      <c r="D74" s="23" t="s">
        <v>76</v>
      </c>
      <c r="E74" s="23" t="s">
        <v>138</v>
      </c>
      <c r="F74" s="23" t="s">
        <v>73</v>
      </c>
      <c r="G74" s="25" t="s">
        <v>1150</v>
      </c>
      <c r="H74" s="7">
        <f>VC_NEW!C34</f>
        <v>0</v>
      </c>
      <c r="I74" s="7">
        <f>VC_NEW!D34</f>
        <v>0</v>
      </c>
      <c r="J74" s="7">
        <f>VC_NEW!E34</f>
        <v>0</v>
      </c>
      <c r="K74" s="7" t="str">
        <f>VC_NEW!F34</f>
        <v>F6L</v>
      </c>
      <c r="L74" s="7">
        <f>VC_NEW!G34</f>
        <v>0</v>
      </c>
      <c r="M74" s="7" t="str">
        <f>VC_NEW!H34</f>
        <v>L200F</v>
      </c>
      <c r="N74" s="7">
        <f>VC_NEW!I34</f>
        <v>0</v>
      </c>
      <c r="O74" s="7" t="str">
        <f>VC_NEW!J34</f>
        <v>I365V</v>
      </c>
      <c r="P74" s="7">
        <f>VC_NEW!K34</f>
        <v>0</v>
      </c>
      <c r="Q74" s="7">
        <f>VC_NEW!L34</f>
        <v>0</v>
      </c>
      <c r="R74" s="7">
        <f>VC_NEW!M34</f>
        <v>0</v>
      </c>
      <c r="S74" s="7">
        <f>VC_NEW!N34</f>
        <v>0</v>
      </c>
      <c r="T74" s="7">
        <f>VC_NEW!O34</f>
        <v>0</v>
      </c>
      <c r="U74" s="7">
        <f>VC_NEW!P34</f>
        <v>0</v>
      </c>
      <c r="V74" s="7">
        <f>VC_NEW!Q34</f>
        <v>0</v>
      </c>
      <c r="W74" s="7">
        <f>VC_NEW!R34</f>
        <v>0</v>
      </c>
      <c r="X74" s="7">
        <f>VC_NEW!S34</f>
        <v>0</v>
      </c>
      <c r="Y74" s="7">
        <f>VC_NEW!T34</f>
        <v>0</v>
      </c>
      <c r="Z74" s="7">
        <f>VC_NEW!U34</f>
        <v>0</v>
      </c>
      <c r="AA74" s="7">
        <f>VC_NEW!V34</f>
        <v>0</v>
      </c>
      <c r="AB74" s="7">
        <f>VC_NEW!W34</f>
        <v>0</v>
      </c>
      <c r="AC74" s="7">
        <f>VC_NEW!X34</f>
        <v>0</v>
      </c>
      <c r="AD74" s="7">
        <f>VC_NEW!Y34</f>
        <v>0</v>
      </c>
      <c r="AE74" s="7">
        <f>VC_NEW!Z34</f>
        <v>0</v>
      </c>
      <c r="AF74" s="7">
        <f>VC_NEW!AA34</f>
        <v>0</v>
      </c>
      <c r="AG74" s="7">
        <f>VC_NEW!AB34</f>
        <v>0</v>
      </c>
      <c r="AH74" s="7">
        <f>VC_NEW!AC34</f>
        <v>0</v>
      </c>
      <c r="AI74" s="7">
        <f>VC_NEW!AD34</f>
        <v>0</v>
      </c>
      <c r="AJ74" s="7">
        <f>VC_NEW!AE34</f>
        <v>0</v>
      </c>
      <c r="AK74" s="7">
        <f>VC_NEW!AF34</f>
        <v>0</v>
      </c>
      <c r="AL74" s="7">
        <f>VC_NEW!AG34</f>
        <v>0</v>
      </c>
      <c r="AM74" s="7" t="str">
        <f>VC_NEW!AH34</f>
        <v>A156V; S306T</v>
      </c>
      <c r="AN74" s="7">
        <f>VC_NEW!AI34</f>
        <v>0</v>
      </c>
      <c r="AO74" s="7" t="str">
        <f>VC_NEW!AJ34</f>
        <v>I365V</v>
      </c>
      <c r="AP74" s="7">
        <f>VC_NEW!AK34</f>
        <v>0</v>
      </c>
      <c r="AQ74" s="7">
        <f>VC_NEW!AL34</f>
        <v>0</v>
      </c>
      <c r="AR74" s="7">
        <f>VC_NEW!AM34</f>
        <v>0</v>
      </c>
      <c r="AS74" s="7">
        <f>VC_NEW!AN34</f>
        <v>0</v>
      </c>
      <c r="AT74" s="7">
        <f>VC_NEW!AO34</f>
        <v>0</v>
      </c>
      <c r="AU74" s="7">
        <f>VC_NEW!AP34</f>
        <v>0</v>
      </c>
      <c r="AV74" s="7">
        <f>VC_NEW!AQ34</f>
        <v>0</v>
      </c>
      <c r="AW74" s="7">
        <f>VC_NEW!AR34</f>
        <v>0</v>
      </c>
      <c r="AX74" s="7">
        <f>VC_NEW!AS34</f>
        <v>0</v>
      </c>
      <c r="AY74" s="7" t="str">
        <f>VC_NEW!AT34</f>
        <v>G391P</v>
      </c>
      <c r="AZ74" s="7">
        <f>VC_NEW!AU34</f>
        <v>0</v>
      </c>
      <c r="BA74" s="7">
        <f>VC_NEW!AV34</f>
        <v>0</v>
      </c>
      <c r="BB74" s="7">
        <f>VC_NEW!AW34</f>
        <v>0</v>
      </c>
      <c r="BC74" s="7">
        <f>VC_NEW!AX34</f>
        <v>0</v>
      </c>
      <c r="BD74" s="7">
        <f>VC_NEW!AY34</f>
        <v>0</v>
      </c>
      <c r="BE74" s="7">
        <f>VC_NEW!AZ34</f>
        <v>0</v>
      </c>
      <c r="BF74" s="7" t="str">
        <f>VC_NEW!BA34</f>
        <v>I365V</v>
      </c>
      <c r="BG74" s="7">
        <f>VC_NEW!BB34</f>
        <v>0</v>
      </c>
      <c r="BH74" s="7">
        <f>VC_NEW!BC34</f>
        <v>0</v>
      </c>
      <c r="BI74" s="7" t="str">
        <f>VC_NEW!BD34</f>
        <v>E247G</v>
      </c>
      <c r="BJ74" s="7">
        <f>VC_NEW!BE34</f>
        <v>0</v>
      </c>
      <c r="BK74" s="7">
        <f>VC_NEW!BF34</f>
        <v>0</v>
      </c>
      <c r="BL74" s="7">
        <f>VC_NEW!BG34</f>
        <v>0</v>
      </c>
      <c r="BM74" s="7" t="str">
        <f>VC_NEW!BH34</f>
        <v>A278G</v>
      </c>
      <c r="BN74" s="7" t="str">
        <f>VC_NEW!BI34</f>
        <v>R235H</v>
      </c>
      <c r="BO74" s="7">
        <f>VC_NEW!BJ34</f>
        <v>0</v>
      </c>
      <c r="BP74" s="7">
        <f>VC_NEW!BK34</f>
        <v>0</v>
      </c>
      <c r="BQ74" s="7">
        <f>VC_NEW!BL34</f>
        <v>0</v>
      </c>
      <c r="BR74" s="7">
        <f>VC_NEW!BM34</f>
        <v>0</v>
      </c>
      <c r="BS74" s="7">
        <f>VC_NEW!BN34</f>
        <v>0</v>
      </c>
      <c r="BT74" s="7">
        <f>VC_NEW!BO34</f>
        <v>0</v>
      </c>
      <c r="BU74" s="7">
        <f>VC_NEW!BP34</f>
        <v>0</v>
      </c>
      <c r="BV74" s="7">
        <f>VC_NEW!BQ34</f>
        <v>0</v>
      </c>
      <c r="BW74" s="7">
        <f>VC_NEW!BR34</f>
        <v>0</v>
      </c>
      <c r="BX74" s="7">
        <f>VC_NEW!BS34</f>
        <v>0</v>
      </c>
      <c r="BY74" s="7" t="str">
        <f>VC_NEW!BT34</f>
        <v>G391P</v>
      </c>
      <c r="BZ74" s="7">
        <f>VC_NEW!BU34</f>
        <v>0</v>
      </c>
      <c r="CA74" s="7">
        <f>VC_NEW!BV34</f>
        <v>0</v>
      </c>
      <c r="CB74" s="7">
        <f>VC_NEW!BW34</f>
        <v>0</v>
      </c>
      <c r="CC74" s="7">
        <f>VC_NEW!BX34</f>
        <v>0</v>
      </c>
      <c r="CD74" s="7">
        <f>VC_NEW!BY34</f>
        <v>0</v>
      </c>
      <c r="CE74" s="7">
        <f>VC_NEW!BZ34</f>
        <v>0</v>
      </c>
      <c r="CF74" s="7">
        <f>VC_NEW!CA34</f>
        <v>0</v>
      </c>
      <c r="CG74" s="7">
        <f>VC_NEW!CB34</f>
        <v>0</v>
      </c>
      <c r="CH74" s="7">
        <f>VC_NEW!CC34</f>
        <v>0</v>
      </c>
      <c r="CI74" s="7">
        <f>VC_NEW!CD34</f>
        <v>0</v>
      </c>
      <c r="CJ74" s="7">
        <f>VC_NEW!CE34</f>
        <v>0</v>
      </c>
      <c r="CK74" s="7">
        <f>VC_NEW!CF34</f>
        <v>0</v>
      </c>
      <c r="CL74" s="7">
        <f>VC_NEW!CG34</f>
        <v>0</v>
      </c>
      <c r="CM74" s="7">
        <f>VC_NEW!CH34</f>
        <v>0</v>
      </c>
      <c r="CN74" s="7">
        <f>VC_NEW!CI34</f>
        <v>0</v>
      </c>
      <c r="CO74" s="7">
        <f>VC_NEW!CJ34</f>
        <v>0</v>
      </c>
      <c r="CP74" s="7">
        <f>VC_NEW!CK34</f>
        <v>0</v>
      </c>
      <c r="CQ74" s="7">
        <f>VC_NEW!CL34</f>
        <v>0</v>
      </c>
      <c r="CR74" s="7">
        <f>VC_NEW!CM34</f>
        <v>0</v>
      </c>
      <c r="CS74" s="7">
        <f>VC_NEW!CN34</f>
        <v>0</v>
      </c>
      <c r="CT74" s="7">
        <f>VC_NEW!CO34</f>
        <v>0</v>
      </c>
      <c r="CU74" s="7">
        <f>VC_NEW!CP34</f>
        <v>0</v>
      </c>
      <c r="CV74" s="7">
        <f>VC_NEW!CQ34</f>
        <v>0</v>
      </c>
      <c r="CW74" s="7">
        <f>VC_NEW!CR34</f>
        <v>0</v>
      </c>
      <c r="CX74" s="7">
        <f>VC_NEW!CS34</f>
        <v>0</v>
      </c>
      <c r="CY74" s="7">
        <f>VC_NEW!CT34</f>
        <v>0</v>
      </c>
      <c r="CZ74" s="7" t="str">
        <f>VC_NEW!CU34</f>
        <v>A97V</v>
      </c>
      <c r="DA74" s="7" t="str">
        <f>VC_NEW!CV34</f>
        <v>G391P</v>
      </c>
      <c r="DB74" s="7">
        <f>VC_NEW!CW34</f>
        <v>0</v>
      </c>
      <c r="DC74" s="7">
        <f>VC_NEW!CX34</f>
        <v>0</v>
      </c>
      <c r="DD74" s="7">
        <f>VC_NEW!CY34</f>
        <v>0</v>
      </c>
      <c r="DE74" s="7">
        <f>VC_NEW!CZ34</f>
        <v>0</v>
      </c>
      <c r="DF74" s="7">
        <f>VC_NEW!DA34</f>
        <v>0</v>
      </c>
      <c r="DG74" s="7" t="str">
        <f>VC_NEW!DB34</f>
        <v>G391P</v>
      </c>
      <c r="DH74" s="7">
        <f>VC_NEW!DC34</f>
        <v>0</v>
      </c>
      <c r="DI74" s="7">
        <f>VC_NEW!DD34</f>
        <v>0</v>
      </c>
      <c r="DJ74" s="7">
        <f>VC_NEW!DE34</f>
        <v>0</v>
      </c>
      <c r="DK74" s="7">
        <f>VC_NEW!DF34</f>
        <v>0</v>
      </c>
      <c r="DL74" s="7">
        <f>VC_NEW!DG34</f>
        <v>0</v>
      </c>
      <c r="DM74" s="7" t="str">
        <f>VC_NEW!DH34</f>
        <v>S173N</v>
      </c>
      <c r="DN74" s="7">
        <f>VC_NEW!DI34</f>
        <v>0</v>
      </c>
      <c r="DO74" s="7">
        <f>VC_NEW!DJ34</f>
        <v>0</v>
      </c>
      <c r="DP74" s="7">
        <f>VC_NEW!DK34</f>
        <v>0</v>
      </c>
      <c r="DQ74" s="7">
        <f>VC_NEW!DL34</f>
        <v>0</v>
      </c>
      <c r="DR74" s="7" t="str">
        <f>VC_NEW!DM34</f>
        <v>I365V</v>
      </c>
      <c r="DS74" s="7">
        <f>VC_NEW!DN34</f>
        <v>0</v>
      </c>
      <c r="DT74" s="7">
        <f>VC_NEW!DO34</f>
        <v>0</v>
      </c>
      <c r="DU74" s="7">
        <f>VC_NEW!DP34</f>
        <v>0</v>
      </c>
      <c r="DV74" s="7">
        <f>VC_NEW!DQ34</f>
        <v>0</v>
      </c>
      <c r="DW74" s="7">
        <f>VC_NEW!DR34</f>
        <v>0</v>
      </c>
      <c r="DX74" s="7">
        <f>VC_NEW!DS34</f>
        <v>0</v>
      </c>
      <c r="DY74" s="7">
        <f>VC_NEW!DT34</f>
        <v>0</v>
      </c>
      <c r="DZ74" s="7">
        <f>VC_NEW!DU34</f>
        <v>0</v>
      </c>
      <c r="EA74" s="7">
        <f>VC_NEW!DV34</f>
        <v>0</v>
      </c>
      <c r="EB74" s="7" t="str">
        <f>VC_NEW!DW34</f>
        <v>A156V; S306T</v>
      </c>
      <c r="EC74" s="7">
        <f>VC_NEW!DX34</f>
        <v>0</v>
      </c>
      <c r="ED74" s="7">
        <f>VC_NEW!DY34</f>
        <v>0</v>
      </c>
      <c r="EE74" s="7">
        <f>VC_NEW!DZ34</f>
        <v>0</v>
      </c>
      <c r="EF74" s="7">
        <f>VC_NEW!EA34</f>
        <v>0</v>
      </c>
      <c r="EG74" s="7">
        <f>VC_NEW!EB34</f>
        <v>0</v>
      </c>
      <c r="EH74" s="7">
        <f>VC_NEW!EC34</f>
        <v>0</v>
      </c>
      <c r="EI74" s="7" t="str">
        <f>VC_NEW!ED34</f>
        <v>Q117L; L133I</v>
      </c>
      <c r="EJ74" s="7">
        <f>VC_NEW!EE34</f>
        <v>0</v>
      </c>
      <c r="EK74" s="7">
        <f>VC_NEW!EF34</f>
        <v>0</v>
      </c>
      <c r="EL74" s="7" t="str">
        <f>VC_NEW!EG34</f>
        <v>Q117L; D280N; Q311L</v>
      </c>
      <c r="EM74" s="7">
        <f>VC_NEW!EH34</f>
        <v>0</v>
      </c>
      <c r="EN74" s="7">
        <f>VC_NEW!EI34</f>
        <v>0</v>
      </c>
      <c r="EO74" s="7" t="str">
        <f>VC_NEW!EJ34</f>
        <v>G129S</v>
      </c>
      <c r="EP74" s="7">
        <f>VC_NEW!EK34</f>
        <v>0</v>
      </c>
      <c r="EQ74" s="7" t="str">
        <f>VC_NEW!EL34</f>
        <v>G391P</v>
      </c>
      <c r="ER74" s="7">
        <f>VC_NEW!EM34</f>
        <v>0</v>
      </c>
      <c r="ES74" s="7">
        <f>VC_NEW!EN34</f>
        <v>0</v>
      </c>
      <c r="ET74" s="7">
        <f>VC_NEW!EO34</f>
        <v>0</v>
      </c>
      <c r="EU74" s="7">
        <f>VC_NEW!EP34</f>
        <v>0</v>
      </c>
      <c r="EV74" s="7">
        <f>VC_NEW!EQ34</f>
        <v>0</v>
      </c>
      <c r="EW74" s="7" t="str">
        <f>VC_NEW!ER34</f>
        <v>P274H; S306A; I325V</v>
      </c>
      <c r="EX74" s="7">
        <f>VC_NEW!ES34</f>
        <v>0</v>
      </c>
      <c r="EY74" s="7">
        <f>VC_NEW!ET34</f>
        <v>0</v>
      </c>
      <c r="EZ74" s="7">
        <f>VC_NEW!EU34</f>
        <v>0</v>
      </c>
      <c r="FA74" s="7" t="str">
        <f>VC_NEW!EV34</f>
        <v>A97V</v>
      </c>
      <c r="FB74" s="7">
        <f>VC_NEW!EW34</f>
        <v>0</v>
      </c>
      <c r="FC74" s="7" t="str">
        <f>VC_NEW!EX34</f>
        <v>P82L</v>
      </c>
      <c r="FD74" s="7" t="str">
        <f>VC_NEW!EY34</f>
        <v>A97V</v>
      </c>
      <c r="FE74" s="7">
        <f>VC_NEW!EZ34</f>
        <v>0</v>
      </c>
      <c r="FF74" s="7">
        <f>VC_NEW!FA34</f>
        <v>0</v>
      </c>
      <c r="FG74" s="7">
        <f>VC_NEW!FB34</f>
        <v>0</v>
      </c>
      <c r="FH74" s="7" t="str">
        <f>VC_NEW!FC34</f>
        <v>Q117L</v>
      </c>
      <c r="FI74" s="7">
        <f>VC_NEW!FD34</f>
        <v>0</v>
      </c>
      <c r="FJ74" s="7">
        <f>VC_NEW!FE34</f>
        <v>0</v>
      </c>
      <c r="FK74" s="7">
        <f>VC_NEW!FF34</f>
        <v>0</v>
      </c>
      <c r="FL74" s="7">
        <f>VC_NEW!FG34</f>
        <v>0</v>
      </c>
      <c r="FM74" s="7">
        <f>VC_NEW!FH34</f>
        <v>0</v>
      </c>
      <c r="FN74" s="7" t="str">
        <f>VC_NEW!FI34</f>
        <v>A156V; S306T</v>
      </c>
      <c r="FO74" s="7">
        <f>VC_NEW!FJ34</f>
        <v>0</v>
      </c>
      <c r="FP74" s="7">
        <f>VC_NEW!FK34</f>
        <v>0</v>
      </c>
      <c r="FQ74" s="7">
        <f>VC_NEW!FL34</f>
        <v>0</v>
      </c>
      <c r="FR74" s="7">
        <f>VC_NEW!FM34</f>
        <v>0</v>
      </c>
      <c r="FS74" s="7" t="str">
        <f>VC_NEW!FN34</f>
        <v>D302H</v>
      </c>
      <c r="FT74" s="7">
        <f>VC_NEW!FO34</f>
        <v>0</v>
      </c>
      <c r="FU74" s="7" t="str">
        <f>VC_NEW!FP34</f>
        <v>P274L</v>
      </c>
      <c r="FV74" s="7">
        <f>VC_NEW!FQ34</f>
        <v>0</v>
      </c>
      <c r="FW74" s="7">
        <f>VC_NEW!FR34</f>
        <v>0</v>
      </c>
      <c r="FX74" s="7">
        <f>VC_NEW!FS34</f>
        <v>0</v>
      </c>
      <c r="FY74" s="7">
        <f>VC_NEW!FT34</f>
        <v>0</v>
      </c>
      <c r="FZ74" s="7">
        <f>VC_NEW!FU34</f>
        <v>0</v>
      </c>
      <c r="GA74" s="7">
        <f>VC_NEW!FV34</f>
        <v>0</v>
      </c>
      <c r="GB74" s="7">
        <f>VC_NEW!FW34</f>
        <v>0</v>
      </c>
      <c r="GC74" s="7" t="str">
        <f>VC_NEW!FX34</f>
        <v>D291N</v>
      </c>
      <c r="GD74" s="7">
        <f>VC_NEW!FY34</f>
        <v>0</v>
      </c>
      <c r="GE74" s="7">
        <f>VC_NEW!FZ34</f>
        <v>0</v>
      </c>
      <c r="GF74" s="7">
        <f>VC_NEW!GA34</f>
        <v>0</v>
      </c>
      <c r="GG74" s="7">
        <f>VC_NEW!GB34</f>
        <v>0</v>
      </c>
      <c r="GH74" s="7">
        <f>VC_NEW!GC34</f>
        <v>0</v>
      </c>
      <c r="GI74" s="7">
        <f>VC_NEW!GD34</f>
        <v>0</v>
      </c>
      <c r="GJ74" s="7">
        <f>VC_NEW!GE34</f>
        <v>0</v>
      </c>
      <c r="GK74" s="7">
        <f>VC_NEW!GF34</f>
        <v>0</v>
      </c>
      <c r="GL74" s="7" t="str">
        <f>VC_NEW!GG34</f>
        <v>P274L</v>
      </c>
      <c r="GM74" s="7">
        <f>VC_NEW!GH34</f>
        <v>0</v>
      </c>
      <c r="GN74" s="7">
        <f>VC_NEW!GI34</f>
        <v>0</v>
      </c>
      <c r="GO74" s="7">
        <f>VC_NEW!GJ34</f>
        <v>0</v>
      </c>
      <c r="GP74" s="7">
        <f>VC_NEW!GK34</f>
        <v>0</v>
      </c>
      <c r="GQ74" s="7">
        <f>VC_NEW!GL34</f>
        <v>0</v>
      </c>
      <c r="GR74" s="7" t="str">
        <f>VC_NEW!GM34</f>
        <v>I365V</v>
      </c>
      <c r="GS74" s="7">
        <f>VC_NEW!GN34</f>
        <v>0</v>
      </c>
      <c r="GT74" s="7">
        <f>VC_NEW!GO34</f>
        <v>0</v>
      </c>
      <c r="GU74" s="7" t="str">
        <f>VC_NEW!GP34</f>
        <v>T16I; P148S</v>
      </c>
      <c r="GV74" s="7">
        <f>VC_NEW!GQ34</f>
        <v>0</v>
      </c>
      <c r="GW74" s="7">
        <f>VC_NEW!GR34</f>
        <v>0</v>
      </c>
      <c r="GX74" s="7">
        <f>VC_NEW!GS34</f>
        <v>0</v>
      </c>
      <c r="GY74" s="7">
        <f>VC_NEW!GT34</f>
        <v>0</v>
      </c>
      <c r="GZ74" s="7">
        <f>VC_NEW!GU34</f>
        <v>0</v>
      </c>
      <c r="HA74" s="7">
        <f>VC_NEW!GV34</f>
        <v>0</v>
      </c>
      <c r="HB74" s="7">
        <f>VC_NEW!GW34</f>
        <v>0</v>
      </c>
      <c r="HC74" s="7">
        <f>VC_NEW!GX34</f>
        <v>0</v>
      </c>
    </row>
    <row r="75" spans="1:211" s="7" customFormat="1" ht="15.75" hidden="1" customHeight="1" thickBot="1" x14ac:dyDescent="0.3">
      <c r="A75" s="26" t="s">
        <v>30</v>
      </c>
      <c r="B75" s="27" t="s">
        <v>161</v>
      </c>
      <c r="C75" s="28" t="s">
        <v>3</v>
      </c>
      <c r="D75" s="27" t="s">
        <v>76</v>
      </c>
      <c r="E75" s="27" t="s">
        <v>1149</v>
      </c>
      <c r="F75" s="27" t="s">
        <v>73</v>
      </c>
      <c r="G75" s="25" t="s">
        <v>1150</v>
      </c>
      <c r="H75" s="7">
        <f>VC_NEW!C34</f>
        <v>0</v>
      </c>
      <c r="I75" s="7">
        <f>VC_NEW!D34</f>
        <v>0</v>
      </c>
      <c r="J75" s="7">
        <f>VC_NEW!E34</f>
        <v>0</v>
      </c>
      <c r="K75" s="7" t="str">
        <f>VC_NEW!F34</f>
        <v>F6L</v>
      </c>
      <c r="L75" s="7">
        <f>VC_NEW!G34</f>
        <v>0</v>
      </c>
      <c r="M75" s="7" t="str">
        <f>VC_NEW!H34</f>
        <v>L200F</v>
      </c>
      <c r="N75" s="7">
        <f>VC_NEW!I34</f>
        <v>0</v>
      </c>
      <c r="O75" s="7" t="str">
        <f>VC_NEW!J34</f>
        <v>I365V</v>
      </c>
      <c r="P75" s="7">
        <f>VC_NEW!K34</f>
        <v>0</v>
      </c>
      <c r="Q75" s="7">
        <f>VC_NEW!L34</f>
        <v>0</v>
      </c>
      <c r="R75" s="7">
        <f>VC_NEW!M34</f>
        <v>0</v>
      </c>
      <c r="S75" s="7">
        <f>VC_NEW!N34</f>
        <v>0</v>
      </c>
      <c r="T75" s="7">
        <f>VC_NEW!O34</f>
        <v>0</v>
      </c>
      <c r="U75" s="7">
        <f>VC_NEW!P34</f>
        <v>0</v>
      </c>
      <c r="V75" s="7">
        <f>VC_NEW!Q34</f>
        <v>0</v>
      </c>
      <c r="W75" s="7">
        <f>VC_NEW!R34</f>
        <v>0</v>
      </c>
      <c r="X75" s="7">
        <f>VC_NEW!S34</f>
        <v>0</v>
      </c>
      <c r="Y75" s="7">
        <f>VC_NEW!T34</f>
        <v>0</v>
      </c>
      <c r="Z75" s="7">
        <f>VC_NEW!U34</f>
        <v>0</v>
      </c>
      <c r="AA75" s="7">
        <f>VC_NEW!V34</f>
        <v>0</v>
      </c>
      <c r="AB75" s="7">
        <f>VC_NEW!W34</f>
        <v>0</v>
      </c>
      <c r="AC75" s="7">
        <f>VC_NEW!X34</f>
        <v>0</v>
      </c>
      <c r="AD75" s="7">
        <f>VC_NEW!Y34</f>
        <v>0</v>
      </c>
      <c r="AE75" s="7">
        <f>VC_NEW!Z34</f>
        <v>0</v>
      </c>
      <c r="AF75" s="7">
        <f>VC_NEW!AA34</f>
        <v>0</v>
      </c>
      <c r="AG75" s="7">
        <f>VC_NEW!AB34</f>
        <v>0</v>
      </c>
      <c r="AH75" s="7">
        <f>VC_NEW!AC34</f>
        <v>0</v>
      </c>
      <c r="AI75" s="7">
        <f>VC_NEW!AD34</f>
        <v>0</v>
      </c>
      <c r="AJ75" s="7">
        <f>VC_NEW!AE34</f>
        <v>0</v>
      </c>
      <c r="AK75" s="7">
        <f>VC_NEW!AF34</f>
        <v>0</v>
      </c>
      <c r="AL75" s="7">
        <f>VC_NEW!AG34</f>
        <v>0</v>
      </c>
      <c r="AM75" s="7" t="str">
        <f>VC_NEW!AH34</f>
        <v>A156V; S306T</v>
      </c>
      <c r="AN75" s="7">
        <f>VC_NEW!AI34</f>
        <v>0</v>
      </c>
      <c r="AO75" s="7" t="str">
        <f>VC_NEW!AJ34</f>
        <v>I365V</v>
      </c>
      <c r="AP75" s="7">
        <f>VC_NEW!AK34</f>
        <v>0</v>
      </c>
      <c r="AQ75" s="7">
        <f>VC_NEW!AL34</f>
        <v>0</v>
      </c>
      <c r="AR75" s="7">
        <f>VC_NEW!AM34</f>
        <v>0</v>
      </c>
      <c r="AS75" s="7">
        <f>VC_NEW!AN34</f>
        <v>0</v>
      </c>
      <c r="AT75" s="7">
        <f>VC_NEW!AO34</f>
        <v>0</v>
      </c>
      <c r="AU75" s="7">
        <f>VC_NEW!AP34</f>
        <v>0</v>
      </c>
      <c r="AV75" s="7">
        <f>VC_NEW!AQ34</f>
        <v>0</v>
      </c>
      <c r="AW75" s="7">
        <f>VC_NEW!AR34</f>
        <v>0</v>
      </c>
      <c r="AX75" s="7">
        <f>VC_NEW!AS34</f>
        <v>0</v>
      </c>
      <c r="AY75" s="7" t="str">
        <f>VC_NEW!AT34</f>
        <v>G391P</v>
      </c>
      <c r="AZ75" s="7">
        <f>VC_NEW!AU34</f>
        <v>0</v>
      </c>
      <c r="BA75" s="7">
        <f>VC_NEW!AV34</f>
        <v>0</v>
      </c>
      <c r="BB75" s="7">
        <f>VC_NEW!AW34</f>
        <v>0</v>
      </c>
      <c r="BC75" s="7">
        <f>VC_NEW!AX34</f>
        <v>0</v>
      </c>
      <c r="BD75" s="7">
        <f>VC_NEW!AY34</f>
        <v>0</v>
      </c>
      <c r="BE75" s="7">
        <f>VC_NEW!AZ34</f>
        <v>0</v>
      </c>
      <c r="BF75" s="7" t="str">
        <f>VC_NEW!BA34</f>
        <v>I365V</v>
      </c>
      <c r="BG75" s="7">
        <f>VC_NEW!BB34</f>
        <v>0</v>
      </c>
      <c r="BH75" s="7">
        <f>VC_NEW!BC34</f>
        <v>0</v>
      </c>
      <c r="BI75" s="7" t="str">
        <f>VC_NEW!BD34</f>
        <v>E247G</v>
      </c>
      <c r="BJ75" s="7">
        <f>VC_NEW!BE34</f>
        <v>0</v>
      </c>
      <c r="BK75" s="7">
        <f>VC_NEW!BF34</f>
        <v>0</v>
      </c>
      <c r="BL75" s="7">
        <f>VC_NEW!BG34</f>
        <v>0</v>
      </c>
      <c r="BM75" s="7" t="str">
        <f>VC_NEW!BH34</f>
        <v>A278G</v>
      </c>
      <c r="BN75" s="7" t="str">
        <f>VC_NEW!BI34</f>
        <v>R235H</v>
      </c>
      <c r="BO75" s="7">
        <f>VC_NEW!BJ34</f>
        <v>0</v>
      </c>
      <c r="BP75" s="7">
        <f>VC_NEW!BK34</f>
        <v>0</v>
      </c>
      <c r="BQ75" s="7">
        <f>VC_NEW!BL34</f>
        <v>0</v>
      </c>
      <c r="BR75" s="7">
        <f>VC_NEW!BM34</f>
        <v>0</v>
      </c>
      <c r="BS75" s="7">
        <f>VC_NEW!BN34</f>
        <v>0</v>
      </c>
      <c r="BT75" s="7">
        <f>VC_NEW!BO34</f>
        <v>0</v>
      </c>
      <c r="BU75" s="7">
        <f>VC_NEW!BP34</f>
        <v>0</v>
      </c>
      <c r="BV75" s="7">
        <f>VC_NEW!BQ34</f>
        <v>0</v>
      </c>
      <c r="BW75" s="7">
        <f>VC_NEW!BR34</f>
        <v>0</v>
      </c>
      <c r="BX75" s="7">
        <f>VC_NEW!BS34</f>
        <v>0</v>
      </c>
      <c r="BY75" s="7" t="str">
        <f>VC_NEW!BT34</f>
        <v>G391P</v>
      </c>
      <c r="BZ75" s="7">
        <f>VC_NEW!BU34</f>
        <v>0</v>
      </c>
      <c r="CA75" s="7">
        <f>VC_NEW!BV34</f>
        <v>0</v>
      </c>
      <c r="CB75" s="7">
        <f>VC_NEW!BW34</f>
        <v>0</v>
      </c>
      <c r="CC75" s="7">
        <f>VC_NEW!BX34</f>
        <v>0</v>
      </c>
      <c r="CD75" s="7">
        <f>VC_NEW!BY34</f>
        <v>0</v>
      </c>
      <c r="CE75" s="7">
        <f>VC_NEW!BZ34</f>
        <v>0</v>
      </c>
      <c r="CF75" s="7">
        <f>VC_NEW!CA34</f>
        <v>0</v>
      </c>
      <c r="CG75" s="7">
        <f>VC_NEW!CB34</f>
        <v>0</v>
      </c>
      <c r="CH75" s="7">
        <f>VC_NEW!CC34</f>
        <v>0</v>
      </c>
      <c r="CI75" s="7">
        <f>VC_NEW!CD34</f>
        <v>0</v>
      </c>
      <c r="CJ75" s="7">
        <f>VC_NEW!CE34</f>
        <v>0</v>
      </c>
      <c r="CK75" s="7">
        <f>VC_NEW!CF34</f>
        <v>0</v>
      </c>
      <c r="CL75" s="7">
        <f>VC_NEW!CG34</f>
        <v>0</v>
      </c>
      <c r="CM75" s="7">
        <f>VC_NEW!CH34</f>
        <v>0</v>
      </c>
      <c r="CN75" s="7">
        <f>VC_NEW!CI34</f>
        <v>0</v>
      </c>
      <c r="CO75" s="7">
        <f>VC_NEW!CJ34</f>
        <v>0</v>
      </c>
      <c r="CP75" s="7">
        <f>VC_NEW!CK34</f>
        <v>0</v>
      </c>
      <c r="CQ75" s="7">
        <f>VC_NEW!CL34</f>
        <v>0</v>
      </c>
      <c r="CR75" s="7">
        <f>VC_NEW!CM34</f>
        <v>0</v>
      </c>
      <c r="CS75" s="7">
        <f>VC_NEW!CN34</f>
        <v>0</v>
      </c>
      <c r="CT75" s="7">
        <f>VC_NEW!CO34</f>
        <v>0</v>
      </c>
      <c r="CU75" s="7">
        <f>VC_NEW!CP34</f>
        <v>0</v>
      </c>
      <c r="CV75" s="7">
        <f>VC_NEW!CQ34</f>
        <v>0</v>
      </c>
      <c r="CW75" s="7">
        <f>VC_NEW!CR34</f>
        <v>0</v>
      </c>
      <c r="CX75" s="7">
        <f>VC_NEW!CS34</f>
        <v>0</v>
      </c>
      <c r="CY75" s="7">
        <f>VC_NEW!CT34</f>
        <v>0</v>
      </c>
      <c r="CZ75" s="7" t="str">
        <f>VC_NEW!CU34</f>
        <v>A97V</v>
      </c>
      <c r="DA75" s="7" t="str">
        <f>VC_NEW!CV34</f>
        <v>G391P</v>
      </c>
      <c r="DB75" s="7">
        <f>VC_NEW!CW34</f>
        <v>0</v>
      </c>
      <c r="DC75" s="7">
        <f>VC_NEW!CX34</f>
        <v>0</v>
      </c>
      <c r="DD75" s="7">
        <f>VC_NEW!CY34</f>
        <v>0</v>
      </c>
      <c r="DE75" s="7">
        <f>VC_NEW!CZ34</f>
        <v>0</v>
      </c>
      <c r="DF75" s="7">
        <f>VC_NEW!DA34</f>
        <v>0</v>
      </c>
      <c r="DG75" s="7" t="str">
        <f>VC_NEW!DB34</f>
        <v>G391P</v>
      </c>
      <c r="DH75" s="7">
        <f>VC_NEW!DC34</f>
        <v>0</v>
      </c>
      <c r="DI75" s="7">
        <f>VC_NEW!DD34</f>
        <v>0</v>
      </c>
      <c r="DJ75" s="7">
        <f>VC_NEW!DE34</f>
        <v>0</v>
      </c>
      <c r="DK75" s="7">
        <f>VC_NEW!DF34</f>
        <v>0</v>
      </c>
      <c r="DL75" s="7">
        <f>VC_NEW!DG34</f>
        <v>0</v>
      </c>
      <c r="DM75" s="7" t="str">
        <f>VC_NEW!DH34</f>
        <v>S173N</v>
      </c>
      <c r="DN75" s="7">
        <f>VC_NEW!DI34</f>
        <v>0</v>
      </c>
      <c r="DO75" s="7">
        <f>VC_NEW!DJ34</f>
        <v>0</v>
      </c>
      <c r="DP75" s="7">
        <f>VC_NEW!DK34</f>
        <v>0</v>
      </c>
      <c r="DQ75" s="7">
        <f>VC_NEW!DL34</f>
        <v>0</v>
      </c>
      <c r="DR75" s="7" t="str">
        <f>VC_NEW!DM34</f>
        <v>I365V</v>
      </c>
      <c r="DS75" s="7">
        <f>VC_NEW!DN34</f>
        <v>0</v>
      </c>
      <c r="DT75" s="7">
        <f>VC_NEW!DO34</f>
        <v>0</v>
      </c>
      <c r="DU75" s="7">
        <f>VC_NEW!DP34</f>
        <v>0</v>
      </c>
      <c r="DV75" s="7">
        <f>VC_NEW!DQ34</f>
        <v>0</v>
      </c>
      <c r="DW75" s="7">
        <f>VC_NEW!DR34</f>
        <v>0</v>
      </c>
      <c r="DX75" s="7">
        <f>VC_NEW!DS34</f>
        <v>0</v>
      </c>
      <c r="DY75" s="7">
        <f>VC_NEW!DT34</f>
        <v>0</v>
      </c>
      <c r="DZ75" s="7">
        <f>VC_NEW!DU34</f>
        <v>0</v>
      </c>
      <c r="EA75" s="7">
        <f>VC_NEW!DV34</f>
        <v>0</v>
      </c>
      <c r="EB75" s="7" t="str">
        <f>VC_NEW!DW34</f>
        <v>A156V; S306T</v>
      </c>
      <c r="EC75" s="7">
        <f>VC_NEW!DX34</f>
        <v>0</v>
      </c>
      <c r="ED75" s="7">
        <f>VC_NEW!DY34</f>
        <v>0</v>
      </c>
      <c r="EE75" s="7">
        <f>VC_NEW!DZ34</f>
        <v>0</v>
      </c>
      <c r="EF75" s="7">
        <f>VC_NEW!EA34</f>
        <v>0</v>
      </c>
      <c r="EG75" s="7">
        <f>VC_NEW!EB34</f>
        <v>0</v>
      </c>
      <c r="EH75" s="7">
        <f>VC_NEW!EC34</f>
        <v>0</v>
      </c>
      <c r="EI75" s="7" t="str">
        <f>VC_NEW!ED34</f>
        <v>Q117L; L133I</v>
      </c>
      <c r="EJ75" s="7">
        <f>VC_NEW!EE34</f>
        <v>0</v>
      </c>
      <c r="EK75" s="7">
        <f>VC_NEW!EF34</f>
        <v>0</v>
      </c>
      <c r="EL75" s="7" t="str">
        <f>VC_NEW!EG34</f>
        <v>Q117L; D280N; Q311L</v>
      </c>
      <c r="EM75" s="7">
        <f>VC_NEW!EH34</f>
        <v>0</v>
      </c>
      <c r="EN75" s="7">
        <f>VC_NEW!EI34</f>
        <v>0</v>
      </c>
      <c r="EO75" s="7" t="str">
        <f>VC_NEW!EJ34</f>
        <v>G129S</v>
      </c>
      <c r="EP75" s="7">
        <f>VC_NEW!EK34</f>
        <v>0</v>
      </c>
      <c r="EQ75" s="7" t="str">
        <f>VC_NEW!EL34</f>
        <v>G391P</v>
      </c>
      <c r="ER75" s="7">
        <f>VC_NEW!EM34</f>
        <v>0</v>
      </c>
      <c r="ES75" s="7">
        <f>VC_NEW!EN34</f>
        <v>0</v>
      </c>
      <c r="ET75" s="7">
        <f>VC_NEW!EO34</f>
        <v>0</v>
      </c>
      <c r="EU75" s="7">
        <f>VC_NEW!EP34</f>
        <v>0</v>
      </c>
      <c r="EV75" s="7">
        <f>VC_NEW!EQ34</f>
        <v>0</v>
      </c>
      <c r="EW75" s="7" t="str">
        <f>VC_NEW!ER34</f>
        <v>P274H; S306A; I325V</v>
      </c>
      <c r="EX75" s="7">
        <f>VC_NEW!ES34</f>
        <v>0</v>
      </c>
      <c r="EY75" s="7">
        <f>VC_NEW!ET34</f>
        <v>0</v>
      </c>
      <c r="EZ75" s="7">
        <f>VC_NEW!EU34</f>
        <v>0</v>
      </c>
      <c r="FA75" s="7" t="str">
        <f>VC_NEW!EV34</f>
        <v>A97V</v>
      </c>
      <c r="FB75" s="7">
        <f>VC_NEW!EW34</f>
        <v>0</v>
      </c>
      <c r="FC75" s="7" t="str">
        <f>VC_NEW!EX34</f>
        <v>P82L</v>
      </c>
      <c r="FD75" s="7" t="str">
        <f>VC_NEW!EY34</f>
        <v>A97V</v>
      </c>
      <c r="FE75" s="7">
        <f>VC_NEW!EZ34</f>
        <v>0</v>
      </c>
      <c r="FF75" s="7">
        <f>VC_NEW!FA34</f>
        <v>0</v>
      </c>
      <c r="FG75" s="7">
        <f>VC_NEW!FB34</f>
        <v>0</v>
      </c>
      <c r="FH75" s="7" t="str">
        <f>VC_NEW!FC34</f>
        <v>Q117L</v>
      </c>
      <c r="FI75" s="7">
        <f>VC_NEW!FD34</f>
        <v>0</v>
      </c>
      <c r="FJ75" s="7">
        <f>VC_NEW!FE34</f>
        <v>0</v>
      </c>
      <c r="FK75" s="7">
        <f>VC_NEW!FF34</f>
        <v>0</v>
      </c>
      <c r="FL75" s="7">
        <f>VC_NEW!FG34</f>
        <v>0</v>
      </c>
      <c r="FM75" s="7">
        <f>VC_NEW!FH34</f>
        <v>0</v>
      </c>
      <c r="FN75" s="7" t="str">
        <f>VC_NEW!FI34</f>
        <v>A156V; S306T</v>
      </c>
      <c r="FO75" s="7">
        <f>VC_NEW!FJ34</f>
        <v>0</v>
      </c>
      <c r="FP75" s="7">
        <f>VC_NEW!FK34</f>
        <v>0</v>
      </c>
      <c r="FQ75" s="7">
        <f>VC_NEW!FL34</f>
        <v>0</v>
      </c>
      <c r="FR75" s="7">
        <f>VC_NEW!FM34</f>
        <v>0</v>
      </c>
      <c r="FS75" s="7" t="str">
        <f>VC_NEW!FN34</f>
        <v>D302H</v>
      </c>
      <c r="FT75" s="7">
        <f>VC_NEW!FO34</f>
        <v>0</v>
      </c>
      <c r="FU75" s="7" t="str">
        <f>VC_NEW!FP34</f>
        <v>P274L</v>
      </c>
      <c r="FV75" s="7">
        <f>VC_NEW!FQ34</f>
        <v>0</v>
      </c>
      <c r="FW75" s="7">
        <f>VC_NEW!FR34</f>
        <v>0</v>
      </c>
      <c r="FX75" s="7">
        <f>VC_NEW!FS34</f>
        <v>0</v>
      </c>
      <c r="FY75" s="7">
        <f>VC_NEW!FT34</f>
        <v>0</v>
      </c>
      <c r="FZ75" s="7">
        <f>VC_NEW!FU34</f>
        <v>0</v>
      </c>
      <c r="GA75" s="7">
        <f>VC_NEW!FV34</f>
        <v>0</v>
      </c>
      <c r="GB75" s="7">
        <f>VC_NEW!FW34</f>
        <v>0</v>
      </c>
      <c r="GC75" s="7" t="str">
        <f>VC_NEW!FX34</f>
        <v>D291N</v>
      </c>
      <c r="GD75" s="7">
        <f>VC_NEW!FY34</f>
        <v>0</v>
      </c>
      <c r="GE75" s="7">
        <f>VC_NEW!FZ34</f>
        <v>0</v>
      </c>
      <c r="GF75" s="7">
        <f>VC_NEW!GA34</f>
        <v>0</v>
      </c>
      <c r="GG75" s="7">
        <f>VC_NEW!GB34</f>
        <v>0</v>
      </c>
      <c r="GH75" s="7">
        <f>VC_NEW!GC34</f>
        <v>0</v>
      </c>
      <c r="GI75" s="7">
        <f>VC_NEW!GD34</f>
        <v>0</v>
      </c>
      <c r="GJ75" s="7">
        <f>VC_NEW!GE34</f>
        <v>0</v>
      </c>
      <c r="GK75" s="7">
        <f>VC_NEW!GF34</f>
        <v>0</v>
      </c>
      <c r="GL75" s="7" t="str">
        <f>VC_NEW!GG34</f>
        <v>P274L</v>
      </c>
      <c r="GM75" s="7">
        <f>VC_NEW!GH34</f>
        <v>0</v>
      </c>
      <c r="GN75" s="7">
        <f>VC_NEW!GI34</f>
        <v>0</v>
      </c>
      <c r="GO75" s="7">
        <f>VC_NEW!GJ34</f>
        <v>0</v>
      </c>
      <c r="GP75" s="7">
        <f>VC_NEW!GK34</f>
        <v>0</v>
      </c>
      <c r="GQ75" s="7">
        <f>VC_NEW!GL34</f>
        <v>0</v>
      </c>
      <c r="GR75" s="7" t="str">
        <f>VC_NEW!GM34</f>
        <v>I365V</v>
      </c>
      <c r="GS75" s="7">
        <f>VC_NEW!GN34</f>
        <v>0</v>
      </c>
      <c r="GT75" s="7">
        <f>VC_NEW!GO34</f>
        <v>0</v>
      </c>
      <c r="GU75" s="7" t="str">
        <f>VC_NEW!GP34</f>
        <v>T16I; P148S</v>
      </c>
      <c r="GV75" s="7">
        <f>VC_NEW!GQ34</f>
        <v>0</v>
      </c>
      <c r="GW75" s="7">
        <f>VC_NEW!GR34</f>
        <v>0</v>
      </c>
      <c r="GX75" s="7">
        <f>VC_NEW!GS34</f>
        <v>0</v>
      </c>
      <c r="GY75" s="7">
        <f>VC_NEW!GT34</f>
        <v>0</v>
      </c>
      <c r="GZ75" s="7">
        <f>VC_NEW!GU34</f>
        <v>0</v>
      </c>
      <c r="HA75" s="7">
        <f>VC_NEW!GV34</f>
        <v>0</v>
      </c>
      <c r="HB75" s="7">
        <f>VC_NEW!GW34</f>
        <v>0</v>
      </c>
      <c r="HC75" s="7">
        <f>VC_NEW!GX34</f>
        <v>0</v>
      </c>
    </row>
    <row r="76" spans="1:211" s="1" customFormat="1" ht="15" hidden="1" customHeight="1" x14ac:dyDescent="0.25">
      <c r="A76" s="1" t="s">
        <v>60</v>
      </c>
      <c r="B76" s="1" t="s">
        <v>61</v>
      </c>
      <c r="C76" s="4" t="s">
        <v>0</v>
      </c>
      <c r="D76" s="1" t="s">
        <v>76</v>
      </c>
      <c r="E76" s="1" t="s">
        <v>138</v>
      </c>
      <c r="F76" s="1" t="s">
        <v>73</v>
      </c>
      <c r="G76" s="12" t="s">
        <v>152</v>
      </c>
      <c r="H76" s="1">
        <f>VC_NEW!C35</f>
        <v>0</v>
      </c>
      <c r="I76" s="1">
        <f>VC_NEW!D35</f>
        <v>0</v>
      </c>
      <c r="J76" s="1">
        <f>VC_NEW!E35</f>
        <v>0</v>
      </c>
      <c r="K76" s="1">
        <f>VC_NEW!F35</f>
        <v>0</v>
      </c>
      <c r="L76" s="1">
        <f>VC_NEW!G35</f>
        <v>0</v>
      </c>
      <c r="M76" s="1">
        <f>VC_NEW!H35</f>
        <v>0</v>
      </c>
      <c r="N76" s="1">
        <f>VC_NEW!I35</f>
        <v>0</v>
      </c>
      <c r="O76" s="1">
        <f>VC_NEW!J35</f>
        <v>0</v>
      </c>
      <c r="P76" s="1">
        <f>VC_NEW!K35</f>
        <v>0</v>
      </c>
      <c r="Q76" s="1">
        <f>VC_NEW!L35</f>
        <v>0</v>
      </c>
      <c r="R76" s="1">
        <f>VC_NEW!M35</f>
        <v>0</v>
      </c>
      <c r="S76" s="1">
        <f>VC_NEW!N35</f>
        <v>0</v>
      </c>
      <c r="T76" s="1">
        <f>VC_NEW!O35</f>
        <v>0</v>
      </c>
      <c r="U76" s="1">
        <f>VC_NEW!P35</f>
        <v>0</v>
      </c>
      <c r="V76" s="1">
        <f>VC_NEW!Q35</f>
        <v>0</v>
      </c>
      <c r="W76" s="1">
        <f>VC_NEW!R35</f>
        <v>0</v>
      </c>
      <c r="X76" s="1">
        <f>VC_NEW!S35</f>
        <v>0</v>
      </c>
      <c r="Y76" s="1">
        <f>VC_NEW!T35</f>
        <v>0</v>
      </c>
      <c r="Z76" s="1">
        <f>VC_NEW!U35</f>
        <v>0</v>
      </c>
      <c r="AA76" s="1">
        <f>VC_NEW!V35</f>
        <v>0</v>
      </c>
      <c r="AB76" s="1">
        <f>VC_NEW!W35</f>
        <v>0</v>
      </c>
      <c r="AC76" s="1">
        <f>VC_NEW!X35</f>
        <v>0</v>
      </c>
      <c r="AD76" s="1">
        <f>VC_NEW!Y35</f>
        <v>0</v>
      </c>
      <c r="AE76" s="1">
        <f>VC_NEW!Z35</f>
        <v>0</v>
      </c>
      <c r="AF76" s="1">
        <f>VC_NEW!AA35</f>
        <v>0</v>
      </c>
      <c r="AG76" s="1">
        <f>VC_NEW!AB35</f>
        <v>0</v>
      </c>
      <c r="AH76" s="1">
        <f>VC_NEW!AC35</f>
        <v>0</v>
      </c>
      <c r="AI76" s="1">
        <f>VC_NEW!AD35</f>
        <v>0</v>
      </c>
      <c r="AJ76" s="1">
        <f>VC_NEW!AE35</f>
        <v>0</v>
      </c>
      <c r="AK76" s="1">
        <f>VC_NEW!AF35</f>
        <v>0</v>
      </c>
      <c r="AL76" s="1">
        <f>VC_NEW!AG35</f>
        <v>0</v>
      </c>
      <c r="AM76" s="1">
        <f>VC_NEW!AH35</f>
        <v>0</v>
      </c>
      <c r="AN76" s="1">
        <f>VC_NEW!AI35</f>
        <v>0</v>
      </c>
      <c r="AO76" s="1">
        <f>VC_NEW!AJ35</f>
        <v>0</v>
      </c>
      <c r="AP76" s="1">
        <f>VC_NEW!AK35</f>
        <v>0</v>
      </c>
      <c r="AQ76" s="1">
        <f>VC_NEW!AL35</f>
        <v>0</v>
      </c>
      <c r="AR76" s="1">
        <f>VC_NEW!AM35</f>
        <v>0</v>
      </c>
      <c r="AS76" s="1">
        <f>VC_NEW!AN35</f>
        <v>0</v>
      </c>
      <c r="AT76" s="1">
        <f>VC_NEW!AO35</f>
        <v>0</v>
      </c>
      <c r="AU76" s="1">
        <f>VC_NEW!AP35</f>
        <v>0</v>
      </c>
      <c r="AV76" s="1">
        <f>VC_NEW!AQ35</f>
        <v>0</v>
      </c>
      <c r="AW76" s="1">
        <f>VC_NEW!AR35</f>
        <v>0</v>
      </c>
      <c r="AX76" s="1">
        <f>VC_NEW!AS35</f>
        <v>0</v>
      </c>
      <c r="AY76" s="1">
        <f>VC_NEW!AT35</f>
        <v>0</v>
      </c>
      <c r="AZ76" s="1">
        <f>VC_NEW!AU35</f>
        <v>0</v>
      </c>
      <c r="BA76" s="1">
        <f>VC_NEW!AV35</f>
        <v>0</v>
      </c>
      <c r="BB76" s="1">
        <f>VC_NEW!AW35</f>
        <v>0</v>
      </c>
      <c r="BC76" s="1">
        <f>VC_NEW!AX35</f>
        <v>0</v>
      </c>
      <c r="BD76" s="1">
        <f>VC_NEW!AY35</f>
        <v>0</v>
      </c>
      <c r="BE76" s="1">
        <f>VC_NEW!AZ35</f>
        <v>0</v>
      </c>
      <c r="BF76" s="1">
        <f>VC_NEW!BA35</f>
        <v>0</v>
      </c>
      <c r="BG76" s="1">
        <f>VC_NEW!BB35</f>
        <v>0</v>
      </c>
      <c r="BH76" s="1">
        <f>VC_NEW!BC35</f>
        <v>0</v>
      </c>
      <c r="BI76" s="1">
        <f>VC_NEW!BD35</f>
        <v>0</v>
      </c>
      <c r="BJ76" s="1">
        <f>VC_NEW!BE35</f>
        <v>0</v>
      </c>
      <c r="BK76" s="1">
        <f>VC_NEW!BF35</f>
        <v>0</v>
      </c>
      <c r="BL76" s="1">
        <f>VC_NEW!BG35</f>
        <v>0</v>
      </c>
      <c r="BM76" s="1">
        <f>VC_NEW!BH35</f>
        <v>0</v>
      </c>
      <c r="BN76" s="1">
        <f>VC_NEW!BI35</f>
        <v>0</v>
      </c>
      <c r="BO76" s="1">
        <f>VC_NEW!BJ35</f>
        <v>0</v>
      </c>
      <c r="BP76" s="1">
        <f>VC_NEW!BK35</f>
        <v>0</v>
      </c>
      <c r="BQ76" s="1">
        <f>VC_NEW!BL35</f>
        <v>0</v>
      </c>
      <c r="BR76" s="1">
        <f>VC_NEW!BM35</f>
        <v>0</v>
      </c>
      <c r="BS76" s="1">
        <f>VC_NEW!BN35</f>
        <v>0</v>
      </c>
      <c r="BT76" s="1">
        <f>VC_NEW!BO35</f>
        <v>0</v>
      </c>
      <c r="BU76" s="1">
        <f>VC_NEW!BP35</f>
        <v>0</v>
      </c>
      <c r="BV76" s="1">
        <f>VC_NEW!BQ35</f>
        <v>0</v>
      </c>
      <c r="BW76" s="1">
        <f>VC_NEW!BR35</f>
        <v>0</v>
      </c>
      <c r="BX76" s="1">
        <f>VC_NEW!BS35</f>
        <v>0</v>
      </c>
      <c r="BY76" s="1">
        <f>VC_NEW!BT35</f>
        <v>0</v>
      </c>
      <c r="BZ76" s="1">
        <f>VC_NEW!BU35</f>
        <v>0</v>
      </c>
      <c r="CA76" s="1">
        <f>VC_NEW!BV35</f>
        <v>0</v>
      </c>
      <c r="CB76" s="1">
        <f>VC_NEW!BW35</f>
        <v>0</v>
      </c>
      <c r="CC76" s="1">
        <f>VC_NEW!BX35</f>
        <v>0</v>
      </c>
      <c r="CD76" s="1">
        <f>VC_NEW!BY35</f>
        <v>0</v>
      </c>
      <c r="CE76" s="1">
        <f>VC_NEW!BZ35</f>
        <v>0</v>
      </c>
      <c r="CF76" s="1">
        <f>VC_NEW!CA35</f>
        <v>0</v>
      </c>
      <c r="CG76" s="1">
        <f>VC_NEW!CB35</f>
        <v>0</v>
      </c>
      <c r="CH76" s="1">
        <f>VC_NEW!CC35</f>
        <v>0</v>
      </c>
      <c r="CI76" s="1">
        <f>VC_NEW!CD35</f>
        <v>0</v>
      </c>
      <c r="CJ76" s="1">
        <f>VC_NEW!CE35</f>
        <v>0</v>
      </c>
      <c r="CK76" s="1">
        <f>VC_NEW!CF35</f>
        <v>0</v>
      </c>
      <c r="CL76" s="1">
        <f>VC_NEW!CG35</f>
        <v>0</v>
      </c>
      <c r="CM76" s="1">
        <f>VC_NEW!CH35</f>
        <v>0</v>
      </c>
      <c r="CN76" s="1">
        <f>VC_NEW!CI35</f>
        <v>0</v>
      </c>
      <c r="CO76" s="1">
        <f>VC_NEW!CJ35</f>
        <v>0</v>
      </c>
      <c r="CP76" s="1">
        <f>VC_NEW!CK35</f>
        <v>0</v>
      </c>
      <c r="CQ76" s="1">
        <f>VC_NEW!CL35</f>
        <v>0</v>
      </c>
      <c r="CR76" s="1">
        <f>VC_NEW!CM35</f>
        <v>0</v>
      </c>
      <c r="CS76" s="1">
        <f>VC_NEW!CN35</f>
        <v>0</v>
      </c>
      <c r="CT76" s="1">
        <f>VC_NEW!CO35</f>
        <v>0</v>
      </c>
      <c r="CU76" s="1">
        <f>VC_NEW!CP35</f>
        <v>0</v>
      </c>
      <c r="CV76" s="1">
        <f>VC_NEW!CQ35</f>
        <v>0</v>
      </c>
      <c r="CW76" s="1">
        <f>VC_NEW!CR35</f>
        <v>0</v>
      </c>
      <c r="CX76" s="1">
        <f>VC_NEW!CS35</f>
        <v>0</v>
      </c>
      <c r="CY76" s="1">
        <f>VC_NEW!CT35</f>
        <v>0</v>
      </c>
      <c r="CZ76" s="1">
        <f>VC_NEW!CU35</f>
        <v>0</v>
      </c>
      <c r="DA76" s="1">
        <f>VC_NEW!CV35</f>
        <v>0</v>
      </c>
      <c r="DB76" s="1">
        <f>VC_NEW!CW35</f>
        <v>0</v>
      </c>
      <c r="DC76" s="1">
        <f>VC_NEW!CX35</f>
        <v>0</v>
      </c>
      <c r="DD76" s="1">
        <f>VC_NEW!CY35</f>
        <v>0</v>
      </c>
      <c r="DE76" s="1">
        <f>VC_NEW!CZ35</f>
        <v>0</v>
      </c>
      <c r="DF76" s="1">
        <f>VC_NEW!DA35</f>
        <v>0</v>
      </c>
      <c r="DG76" s="1">
        <f>VC_NEW!DB35</f>
        <v>0</v>
      </c>
      <c r="DH76" s="1">
        <f>VC_NEW!DC35</f>
        <v>0</v>
      </c>
      <c r="DI76" s="1">
        <f>VC_NEW!DD35</f>
        <v>0</v>
      </c>
      <c r="DJ76" s="1">
        <f>VC_NEW!DE35</f>
        <v>0</v>
      </c>
      <c r="DK76" s="1">
        <f>VC_NEW!DF35</f>
        <v>0</v>
      </c>
      <c r="DL76" s="1">
        <f>VC_NEW!DG35</f>
        <v>0</v>
      </c>
      <c r="DM76" s="1">
        <f>VC_NEW!DH35</f>
        <v>0</v>
      </c>
      <c r="DN76" s="1">
        <f>VC_NEW!DI35</f>
        <v>0</v>
      </c>
      <c r="DO76" s="1">
        <f>VC_NEW!DJ35</f>
        <v>0</v>
      </c>
      <c r="DP76" s="1">
        <f>VC_NEW!DK35</f>
        <v>0</v>
      </c>
      <c r="DQ76" s="1">
        <f>VC_NEW!DL35</f>
        <v>0</v>
      </c>
      <c r="DR76" s="1" t="str">
        <f>VC_NEW!DM35</f>
        <v>Q678L</v>
      </c>
      <c r="DS76" s="1">
        <f>VC_NEW!DN35</f>
        <v>0</v>
      </c>
      <c r="DT76" s="1">
        <f>VC_NEW!DO35</f>
        <v>0</v>
      </c>
      <c r="DU76" s="1">
        <f>VC_NEW!DP35</f>
        <v>0</v>
      </c>
      <c r="DV76" s="1" t="str">
        <f>VC_NEW!DQ35</f>
        <v>Q678R</v>
      </c>
      <c r="DW76" s="1">
        <f>VC_NEW!DR35</f>
        <v>0</v>
      </c>
      <c r="DX76" s="1">
        <f>VC_NEW!DS35</f>
        <v>0</v>
      </c>
      <c r="DY76" s="1">
        <f>VC_NEW!DT35</f>
        <v>0</v>
      </c>
      <c r="DZ76" s="1">
        <f>VC_NEW!DU35</f>
        <v>0</v>
      </c>
      <c r="EA76" s="1">
        <f>VC_NEW!DV35</f>
        <v>0</v>
      </c>
      <c r="EB76" s="1">
        <f>VC_NEW!DW35</f>
        <v>0</v>
      </c>
      <c r="EC76" s="1">
        <f>VC_NEW!DX35</f>
        <v>0</v>
      </c>
      <c r="ED76" s="1" t="str">
        <f>VC_NEW!DY35</f>
        <v>R680C</v>
      </c>
      <c r="EE76" s="1">
        <f>VC_NEW!DZ35</f>
        <v>0</v>
      </c>
      <c r="EF76" s="1">
        <f>VC_NEW!EA35</f>
        <v>0</v>
      </c>
      <c r="EG76" s="1">
        <f>VC_NEW!EB35</f>
        <v>0</v>
      </c>
      <c r="EH76" s="1">
        <f>VC_NEW!EC35</f>
        <v>0</v>
      </c>
      <c r="EI76" s="1" t="str">
        <f>VC_NEW!ED35</f>
        <v>S695T</v>
      </c>
      <c r="EJ76" s="1">
        <f>VC_NEW!EE35</f>
        <v>0</v>
      </c>
      <c r="EK76" s="1">
        <f>VC_NEW!EF35</f>
        <v>0</v>
      </c>
      <c r="EL76" s="1">
        <f>VC_NEW!EG35</f>
        <v>0</v>
      </c>
      <c r="EM76" s="1">
        <f>VC_NEW!EH35</f>
        <v>0</v>
      </c>
      <c r="EN76" s="1">
        <f>VC_NEW!EI35</f>
        <v>0</v>
      </c>
      <c r="EO76" s="1">
        <f>VC_NEW!EJ35</f>
        <v>0</v>
      </c>
      <c r="EP76" s="1">
        <f>VC_NEW!EK35</f>
        <v>0</v>
      </c>
      <c r="EQ76" s="1">
        <f>VC_NEW!EL35</f>
        <v>0</v>
      </c>
      <c r="ER76" s="1">
        <f>VC_NEW!EM35</f>
        <v>0</v>
      </c>
      <c r="ES76" s="1">
        <f>VC_NEW!EN35</f>
        <v>0</v>
      </c>
      <c r="ET76" s="1" t="str">
        <f>VC_NEW!EO35</f>
        <v>T671A</v>
      </c>
      <c r="EU76" s="1">
        <f>VC_NEW!EP35</f>
        <v>0</v>
      </c>
      <c r="EV76" s="1">
        <f>VC_NEW!EQ35</f>
        <v>0</v>
      </c>
      <c r="EW76" s="1">
        <f>VC_NEW!ER35</f>
        <v>0</v>
      </c>
      <c r="EX76" s="1">
        <f>VC_NEW!ES35</f>
        <v>0</v>
      </c>
      <c r="EY76" s="1">
        <f>VC_NEW!ET35</f>
        <v>0</v>
      </c>
      <c r="EZ76" s="1">
        <f>VC_NEW!EU35</f>
        <v>0</v>
      </c>
      <c r="FA76" s="1">
        <f>VC_NEW!EV35</f>
        <v>0</v>
      </c>
      <c r="FB76" s="1">
        <f>VC_NEW!EW35</f>
        <v>0</v>
      </c>
      <c r="FC76" s="1">
        <f>VC_NEW!EX35</f>
        <v>0</v>
      </c>
      <c r="FD76" s="1">
        <f>VC_NEW!EY35</f>
        <v>0</v>
      </c>
      <c r="FE76" s="1">
        <f>VC_NEW!EZ35</f>
        <v>0</v>
      </c>
      <c r="FF76" s="1">
        <f>VC_NEW!FA35</f>
        <v>0</v>
      </c>
      <c r="FG76" s="1">
        <f>VC_NEW!FB35</f>
        <v>0</v>
      </c>
      <c r="FH76" s="1">
        <f>VC_NEW!FC35</f>
        <v>0</v>
      </c>
      <c r="FI76" s="1">
        <f>VC_NEW!FD35</f>
        <v>0</v>
      </c>
      <c r="FJ76" s="1">
        <f>VC_NEW!FE35</f>
        <v>0</v>
      </c>
      <c r="FK76" s="1">
        <f>VC_NEW!FF35</f>
        <v>0</v>
      </c>
      <c r="FL76" s="1">
        <f>VC_NEW!FG35</f>
        <v>0</v>
      </c>
      <c r="FM76" s="1">
        <f>VC_NEW!FH35</f>
        <v>0</v>
      </c>
      <c r="FN76" s="1">
        <f>VC_NEW!FI35</f>
        <v>0</v>
      </c>
      <c r="FO76" s="1">
        <f>VC_NEW!FJ35</f>
        <v>0</v>
      </c>
      <c r="FP76" s="1">
        <f>VC_NEW!FK35</f>
        <v>0</v>
      </c>
      <c r="FQ76" s="1">
        <f>VC_NEW!FL35</f>
        <v>0</v>
      </c>
      <c r="FR76" s="1">
        <f>VC_NEW!FM35</f>
        <v>0</v>
      </c>
      <c r="FS76" s="1">
        <f>VC_NEW!FN35</f>
        <v>0</v>
      </c>
      <c r="FT76" s="1">
        <f>VC_NEW!FO35</f>
        <v>0</v>
      </c>
      <c r="FU76" s="1">
        <f>VC_NEW!FP35</f>
        <v>0</v>
      </c>
      <c r="FV76" s="1">
        <f>VC_NEW!FQ35</f>
        <v>0</v>
      </c>
      <c r="FW76" s="1">
        <f>VC_NEW!FR35</f>
        <v>0</v>
      </c>
      <c r="FX76" s="1">
        <f>VC_NEW!FS35</f>
        <v>0</v>
      </c>
      <c r="FY76" s="1">
        <f>VC_NEW!FT35</f>
        <v>0</v>
      </c>
      <c r="FZ76" s="1">
        <f>VC_NEW!FU35</f>
        <v>0</v>
      </c>
      <c r="GA76" s="1">
        <f>VC_NEW!FV35</f>
        <v>0</v>
      </c>
      <c r="GB76" s="1">
        <f>VC_NEW!FW35</f>
        <v>0</v>
      </c>
      <c r="GC76" s="1">
        <f>VC_NEW!FX35</f>
        <v>0</v>
      </c>
      <c r="GD76" s="1">
        <f>VC_NEW!FY35</f>
        <v>0</v>
      </c>
      <c r="GE76" s="1">
        <f>VC_NEW!FZ35</f>
        <v>0</v>
      </c>
      <c r="GF76" s="1">
        <f>VC_NEW!GA35</f>
        <v>0</v>
      </c>
      <c r="GG76" s="1">
        <f>VC_NEW!GB35</f>
        <v>0</v>
      </c>
      <c r="GH76" s="1">
        <f>VC_NEW!GC35</f>
        <v>0</v>
      </c>
      <c r="GI76" s="1">
        <f>VC_NEW!GD35</f>
        <v>0</v>
      </c>
      <c r="GJ76" s="1" t="str">
        <f>VC_NEW!GE35</f>
        <v>K212T</v>
      </c>
      <c r="GK76" s="1">
        <f>VC_NEW!GF35</f>
        <v>0</v>
      </c>
      <c r="GL76" s="1">
        <f>VC_NEW!GG35</f>
        <v>0</v>
      </c>
      <c r="GM76" s="1">
        <f>VC_NEW!GH35</f>
        <v>0</v>
      </c>
      <c r="GN76" s="1">
        <f>VC_NEW!GI35</f>
        <v>0</v>
      </c>
      <c r="GO76" s="1">
        <f>VC_NEW!GJ35</f>
        <v>0</v>
      </c>
      <c r="GP76" s="1">
        <f>VC_NEW!GK35</f>
        <v>0</v>
      </c>
      <c r="GQ76" s="1">
        <f>VC_NEW!GL35</f>
        <v>0</v>
      </c>
      <c r="GR76" s="1">
        <f>VC_NEW!GM35</f>
        <v>0</v>
      </c>
      <c r="GS76" s="1">
        <f>VC_NEW!GN35</f>
        <v>0</v>
      </c>
      <c r="GT76" s="1">
        <f>VC_NEW!GO35</f>
        <v>0</v>
      </c>
      <c r="GU76" s="1">
        <f>VC_NEW!GP35</f>
        <v>0</v>
      </c>
      <c r="GV76" s="1">
        <f>VC_NEW!GQ35</f>
        <v>0</v>
      </c>
      <c r="GW76" s="1">
        <f>VC_NEW!GR35</f>
        <v>0</v>
      </c>
      <c r="GX76" s="1" t="str">
        <f>VC_NEW!GS35</f>
        <v>Y552C</v>
      </c>
      <c r="GY76" s="1">
        <f>VC_NEW!GT35</f>
        <v>0</v>
      </c>
      <c r="GZ76" s="1">
        <f>VC_NEW!GU35</f>
        <v>0</v>
      </c>
      <c r="HA76" s="1">
        <f>VC_NEW!GV35</f>
        <v>0</v>
      </c>
      <c r="HB76" s="1">
        <f>VC_NEW!GW35</f>
        <v>0</v>
      </c>
      <c r="HC76" s="1">
        <f>VC_NEW!GX35</f>
        <v>0</v>
      </c>
    </row>
    <row r="77" spans="1:211" s="7" customFormat="1" ht="15" customHeight="1" x14ac:dyDescent="0.25">
      <c r="A77" s="7" t="s">
        <v>32</v>
      </c>
      <c r="B77" s="7" t="s">
        <v>99</v>
      </c>
      <c r="C77" s="8" t="s">
        <v>1</v>
      </c>
      <c r="D77" s="7" t="s">
        <v>76</v>
      </c>
      <c r="E77" s="7" t="s">
        <v>138</v>
      </c>
      <c r="F77" s="7" t="s">
        <v>73</v>
      </c>
      <c r="G77" s="7" t="s">
        <v>1054</v>
      </c>
      <c r="H77" s="7">
        <f>VC_NEW!C36</f>
        <v>0</v>
      </c>
      <c r="I77" s="7">
        <f>VC_NEW!D36</f>
        <v>0</v>
      </c>
      <c r="J77" s="7">
        <f>VC_NEW!E36</f>
        <v>0</v>
      </c>
      <c r="K77" s="7">
        <f>VC_NEW!F36</f>
        <v>0</v>
      </c>
      <c r="L77" s="7">
        <f>VC_NEW!G36</f>
        <v>0</v>
      </c>
      <c r="M77" s="7">
        <f>VC_NEW!H36</f>
        <v>0</v>
      </c>
      <c r="N77" s="7">
        <f>VC_NEW!I36</f>
        <v>0</v>
      </c>
      <c r="O77" s="7">
        <f>VC_NEW!J36</f>
        <v>0</v>
      </c>
      <c r="P77" s="7">
        <f>VC_NEW!K36</f>
        <v>0</v>
      </c>
      <c r="Q77" s="7">
        <f>VC_NEW!L36</f>
        <v>0</v>
      </c>
      <c r="R77" s="7">
        <f>VC_NEW!M36</f>
        <v>0</v>
      </c>
      <c r="S77" s="7">
        <f>VC_NEW!N36</f>
        <v>0</v>
      </c>
      <c r="T77" s="7">
        <f>VC_NEW!O36</f>
        <v>0</v>
      </c>
      <c r="U77" s="7">
        <f>VC_NEW!P36</f>
        <v>0</v>
      </c>
      <c r="V77" s="7">
        <f>VC_NEW!Q36</f>
        <v>0</v>
      </c>
      <c r="W77" s="7">
        <f>VC_NEW!R36</f>
        <v>0</v>
      </c>
      <c r="X77" s="7">
        <f>VC_NEW!S36</f>
        <v>0</v>
      </c>
      <c r="Y77" s="7">
        <f>VC_NEW!T36</f>
        <v>0</v>
      </c>
      <c r="Z77" s="7">
        <f>VC_NEW!U36</f>
        <v>0</v>
      </c>
      <c r="AA77" s="7">
        <f>VC_NEW!V36</f>
        <v>0</v>
      </c>
      <c r="AB77" s="7">
        <f>VC_NEW!W36</f>
        <v>0</v>
      </c>
      <c r="AC77" s="7">
        <f>VC_NEW!X36</f>
        <v>0</v>
      </c>
      <c r="AD77" s="7">
        <f>VC_NEW!Y36</f>
        <v>0</v>
      </c>
      <c r="AE77" s="7">
        <f>VC_NEW!Z36</f>
        <v>0</v>
      </c>
      <c r="AF77" s="7">
        <f>VC_NEW!AA36</f>
        <v>0</v>
      </c>
      <c r="AG77" s="7">
        <f>VC_NEW!AB36</f>
        <v>0</v>
      </c>
      <c r="AH77" s="7">
        <f>VC_NEW!AC36</f>
        <v>0</v>
      </c>
      <c r="AI77" s="7">
        <f>VC_NEW!AD36</f>
        <v>0</v>
      </c>
      <c r="AJ77" s="7">
        <f>VC_NEW!AE36</f>
        <v>0</v>
      </c>
      <c r="AK77" s="7">
        <f>VC_NEW!AF36</f>
        <v>0</v>
      </c>
      <c r="AL77" s="7">
        <f>VC_NEW!AG36</f>
        <v>0</v>
      </c>
      <c r="AM77" s="7">
        <f>VC_NEW!AH36</f>
        <v>0</v>
      </c>
      <c r="AN77" s="7">
        <f>VC_NEW!AI36</f>
        <v>0</v>
      </c>
      <c r="AO77" s="7">
        <f>VC_NEW!AJ36</f>
        <v>0</v>
      </c>
      <c r="AP77" s="7">
        <f>VC_NEW!AK36</f>
        <v>0</v>
      </c>
      <c r="AQ77" s="7">
        <f>VC_NEW!AL36</f>
        <v>0</v>
      </c>
      <c r="AR77" s="7">
        <f>VC_NEW!AM36</f>
        <v>0</v>
      </c>
      <c r="AS77" s="7">
        <f>VC_NEW!AN36</f>
        <v>0</v>
      </c>
      <c r="AT77" s="7">
        <f>VC_NEW!AO36</f>
        <v>0</v>
      </c>
      <c r="AU77" s="7">
        <f>VC_NEW!AP36</f>
        <v>0</v>
      </c>
      <c r="AV77" s="7">
        <f>VC_NEW!AQ36</f>
        <v>0</v>
      </c>
      <c r="AW77" s="7">
        <f>VC_NEW!AR36</f>
        <v>0</v>
      </c>
      <c r="AX77" s="7">
        <f>VC_NEW!AS36</f>
        <v>0</v>
      </c>
      <c r="AY77" s="7">
        <f>VC_NEW!AT36</f>
        <v>0</v>
      </c>
      <c r="AZ77" s="7">
        <f>VC_NEW!AU36</f>
        <v>0</v>
      </c>
      <c r="BA77" s="7">
        <f>VC_NEW!AV36</f>
        <v>0</v>
      </c>
      <c r="BB77" s="7" t="str">
        <f>VC_NEW!AW36</f>
        <v>D440E</v>
      </c>
      <c r="BC77" s="7">
        <f>VC_NEW!AX36</f>
        <v>0</v>
      </c>
      <c r="BD77" s="7">
        <f>VC_NEW!AY36</f>
        <v>0</v>
      </c>
      <c r="BE77" s="7">
        <f>VC_NEW!AZ36</f>
        <v>0</v>
      </c>
      <c r="BF77" s="7">
        <f>VC_NEW!BA36</f>
        <v>0</v>
      </c>
      <c r="BG77" s="7">
        <f>VC_NEW!BB36</f>
        <v>0</v>
      </c>
      <c r="BH77" s="7">
        <f>VC_NEW!BC36</f>
        <v>0</v>
      </c>
      <c r="BI77" s="7">
        <f>VC_NEW!BD36</f>
        <v>0</v>
      </c>
      <c r="BJ77" s="7">
        <f>VC_NEW!BE36</f>
        <v>0</v>
      </c>
      <c r="BK77" s="7">
        <f>VC_NEW!BF36</f>
        <v>0</v>
      </c>
      <c r="BL77" s="7">
        <f>VC_NEW!BG36</f>
        <v>0</v>
      </c>
      <c r="BM77" s="7">
        <f>VC_NEW!BH36</f>
        <v>0</v>
      </c>
      <c r="BN77" s="7" t="str">
        <f>VC_NEW!BI36</f>
        <v>R551L</v>
      </c>
      <c r="BO77" s="7">
        <f>VC_NEW!BJ36</f>
        <v>0</v>
      </c>
      <c r="BP77" s="7" t="str">
        <f>VC_NEW!BK36</f>
        <v>L21P</v>
      </c>
      <c r="BQ77" s="7">
        <f>VC_NEW!BL36</f>
        <v>0</v>
      </c>
      <c r="BR77" s="7">
        <f>VC_NEW!BM36</f>
        <v>0</v>
      </c>
      <c r="BS77" s="7">
        <f>VC_NEW!BN36</f>
        <v>0</v>
      </c>
      <c r="BT77" s="7" t="str">
        <f>VC_NEW!BO36</f>
        <v>L23V</v>
      </c>
      <c r="BU77" s="7">
        <f>VC_NEW!BP36</f>
        <v>0</v>
      </c>
      <c r="BV77" s="7">
        <f>VC_NEW!BQ36</f>
        <v>0</v>
      </c>
      <c r="BW77" s="7">
        <f>VC_NEW!BR36</f>
        <v>0</v>
      </c>
      <c r="BX77" s="7">
        <f>VC_NEW!BS36</f>
        <v>0</v>
      </c>
      <c r="BY77" s="7">
        <f>VC_NEW!BT36</f>
        <v>0</v>
      </c>
      <c r="BZ77" s="7">
        <f>VC_NEW!BU36</f>
        <v>0</v>
      </c>
      <c r="CA77" s="7">
        <f>VC_NEW!BV36</f>
        <v>0</v>
      </c>
      <c r="CB77" s="7">
        <f>VC_NEW!BW36</f>
        <v>0</v>
      </c>
      <c r="CC77" s="7">
        <f>VC_NEW!BX36</f>
        <v>0</v>
      </c>
      <c r="CD77" s="7">
        <f>VC_NEW!BY36</f>
        <v>0</v>
      </c>
      <c r="CE77" s="7">
        <f>VC_NEW!BZ36</f>
        <v>0</v>
      </c>
      <c r="CF77" s="7">
        <f>VC_NEW!CA36</f>
        <v>0</v>
      </c>
      <c r="CG77" s="7">
        <f>VC_NEW!CB36</f>
        <v>0</v>
      </c>
      <c r="CH77" s="7">
        <f>VC_NEW!CC36</f>
        <v>0</v>
      </c>
      <c r="CI77" s="7">
        <f>VC_NEW!CD36</f>
        <v>0</v>
      </c>
      <c r="CJ77" s="7">
        <f>VC_NEW!CE36</f>
        <v>0</v>
      </c>
      <c r="CK77" s="7">
        <f>VC_NEW!CF36</f>
        <v>0</v>
      </c>
      <c r="CL77" s="7">
        <f>VC_NEW!CG36</f>
        <v>0</v>
      </c>
      <c r="CM77" s="7">
        <f>VC_NEW!CH36</f>
        <v>0</v>
      </c>
      <c r="CN77" s="7">
        <f>VC_NEW!CI36</f>
        <v>0</v>
      </c>
      <c r="CO77" s="7">
        <f>VC_NEW!CJ36</f>
        <v>0</v>
      </c>
      <c r="CP77" s="7">
        <f>VC_NEW!CK36</f>
        <v>0</v>
      </c>
      <c r="CQ77" s="7">
        <f>VC_NEW!CL36</f>
        <v>0</v>
      </c>
      <c r="CR77" s="7">
        <f>VC_NEW!CM36</f>
        <v>0</v>
      </c>
      <c r="CS77" s="7">
        <f>VC_NEW!CN36</f>
        <v>0</v>
      </c>
      <c r="CT77" s="7">
        <f>VC_NEW!CO36</f>
        <v>0</v>
      </c>
      <c r="CU77" s="7">
        <f>VC_NEW!CP36</f>
        <v>0</v>
      </c>
      <c r="CV77" s="7">
        <f>VC_NEW!CQ36</f>
        <v>0</v>
      </c>
      <c r="CW77" s="7">
        <f>VC_NEW!CR36</f>
        <v>0</v>
      </c>
      <c r="CX77" s="7">
        <f>VC_NEW!CS36</f>
        <v>0</v>
      </c>
      <c r="CY77" s="7">
        <f>VC_NEW!CT36</f>
        <v>0</v>
      </c>
      <c r="CZ77" s="7">
        <f>VC_NEW!CU36</f>
        <v>0</v>
      </c>
      <c r="DA77" s="7">
        <f>VC_NEW!CV36</f>
        <v>0</v>
      </c>
      <c r="DB77" s="7">
        <f>VC_NEW!CW36</f>
        <v>0</v>
      </c>
      <c r="DC77" s="7">
        <f>VC_NEW!CX36</f>
        <v>0</v>
      </c>
      <c r="DD77" s="7">
        <f>VC_NEW!CY36</f>
        <v>0</v>
      </c>
      <c r="DE77" s="7">
        <f>VC_NEW!CZ36</f>
        <v>0</v>
      </c>
      <c r="DF77" s="7">
        <f>VC_NEW!DA36</f>
        <v>0</v>
      </c>
      <c r="DG77" s="7">
        <f>VC_NEW!DB36</f>
        <v>0</v>
      </c>
      <c r="DH77" s="7">
        <f>VC_NEW!DC36</f>
        <v>0</v>
      </c>
      <c r="DI77" s="7">
        <f>VC_NEW!DD36</f>
        <v>0</v>
      </c>
      <c r="DJ77" s="7">
        <f>VC_NEW!DE36</f>
        <v>0</v>
      </c>
      <c r="DK77" s="7">
        <f>VC_NEW!DF36</f>
        <v>0</v>
      </c>
      <c r="DL77" s="7">
        <f>VC_NEW!DG36</f>
        <v>0</v>
      </c>
      <c r="DM77" s="7">
        <f>VC_NEW!DH36</f>
        <v>0</v>
      </c>
      <c r="DN77" s="7">
        <f>VC_NEW!DI36</f>
        <v>0</v>
      </c>
      <c r="DO77" s="7">
        <f>VC_NEW!DJ36</f>
        <v>0</v>
      </c>
      <c r="DP77" s="7">
        <f>VC_NEW!DK36</f>
        <v>0</v>
      </c>
      <c r="DQ77" s="7">
        <f>VC_NEW!DL36</f>
        <v>0</v>
      </c>
      <c r="DR77" s="7">
        <f>VC_NEW!DM36</f>
        <v>0</v>
      </c>
      <c r="DS77" s="7">
        <f>VC_NEW!DN36</f>
        <v>0</v>
      </c>
      <c r="DT77" s="7">
        <f>VC_NEW!DO36</f>
        <v>0</v>
      </c>
      <c r="DU77" s="7">
        <f>VC_NEW!DP36</f>
        <v>0</v>
      </c>
      <c r="DV77" s="7">
        <f>VC_NEW!DQ36</f>
        <v>0</v>
      </c>
      <c r="DW77" s="7">
        <f>VC_NEW!DR36</f>
        <v>0</v>
      </c>
      <c r="DX77" s="7">
        <f>VC_NEW!DS36</f>
        <v>0</v>
      </c>
      <c r="DY77" s="7">
        <f>VC_NEW!DT36</f>
        <v>0</v>
      </c>
      <c r="DZ77" s="7">
        <f>VC_NEW!DU36</f>
        <v>0</v>
      </c>
      <c r="EA77" s="7">
        <f>VC_NEW!DV36</f>
        <v>0</v>
      </c>
      <c r="EB77" s="7">
        <f>VC_NEW!DW36</f>
        <v>0</v>
      </c>
      <c r="EC77" s="7">
        <f>VC_NEW!DX36</f>
        <v>0</v>
      </c>
      <c r="ED77" s="7">
        <f>VC_NEW!DY36</f>
        <v>0</v>
      </c>
      <c r="EE77" s="7">
        <f>VC_NEW!DZ36</f>
        <v>0</v>
      </c>
      <c r="EF77" s="7">
        <f>VC_NEW!EA36</f>
        <v>0</v>
      </c>
      <c r="EG77" s="7">
        <f>VC_NEW!EB36</f>
        <v>0</v>
      </c>
      <c r="EH77" s="7">
        <f>VC_NEW!EC36</f>
        <v>0</v>
      </c>
      <c r="EI77" s="7">
        <f>VC_NEW!ED36</f>
        <v>0</v>
      </c>
      <c r="EJ77" s="7">
        <f>VC_NEW!EE36</f>
        <v>0</v>
      </c>
      <c r="EK77" s="7">
        <f>VC_NEW!EF36</f>
        <v>0</v>
      </c>
      <c r="EL77" s="7" t="str">
        <f>VC_NEW!EG36</f>
        <v>L219V</v>
      </c>
      <c r="EM77" s="7">
        <f>VC_NEW!EH36</f>
        <v>0</v>
      </c>
      <c r="EN77" s="7">
        <f>VC_NEW!EI36</f>
        <v>0</v>
      </c>
      <c r="EO77" s="7">
        <f>VC_NEW!EJ36</f>
        <v>0</v>
      </c>
      <c r="EP77" s="7">
        <f>VC_NEW!EK36</f>
        <v>0</v>
      </c>
      <c r="EQ77" s="7">
        <f>VC_NEW!EL36</f>
        <v>0</v>
      </c>
      <c r="ER77" s="7">
        <f>VC_NEW!EM36</f>
        <v>0</v>
      </c>
      <c r="ES77" s="7">
        <f>VC_NEW!EN36</f>
        <v>0</v>
      </c>
      <c r="ET77" s="7">
        <f>VC_NEW!EO36</f>
        <v>0</v>
      </c>
      <c r="EU77" s="7">
        <f>VC_NEW!EP36</f>
        <v>0</v>
      </c>
      <c r="EV77" s="7">
        <f>VC_NEW!EQ36</f>
        <v>0</v>
      </c>
      <c r="EW77" s="7" t="str">
        <f>VC_NEW!ER36</f>
        <v>L240V; A572V</v>
      </c>
      <c r="EX77" s="7">
        <f>VC_NEW!ES36</f>
        <v>0</v>
      </c>
      <c r="EY77" s="7">
        <f>VC_NEW!ET36</f>
        <v>0</v>
      </c>
      <c r="EZ77" s="7">
        <f>VC_NEW!EU36</f>
        <v>0</v>
      </c>
      <c r="FA77" s="7">
        <f>VC_NEW!EV36</f>
        <v>0</v>
      </c>
      <c r="FB77" s="7">
        <f>VC_NEW!EW36</f>
        <v>0</v>
      </c>
      <c r="FC77" s="7">
        <f>VC_NEW!EX36</f>
        <v>0</v>
      </c>
      <c r="FD77" s="7">
        <f>VC_NEW!EY36</f>
        <v>0</v>
      </c>
      <c r="FE77" s="7">
        <f>VC_NEW!EZ36</f>
        <v>0</v>
      </c>
      <c r="FF77" s="7">
        <f>VC_NEW!FA36</f>
        <v>0</v>
      </c>
      <c r="FG77" s="7">
        <f>VC_NEW!FB36</f>
        <v>0</v>
      </c>
      <c r="FH77" s="7">
        <f>VC_NEW!FC36</f>
        <v>0</v>
      </c>
      <c r="FI77" s="7">
        <f>VC_NEW!FD36</f>
        <v>0</v>
      </c>
      <c r="FJ77" s="7">
        <f>VC_NEW!FE36</f>
        <v>0</v>
      </c>
      <c r="FK77" s="7">
        <f>VC_NEW!FF36</f>
        <v>0</v>
      </c>
      <c r="FL77" s="7">
        <f>VC_NEW!FG36</f>
        <v>0</v>
      </c>
      <c r="FM77" s="7">
        <f>VC_NEW!FH36</f>
        <v>0</v>
      </c>
      <c r="FN77" s="7">
        <f>VC_NEW!FI36</f>
        <v>0</v>
      </c>
      <c r="FO77" s="7">
        <f>VC_NEW!FJ36</f>
        <v>0</v>
      </c>
      <c r="FP77" s="7">
        <f>VC_NEW!FK36</f>
        <v>0</v>
      </c>
      <c r="FQ77" s="7">
        <f>VC_NEW!FL36</f>
        <v>0</v>
      </c>
      <c r="FR77" s="7">
        <f>VC_NEW!FM36</f>
        <v>0</v>
      </c>
      <c r="FS77" s="7">
        <f>VC_NEW!FN36</f>
        <v>0</v>
      </c>
      <c r="FT77" s="7">
        <f>VC_NEW!FO36</f>
        <v>0</v>
      </c>
      <c r="FU77" s="7">
        <f>VC_NEW!FP36</f>
        <v>0</v>
      </c>
      <c r="FV77" s="7">
        <f>VC_NEW!FQ36</f>
        <v>0</v>
      </c>
      <c r="FW77" s="7">
        <f>VC_NEW!FR36</f>
        <v>0</v>
      </c>
      <c r="FX77" s="7" t="str">
        <f>VC_NEW!FS36</f>
        <v>G243S</v>
      </c>
      <c r="FY77" s="7">
        <f>VC_NEW!FT36</f>
        <v>0</v>
      </c>
      <c r="FZ77" s="7">
        <f>VC_NEW!FU36</f>
        <v>0</v>
      </c>
      <c r="GA77" s="7">
        <f>VC_NEW!FV36</f>
        <v>0</v>
      </c>
      <c r="GB77" s="7" t="str">
        <f>VC_NEW!FW36</f>
        <v>I347T</v>
      </c>
      <c r="GC77" s="7">
        <f>VC_NEW!FX36</f>
        <v>0</v>
      </c>
      <c r="GD77" s="7">
        <f>VC_NEW!FY36</f>
        <v>0</v>
      </c>
      <c r="GE77" s="7">
        <f>VC_NEW!FZ36</f>
        <v>0</v>
      </c>
      <c r="GF77" s="7">
        <f>VC_NEW!GA36</f>
        <v>0</v>
      </c>
      <c r="GG77" s="7">
        <f>VC_NEW!GB36</f>
        <v>0</v>
      </c>
      <c r="GH77" s="7">
        <f>VC_NEW!GC36</f>
        <v>0</v>
      </c>
      <c r="GI77" s="7">
        <f>VC_NEW!GD36</f>
        <v>0</v>
      </c>
      <c r="GJ77" s="7">
        <f>VC_NEW!GE36</f>
        <v>0</v>
      </c>
      <c r="GK77" s="7">
        <f>VC_NEW!GF36</f>
        <v>0</v>
      </c>
      <c r="GL77" s="7">
        <f>VC_NEW!GG36</f>
        <v>0</v>
      </c>
      <c r="GM77" s="7">
        <f>VC_NEW!GH36</f>
        <v>0</v>
      </c>
      <c r="GN77" s="7">
        <f>VC_NEW!GI36</f>
        <v>0</v>
      </c>
      <c r="GO77" s="7">
        <f>VC_NEW!GJ36</f>
        <v>0</v>
      </c>
      <c r="GP77" s="7">
        <f>VC_NEW!GK36</f>
        <v>0</v>
      </c>
      <c r="GQ77" s="7">
        <f>VC_NEW!GL36</f>
        <v>0</v>
      </c>
      <c r="GR77" s="7" t="str">
        <f>VC_NEW!GM36</f>
        <v>L23V; Y146F</v>
      </c>
      <c r="GS77" s="7">
        <f>VC_NEW!GN36</f>
        <v>0</v>
      </c>
      <c r="GT77" s="7">
        <f>VC_NEW!GO36</f>
        <v>0</v>
      </c>
      <c r="GU77" s="7">
        <f>VC_NEW!GP36</f>
        <v>0</v>
      </c>
      <c r="GV77" s="7">
        <f>VC_NEW!GQ36</f>
        <v>0</v>
      </c>
      <c r="GW77" s="7">
        <f>VC_NEW!GR36</f>
        <v>0</v>
      </c>
      <c r="GX77" s="7">
        <f>VC_NEW!GS36</f>
        <v>0</v>
      </c>
      <c r="GY77" s="7">
        <f>VC_NEW!GT36</f>
        <v>0</v>
      </c>
      <c r="GZ77" s="7">
        <f>VC_NEW!GU36</f>
        <v>0</v>
      </c>
      <c r="HA77" s="7">
        <f>VC_NEW!GV36</f>
        <v>0</v>
      </c>
      <c r="HB77" s="7">
        <f>VC_NEW!GW36</f>
        <v>0</v>
      </c>
      <c r="HC77" s="7">
        <f>VC_NEW!GX36</f>
        <v>0</v>
      </c>
    </row>
    <row r="78" spans="1:211" s="7" customFormat="1" ht="15" hidden="1" customHeight="1" x14ac:dyDescent="0.25">
      <c r="A78" s="7" t="s">
        <v>32</v>
      </c>
      <c r="B78" s="7" t="s">
        <v>99</v>
      </c>
      <c r="C78" s="8" t="s">
        <v>2</v>
      </c>
      <c r="D78" s="7" t="s">
        <v>76</v>
      </c>
      <c r="E78" s="7" t="s">
        <v>138</v>
      </c>
      <c r="F78" s="7" t="s">
        <v>73</v>
      </c>
      <c r="G78" s="7" t="s">
        <v>1054</v>
      </c>
      <c r="H78" s="7">
        <f>VC_NEW!C36</f>
        <v>0</v>
      </c>
      <c r="I78" s="7">
        <f>VC_NEW!D36</f>
        <v>0</v>
      </c>
      <c r="J78" s="7">
        <f>VC_NEW!E36</f>
        <v>0</v>
      </c>
      <c r="K78" s="7">
        <f>VC_NEW!F36</f>
        <v>0</v>
      </c>
      <c r="L78" s="7">
        <f>VC_NEW!G36</f>
        <v>0</v>
      </c>
      <c r="M78" s="7">
        <f>VC_NEW!H36</f>
        <v>0</v>
      </c>
      <c r="N78" s="7">
        <f>VC_NEW!I36</f>
        <v>0</v>
      </c>
      <c r="O78" s="7">
        <f>VC_NEW!J36</f>
        <v>0</v>
      </c>
      <c r="P78" s="7">
        <f>VC_NEW!K36</f>
        <v>0</v>
      </c>
      <c r="Q78" s="7">
        <f>VC_NEW!L36</f>
        <v>0</v>
      </c>
      <c r="R78" s="7">
        <f>VC_NEW!M36</f>
        <v>0</v>
      </c>
      <c r="S78" s="7">
        <f>VC_NEW!N36</f>
        <v>0</v>
      </c>
      <c r="T78" s="7">
        <f>VC_NEW!O36</f>
        <v>0</v>
      </c>
      <c r="U78" s="7">
        <f>VC_NEW!P36</f>
        <v>0</v>
      </c>
      <c r="V78" s="7">
        <f>VC_NEW!Q36</f>
        <v>0</v>
      </c>
      <c r="W78" s="7">
        <f>VC_NEW!R36</f>
        <v>0</v>
      </c>
      <c r="X78" s="7">
        <f>VC_NEW!S36</f>
        <v>0</v>
      </c>
      <c r="Y78" s="7">
        <f>VC_NEW!T36</f>
        <v>0</v>
      </c>
      <c r="Z78" s="7">
        <f>VC_NEW!U36</f>
        <v>0</v>
      </c>
      <c r="AA78" s="7">
        <f>VC_NEW!V36</f>
        <v>0</v>
      </c>
      <c r="AB78" s="7">
        <f>VC_NEW!W36</f>
        <v>0</v>
      </c>
      <c r="AC78" s="7">
        <f>VC_NEW!X36</f>
        <v>0</v>
      </c>
      <c r="AD78" s="7">
        <f>VC_NEW!Y36</f>
        <v>0</v>
      </c>
      <c r="AE78" s="7">
        <f>VC_NEW!Z36</f>
        <v>0</v>
      </c>
      <c r="AF78" s="7">
        <f>VC_NEW!AA36</f>
        <v>0</v>
      </c>
      <c r="AG78" s="7">
        <f>VC_NEW!AB36</f>
        <v>0</v>
      </c>
      <c r="AH78" s="7">
        <f>VC_NEW!AC36</f>
        <v>0</v>
      </c>
      <c r="AI78" s="7">
        <f>VC_NEW!AD36</f>
        <v>0</v>
      </c>
      <c r="AJ78" s="7">
        <f>VC_NEW!AE36</f>
        <v>0</v>
      </c>
      <c r="AK78" s="7">
        <f>VC_NEW!AF36</f>
        <v>0</v>
      </c>
      <c r="AL78" s="7">
        <f>VC_NEW!AG36</f>
        <v>0</v>
      </c>
      <c r="AM78" s="7">
        <f>VC_NEW!AH36</f>
        <v>0</v>
      </c>
      <c r="AN78" s="7">
        <f>VC_NEW!AI36</f>
        <v>0</v>
      </c>
      <c r="AO78" s="7">
        <f>VC_NEW!AJ36</f>
        <v>0</v>
      </c>
      <c r="AP78" s="7">
        <f>VC_NEW!AK36</f>
        <v>0</v>
      </c>
      <c r="AQ78" s="7">
        <f>VC_NEW!AL36</f>
        <v>0</v>
      </c>
      <c r="AR78" s="7">
        <f>VC_NEW!AM36</f>
        <v>0</v>
      </c>
      <c r="AS78" s="7">
        <f>VC_NEW!AN36</f>
        <v>0</v>
      </c>
      <c r="AT78" s="7">
        <f>VC_NEW!AO36</f>
        <v>0</v>
      </c>
      <c r="AU78" s="7">
        <f>VC_NEW!AP36</f>
        <v>0</v>
      </c>
      <c r="AV78" s="7">
        <f>VC_NEW!AQ36</f>
        <v>0</v>
      </c>
      <c r="AW78" s="7">
        <f>VC_NEW!AR36</f>
        <v>0</v>
      </c>
      <c r="AX78" s="7">
        <f>VC_NEW!AS36</f>
        <v>0</v>
      </c>
      <c r="AY78" s="7">
        <f>VC_NEW!AT36</f>
        <v>0</v>
      </c>
      <c r="AZ78" s="7">
        <f>VC_NEW!AU36</f>
        <v>0</v>
      </c>
      <c r="BA78" s="7">
        <f>VC_NEW!AV36</f>
        <v>0</v>
      </c>
      <c r="BB78" s="7" t="str">
        <f>VC_NEW!AW36</f>
        <v>D440E</v>
      </c>
      <c r="BC78" s="7">
        <f>VC_NEW!AX36</f>
        <v>0</v>
      </c>
      <c r="BD78" s="7">
        <f>VC_NEW!AY36</f>
        <v>0</v>
      </c>
      <c r="BE78" s="7">
        <f>VC_NEW!AZ36</f>
        <v>0</v>
      </c>
      <c r="BF78" s="7">
        <f>VC_NEW!BA36</f>
        <v>0</v>
      </c>
      <c r="BG78" s="7">
        <f>VC_NEW!BB36</f>
        <v>0</v>
      </c>
      <c r="BH78" s="7">
        <f>VC_NEW!BC36</f>
        <v>0</v>
      </c>
      <c r="BI78" s="7">
        <f>VC_NEW!BD36</f>
        <v>0</v>
      </c>
      <c r="BJ78" s="7">
        <f>VC_NEW!BE36</f>
        <v>0</v>
      </c>
      <c r="BK78" s="7">
        <f>VC_NEW!BF36</f>
        <v>0</v>
      </c>
      <c r="BL78" s="7">
        <f>VC_NEW!BG36</f>
        <v>0</v>
      </c>
      <c r="BM78" s="7">
        <f>VC_NEW!BH36</f>
        <v>0</v>
      </c>
      <c r="BN78" s="7" t="str">
        <f>VC_NEW!BI36</f>
        <v>R551L</v>
      </c>
      <c r="BO78" s="7">
        <f>VC_NEW!BJ36</f>
        <v>0</v>
      </c>
      <c r="BP78" s="7" t="str">
        <f>VC_NEW!BK36</f>
        <v>L21P</v>
      </c>
      <c r="BQ78" s="7">
        <f>VC_NEW!BL36</f>
        <v>0</v>
      </c>
      <c r="BR78" s="7">
        <f>VC_NEW!BM36</f>
        <v>0</v>
      </c>
      <c r="BS78" s="7">
        <f>VC_NEW!BN36</f>
        <v>0</v>
      </c>
      <c r="BT78" s="7" t="str">
        <f>VC_NEW!BO36</f>
        <v>L23V</v>
      </c>
      <c r="BU78" s="7">
        <f>VC_NEW!BP36</f>
        <v>0</v>
      </c>
      <c r="BV78" s="7">
        <f>VC_NEW!BQ36</f>
        <v>0</v>
      </c>
      <c r="BW78" s="7">
        <f>VC_NEW!BR36</f>
        <v>0</v>
      </c>
      <c r="BX78" s="7">
        <f>VC_NEW!BS36</f>
        <v>0</v>
      </c>
      <c r="BY78" s="7">
        <f>VC_NEW!BT36</f>
        <v>0</v>
      </c>
      <c r="BZ78" s="7">
        <f>VC_NEW!BU36</f>
        <v>0</v>
      </c>
      <c r="CA78" s="7">
        <f>VC_NEW!BV36</f>
        <v>0</v>
      </c>
      <c r="CB78" s="7">
        <f>VC_NEW!BW36</f>
        <v>0</v>
      </c>
      <c r="CC78" s="7">
        <f>VC_NEW!BX36</f>
        <v>0</v>
      </c>
      <c r="CD78" s="7">
        <f>VC_NEW!BY36</f>
        <v>0</v>
      </c>
      <c r="CE78" s="7">
        <f>VC_NEW!BZ36</f>
        <v>0</v>
      </c>
      <c r="CF78" s="7">
        <f>VC_NEW!CA36</f>
        <v>0</v>
      </c>
      <c r="CG78" s="7">
        <f>VC_NEW!CB36</f>
        <v>0</v>
      </c>
      <c r="CH78" s="7">
        <f>VC_NEW!CC36</f>
        <v>0</v>
      </c>
      <c r="CI78" s="7">
        <f>VC_NEW!CD36</f>
        <v>0</v>
      </c>
      <c r="CJ78" s="7">
        <f>VC_NEW!CE36</f>
        <v>0</v>
      </c>
      <c r="CK78" s="7">
        <f>VC_NEW!CF36</f>
        <v>0</v>
      </c>
      <c r="CL78" s="7">
        <f>VC_NEW!CG36</f>
        <v>0</v>
      </c>
      <c r="CM78" s="7">
        <f>VC_NEW!CH36</f>
        <v>0</v>
      </c>
      <c r="CN78" s="7">
        <f>VC_NEW!CI36</f>
        <v>0</v>
      </c>
      <c r="CO78" s="7">
        <f>VC_NEW!CJ36</f>
        <v>0</v>
      </c>
      <c r="CP78" s="7">
        <f>VC_NEW!CK36</f>
        <v>0</v>
      </c>
      <c r="CQ78" s="7">
        <f>VC_NEW!CL36</f>
        <v>0</v>
      </c>
      <c r="CR78" s="7">
        <f>VC_NEW!CM36</f>
        <v>0</v>
      </c>
      <c r="CS78" s="7">
        <f>VC_NEW!CN36</f>
        <v>0</v>
      </c>
      <c r="CT78" s="7">
        <f>VC_NEW!CO36</f>
        <v>0</v>
      </c>
      <c r="CU78" s="7">
        <f>VC_NEW!CP36</f>
        <v>0</v>
      </c>
      <c r="CV78" s="7">
        <f>VC_NEW!CQ36</f>
        <v>0</v>
      </c>
      <c r="CW78" s="7">
        <f>VC_NEW!CR36</f>
        <v>0</v>
      </c>
      <c r="CX78" s="7">
        <f>VC_NEW!CS36</f>
        <v>0</v>
      </c>
      <c r="CY78" s="7">
        <f>VC_NEW!CT36</f>
        <v>0</v>
      </c>
      <c r="CZ78" s="7">
        <f>VC_NEW!CU36</f>
        <v>0</v>
      </c>
      <c r="DA78" s="7">
        <f>VC_NEW!CV36</f>
        <v>0</v>
      </c>
      <c r="DB78" s="7">
        <f>VC_NEW!CW36</f>
        <v>0</v>
      </c>
      <c r="DC78" s="7">
        <f>VC_NEW!CX36</f>
        <v>0</v>
      </c>
      <c r="DD78" s="7">
        <f>VC_NEW!CY36</f>
        <v>0</v>
      </c>
      <c r="DE78" s="7">
        <f>VC_NEW!CZ36</f>
        <v>0</v>
      </c>
      <c r="DF78" s="7">
        <f>VC_NEW!DA36</f>
        <v>0</v>
      </c>
      <c r="DG78" s="7">
        <f>VC_NEW!DB36</f>
        <v>0</v>
      </c>
      <c r="DH78" s="7">
        <f>VC_NEW!DC36</f>
        <v>0</v>
      </c>
      <c r="DI78" s="7">
        <f>VC_NEW!DD36</f>
        <v>0</v>
      </c>
      <c r="DJ78" s="7">
        <f>VC_NEW!DE36</f>
        <v>0</v>
      </c>
      <c r="DK78" s="7">
        <f>VC_NEW!DF36</f>
        <v>0</v>
      </c>
      <c r="DL78" s="7">
        <f>VC_NEW!DG36</f>
        <v>0</v>
      </c>
      <c r="DM78" s="7">
        <f>VC_NEW!DH36</f>
        <v>0</v>
      </c>
      <c r="DN78" s="7">
        <f>VC_NEW!DI36</f>
        <v>0</v>
      </c>
      <c r="DO78" s="7">
        <f>VC_NEW!DJ36</f>
        <v>0</v>
      </c>
      <c r="DP78" s="7">
        <f>VC_NEW!DK36</f>
        <v>0</v>
      </c>
      <c r="DQ78" s="7">
        <f>VC_NEW!DL36</f>
        <v>0</v>
      </c>
      <c r="DR78" s="7">
        <f>VC_NEW!DM36</f>
        <v>0</v>
      </c>
      <c r="DS78" s="7">
        <f>VC_NEW!DN36</f>
        <v>0</v>
      </c>
      <c r="DT78" s="7">
        <f>VC_NEW!DO36</f>
        <v>0</v>
      </c>
      <c r="DU78" s="7">
        <f>VC_NEW!DP36</f>
        <v>0</v>
      </c>
      <c r="DV78" s="7">
        <f>VC_NEW!DQ36</f>
        <v>0</v>
      </c>
      <c r="DW78" s="7">
        <f>VC_NEW!DR36</f>
        <v>0</v>
      </c>
      <c r="DX78" s="7">
        <f>VC_NEW!DS36</f>
        <v>0</v>
      </c>
      <c r="DY78" s="7">
        <f>VC_NEW!DT36</f>
        <v>0</v>
      </c>
      <c r="DZ78" s="7">
        <f>VC_NEW!DU36</f>
        <v>0</v>
      </c>
      <c r="EA78" s="7">
        <f>VC_NEW!DV36</f>
        <v>0</v>
      </c>
      <c r="EB78" s="7">
        <f>VC_NEW!DW36</f>
        <v>0</v>
      </c>
      <c r="EC78" s="7">
        <f>VC_NEW!DX36</f>
        <v>0</v>
      </c>
      <c r="ED78" s="7">
        <f>VC_NEW!DY36</f>
        <v>0</v>
      </c>
      <c r="EE78" s="7">
        <f>VC_NEW!DZ36</f>
        <v>0</v>
      </c>
      <c r="EF78" s="7">
        <f>VC_NEW!EA36</f>
        <v>0</v>
      </c>
      <c r="EG78" s="7">
        <f>VC_NEW!EB36</f>
        <v>0</v>
      </c>
      <c r="EH78" s="7">
        <f>VC_NEW!EC36</f>
        <v>0</v>
      </c>
      <c r="EI78" s="7">
        <f>VC_NEW!ED36</f>
        <v>0</v>
      </c>
      <c r="EJ78" s="7">
        <f>VC_NEW!EE36</f>
        <v>0</v>
      </c>
      <c r="EK78" s="7">
        <f>VC_NEW!EF36</f>
        <v>0</v>
      </c>
      <c r="EL78" s="7" t="str">
        <f>VC_NEW!EG36</f>
        <v>L219V</v>
      </c>
      <c r="EM78" s="7">
        <f>VC_NEW!EH36</f>
        <v>0</v>
      </c>
      <c r="EN78" s="7">
        <f>VC_NEW!EI36</f>
        <v>0</v>
      </c>
      <c r="EO78" s="7">
        <f>VC_NEW!EJ36</f>
        <v>0</v>
      </c>
      <c r="EP78" s="7">
        <f>VC_NEW!EK36</f>
        <v>0</v>
      </c>
      <c r="EQ78" s="7">
        <f>VC_NEW!EL36</f>
        <v>0</v>
      </c>
      <c r="ER78" s="7">
        <f>VC_NEW!EM36</f>
        <v>0</v>
      </c>
      <c r="ES78" s="7">
        <f>VC_NEW!EN36</f>
        <v>0</v>
      </c>
      <c r="ET78" s="7">
        <f>VC_NEW!EO36</f>
        <v>0</v>
      </c>
      <c r="EU78" s="7">
        <f>VC_NEW!EP36</f>
        <v>0</v>
      </c>
      <c r="EV78" s="7">
        <f>VC_NEW!EQ36</f>
        <v>0</v>
      </c>
      <c r="EW78" s="7" t="str">
        <f>VC_NEW!ER36</f>
        <v>L240V; A572V</v>
      </c>
      <c r="EX78" s="7">
        <f>VC_NEW!ES36</f>
        <v>0</v>
      </c>
      <c r="EY78" s="7">
        <f>VC_NEW!ET36</f>
        <v>0</v>
      </c>
      <c r="EZ78" s="7">
        <f>VC_NEW!EU36</f>
        <v>0</v>
      </c>
      <c r="FA78" s="7">
        <f>VC_NEW!EV36</f>
        <v>0</v>
      </c>
      <c r="FB78" s="7">
        <f>VC_NEW!EW36</f>
        <v>0</v>
      </c>
      <c r="FC78" s="7">
        <f>VC_NEW!EX36</f>
        <v>0</v>
      </c>
      <c r="FD78" s="7">
        <f>VC_NEW!EY36</f>
        <v>0</v>
      </c>
      <c r="FE78" s="7">
        <f>VC_NEW!EZ36</f>
        <v>0</v>
      </c>
      <c r="FF78" s="7">
        <f>VC_NEW!FA36</f>
        <v>0</v>
      </c>
      <c r="FG78" s="7">
        <f>VC_NEW!FB36</f>
        <v>0</v>
      </c>
      <c r="FH78" s="7">
        <f>VC_NEW!FC36</f>
        <v>0</v>
      </c>
      <c r="FI78" s="7">
        <f>VC_NEW!FD36</f>
        <v>0</v>
      </c>
      <c r="FJ78" s="7">
        <f>VC_NEW!FE36</f>
        <v>0</v>
      </c>
      <c r="FK78" s="7">
        <f>VC_NEW!FF36</f>
        <v>0</v>
      </c>
      <c r="FL78" s="7">
        <f>VC_NEW!FG36</f>
        <v>0</v>
      </c>
      <c r="FM78" s="7">
        <f>VC_NEW!FH36</f>
        <v>0</v>
      </c>
      <c r="FN78" s="7">
        <f>VC_NEW!FI36</f>
        <v>0</v>
      </c>
      <c r="FO78" s="7">
        <f>VC_NEW!FJ36</f>
        <v>0</v>
      </c>
      <c r="FP78" s="7">
        <f>VC_NEW!FK36</f>
        <v>0</v>
      </c>
      <c r="FQ78" s="7">
        <f>VC_NEW!FL36</f>
        <v>0</v>
      </c>
      <c r="FR78" s="7">
        <f>VC_NEW!FM36</f>
        <v>0</v>
      </c>
      <c r="FS78" s="7">
        <f>VC_NEW!FN36</f>
        <v>0</v>
      </c>
      <c r="FT78" s="7">
        <f>VC_NEW!FO36</f>
        <v>0</v>
      </c>
      <c r="FU78" s="7">
        <f>VC_NEW!FP36</f>
        <v>0</v>
      </c>
      <c r="FV78" s="7">
        <f>VC_NEW!FQ36</f>
        <v>0</v>
      </c>
      <c r="FW78" s="7">
        <f>VC_NEW!FR36</f>
        <v>0</v>
      </c>
      <c r="FX78" s="7" t="str">
        <f>VC_NEW!FS36</f>
        <v>G243S</v>
      </c>
      <c r="FY78" s="7">
        <f>VC_NEW!FT36</f>
        <v>0</v>
      </c>
      <c r="FZ78" s="7">
        <f>VC_NEW!FU36</f>
        <v>0</v>
      </c>
      <c r="GA78" s="7">
        <f>VC_NEW!FV36</f>
        <v>0</v>
      </c>
      <c r="GB78" s="7" t="str">
        <f>VC_NEW!FW36</f>
        <v>I347T</v>
      </c>
      <c r="GC78" s="7">
        <f>VC_NEW!FX36</f>
        <v>0</v>
      </c>
      <c r="GD78" s="7">
        <f>VC_NEW!FY36</f>
        <v>0</v>
      </c>
      <c r="GE78" s="7">
        <f>VC_NEW!FZ36</f>
        <v>0</v>
      </c>
      <c r="GF78" s="7">
        <f>VC_NEW!GA36</f>
        <v>0</v>
      </c>
      <c r="GG78" s="7">
        <f>VC_NEW!GB36</f>
        <v>0</v>
      </c>
      <c r="GH78" s="7">
        <f>VC_NEW!GC36</f>
        <v>0</v>
      </c>
      <c r="GI78" s="7">
        <f>VC_NEW!GD36</f>
        <v>0</v>
      </c>
      <c r="GJ78" s="7">
        <f>VC_NEW!GE36</f>
        <v>0</v>
      </c>
      <c r="GK78" s="7">
        <f>VC_NEW!GF36</f>
        <v>0</v>
      </c>
      <c r="GL78" s="7">
        <f>VC_NEW!GG36</f>
        <v>0</v>
      </c>
      <c r="GM78" s="7">
        <f>VC_NEW!GH36</f>
        <v>0</v>
      </c>
      <c r="GN78" s="7">
        <f>VC_NEW!GI36</f>
        <v>0</v>
      </c>
      <c r="GO78" s="7">
        <f>VC_NEW!GJ36</f>
        <v>0</v>
      </c>
      <c r="GP78" s="7">
        <f>VC_NEW!GK36</f>
        <v>0</v>
      </c>
      <c r="GQ78" s="7">
        <f>VC_NEW!GL36</f>
        <v>0</v>
      </c>
      <c r="GR78" s="7" t="str">
        <f>VC_NEW!GM36</f>
        <v>L23V; Y146F</v>
      </c>
      <c r="GS78" s="7">
        <f>VC_NEW!GN36</f>
        <v>0</v>
      </c>
      <c r="GT78" s="7">
        <f>VC_NEW!GO36</f>
        <v>0</v>
      </c>
      <c r="GU78" s="7">
        <f>VC_NEW!GP36</f>
        <v>0</v>
      </c>
      <c r="GV78" s="7">
        <f>VC_NEW!GQ36</f>
        <v>0</v>
      </c>
      <c r="GW78" s="7">
        <f>VC_NEW!GR36</f>
        <v>0</v>
      </c>
      <c r="GX78" s="7">
        <f>VC_NEW!GS36</f>
        <v>0</v>
      </c>
      <c r="GY78" s="7">
        <f>VC_NEW!GT36</f>
        <v>0</v>
      </c>
      <c r="GZ78" s="7">
        <f>VC_NEW!GU36</f>
        <v>0</v>
      </c>
      <c r="HA78" s="7">
        <f>VC_NEW!GV36</f>
        <v>0</v>
      </c>
      <c r="HB78" s="7">
        <f>VC_NEW!GW36</f>
        <v>0</v>
      </c>
      <c r="HC78" s="7">
        <f>VC_NEW!GX36</f>
        <v>0</v>
      </c>
    </row>
    <row r="79" spans="1:211" s="7" customFormat="1" ht="15" hidden="1" customHeight="1" x14ac:dyDescent="0.25">
      <c r="A79" s="7" t="s">
        <v>32</v>
      </c>
      <c r="B79" s="7" t="s">
        <v>99</v>
      </c>
      <c r="C79" s="8" t="s">
        <v>3</v>
      </c>
      <c r="D79" s="7" t="s">
        <v>76</v>
      </c>
      <c r="E79" s="7" t="s">
        <v>138</v>
      </c>
      <c r="F79" s="7" t="s">
        <v>73</v>
      </c>
      <c r="G79" s="7" t="s">
        <v>1054</v>
      </c>
      <c r="H79" s="7">
        <f>VC_NEW!C36</f>
        <v>0</v>
      </c>
      <c r="I79" s="7">
        <f>VC_NEW!D36</f>
        <v>0</v>
      </c>
      <c r="J79" s="7">
        <f>VC_NEW!E36</f>
        <v>0</v>
      </c>
      <c r="K79" s="7">
        <f>VC_NEW!F36</f>
        <v>0</v>
      </c>
      <c r="L79" s="7">
        <f>VC_NEW!G36</f>
        <v>0</v>
      </c>
      <c r="M79" s="7">
        <f>VC_NEW!H36</f>
        <v>0</v>
      </c>
      <c r="N79" s="7">
        <f>VC_NEW!I36</f>
        <v>0</v>
      </c>
      <c r="O79" s="7">
        <f>VC_NEW!J36</f>
        <v>0</v>
      </c>
      <c r="P79" s="7">
        <f>VC_NEW!K36</f>
        <v>0</v>
      </c>
      <c r="Q79" s="7">
        <f>VC_NEW!L36</f>
        <v>0</v>
      </c>
      <c r="R79" s="7">
        <f>VC_NEW!M36</f>
        <v>0</v>
      </c>
      <c r="S79" s="7">
        <f>VC_NEW!N36</f>
        <v>0</v>
      </c>
      <c r="T79" s="7">
        <f>VC_NEW!O36</f>
        <v>0</v>
      </c>
      <c r="U79" s="7">
        <f>VC_NEW!P36</f>
        <v>0</v>
      </c>
      <c r="V79" s="7">
        <f>VC_NEW!Q36</f>
        <v>0</v>
      </c>
      <c r="W79" s="7">
        <f>VC_NEW!R36</f>
        <v>0</v>
      </c>
      <c r="X79" s="7">
        <f>VC_NEW!S36</f>
        <v>0</v>
      </c>
      <c r="Y79" s="7">
        <f>VC_NEW!T36</f>
        <v>0</v>
      </c>
      <c r="Z79" s="7">
        <f>VC_NEW!U36</f>
        <v>0</v>
      </c>
      <c r="AA79" s="7">
        <f>VC_NEW!V36</f>
        <v>0</v>
      </c>
      <c r="AB79" s="7">
        <f>VC_NEW!W36</f>
        <v>0</v>
      </c>
      <c r="AC79" s="7">
        <f>VC_NEW!X36</f>
        <v>0</v>
      </c>
      <c r="AD79" s="7">
        <f>VC_NEW!Y36</f>
        <v>0</v>
      </c>
      <c r="AE79" s="7">
        <f>VC_NEW!Z36</f>
        <v>0</v>
      </c>
      <c r="AF79" s="7">
        <f>VC_NEW!AA36</f>
        <v>0</v>
      </c>
      <c r="AG79" s="7">
        <f>VC_NEW!AB36</f>
        <v>0</v>
      </c>
      <c r="AH79" s="7">
        <f>VC_NEW!AC36</f>
        <v>0</v>
      </c>
      <c r="AI79" s="7">
        <f>VC_NEW!AD36</f>
        <v>0</v>
      </c>
      <c r="AJ79" s="7">
        <f>VC_NEW!AE36</f>
        <v>0</v>
      </c>
      <c r="AK79" s="7">
        <f>VC_NEW!AF36</f>
        <v>0</v>
      </c>
      <c r="AL79" s="7">
        <f>VC_NEW!AG36</f>
        <v>0</v>
      </c>
      <c r="AM79" s="7">
        <f>VC_NEW!AH36</f>
        <v>0</v>
      </c>
      <c r="AN79" s="7">
        <f>VC_NEW!AI36</f>
        <v>0</v>
      </c>
      <c r="AO79" s="7">
        <f>VC_NEW!AJ36</f>
        <v>0</v>
      </c>
      <c r="AP79" s="7">
        <f>VC_NEW!AK36</f>
        <v>0</v>
      </c>
      <c r="AQ79" s="7">
        <f>VC_NEW!AL36</f>
        <v>0</v>
      </c>
      <c r="AR79" s="7">
        <f>VC_NEW!AM36</f>
        <v>0</v>
      </c>
      <c r="AS79" s="7">
        <f>VC_NEW!AN36</f>
        <v>0</v>
      </c>
      <c r="AT79" s="7">
        <f>VC_NEW!AO36</f>
        <v>0</v>
      </c>
      <c r="AU79" s="7">
        <f>VC_NEW!AP36</f>
        <v>0</v>
      </c>
      <c r="AV79" s="7">
        <f>VC_NEW!AQ36</f>
        <v>0</v>
      </c>
      <c r="AW79" s="7">
        <f>VC_NEW!AR36</f>
        <v>0</v>
      </c>
      <c r="AX79" s="7">
        <f>VC_NEW!AS36</f>
        <v>0</v>
      </c>
      <c r="AY79" s="7">
        <f>VC_NEW!AT36</f>
        <v>0</v>
      </c>
      <c r="AZ79" s="7">
        <f>VC_NEW!AU36</f>
        <v>0</v>
      </c>
      <c r="BA79" s="7">
        <f>VC_NEW!AV36</f>
        <v>0</v>
      </c>
      <c r="BB79" s="7" t="str">
        <f>VC_NEW!AW36</f>
        <v>D440E</v>
      </c>
      <c r="BC79" s="7">
        <f>VC_NEW!AX36</f>
        <v>0</v>
      </c>
      <c r="BD79" s="7">
        <f>VC_NEW!AY36</f>
        <v>0</v>
      </c>
      <c r="BE79" s="7">
        <f>VC_NEW!AZ36</f>
        <v>0</v>
      </c>
      <c r="BF79" s="7">
        <f>VC_NEW!BA36</f>
        <v>0</v>
      </c>
      <c r="BG79" s="7">
        <f>VC_NEW!BB36</f>
        <v>0</v>
      </c>
      <c r="BH79" s="7">
        <f>VC_NEW!BC36</f>
        <v>0</v>
      </c>
      <c r="BI79" s="7">
        <f>VC_NEW!BD36</f>
        <v>0</v>
      </c>
      <c r="BJ79" s="7">
        <f>VC_NEW!BE36</f>
        <v>0</v>
      </c>
      <c r="BK79" s="7">
        <f>VC_NEW!BF36</f>
        <v>0</v>
      </c>
      <c r="BL79" s="7">
        <f>VC_NEW!BG36</f>
        <v>0</v>
      </c>
      <c r="BM79" s="7">
        <f>VC_NEW!BH36</f>
        <v>0</v>
      </c>
      <c r="BN79" s="7" t="str">
        <f>VC_NEW!BI36</f>
        <v>R551L</v>
      </c>
      <c r="BO79" s="7">
        <f>VC_NEW!BJ36</f>
        <v>0</v>
      </c>
      <c r="BP79" s="7" t="str">
        <f>VC_NEW!BK36</f>
        <v>L21P</v>
      </c>
      <c r="BQ79" s="7">
        <f>VC_NEW!BL36</f>
        <v>0</v>
      </c>
      <c r="BR79" s="7">
        <f>VC_NEW!BM36</f>
        <v>0</v>
      </c>
      <c r="BS79" s="7">
        <f>VC_NEW!BN36</f>
        <v>0</v>
      </c>
      <c r="BT79" s="7" t="str">
        <f>VC_NEW!BO36</f>
        <v>L23V</v>
      </c>
      <c r="BU79" s="7">
        <f>VC_NEW!BP36</f>
        <v>0</v>
      </c>
      <c r="BV79" s="7">
        <f>VC_NEW!BQ36</f>
        <v>0</v>
      </c>
      <c r="BW79" s="7">
        <f>VC_NEW!BR36</f>
        <v>0</v>
      </c>
      <c r="BX79" s="7">
        <f>VC_NEW!BS36</f>
        <v>0</v>
      </c>
      <c r="BY79" s="7">
        <f>VC_NEW!BT36</f>
        <v>0</v>
      </c>
      <c r="BZ79" s="7">
        <f>VC_NEW!BU36</f>
        <v>0</v>
      </c>
      <c r="CA79" s="7">
        <f>VC_NEW!BV36</f>
        <v>0</v>
      </c>
      <c r="CB79" s="7">
        <f>VC_NEW!BW36</f>
        <v>0</v>
      </c>
      <c r="CC79" s="7">
        <f>VC_NEW!BX36</f>
        <v>0</v>
      </c>
      <c r="CD79" s="7">
        <f>VC_NEW!BY36</f>
        <v>0</v>
      </c>
      <c r="CE79" s="7">
        <f>VC_NEW!BZ36</f>
        <v>0</v>
      </c>
      <c r="CF79" s="7">
        <f>VC_NEW!CA36</f>
        <v>0</v>
      </c>
      <c r="CG79" s="7">
        <f>VC_NEW!CB36</f>
        <v>0</v>
      </c>
      <c r="CH79" s="7">
        <f>VC_NEW!CC36</f>
        <v>0</v>
      </c>
      <c r="CI79" s="7">
        <f>VC_NEW!CD36</f>
        <v>0</v>
      </c>
      <c r="CJ79" s="7">
        <f>VC_NEW!CE36</f>
        <v>0</v>
      </c>
      <c r="CK79" s="7">
        <f>VC_NEW!CF36</f>
        <v>0</v>
      </c>
      <c r="CL79" s="7">
        <f>VC_NEW!CG36</f>
        <v>0</v>
      </c>
      <c r="CM79" s="7">
        <f>VC_NEW!CH36</f>
        <v>0</v>
      </c>
      <c r="CN79" s="7">
        <f>VC_NEW!CI36</f>
        <v>0</v>
      </c>
      <c r="CO79" s="7">
        <f>VC_NEW!CJ36</f>
        <v>0</v>
      </c>
      <c r="CP79" s="7">
        <f>VC_NEW!CK36</f>
        <v>0</v>
      </c>
      <c r="CQ79" s="7">
        <f>VC_NEW!CL36</f>
        <v>0</v>
      </c>
      <c r="CR79" s="7">
        <f>VC_NEW!CM36</f>
        <v>0</v>
      </c>
      <c r="CS79" s="7">
        <f>VC_NEW!CN36</f>
        <v>0</v>
      </c>
      <c r="CT79" s="7">
        <f>VC_NEW!CO36</f>
        <v>0</v>
      </c>
      <c r="CU79" s="7">
        <f>VC_NEW!CP36</f>
        <v>0</v>
      </c>
      <c r="CV79" s="7">
        <f>VC_NEW!CQ36</f>
        <v>0</v>
      </c>
      <c r="CW79" s="7">
        <f>VC_NEW!CR36</f>
        <v>0</v>
      </c>
      <c r="CX79" s="7">
        <f>VC_NEW!CS36</f>
        <v>0</v>
      </c>
      <c r="CY79" s="7">
        <f>VC_NEW!CT36</f>
        <v>0</v>
      </c>
      <c r="CZ79" s="7">
        <f>VC_NEW!CU36</f>
        <v>0</v>
      </c>
      <c r="DA79" s="7">
        <f>VC_NEW!CV36</f>
        <v>0</v>
      </c>
      <c r="DB79" s="7">
        <f>VC_NEW!CW36</f>
        <v>0</v>
      </c>
      <c r="DC79" s="7">
        <f>VC_NEW!CX36</f>
        <v>0</v>
      </c>
      <c r="DD79" s="7">
        <f>VC_NEW!CY36</f>
        <v>0</v>
      </c>
      <c r="DE79" s="7">
        <f>VC_NEW!CZ36</f>
        <v>0</v>
      </c>
      <c r="DF79" s="7">
        <f>VC_NEW!DA36</f>
        <v>0</v>
      </c>
      <c r="DG79" s="7">
        <f>VC_NEW!DB36</f>
        <v>0</v>
      </c>
      <c r="DH79" s="7">
        <f>VC_NEW!DC36</f>
        <v>0</v>
      </c>
      <c r="DI79" s="7">
        <f>VC_NEW!DD36</f>
        <v>0</v>
      </c>
      <c r="DJ79" s="7">
        <f>VC_NEW!DE36</f>
        <v>0</v>
      </c>
      <c r="DK79" s="7">
        <f>VC_NEW!DF36</f>
        <v>0</v>
      </c>
      <c r="DL79" s="7">
        <f>VC_NEW!DG36</f>
        <v>0</v>
      </c>
      <c r="DM79" s="7">
        <f>VC_NEW!DH36</f>
        <v>0</v>
      </c>
      <c r="DN79" s="7">
        <f>VC_NEW!DI36</f>
        <v>0</v>
      </c>
      <c r="DO79" s="7">
        <f>VC_NEW!DJ36</f>
        <v>0</v>
      </c>
      <c r="DP79" s="7">
        <f>VC_NEW!DK36</f>
        <v>0</v>
      </c>
      <c r="DQ79" s="7">
        <f>VC_NEW!DL36</f>
        <v>0</v>
      </c>
      <c r="DR79" s="7">
        <f>VC_NEW!DM36</f>
        <v>0</v>
      </c>
      <c r="DS79" s="7">
        <f>VC_NEW!DN36</f>
        <v>0</v>
      </c>
      <c r="DT79" s="7">
        <f>VC_NEW!DO36</f>
        <v>0</v>
      </c>
      <c r="DU79" s="7">
        <f>VC_NEW!DP36</f>
        <v>0</v>
      </c>
      <c r="DV79" s="7">
        <f>VC_NEW!DQ36</f>
        <v>0</v>
      </c>
      <c r="DW79" s="7">
        <f>VC_NEW!DR36</f>
        <v>0</v>
      </c>
      <c r="DX79" s="7">
        <f>VC_NEW!DS36</f>
        <v>0</v>
      </c>
      <c r="DY79" s="7">
        <f>VC_NEW!DT36</f>
        <v>0</v>
      </c>
      <c r="DZ79" s="7">
        <f>VC_NEW!DU36</f>
        <v>0</v>
      </c>
      <c r="EA79" s="7">
        <f>VC_NEW!DV36</f>
        <v>0</v>
      </c>
      <c r="EB79" s="7">
        <f>VC_NEW!DW36</f>
        <v>0</v>
      </c>
      <c r="EC79" s="7">
        <f>VC_NEW!DX36</f>
        <v>0</v>
      </c>
      <c r="ED79" s="7">
        <f>VC_NEW!DY36</f>
        <v>0</v>
      </c>
      <c r="EE79" s="7">
        <f>VC_NEW!DZ36</f>
        <v>0</v>
      </c>
      <c r="EF79" s="7">
        <f>VC_NEW!EA36</f>
        <v>0</v>
      </c>
      <c r="EG79" s="7">
        <f>VC_NEW!EB36</f>
        <v>0</v>
      </c>
      <c r="EH79" s="7">
        <f>VC_NEW!EC36</f>
        <v>0</v>
      </c>
      <c r="EI79" s="7">
        <f>VC_NEW!ED36</f>
        <v>0</v>
      </c>
      <c r="EJ79" s="7">
        <f>VC_NEW!EE36</f>
        <v>0</v>
      </c>
      <c r="EK79" s="7">
        <f>VC_NEW!EF36</f>
        <v>0</v>
      </c>
      <c r="EL79" s="7" t="str">
        <f>VC_NEW!EG36</f>
        <v>L219V</v>
      </c>
      <c r="EM79" s="7">
        <f>VC_NEW!EH36</f>
        <v>0</v>
      </c>
      <c r="EN79" s="7">
        <f>VC_NEW!EI36</f>
        <v>0</v>
      </c>
      <c r="EO79" s="7">
        <f>VC_NEW!EJ36</f>
        <v>0</v>
      </c>
      <c r="EP79" s="7">
        <f>VC_NEW!EK36</f>
        <v>0</v>
      </c>
      <c r="EQ79" s="7">
        <f>VC_NEW!EL36</f>
        <v>0</v>
      </c>
      <c r="ER79" s="7">
        <f>VC_NEW!EM36</f>
        <v>0</v>
      </c>
      <c r="ES79" s="7">
        <f>VC_NEW!EN36</f>
        <v>0</v>
      </c>
      <c r="ET79" s="7">
        <f>VC_NEW!EO36</f>
        <v>0</v>
      </c>
      <c r="EU79" s="7">
        <f>VC_NEW!EP36</f>
        <v>0</v>
      </c>
      <c r="EV79" s="7">
        <f>VC_NEW!EQ36</f>
        <v>0</v>
      </c>
      <c r="EW79" s="7" t="str">
        <f>VC_NEW!ER36</f>
        <v>L240V; A572V</v>
      </c>
      <c r="EX79" s="7">
        <f>VC_NEW!ES36</f>
        <v>0</v>
      </c>
      <c r="EY79" s="7">
        <f>VC_NEW!ET36</f>
        <v>0</v>
      </c>
      <c r="EZ79" s="7">
        <f>VC_NEW!EU36</f>
        <v>0</v>
      </c>
      <c r="FA79" s="7">
        <f>VC_NEW!EV36</f>
        <v>0</v>
      </c>
      <c r="FB79" s="7">
        <f>VC_NEW!EW36</f>
        <v>0</v>
      </c>
      <c r="FC79" s="7">
        <f>VC_NEW!EX36</f>
        <v>0</v>
      </c>
      <c r="FD79" s="7">
        <f>VC_NEW!EY36</f>
        <v>0</v>
      </c>
      <c r="FE79" s="7">
        <f>VC_NEW!EZ36</f>
        <v>0</v>
      </c>
      <c r="FF79" s="7">
        <f>VC_NEW!FA36</f>
        <v>0</v>
      </c>
      <c r="FG79" s="7">
        <f>VC_NEW!FB36</f>
        <v>0</v>
      </c>
      <c r="FH79" s="7">
        <f>VC_NEW!FC36</f>
        <v>0</v>
      </c>
      <c r="FI79" s="7">
        <f>VC_NEW!FD36</f>
        <v>0</v>
      </c>
      <c r="FJ79" s="7">
        <f>VC_NEW!FE36</f>
        <v>0</v>
      </c>
      <c r="FK79" s="7">
        <f>VC_NEW!FF36</f>
        <v>0</v>
      </c>
      <c r="FL79" s="7">
        <f>VC_NEW!FG36</f>
        <v>0</v>
      </c>
      <c r="FM79" s="7">
        <f>VC_NEW!FH36</f>
        <v>0</v>
      </c>
      <c r="FN79" s="7">
        <f>VC_NEW!FI36</f>
        <v>0</v>
      </c>
      <c r="FO79" s="7">
        <f>VC_NEW!FJ36</f>
        <v>0</v>
      </c>
      <c r="FP79" s="7">
        <f>VC_NEW!FK36</f>
        <v>0</v>
      </c>
      <c r="FQ79" s="7">
        <f>VC_NEW!FL36</f>
        <v>0</v>
      </c>
      <c r="FR79" s="7">
        <f>VC_NEW!FM36</f>
        <v>0</v>
      </c>
      <c r="FS79" s="7">
        <f>VC_NEW!FN36</f>
        <v>0</v>
      </c>
      <c r="FT79" s="7">
        <f>VC_NEW!FO36</f>
        <v>0</v>
      </c>
      <c r="FU79" s="7">
        <f>VC_NEW!FP36</f>
        <v>0</v>
      </c>
      <c r="FV79" s="7">
        <f>VC_NEW!FQ36</f>
        <v>0</v>
      </c>
      <c r="FW79" s="7">
        <f>VC_NEW!FR36</f>
        <v>0</v>
      </c>
      <c r="FX79" s="7" t="str">
        <f>VC_NEW!FS36</f>
        <v>G243S</v>
      </c>
      <c r="FY79" s="7">
        <f>VC_NEW!FT36</f>
        <v>0</v>
      </c>
      <c r="FZ79" s="7">
        <f>VC_NEW!FU36</f>
        <v>0</v>
      </c>
      <c r="GA79" s="7">
        <f>VC_NEW!FV36</f>
        <v>0</v>
      </c>
      <c r="GB79" s="7" t="str">
        <f>VC_NEW!FW36</f>
        <v>I347T</v>
      </c>
      <c r="GC79" s="7">
        <f>VC_NEW!FX36</f>
        <v>0</v>
      </c>
      <c r="GD79" s="7">
        <f>VC_NEW!FY36</f>
        <v>0</v>
      </c>
      <c r="GE79" s="7">
        <f>VC_NEW!FZ36</f>
        <v>0</v>
      </c>
      <c r="GF79" s="7">
        <f>VC_NEW!GA36</f>
        <v>0</v>
      </c>
      <c r="GG79" s="7">
        <f>VC_NEW!GB36</f>
        <v>0</v>
      </c>
      <c r="GH79" s="7">
        <f>VC_NEW!GC36</f>
        <v>0</v>
      </c>
      <c r="GI79" s="7">
        <f>VC_NEW!GD36</f>
        <v>0</v>
      </c>
      <c r="GJ79" s="7">
        <f>VC_NEW!GE36</f>
        <v>0</v>
      </c>
      <c r="GK79" s="7">
        <f>VC_NEW!GF36</f>
        <v>0</v>
      </c>
      <c r="GL79" s="7">
        <f>VC_NEW!GG36</f>
        <v>0</v>
      </c>
      <c r="GM79" s="7">
        <f>VC_NEW!GH36</f>
        <v>0</v>
      </c>
      <c r="GN79" s="7">
        <f>VC_NEW!GI36</f>
        <v>0</v>
      </c>
      <c r="GO79" s="7">
        <f>VC_NEW!GJ36</f>
        <v>0</v>
      </c>
      <c r="GP79" s="7">
        <f>VC_NEW!GK36</f>
        <v>0</v>
      </c>
      <c r="GQ79" s="7">
        <f>VC_NEW!GL36</f>
        <v>0</v>
      </c>
      <c r="GR79" s="7" t="str">
        <f>VC_NEW!GM36</f>
        <v>L23V; Y146F</v>
      </c>
      <c r="GS79" s="7">
        <f>VC_NEW!GN36</f>
        <v>0</v>
      </c>
      <c r="GT79" s="7">
        <f>VC_NEW!GO36</f>
        <v>0</v>
      </c>
      <c r="GU79" s="7">
        <f>VC_NEW!GP36</f>
        <v>0</v>
      </c>
      <c r="GV79" s="7">
        <f>VC_NEW!GQ36</f>
        <v>0</v>
      </c>
      <c r="GW79" s="7">
        <f>VC_NEW!GR36</f>
        <v>0</v>
      </c>
      <c r="GX79" s="7">
        <f>VC_NEW!GS36</f>
        <v>0</v>
      </c>
      <c r="GY79" s="7">
        <f>VC_NEW!GT36</f>
        <v>0</v>
      </c>
      <c r="GZ79" s="7">
        <f>VC_NEW!GU36</f>
        <v>0</v>
      </c>
      <c r="HA79" s="7">
        <f>VC_NEW!GV36</f>
        <v>0</v>
      </c>
      <c r="HB79" s="7">
        <f>VC_NEW!GW36</f>
        <v>0</v>
      </c>
      <c r="HC79" s="7">
        <f>VC_NEW!GX36</f>
        <v>0</v>
      </c>
    </row>
    <row r="80" spans="1:211" s="1" customFormat="1" ht="15" customHeight="1" x14ac:dyDescent="0.25">
      <c r="A80" s="30" t="s">
        <v>33</v>
      </c>
      <c r="B80" s="30" t="s">
        <v>34</v>
      </c>
      <c r="C80" s="31" t="s">
        <v>1</v>
      </c>
      <c r="D80" s="30" t="s">
        <v>76</v>
      </c>
      <c r="E80" s="30" t="s">
        <v>147</v>
      </c>
      <c r="F80" s="30" t="s">
        <v>74</v>
      </c>
      <c r="G80" s="30" t="s">
        <v>136</v>
      </c>
      <c r="H80" s="1">
        <f>VC_NEW!C37</f>
        <v>0</v>
      </c>
      <c r="I80" s="1">
        <f>VC_NEW!D37</f>
        <v>0</v>
      </c>
      <c r="J80" s="1">
        <f>VC_NEW!E37</f>
        <v>0</v>
      </c>
      <c r="K80" s="1">
        <f>VC_NEW!F37</f>
        <v>0</v>
      </c>
      <c r="L80" s="1" t="str">
        <f>VC_NEW!G37</f>
        <v>L135Q</v>
      </c>
      <c r="M80" s="1" t="str">
        <f>VC_NEW!H37</f>
        <v>P126Q</v>
      </c>
      <c r="N80" s="1" t="str">
        <f>VC_NEW!I37</f>
        <v>A96T</v>
      </c>
      <c r="O80" s="1">
        <f>VC_NEW!J37</f>
        <v>0</v>
      </c>
      <c r="P80" s="1">
        <f>VC_NEW!K37</f>
        <v>0</v>
      </c>
      <c r="Q80" s="1">
        <f>VC_NEW!L37</f>
        <v>0</v>
      </c>
      <c r="R80" s="1">
        <f>VC_NEW!M37</f>
        <v>0</v>
      </c>
      <c r="S80" s="1">
        <f>VC_NEW!N37</f>
        <v>0</v>
      </c>
      <c r="T80" s="1">
        <f>VC_NEW!O37</f>
        <v>0</v>
      </c>
      <c r="U80" s="1">
        <f>VC_NEW!P37</f>
        <v>0</v>
      </c>
      <c r="V80" s="1" t="str">
        <f>VC_NEW!Q37</f>
        <v>R140W</v>
      </c>
      <c r="W80" s="1">
        <f>VC_NEW!R37</f>
        <v>0</v>
      </c>
      <c r="X80" s="1">
        <f>VC_NEW!S37</f>
        <v>0</v>
      </c>
      <c r="Y80" s="1">
        <f>VC_NEW!T37</f>
        <v>0</v>
      </c>
      <c r="Z80" s="1">
        <f>VC_NEW!U37</f>
        <v>0</v>
      </c>
      <c r="AA80" s="1">
        <f>VC_NEW!V37</f>
        <v>0</v>
      </c>
      <c r="AB80" s="1">
        <f>VC_NEW!W37</f>
        <v>0</v>
      </c>
      <c r="AC80" s="1">
        <f>VC_NEW!X37</f>
        <v>0</v>
      </c>
      <c r="AD80" s="1">
        <f>VC_NEW!Y37</f>
        <v>0</v>
      </c>
      <c r="AE80" s="1">
        <f>VC_NEW!Z37</f>
        <v>0</v>
      </c>
      <c r="AF80" s="1">
        <f>VC_NEW!AA37</f>
        <v>0</v>
      </c>
      <c r="AG80" s="1">
        <f>VC_NEW!AB37</f>
        <v>0</v>
      </c>
      <c r="AH80" s="1">
        <f>VC_NEW!AC37</f>
        <v>0</v>
      </c>
      <c r="AI80" s="1">
        <f>VC_NEW!AD37</f>
        <v>0</v>
      </c>
      <c r="AJ80" s="1">
        <f>VC_NEW!AE37</f>
        <v>0</v>
      </c>
      <c r="AK80" s="1">
        <f>VC_NEW!AF37</f>
        <v>0</v>
      </c>
      <c r="AL80" s="1">
        <f>VC_NEW!AG37</f>
        <v>0</v>
      </c>
      <c r="AM80" s="1">
        <f>VC_NEW!AH37</f>
        <v>0</v>
      </c>
      <c r="AN80" s="1">
        <f>VC_NEW!AI37</f>
        <v>0</v>
      </c>
      <c r="AO80" s="1">
        <f>VC_NEW!AJ37</f>
        <v>0</v>
      </c>
      <c r="AP80" s="1">
        <f>VC_NEW!AK37</f>
        <v>0</v>
      </c>
      <c r="AQ80" s="1">
        <f>VC_NEW!AL37</f>
        <v>0</v>
      </c>
      <c r="AR80" s="1">
        <f>VC_NEW!AM37</f>
        <v>0</v>
      </c>
      <c r="AS80" s="1">
        <f>VC_NEW!AN37</f>
        <v>0</v>
      </c>
      <c r="AT80" s="1">
        <f>VC_NEW!AO37</f>
        <v>0</v>
      </c>
      <c r="AU80" s="1" t="str">
        <f>VC_NEW!AP37</f>
        <v>Q131X</v>
      </c>
      <c r="AV80" s="1">
        <f>VC_NEW!AQ37</f>
        <v>0</v>
      </c>
      <c r="AW80" s="1">
        <f>VC_NEW!AR37</f>
        <v>0</v>
      </c>
      <c r="AX80" s="1">
        <f>VC_NEW!AS37</f>
        <v>0</v>
      </c>
      <c r="AY80" s="1">
        <f>VC_NEW!AT37</f>
        <v>0</v>
      </c>
      <c r="AZ80" s="1">
        <f>VC_NEW!AU37</f>
        <v>0</v>
      </c>
      <c r="BA80" s="1">
        <f>VC_NEW!AV37</f>
        <v>0</v>
      </c>
      <c r="BB80" s="1">
        <f>VC_NEW!AW37</f>
        <v>0</v>
      </c>
      <c r="BC80" s="1">
        <f>VC_NEW!AX37</f>
        <v>0</v>
      </c>
      <c r="BD80" s="1">
        <f>VC_NEW!AY37</f>
        <v>0</v>
      </c>
      <c r="BE80" s="1">
        <f>VC_NEW!AZ37</f>
        <v>0</v>
      </c>
      <c r="BF80" s="1">
        <f>VC_NEW!BA37</f>
        <v>0</v>
      </c>
      <c r="BG80" s="1" t="str">
        <f>VC_NEW!BB37</f>
        <v>T47I</v>
      </c>
      <c r="BH80" s="1">
        <f>VC_NEW!BC37</f>
        <v>0</v>
      </c>
      <c r="BI80" s="1">
        <f>VC_NEW!BD37</f>
        <v>0</v>
      </c>
      <c r="BJ80" s="1">
        <f>VC_NEW!BE37</f>
        <v>0</v>
      </c>
      <c r="BK80" s="1">
        <f>VC_NEW!BF37</f>
        <v>0</v>
      </c>
      <c r="BL80" s="1">
        <f>VC_NEW!BG37</f>
        <v>0</v>
      </c>
      <c r="BM80" s="1">
        <f>VC_NEW!BH37</f>
        <v>0</v>
      </c>
      <c r="BN80" s="1">
        <f>VC_NEW!BI37</f>
        <v>0</v>
      </c>
      <c r="BO80" s="1">
        <f>VC_NEW!BJ37</f>
        <v>0</v>
      </c>
      <c r="BP80" s="1">
        <f>VC_NEW!BK37</f>
        <v>0</v>
      </c>
      <c r="BQ80" s="1">
        <f>VC_NEW!BL37</f>
        <v>0</v>
      </c>
      <c r="BR80" s="1">
        <f>VC_NEW!BM37</f>
        <v>0</v>
      </c>
      <c r="BS80" s="1" t="str">
        <f>VC_NEW!BN37</f>
        <v>T139M</v>
      </c>
      <c r="BT80" s="1" t="str">
        <f>VC_NEW!BO37</f>
        <v>D28G</v>
      </c>
      <c r="BU80" s="1">
        <f>VC_NEW!BP37</f>
        <v>0</v>
      </c>
      <c r="BV80" s="1">
        <f>VC_NEW!BQ37</f>
        <v>0</v>
      </c>
      <c r="BW80" s="1">
        <f>VC_NEW!BR37</f>
        <v>0</v>
      </c>
      <c r="BX80" s="1">
        <f>VC_NEW!BS37</f>
        <v>0</v>
      </c>
      <c r="BY80" s="1">
        <f>VC_NEW!BT37</f>
        <v>0</v>
      </c>
      <c r="BZ80" s="1">
        <f>VC_NEW!BU37</f>
        <v>0</v>
      </c>
      <c r="CA80" s="1">
        <f>VC_NEW!BV37</f>
        <v>0</v>
      </c>
      <c r="CB80" s="1">
        <f>VC_NEW!BW37</f>
        <v>0</v>
      </c>
      <c r="CC80" s="1">
        <f>VC_NEW!BX37</f>
        <v>0</v>
      </c>
      <c r="CD80" s="1">
        <f>VC_NEW!BY37</f>
        <v>0</v>
      </c>
      <c r="CE80" s="1">
        <f>VC_NEW!BZ37</f>
        <v>0</v>
      </c>
      <c r="CF80" s="1" t="str">
        <f>VC_NEW!CA37</f>
        <v>S75F</v>
      </c>
      <c r="CG80" s="1">
        <f>VC_NEW!CB37</f>
        <v>0</v>
      </c>
      <c r="CH80" s="1">
        <f>VC_NEW!CC37</f>
        <v>0</v>
      </c>
      <c r="CI80" s="1">
        <f>VC_NEW!CD37</f>
        <v>0</v>
      </c>
      <c r="CJ80" s="1">
        <f>VC_NEW!CE37</f>
        <v>0</v>
      </c>
      <c r="CK80" s="1">
        <f>VC_NEW!CF37</f>
        <v>0</v>
      </c>
      <c r="CL80" s="1">
        <f>VC_NEW!CG37</f>
        <v>0</v>
      </c>
      <c r="CM80" s="1">
        <f>VC_NEW!CH37</f>
        <v>0</v>
      </c>
      <c r="CN80" s="1">
        <f>VC_NEW!CI37</f>
        <v>0</v>
      </c>
      <c r="CO80" s="1" t="str">
        <f>VC_NEW!CJ37</f>
        <v>A144V</v>
      </c>
      <c r="CP80" s="1">
        <f>VC_NEW!CK37</f>
        <v>0</v>
      </c>
      <c r="CQ80" s="1">
        <f>VC_NEW!CL37</f>
        <v>0</v>
      </c>
      <c r="CR80" s="1">
        <f>VC_NEW!CM37</f>
        <v>0</v>
      </c>
      <c r="CS80" s="1">
        <f>VC_NEW!CN37</f>
        <v>0</v>
      </c>
      <c r="CT80" s="1" t="str">
        <f>VC_NEW!CO37</f>
        <v>V10I</v>
      </c>
      <c r="CU80" s="1">
        <f>VC_NEW!CP37</f>
        <v>0</v>
      </c>
      <c r="CV80" s="1">
        <f>VC_NEW!CQ37</f>
        <v>0</v>
      </c>
      <c r="CW80" s="1">
        <f>VC_NEW!CR37</f>
        <v>0</v>
      </c>
      <c r="CX80" s="1">
        <f>VC_NEW!CS37</f>
        <v>0</v>
      </c>
      <c r="CY80" s="1">
        <f>VC_NEW!CT37</f>
        <v>0</v>
      </c>
      <c r="CZ80" s="1">
        <f>VC_NEW!CU37</f>
        <v>0</v>
      </c>
      <c r="DA80" s="1">
        <f>VC_NEW!CV37</f>
        <v>0</v>
      </c>
      <c r="DB80" s="1">
        <f>VC_NEW!CW37</f>
        <v>0</v>
      </c>
      <c r="DC80" s="1">
        <f>VC_NEW!CX37</f>
        <v>0</v>
      </c>
      <c r="DD80" s="1" t="str">
        <f>VC_NEW!CY37</f>
        <v>T182I</v>
      </c>
      <c r="DE80" s="1">
        <f>VC_NEW!CZ37</f>
        <v>0</v>
      </c>
      <c r="DF80" s="1">
        <f>VC_NEW!DA37</f>
        <v>0</v>
      </c>
      <c r="DG80" s="1">
        <f>VC_NEW!DB37</f>
        <v>0</v>
      </c>
      <c r="DH80" s="1">
        <f>VC_NEW!DC37</f>
        <v>0</v>
      </c>
      <c r="DI80" s="1">
        <f>VC_NEW!DD37</f>
        <v>0</v>
      </c>
      <c r="DJ80" s="1">
        <f>VC_NEW!DE37</f>
        <v>0</v>
      </c>
      <c r="DK80" s="1" t="str">
        <f>VC_NEW!DF37</f>
        <v>A134P</v>
      </c>
      <c r="DL80" s="1">
        <f>VC_NEW!DG37</f>
        <v>0</v>
      </c>
      <c r="DM80" s="1">
        <f>VC_NEW!DH37</f>
        <v>0</v>
      </c>
      <c r="DN80" s="1">
        <f>VC_NEW!DI37</f>
        <v>0</v>
      </c>
      <c r="DO80" s="1" t="str">
        <f>VC_NEW!DJ37</f>
        <v>D59E</v>
      </c>
      <c r="DP80" s="1">
        <f>VC_NEW!DK37</f>
        <v>0</v>
      </c>
      <c r="DQ80" s="1">
        <f>VC_NEW!DL37</f>
        <v>0</v>
      </c>
      <c r="DR80" s="1">
        <f>VC_NEW!DM37</f>
        <v>0</v>
      </c>
      <c r="DS80" s="1">
        <f>VC_NEW!DN37</f>
        <v>0</v>
      </c>
      <c r="DT80" s="1">
        <f>VC_NEW!DO37</f>
        <v>0</v>
      </c>
      <c r="DU80" s="1" t="str">
        <f>VC_NEW!DP37</f>
        <v>F113L</v>
      </c>
      <c r="DV80" s="1">
        <f>VC_NEW!DQ37</f>
        <v>0</v>
      </c>
      <c r="DW80" s="1" t="str">
        <f>VC_NEW!DR37</f>
        <v>F113L</v>
      </c>
      <c r="DX80" s="1">
        <f>VC_NEW!DS37</f>
        <v>0</v>
      </c>
      <c r="DY80" s="1">
        <f>VC_NEW!DT37</f>
        <v>0</v>
      </c>
      <c r="DZ80" s="1">
        <f>VC_NEW!DU37</f>
        <v>0</v>
      </c>
      <c r="EA80" s="1">
        <f>VC_NEW!DV37</f>
        <v>0</v>
      </c>
      <c r="EB80" s="1">
        <f>VC_NEW!DW37</f>
        <v>0</v>
      </c>
      <c r="EC80" s="1">
        <f>VC_NEW!DX37</f>
        <v>0</v>
      </c>
      <c r="ED80" s="1">
        <f>VC_NEW!DY37</f>
        <v>0</v>
      </c>
      <c r="EE80" s="1" t="str">
        <f>VC_NEW!DZ37</f>
        <v>V10G</v>
      </c>
      <c r="EF80" s="1">
        <f>VC_NEW!EA37</f>
        <v>0</v>
      </c>
      <c r="EG80" s="1">
        <f>VC_NEW!EB37</f>
        <v>0</v>
      </c>
      <c r="EH80" s="1" t="str">
        <f>VC_NEW!EC37</f>
        <v>L40Q</v>
      </c>
      <c r="EI80" s="1">
        <f>VC_NEW!ED37</f>
        <v>0</v>
      </c>
      <c r="EJ80" s="1">
        <f>VC_NEW!EE37</f>
        <v>0</v>
      </c>
      <c r="EK80" s="1">
        <f>VC_NEW!EF37</f>
        <v>0</v>
      </c>
      <c r="EL80" s="1" t="str">
        <f>VC_NEW!EG37</f>
        <v>D83G</v>
      </c>
      <c r="EM80" s="1">
        <f>VC_NEW!EH37</f>
        <v>0</v>
      </c>
      <c r="EN80" s="1">
        <f>VC_NEW!EI37</f>
        <v>0</v>
      </c>
      <c r="EO80" s="1">
        <f>VC_NEW!EJ37</f>
        <v>0</v>
      </c>
      <c r="EP80" s="1">
        <f>VC_NEW!EK37</f>
        <v>0</v>
      </c>
      <c r="EQ80" s="1">
        <f>VC_NEW!EL37</f>
        <v>0</v>
      </c>
      <c r="ER80" s="1">
        <f>VC_NEW!EM37</f>
        <v>0</v>
      </c>
      <c r="ES80" s="1">
        <f>VC_NEW!EN37</f>
        <v>0</v>
      </c>
      <c r="ET80" s="1">
        <f>VC_NEW!EO37</f>
        <v>0</v>
      </c>
      <c r="EU80" s="1">
        <f>VC_NEW!EP37</f>
        <v>0</v>
      </c>
      <c r="EV80" s="1">
        <f>VC_NEW!EQ37</f>
        <v>0</v>
      </c>
      <c r="EW80" s="1" t="str">
        <f>VC_NEW!ER37</f>
        <v>R11H; A85S; S175P</v>
      </c>
      <c r="EX80" s="1">
        <f>VC_NEW!ES37</f>
        <v>0</v>
      </c>
      <c r="EY80" s="1">
        <f>VC_NEW!ET37</f>
        <v>0</v>
      </c>
      <c r="EZ80" s="1">
        <f>VC_NEW!EU37</f>
        <v>0</v>
      </c>
      <c r="FA80" s="1">
        <f>VC_NEW!EV37</f>
        <v>0</v>
      </c>
      <c r="FB80" s="1">
        <f>VC_NEW!EW37</f>
        <v>0</v>
      </c>
      <c r="FC80" s="1">
        <f>VC_NEW!EX37</f>
        <v>0</v>
      </c>
      <c r="FD80" s="1">
        <f>VC_NEW!EY37</f>
        <v>0</v>
      </c>
      <c r="FE80" s="1" t="str">
        <f>VC_NEW!EZ37</f>
        <v>A96T</v>
      </c>
      <c r="FF80" s="1">
        <f>VC_NEW!FA37</f>
        <v>0</v>
      </c>
      <c r="FG80" s="1">
        <f>VC_NEW!FB37</f>
        <v>0</v>
      </c>
      <c r="FH80" s="1">
        <f>VC_NEW!FC37</f>
        <v>0</v>
      </c>
      <c r="FI80" s="1" t="str">
        <f>VC_NEW!FD37</f>
        <v>A29V; W97C</v>
      </c>
      <c r="FJ80" s="1">
        <f>VC_NEW!FE37</f>
        <v>0</v>
      </c>
      <c r="FK80" s="1" t="str">
        <f>VC_NEW!FF37</f>
        <v>G137E</v>
      </c>
      <c r="FL80" s="1">
        <f>VC_NEW!FG37</f>
        <v>0</v>
      </c>
      <c r="FM80" s="1">
        <f>VC_NEW!FH37</f>
        <v>0</v>
      </c>
      <c r="FN80" s="1">
        <f>VC_NEW!FI37</f>
        <v>0</v>
      </c>
      <c r="FO80" s="1">
        <f>VC_NEW!FJ37</f>
        <v>0</v>
      </c>
      <c r="FP80" s="1">
        <f>VC_NEW!FK37</f>
        <v>0</v>
      </c>
      <c r="FQ80" s="1">
        <f>VC_NEW!FL37</f>
        <v>0</v>
      </c>
      <c r="FR80" s="1">
        <f>VC_NEW!FM37</f>
        <v>0</v>
      </c>
      <c r="FS80" s="1">
        <f>VC_NEW!FN37</f>
        <v>0</v>
      </c>
      <c r="FT80" s="1">
        <f>VC_NEW!FO37</f>
        <v>0</v>
      </c>
      <c r="FU80" s="1">
        <f>VC_NEW!FP37</f>
        <v>0</v>
      </c>
      <c r="FV80" s="1">
        <f>VC_NEW!FQ37</f>
        <v>0</v>
      </c>
      <c r="FW80" s="1">
        <f>VC_NEW!FR37</f>
        <v>0</v>
      </c>
      <c r="FX80" s="1">
        <f>VC_NEW!FS37</f>
        <v>0</v>
      </c>
      <c r="FY80" s="1">
        <f>VC_NEW!FT37</f>
        <v>0</v>
      </c>
      <c r="FZ80" s="1">
        <f>VC_NEW!FU37</f>
        <v>0</v>
      </c>
      <c r="GA80" s="1">
        <f>VC_NEW!FV37</f>
        <v>0</v>
      </c>
      <c r="GB80" s="1">
        <f>VC_NEW!FW37</f>
        <v>0</v>
      </c>
      <c r="GC80" s="1">
        <f>VC_NEW!FX37</f>
        <v>0</v>
      </c>
      <c r="GD80" s="1">
        <f>VC_NEW!FY37</f>
        <v>0</v>
      </c>
      <c r="GE80" s="1">
        <f>VC_NEW!FZ37</f>
        <v>0</v>
      </c>
      <c r="GF80" s="1">
        <f>VC_NEW!GA37</f>
        <v>0</v>
      </c>
      <c r="GG80" s="1">
        <f>VC_NEW!GB37</f>
        <v>0</v>
      </c>
      <c r="GH80" s="1">
        <f>VC_NEW!GC37</f>
        <v>0</v>
      </c>
      <c r="GI80" s="1">
        <f>VC_NEW!GD37</f>
        <v>0</v>
      </c>
      <c r="GJ80" s="1">
        <f>VC_NEW!GE37</f>
        <v>0</v>
      </c>
      <c r="GK80" s="1">
        <f>VC_NEW!GF37</f>
        <v>0</v>
      </c>
      <c r="GL80" s="1">
        <f>VC_NEW!GG37</f>
        <v>0</v>
      </c>
      <c r="GM80" s="1">
        <f>VC_NEW!GH37</f>
        <v>0</v>
      </c>
      <c r="GN80" s="1" t="str">
        <f>VC_NEW!GI37</f>
        <v>G46S</v>
      </c>
      <c r="GO80" s="1" t="str">
        <f>VC_NEW!GJ37</f>
        <v>A29V; W97C</v>
      </c>
      <c r="GP80" s="1">
        <f>VC_NEW!GK37</f>
        <v>0</v>
      </c>
      <c r="GQ80" s="1">
        <f>VC_NEW!GL37</f>
        <v>0</v>
      </c>
      <c r="GR80" s="1">
        <f>VC_NEW!GM37</f>
        <v>0</v>
      </c>
      <c r="GS80" s="1">
        <f>VC_NEW!GN37</f>
        <v>0</v>
      </c>
      <c r="GT80" s="1" t="str">
        <f>VC_NEW!GO37</f>
        <v>R178C</v>
      </c>
      <c r="GU80" s="1">
        <f>VC_NEW!GP37</f>
        <v>0</v>
      </c>
      <c r="GV80" s="1">
        <f>VC_NEW!GQ37</f>
        <v>0</v>
      </c>
      <c r="GW80" s="1">
        <f>VC_NEW!GR37</f>
        <v>0</v>
      </c>
      <c r="GX80" s="1" t="str">
        <f>VC_NEW!GS37</f>
        <v>P126Q</v>
      </c>
      <c r="GY80" s="1">
        <f>VC_NEW!GT37</f>
        <v>0</v>
      </c>
      <c r="GZ80" s="1">
        <f>VC_NEW!GU37</f>
        <v>0</v>
      </c>
      <c r="HA80" s="1">
        <f>VC_NEW!GV37</f>
        <v>0</v>
      </c>
      <c r="HB80" s="1">
        <f>VC_NEW!GW37</f>
        <v>0</v>
      </c>
      <c r="HC80" s="1">
        <f>VC_NEW!GX37</f>
        <v>0</v>
      </c>
    </row>
    <row r="81" spans="1:443" s="1" customFormat="1" ht="15" hidden="1" customHeight="1" x14ac:dyDescent="0.25">
      <c r="A81" s="30" t="s">
        <v>33</v>
      </c>
      <c r="B81" s="30" t="s">
        <v>34</v>
      </c>
      <c r="C81" s="31" t="s">
        <v>2</v>
      </c>
      <c r="D81" s="30" t="s">
        <v>76</v>
      </c>
      <c r="E81" s="30" t="s">
        <v>139</v>
      </c>
      <c r="F81" s="30" t="s">
        <v>74</v>
      </c>
      <c r="G81" s="30" t="s">
        <v>136</v>
      </c>
      <c r="H81" s="1">
        <f>VC_NEW!C37</f>
        <v>0</v>
      </c>
      <c r="I81" s="1">
        <f>VC_NEW!D37</f>
        <v>0</v>
      </c>
      <c r="J81" s="1">
        <f>VC_NEW!E37</f>
        <v>0</v>
      </c>
      <c r="K81" s="1">
        <f>VC_NEW!F37</f>
        <v>0</v>
      </c>
      <c r="L81" s="1" t="str">
        <f>VC_NEW!G37</f>
        <v>L135Q</v>
      </c>
      <c r="M81" s="1" t="str">
        <f>VC_NEW!H37</f>
        <v>P126Q</v>
      </c>
      <c r="N81" s="1" t="str">
        <f>VC_NEW!I37</f>
        <v>A96T</v>
      </c>
      <c r="O81" s="1">
        <f>VC_NEW!J37</f>
        <v>0</v>
      </c>
      <c r="P81" s="1">
        <f>VC_NEW!K37</f>
        <v>0</v>
      </c>
      <c r="Q81" s="1">
        <f>VC_NEW!L37</f>
        <v>0</v>
      </c>
      <c r="R81" s="1">
        <f>VC_NEW!M37</f>
        <v>0</v>
      </c>
      <c r="S81" s="1">
        <f>VC_NEW!N37</f>
        <v>0</v>
      </c>
      <c r="T81" s="1">
        <f>VC_NEW!O37</f>
        <v>0</v>
      </c>
      <c r="U81" s="1">
        <f>VC_NEW!P37</f>
        <v>0</v>
      </c>
      <c r="V81" s="1" t="str">
        <f>VC_NEW!Q37</f>
        <v>R140W</v>
      </c>
      <c r="W81" s="1">
        <f>VC_NEW!R37</f>
        <v>0</v>
      </c>
      <c r="X81" s="1">
        <f>VC_NEW!S37</f>
        <v>0</v>
      </c>
      <c r="Y81" s="1">
        <f>VC_NEW!T37</f>
        <v>0</v>
      </c>
      <c r="Z81" s="1">
        <f>VC_NEW!U37</f>
        <v>0</v>
      </c>
      <c r="AA81" s="1">
        <f>VC_NEW!V37</f>
        <v>0</v>
      </c>
      <c r="AB81" s="1">
        <f>VC_NEW!W37</f>
        <v>0</v>
      </c>
      <c r="AC81" s="1">
        <f>VC_NEW!X37</f>
        <v>0</v>
      </c>
      <c r="AD81" s="1">
        <f>VC_NEW!Y37</f>
        <v>0</v>
      </c>
      <c r="AE81" s="1">
        <f>VC_NEW!Z37</f>
        <v>0</v>
      </c>
      <c r="AF81" s="1">
        <f>VC_NEW!AA37</f>
        <v>0</v>
      </c>
      <c r="AG81" s="1">
        <f>VC_NEW!AB37</f>
        <v>0</v>
      </c>
      <c r="AH81" s="1">
        <f>VC_NEW!AC37</f>
        <v>0</v>
      </c>
      <c r="AI81" s="1">
        <f>VC_NEW!AD37</f>
        <v>0</v>
      </c>
      <c r="AJ81" s="1">
        <f>VC_NEW!AE37</f>
        <v>0</v>
      </c>
      <c r="AK81" s="1">
        <f>VC_NEW!AF37</f>
        <v>0</v>
      </c>
      <c r="AL81" s="1">
        <f>VC_NEW!AG37</f>
        <v>0</v>
      </c>
      <c r="AM81" s="1">
        <f>VC_NEW!AH37</f>
        <v>0</v>
      </c>
      <c r="AN81" s="1">
        <f>VC_NEW!AI37</f>
        <v>0</v>
      </c>
      <c r="AO81" s="1">
        <f>VC_NEW!AJ37</f>
        <v>0</v>
      </c>
      <c r="AP81" s="1">
        <f>VC_NEW!AK37</f>
        <v>0</v>
      </c>
      <c r="AQ81" s="1">
        <f>VC_NEW!AL37</f>
        <v>0</v>
      </c>
      <c r="AR81" s="1">
        <f>VC_NEW!AM37</f>
        <v>0</v>
      </c>
      <c r="AS81" s="1">
        <f>VC_NEW!AN37</f>
        <v>0</v>
      </c>
      <c r="AT81" s="1">
        <f>VC_NEW!AO37</f>
        <v>0</v>
      </c>
      <c r="AU81" s="1" t="str">
        <f>VC_NEW!AP37</f>
        <v>Q131X</v>
      </c>
      <c r="AV81" s="1">
        <f>VC_NEW!AQ37</f>
        <v>0</v>
      </c>
      <c r="AW81" s="1">
        <f>VC_NEW!AR37</f>
        <v>0</v>
      </c>
      <c r="AX81" s="1">
        <f>VC_NEW!AS37</f>
        <v>0</v>
      </c>
      <c r="AY81" s="1">
        <f>VC_NEW!AT37</f>
        <v>0</v>
      </c>
      <c r="AZ81" s="1">
        <f>VC_NEW!AU37</f>
        <v>0</v>
      </c>
      <c r="BA81" s="1">
        <f>VC_NEW!AV37</f>
        <v>0</v>
      </c>
      <c r="BB81" s="1">
        <f>VC_NEW!AW37</f>
        <v>0</v>
      </c>
      <c r="BC81" s="1">
        <f>VC_NEW!AX37</f>
        <v>0</v>
      </c>
      <c r="BD81" s="1">
        <f>VC_NEW!AY37</f>
        <v>0</v>
      </c>
      <c r="BE81" s="1">
        <f>VC_NEW!AZ37</f>
        <v>0</v>
      </c>
      <c r="BF81" s="1">
        <f>VC_NEW!BA37</f>
        <v>0</v>
      </c>
      <c r="BG81" s="1" t="str">
        <f>VC_NEW!BB37</f>
        <v>T47I</v>
      </c>
      <c r="BH81" s="1">
        <f>VC_NEW!BC37</f>
        <v>0</v>
      </c>
      <c r="BI81" s="1">
        <f>VC_NEW!BD37</f>
        <v>0</v>
      </c>
      <c r="BJ81" s="1">
        <f>VC_NEW!BE37</f>
        <v>0</v>
      </c>
      <c r="BK81" s="1">
        <f>VC_NEW!BF37</f>
        <v>0</v>
      </c>
      <c r="BL81" s="1">
        <f>VC_NEW!BG37</f>
        <v>0</v>
      </c>
      <c r="BM81" s="1">
        <f>VC_NEW!BH37</f>
        <v>0</v>
      </c>
      <c r="BN81" s="1">
        <f>VC_NEW!BI37</f>
        <v>0</v>
      </c>
      <c r="BO81" s="1">
        <f>VC_NEW!BJ37</f>
        <v>0</v>
      </c>
      <c r="BP81" s="1">
        <f>VC_NEW!BK37</f>
        <v>0</v>
      </c>
      <c r="BQ81" s="1">
        <f>VC_NEW!BL37</f>
        <v>0</v>
      </c>
      <c r="BR81" s="1">
        <f>VC_NEW!BM37</f>
        <v>0</v>
      </c>
      <c r="BS81" s="1" t="str">
        <f>VC_NEW!BN37</f>
        <v>T139M</v>
      </c>
      <c r="BT81" s="1" t="str">
        <f>VC_NEW!BO37</f>
        <v>D28G</v>
      </c>
      <c r="BU81" s="1">
        <f>VC_NEW!BP37</f>
        <v>0</v>
      </c>
      <c r="BV81" s="1">
        <f>VC_NEW!BQ37</f>
        <v>0</v>
      </c>
      <c r="BW81" s="1">
        <f>VC_NEW!BR37</f>
        <v>0</v>
      </c>
      <c r="BX81" s="1">
        <f>VC_NEW!BS37</f>
        <v>0</v>
      </c>
      <c r="BY81" s="1">
        <f>VC_NEW!BT37</f>
        <v>0</v>
      </c>
      <c r="BZ81" s="1">
        <f>VC_NEW!BU37</f>
        <v>0</v>
      </c>
      <c r="CA81" s="1">
        <f>VC_NEW!BV37</f>
        <v>0</v>
      </c>
      <c r="CB81" s="1">
        <f>VC_NEW!BW37</f>
        <v>0</v>
      </c>
      <c r="CC81" s="1">
        <f>VC_NEW!BX37</f>
        <v>0</v>
      </c>
      <c r="CD81" s="1">
        <f>VC_NEW!BY37</f>
        <v>0</v>
      </c>
      <c r="CE81" s="1">
        <f>VC_NEW!BZ37</f>
        <v>0</v>
      </c>
      <c r="CF81" s="1" t="str">
        <f>VC_NEW!CA37</f>
        <v>S75F</v>
      </c>
      <c r="CG81" s="1">
        <f>VC_NEW!CB37</f>
        <v>0</v>
      </c>
      <c r="CH81" s="1">
        <f>VC_NEW!CC37</f>
        <v>0</v>
      </c>
      <c r="CI81" s="1">
        <f>VC_NEW!CD37</f>
        <v>0</v>
      </c>
      <c r="CJ81" s="1">
        <f>VC_NEW!CE37</f>
        <v>0</v>
      </c>
      <c r="CK81" s="1">
        <f>VC_NEW!CF37</f>
        <v>0</v>
      </c>
      <c r="CL81" s="1">
        <f>VC_NEW!CG37</f>
        <v>0</v>
      </c>
      <c r="CM81" s="1">
        <f>VC_NEW!CH37</f>
        <v>0</v>
      </c>
      <c r="CN81" s="1">
        <f>VC_NEW!CI37</f>
        <v>0</v>
      </c>
      <c r="CO81" s="1" t="str">
        <f>VC_NEW!CJ37</f>
        <v>A144V</v>
      </c>
      <c r="CP81" s="1">
        <f>VC_NEW!CK37</f>
        <v>0</v>
      </c>
      <c r="CQ81" s="1">
        <f>VC_NEW!CL37</f>
        <v>0</v>
      </c>
      <c r="CR81" s="1">
        <f>VC_NEW!CM37</f>
        <v>0</v>
      </c>
      <c r="CS81" s="1">
        <f>VC_NEW!CN37</f>
        <v>0</v>
      </c>
      <c r="CT81" s="1" t="str">
        <f>VC_NEW!CO37</f>
        <v>V10I</v>
      </c>
      <c r="CU81" s="1">
        <f>VC_NEW!CP37</f>
        <v>0</v>
      </c>
      <c r="CV81" s="1">
        <f>VC_NEW!CQ37</f>
        <v>0</v>
      </c>
      <c r="CW81" s="1">
        <f>VC_NEW!CR37</f>
        <v>0</v>
      </c>
      <c r="CX81" s="1">
        <f>VC_NEW!CS37</f>
        <v>0</v>
      </c>
      <c r="CY81" s="1">
        <f>VC_NEW!CT37</f>
        <v>0</v>
      </c>
      <c r="CZ81" s="1">
        <f>VC_NEW!CU37</f>
        <v>0</v>
      </c>
      <c r="DA81" s="1">
        <f>VC_NEW!CV37</f>
        <v>0</v>
      </c>
      <c r="DB81" s="1">
        <f>VC_NEW!CW37</f>
        <v>0</v>
      </c>
      <c r="DC81" s="1">
        <f>VC_NEW!CX37</f>
        <v>0</v>
      </c>
      <c r="DD81" s="1" t="str">
        <f>VC_NEW!CY37</f>
        <v>T182I</v>
      </c>
      <c r="DE81" s="1">
        <f>VC_NEW!CZ37</f>
        <v>0</v>
      </c>
      <c r="DF81" s="1">
        <f>VC_NEW!DA37</f>
        <v>0</v>
      </c>
      <c r="DG81" s="1">
        <f>VC_NEW!DB37</f>
        <v>0</v>
      </c>
      <c r="DH81" s="1">
        <f>VC_NEW!DC37</f>
        <v>0</v>
      </c>
      <c r="DI81" s="1">
        <f>VC_NEW!DD37</f>
        <v>0</v>
      </c>
      <c r="DJ81" s="1">
        <f>VC_NEW!DE37</f>
        <v>0</v>
      </c>
      <c r="DK81" s="1" t="str">
        <f>VC_NEW!DF37</f>
        <v>A134P</v>
      </c>
      <c r="DL81" s="1">
        <f>VC_NEW!DG37</f>
        <v>0</v>
      </c>
      <c r="DM81" s="1">
        <f>VC_NEW!DH37</f>
        <v>0</v>
      </c>
      <c r="DN81" s="1">
        <f>VC_NEW!DI37</f>
        <v>0</v>
      </c>
      <c r="DO81" s="1" t="str">
        <f>VC_NEW!DJ37</f>
        <v>D59E</v>
      </c>
      <c r="DP81" s="1">
        <f>VC_NEW!DK37</f>
        <v>0</v>
      </c>
      <c r="DQ81" s="1">
        <f>VC_NEW!DL37</f>
        <v>0</v>
      </c>
      <c r="DR81" s="1">
        <f>VC_NEW!DM37</f>
        <v>0</v>
      </c>
      <c r="DS81" s="1">
        <f>VC_NEW!DN37</f>
        <v>0</v>
      </c>
      <c r="DT81" s="1">
        <f>VC_NEW!DO37</f>
        <v>0</v>
      </c>
      <c r="DU81" s="1" t="str">
        <f>VC_NEW!DP37</f>
        <v>F113L</v>
      </c>
      <c r="DV81" s="1">
        <f>VC_NEW!DQ37</f>
        <v>0</v>
      </c>
      <c r="DW81" s="1" t="str">
        <f>VC_NEW!DR37</f>
        <v>F113L</v>
      </c>
      <c r="DX81" s="1">
        <f>VC_NEW!DS37</f>
        <v>0</v>
      </c>
      <c r="DY81" s="1">
        <f>VC_NEW!DT37</f>
        <v>0</v>
      </c>
      <c r="DZ81" s="1">
        <f>VC_NEW!DU37</f>
        <v>0</v>
      </c>
      <c r="EA81" s="1">
        <f>VC_NEW!DV37</f>
        <v>0</v>
      </c>
      <c r="EB81" s="1">
        <f>VC_NEW!DW37</f>
        <v>0</v>
      </c>
      <c r="EC81" s="1">
        <f>VC_NEW!DX37</f>
        <v>0</v>
      </c>
      <c r="ED81" s="1">
        <f>VC_NEW!DY37</f>
        <v>0</v>
      </c>
      <c r="EE81" s="1" t="str">
        <f>VC_NEW!DZ37</f>
        <v>V10G</v>
      </c>
      <c r="EF81" s="1">
        <f>VC_NEW!EA37</f>
        <v>0</v>
      </c>
      <c r="EG81" s="1">
        <f>VC_NEW!EB37</f>
        <v>0</v>
      </c>
      <c r="EH81" s="1" t="str">
        <f>VC_NEW!EC37</f>
        <v>L40Q</v>
      </c>
      <c r="EI81" s="1">
        <f>VC_NEW!ED37</f>
        <v>0</v>
      </c>
      <c r="EJ81" s="1">
        <f>VC_NEW!EE37</f>
        <v>0</v>
      </c>
      <c r="EK81" s="1">
        <f>VC_NEW!EF37</f>
        <v>0</v>
      </c>
      <c r="EL81" s="1" t="str">
        <f>VC_NEW!EG37</f>
        <v>D83G</v>
      </c>
      <c r="EM81" s="1">
        <f>VC_NEW!EH37</f>
        <v>0</v>
      </c>
      <c r="EN81" s="1">
        <f>VC_NEW!EI37</f>
        <v>0</v>
      </c>
      <c r="EO81" s="1">
        <f>VC_NEW!EJ37</f>
        <v>0</v>
      </c>
      <c r="EP81" s="1">
        <f>VC_NEW!EK37</f>
        <v>0</v>
      </c>
      <c r="EQ81" s="1">
        <f>VC_NEW!EL37</f>
        <v>0</v>
      </c>
      <c r="ER81" s="1">
        <f>VC_NEW!EM37</f>
        <v>0</v>
      </c>
      <c r="ES81" s="1">
        <f>VC_NEW!EN37</f>
        <v>0</v>
      </c>
      <c r="ET81" s="1">
        <f>VC_NEW!EO37</f>
        <v>0</v>
      </c>
      <c r="EU81" s="1">
        <f>VC_NEW!EP37</f>
        <v>0</v>
      </c>
      <c r="EV81" s="1">
        <f>VC_NEW!EQ37</f>
        <v>0</v>
      </c>
      <c r="EW81" s="1" t="str">
        <f>VC_NEW!ER37</f>
        <v>R11H; A85S; S175P</v>
      </c>
      <c r="EX81" s="1">
        <f>VC_NEW!ES37</f>
        <v>0</v>
      </c>
      <c r="EY81" s="1">
        <f>VC_NEW!ET37</f>
        <v>0</v>
      </c>
      <c r="EZ81" s="1">
        <f>VC_NEW!EU37</f>
        <v>0</v>
      </c>
      <c r="FA81" s="1">
        <f>VC_NEW!EV37</f>
        <v>0</v>
      </c>
      <c r="FB81" s="1">
        <f>VC_NEW!EW37</f>
        <v>0</v>
      </c>
      <c r="FC81" s="1">
        <f>VC_NEW!EX37</f>
        <v>0</v>
      </c>
      <c r="FD81" s="1">
        <f>VC_NEW!EY37</f>
        <v>0</v>
      </c>
      <c r="FE81" s="1" t="str">
        <f>VC_NEW!EZ37</f>
        <v>A96T</v>
      </c>
      <c r="FF81" s="1">
        <f>VC_NEW!FA37</f>
        <v>0</v>
      </c>
      <c r="FG81" s="1">
        <f>VC_NEW!FB37</f>
        <v>0</v>
      </c>
      <c r="FH81" s="1">
        <f>VC_NEW!FC37</f>
        <v>0</v>
      </c>
      <c r="FI81" s="1" t="str">
        <f>VC_NEW!FD37</f>
        <v>A29V; W97C</v>
      </c>
      <c r="FJ81" s="1">
        <f>VC_NEW!FE37</f>
        <v>0</v>
      </c>
      <c r="FK81" s="1" t="str">
        <f>VC_NEW!FF37</f>
        <v>G137E</v>
      </c>
      <c r="FL81" s="1">
        <f>VC_NEW!FG37</f>
        <v>0</v>
      </c>
      <c r="FM81" s="1">
        <f>VC_NEW!FH37</f>
        <v>0</v>
      </c>
      <c r="FN81" s="1">
        <f>VC_NEW!FI37</f>
        <v>0</v>
      </c>
      <c r="FO81" s="1">
        <f>VC_NEW!FJ37</f>
        <v>0</v>
      </c>
      <c r="FP81" s="1">
        <f>VC_NEW!FK37</f>
        <v>0</v>
      </c>
      <c r="FQ81" s="1">
        <f>VC_NEW!FL37</f>
        <v>0</v>
      </c>
      <c r="FR81" s="1">
        <f>VC_NEW!FM37</f>
        <v>0</v>
      </c>
      <c r="FS81" s="1">
        <f>VC_NEW!FN37</f>
        <v>0</v>
      </c>
      <c r="FT81" s="1">
        <f>VC_NEW!FO37</f>
        <v>0</v>
      </c>
      <c r="FU81" s="1">
        <f>VC_NEW!FP37</f>
        <v>0</v>
      </c>
      <c r="FV81" s="1">
        <f>VC_NEW!FQ37</f>
        <v>0</v>
      </c>
      <c r="FW81" s="1">
        <f>VC_NEW!FR37</f>
        <v>0</v>
      </c>
      <c r="FX81" s="1">
        <f>VC_NEW!FS37</f>
        <v>0</v>
      </c>
      <c r="FY81" s="1">
        <f>VC_NEW!FT37</f>
        <v>0</v>
      </c>
      <c r="FZ81" s="1">
        <f>VC_NEW!FU37</f>
        <v>0</v>
      </c>
      <c r="GA81" s="1">
        <f>VC_NEW!FV37</f>
        <v>0</v>
      </c>
      <c r="GB81" s="1">
        <f>VC_NEW!FW37</f>
        <v>0</v>
      </c>
      <c r="GC81" s="1">
        <f>VC_NEW!FX37</f>
        <v>0</v>
      </c>
      <c r="GD81" s="1">
        <f>VC_NEW!FY37</f>
        <v>0</v>
      </c>
      <c r="GE81" s="1">
        <f>VC_NEW!FZ37</f>
        <v>0</v>
      </c>
      <c r="GF81" s="1">
        <f>VC_NEW!GA37</f>
        <v>0</v>
      </c>
      <c r="GG81" s="1">
        <f>VC_NEW!GB37</f>
        <v>0</v>
      </c>
      <c r="GH81" s="1">
        <f>VC_NEW!GC37</f>
        <v>0</v>
      </c>
      <c r="GI81" s="1">
        <f>VC_NEW!GD37</f>
        <v>0</v>
      </c>
      <c r="GJ81" s="1">
        <f>VC_NEW!GE37</f>
        <v>0</v>
      </c>
      <c r="GK81" s="1">
        <f>VC_NEW!GF37</f>
        <v>0</v>
      </c>
      <c r="GL81" s="1">
        <f>VC_NEW!GG37</f>
        <v>0</v>
      </c>
      <c r="GM81" s="1">
        <f>VC_NEW!GH37</f>
        <v>0</v>
      </c>
      <c r="GN81" s="1" t="str">
        <f>VC_NEW!GI37</f>
        <v>G46S</v>
      </c>
      <c r="GO81" s="1" t="str">
        <f>VC_NEW!GJ37</f>
        <v>A29V; W97C</v>
      </c>
      <c r="GP81" s="1">
        <f>VC_NEW!GK37</f>
        <v>0</v>
      </c>
      <c r="GQ81" s="1">
        <f>VC_NEW!GL37</f>
        <v>0</v>
      </c>
      <c r="GR81" s="1">
        <f>VC_NEW!GM37</f>
        <v>0</v>
      </c>
      <c r="GS81" s="1">
        <f>VC_NEW!GN37</f>
        <v>0</v>
      </c>
      <c r="GT81" s="1" t="str">
        <f>VC_NEW!GO37</f>
        <v>R178C</v>
      </c>
      <c r="GU81" s="1">
        <f>VC_NEW!GP37</f>
        <v>0</v>
      </c>
      <c r="GV81" s="1">
        <f>VC_NEW!GQ37</f>
        <v>0</v>
      </c>
      <c r="GW81" s="1">
        <f>VC_NEW!GR37</f>
        <v>0</v>
      </c>
      <c r="GX81" s="1" t="str">
        <f>VC_NEW!GS37</f>
        <v>P126Q</v>
      </c>
      <c r="GY81" s="1">
        <f>VC_NEW!GT37</f>
        <v>0</v>
      </c>
      <c r="GZ81" s="1">
        <f>VC_NEW!GU37</f>
        <v>0</v>
      </c>
      <c r="HA81" s="1">
        <f>VC_NEW!GV37</f>
        <v>0</v>
      </c>
      <c r="HB81" s="1">
        <f>VC_NEW!GW37</f>
        <v>0</v>
      </c>
      <c r="HC81" s="1">
        <f>VC_NEW!GX37</f>
        <v>0</v>
      </c>
    </row>
    <row r="82" spans="1:443" s="1" customFormat="1" ht="15" hidden="1" customHeight="1" x14ac:dyDescent="0.25">
      <c r="A82" s="30" t="s">
        <v>33</v>
      </c>
      <c r="B82" s="30" t="s">
        <v>34</v>
      </c>
      <c r="C82" s="31" t="s">
        <v>3</v>
      </c>
      <c r="D82" s="30" t="s">
        <v>76</v>
      </c>
      <c r="E82" s="30" t="s">
        <v>139</v>
      </c>
      <c r="F82" s="30" t="s">
        <v>74</v>
      </c>
      <c r="G82" s="30" t="s">
        <v>136</v>
      </c>
      <c r="H82" s="1">
        <f>VC_NEW!C37</f>
        <v>0</v>
      </c>
      <c r="I82" s="1">
        <f>VC_NEW!D37</f>
        <v>0</v>
      </c>
      <c r="J82" s="1">
        <f>VC_NEW!E37</f>
        <v>0</v>
      </c>
      <c r="K82" s="1">
        <f>VC_NEW!F37</f>
        <v>0</v>
      </c>
      <c r="L82" s="1" t="str">
        <f>VC_NEW!G37</f>
        <v>L135Q</v>
      </c>
      <c r="M82" s="1" t="str">
        <f>VC_NEW!H37</f>
        <v>P126Q</v>
      </c>
      <c r="N82" s="1" t="str">
        <f>VC_NEW!I37</f>
        <v>A96T</v>
      </c>
      <c r="O82" s="1">
        <f>VC_NEW!J37</f>
        <v>0</v>
      </c>
      <c r="P82" s="1">
        <f>VC_NEW!K37</f>
        <v>0</v>
      </c>
      <c r="Q82" s="1">
        <f>VC_NEW!L37</f>
        <v>0</v>
      </c>
      <c r="R82" s="1">
        <f>VC_NEW!M37</f>
        <v>0</v>
      </c>
      <c r="S82" s="1">
        <f>VC_NEW!N37</f>
        <v>0</v>
      </c>
      <c r="T82" s="1">
        <f>VC_NEW!O37</f>
        <v>0</v>
      </c>
      <c r="U82" s="1">
        <f>VC_NEW!P37</f>
        <v>0</v>
      </c>
      <c r="V82" s="1" t="str">
        <f>VC_NEW!Q37</f>
        <v>R140W</v>
      </c>
      <c r="W82" s="1">
        <f>VC_NEW!R37</f>
        <v>0</v>
      </c>
      <c r="X82" s="1">
        <f>VC_NEW!S37</f>
        <v>0</v>
      </c>
      <c r="Y82" s="1">
        <f>VC_NEW!T37</f>
        <v>0</v>
      </c>
      <c r="Z82" s="1">
        <f>VC_NEW!U37</f>
        <v>0</v>
      </c>
      <c r="AA82" s="1">
        <f>VC_NEW!V37</f>
        <v>0</v>
      </c>
      <c r="AB82" s="1">
        <f>VC_NEW!W37</f>
        <v>0</v>
      </c>
      <c r="AC82" s="1">
        <f>VC_NEW!X37</f>
        <v>0</v>
      </c>
      <c r="AD82" s="1">
        <f>VC_NEW!Y37</f>
        <v>0</v>
      </c>
      <c r="AE82" s="1">
        <f>VC_NEW!Z37</f>
        <v>0</v>
      </c>
      <c r="AF82" s="1">
        <f>VC_NEW!AA37</f>
        <v>0</v>
      </c>
      <c r="AG82" s="1">
        <f>VC_NEW!AB37</f>
        <v>0</v>
      </c>
      <c r="AH82" s="1">
        <f>VC_NEW!AC37</f>
        <v>0</v>
      </c>
      <c r="AI82" s="1">
        <f>VC_NEW!AD37</f>
        <v>0</v>
      </c>
      <c r="AJ82" s="1">
        <f>VC_NEW!AE37</f>
        <v>0</v>
      </c>
      <c r="AK82" s="1">
        <f>VC_NEW!AF37</f>
        <v>0</v>
      </c>
      <c r="AL82" s="1">
        <f>VC_NEW!AG37</f>
        <v>0</v>
      </c>
      <c r="AM82" s="1">
        <f>VC_NEW!AH37</f>
        <v>0</v>
      </c>
      <c r="AN82" s="1">
        <f>VC_NEW!AI37</f>
        <v>0</v>
      </c>
      <c r="AO82" s="1">
        <f>VC_NEW!AJ37</f>
        <v>0</v>
      </c>
      <c r="AP82" s="1">
        <f>VC_NEW!AK37</f>
        <v>0</v>
      </c>
      <c r="AQ82" s="1">
        <f>VC_NEW!AL37</f>
        <v>0</v>
      </c>
      <c r="AR82" s="1">
        <f>VC_NEW!AM37</f>
        <v>0</v>
      </c>
      <c r="AS82" s="1">
        <f>VC_NEW!AN37</f>
        <v>0</v>
      </c>
      <c r="AT82" s="1">
        <f>VC_NEW!AO37</f>
        <v>0</v>
      </c>
      <c r="AU82" s="1" t="str">
        <f>VC_NEW!AP37</f>
        <v>Q131X</v>
      </c>
      <c r="AV82" s="1">
        <f>VC_NEW!AQ37</f>
        <v>0</v>
      </c>
      <c r="AW82" s="1">
        <f>VC_NEW!AR37</f>
        <v>0</v>
      </c>
      <c r="AX82" s="1">
        <f>VC_NEW!AS37</f>
        <v>0</v>
      </c>
      <c r="AY82" s="1">
        <f>VC_NEW!AT37</f>
        <v>0</v>
      </c>
      <c r="AZ82" s="1">
        <f>VC_NEW!AU37</f>
        <v>0</v>
      </c>
      <c r="BA82" s="1">
        <f>VC_NEW!AV37</f>
        <v>0</v>
      </c>
      <c r="BB82" s="1">
        <f>VC_NEW!AW37</f>
        <v>0</v>
      </c>
      <c r="BC82" s="1">
        <f>VC_NEW!AX37</f>
        <v>0</v>
      </c>
      <c r="BD82" s="1">
        <f>VC_NEW!AY37</f>
        <v>0</v>
      </c>
      <c r="BE82" s="1">
        <f>VC_NEW!AZ37</f>
        <v>0</v>
      </c>
      <c r="BF82" s="1">
        <f>VC_NEW!BA37</f>
        <v>0</v>
      </c>
      <c r="BG82" s="1" t="str">
        <f>VC_NEW!BB37</f>
        <v>T47I</v>
      </c>
      <c r="BH82" s="1">
        <f>VC_NEW!BC37</f>
        <v>0</v>
      </c>
      <c r="BI82" s="1">
        <f>VC_NEW!BD37</f>
        <v>0</v>
      </c>
      <c r="BJ82" s="1">
        <f>VC_NEW!BE37</f>
        <v>0</v>
      </c>
      <c r="BK82" s="1">
        <f>VC_NEW!BF37</f>
        <v>0</v>
      </c>
      <c r="BL82" s="1">
        <f>VC_NEW!BG37</f>
        <v>0</v>
      </c>
      <c r="BM82" s="1">
        <f>VC_NEW!BH37</f>
        <v>0</v>
      </c>
      <c r="BN82" s="1">
        <f>VC_NEW!BI37</f>
        <v>0</v>
      </c>
      <c r="BO82" s="1">
        <f>VC_NEW!BJ37</f>
        <v>0</v>
      </c>
      <c r="BP82" s="1">
        <f>VC_NEW!BK37</f>
        <v>0</v>
      </c>
      <c r="BQ82" s="1">
        <f>VC_NEW!BL37</f>
        <v>0</v>
      </c>
      <c r="BR82" s="1">
        <f>VC_NEW!BM37</f>
        <v>0</v>
      </c>
      <c r="BS82" s="1" t="str">
        <f>VC_NEW!BN37</f>
        <v>T139M</v>
      </c>
      <c r="BT82" s="1" t="str">
        <f>VC_NEW!BO37</f>
        <v>D28G</v>
      </c>
      <c r="BU82" s="1">
        <f>VC_NEW!BP37</f>
        <v>0</v>
      </c>
      <c r="BV82" s="1">
        <f>VC_NEW!BQ37</f>
        <v>0</v>
      </c>
      <c r="BW82" s="1">
        <f>VC_NEW!BR37</f>
        <v>0</v>
      </c>
      <c r="BX82" s="1">
        <f>VC_NEW!BS37</f>
        <v>0</v>
      </c>
      <c r="BY82" s="1">
        <f>VC_NEW!BT37</f>
        <v>0</v>
      </c>
      <c r="BZ82" s="1">
        <f>VC_NEW!BU37</f>
        <v>0</v>
      </c>
      <c r="CA82" s="1">
        <f>VC_NEW!BV37</f>
        <v>0</v>
      </c>
      <c r="CB82" s="1">
        <f>VC_NEW!BW37</f>
        <v>0</v>
      </c>
      <c r="CC82" s="1">
        <f>VC_NEW!BX37</f>
        <v>0</v>
      </c>
      <c r="CD82" s="1">
        <f>VC_NEW!BY37</f>
        <v>0</v>
      </c>
      <c r="CE82" s="1">
        <f>VC_NEW!BZ37</f>
        <v>0</v>
      </c>
      <c r="CF82" s="1" t="str">
        <f>VC_NEW!CA37</f>
        <v>S75F</v>
      </c>
      <c r="CG82" s="1">
        <f>VC_NEW!CB37</f>
        <v>0</v>
      </c>
      <c r="CH82" s="1">
        <f>VC_NEW!CC37</f>
        <v>0</v>
      </c>
      <c r="CI82" s="1">
        <f>VC_NEW!CD37</f>
        <v>0</v>
      </c>
      <c r="CJ82" s="1">
        <f>VC_NEW!CE37</f>
        <v>0</v>
      </c>
      <c r="CK82" s="1">
        <f>VC_NEW!CF37</f>
        <v>0</v>
      </c>
      <c r="CL82" s="1">
        <f>VC_NEW!CG37</f>
        <v>0</v>
      </c>
      <c r="CM82" s="1">
        <f>VC_NEW!CH37</f>
        <v>0</v>
      </c>
      <c r="CN82" s="1">
        <f>VC_NEW!CI37</f>
        <v>0</v>
      </c>
      <c r="CO82" s="1" t="str">
        <f>VC_NEW!CJ37</f>
        <v>A144V</v>
      </c>
      <c r="CP82" s="1">
        <f>VC_NEW!CK37</f>
        <v>0</v>
      </c>
      <c r="CQ82" s="1">
        <f>VC_NEW!CL37</f>
        <v>0</v>
      </c>
      <c r="CR82" s="1">
        <f>VC_NEW!CM37</f>
        <v>0</v>
      </c>
      <c r="CS82" s="1">
        <f>VC_NEW!CN37</f>
        <v>0</v>
      </c>
      <c r="CT82" s="1" t="str">
        <f>VC_NEW!CO37</f>
        <v>V10I</v>
      </c>
      <c r="CU82" s="1">
        <f>VC_NEW!CP37</f>
        <v>0</v>
      </c>
      <c r="CV82" s="1">
        <f>VC_NEW!CQ37</f>
        <v>0</v>
      </c>
      <c r="CW82" s="1">
        <f>VC_NEW!CR37</f>
        <v>0</v>
      </c>
      <c r="CX82" s="1">
        <f>VC_NEW!CS37</f>
        <v>0</v>
      </c>
      <c r="CY82" s="1">
        <f>VC_NEW!CT37</f>
        <v>0</v>
      </c>
      <c r="CZ82" s="1">
        <f>VC_NEW!CU37</f>
        <v>0</v>
      </c>
      <c r="DA82" s="1">
        <f>VC_NEW!CV37</f>
        <v>0</v>
      </c>
      <c r="DB82" s="1">
        <f>VC_NEW!CW37</f>
        <v>0</v>
      </c>
      <c r="DC82" s="1">
        <f>VC_NEW!CX37</f>
        <v>0</v>
      </c>
      <c r="DD82" s="1" t="str">
        <f>VC_NEW!CY37</f>
        <v>T182I</v>
      </c>
      <c r="DE82" s="1">
        <f>VC_NEW!CZ37</f>
        <v>0</v>
      </c>
      <c r="DF82" s="1">
        <f>VC_NEW!DA37</f>
        <v>0</v>
      </c>
      <c r="DG82" s="1">
        <f>VC_NEW!DB37</f>
        <v>0</v>
      </c>
      <c r="DH82" s="1">
        <f>VC_NEW!DC37</f>
        <v>0</v>
      </c>
      <c r="DI82" s="1">
        <f>VC_NEW!DD37</f>
        <v>0</v>
      </c>
      <c r="DJ82" s="1">
        <f>VC_NEW!DE37</f>
        <v>0</v>
      </c>
      <c r="DK82" s="1" t="str">
        <f>VC_NEW!DF37</f>
        <v>A134P</v>
      </c>
      <c r="DL82" s="1">
        <f>VC_NEW!DG37</f>
        <v>0</v>
      </c>
      <c r="DM82" s="1">
        <f>VC_NEW!DH37</f>
        <v>0</v>
      </c>
      <c r="DN82" s="1">
        <f>VC_NEW!DI37</f>
        <v>0</v>
      </c>
      <c r="DO82" s="1" t="str">
        <f>VC_NEW!DJ37</f>
        <v>D59E</v>
      </c>
      <c r="DP82" s="1">
        <f>VC_NEW!DK37</f>
        <v>0</v>
      </c>
      <c r="DQ82" s="1">
        <f>VC_NEW!DL37</f>
        <v>0</v>
      </c>
      <c r="DR82" s="1">
        <f>VC_NEW!DM37</f>
        <v>0</v>
      </c>
      <c r="DS82" s="1">
        <f>VC_NEW!DN37</f>
        <v>0</v>
      </c>
      <c r="DT82" s="1">
        <f>VC_NEW!DO37</f>
        <v>0</v>
      </c>
      <c r="DU82" s="1" t="str">
        <f>VC_NEW!DP37</f>
        <v>F113L</v>
      </c>
      <c r="DV82" s="1">
        <f>VC_NEW!DQ37</f>
        <v>0</v>
      </c>
      <c r="DW82" s="1" t="str">
        <f>VC_NEW!DR37</f>
        <v>F113L</v>
      </c>
      <c r="DX82" s="1">
        <f>VC_NEW!DS37</f>
        <v>0</v>
      </c>
      <c r="DY82" s="1">
        <f>VC_NEW!DT37</f>
        <v>0</v>
      </c>
      <c r="DZ82" s="1">
        <f>VC_NEW!DU37</f>
        <v>0</v>
      </c>
      <c r="EA82" s="1">
        <f>VC_NEW!DV37</f>
        <v>0</v>
      </c>
      <c r="EB82" s="1">
        <f>VC_NEW!DW37</f>
        <v>0</v>
      </c>
      <c r="EC82" s="1">
        <f>VC_NEW!DX37</f>
        <v>0</v>
      </c>
      <c r="ED82" s="1">
        <f>VC_NEW!DY37</f>
        <v>0</v>
      </c>
      <c r="EE82" s="1" t="str">
        <f>VC_NEW!DZ37</f>
        <v>V10G</v>
      </c>
      <c r="EF82" s="1">
        <f>VC_NEW!EA37</f>
        <v>0</v>
      </c>
      <c r="EG82" s="1">
        <f>VC_NEW!EB37</f>
        <v>0</v>
      </c>
      <c r="EH82" s="1" t="str">
        <f>VC_NEW!EC37</f>
        <v>L40Q</v>
      </c>
      <c r="EI82" s="1">
        <f>VC_NEW!ED37</f>
        <v>0</v>
      </c>
      <c r="EJ82" s="1">
        <f>VC_NEW!EE37</f>
        <v>0</v>
      </c>
      <c r="EK82" s="1">
        <f>VC_NEW!EF37</f>
        <v>0</v>
      </c>
      <c r="EL82" s="1" t="str">
        <f>VC_NEW!EG37</f>
        <v>D83G</v>
      </c>
      <c r="EM82" s="1">
        <f>VC_NEW!EH37</f>
        <v>0</v>
      </c>
      <c r="EN82" s="1">
        <f>VC_NEW!EI37</f>
        <v>0</v>
      </c>
      <c r="EO82" s="1">
        <f>VC_NEW!EJ37</f>
        <v>0</v>
      </c>
      <c r="EP82" s="1">
        <f>VC_NEW!EK37</f>
        <v>0</v>
      </c>
      <c r="EQ82" s="1">
        <f>VC_NEW!EL37</f>
        <v>0</v>
      </c>
      <c r="ER82" s="1">
        <f>VC_NEW!EM37</f>
        <v>0</v>
      </c>
      <c r="ES82" s="1">
        <f>VC_NEW!EN37</f>
        <v>0</v>
      </c>
      <c r="ET82" s="1">
        <f>VC_NEW!EO37</f>
        <v>0</v>
      </c>
      <c r="EU82" s="1">
        <f>VC_NEW!EP37</f>
        <v>0</v>
      </c>
      <c r="EV82" s="1">
        <f>VC_NEW!EQ37</f>
        <v>0</v>
      </c>
      <c r="EW82" s="1" t="str">
        <f>VC_NEW!ER37</f>
        <v>R11H; A85S; S175P</v>
      </c>
      <c r="EX82" s="1">
        <f>VC_NEW!ES37</f>
        <v>0</v>
      </c>
      <c r="EY82" s="1">
        <f>VC_NEW!ET37</f>
        <v>0</v>
      </c>
      <c r="EZ82" s="1">
        <f>VC_NEW!EU37</f>
        <v>0</v>
      </c>
      <c r="FA82" s="1">
        <f>VC_NEW!EV37</f>
        <v>0</v>
      </c>
      <c r="FB82" s="1">
        <f>VC_NEW!EW37</f>
        <v>0</v>
      </c>
      <c r="FC82" s="1">
        <f>VC_NEW!EX37</f>
        <v>0</v>
      </c>
      <c r="FD82" s="1">
        <f>VC_NEW!EY37</f>
        <v>0</v>
      </c>
      <c r="FE82" s="1" t="str">
        <f>VC_NEW!EZ37</f>
        <v>A96T</v>
      </c>
      <c r="FF82" s="1">
        <f>VC_NEW!FA37</f>
        <v>0</v>
      </c>
      <c r="FG82" s="1">
        <f>VC_NEW!FB37</f>
        <v>0</v>
      </c>
      <c r="FH82" s="1">
        <f>VC_NEW!FC37</f>
        <v>0</v>
      </c>
      <c r="FI82" s="1" t="str">
        <f>VC_NEW!FD37</f>
        <v>A29V; W97C</v>
      </c>
      <c r="FJ82" s="1">
        <f>VC_NEW!FE37</f>
        <v>0</v>
      </c>
      <c r="FK82" s="1" t="str">
        <f>VC_NEW!FF37</f>
        <v>G137E</v>
      </c>
      <c r="FL82" s="1">
        <f>VC_NEW!FG37</f>
        <v>0</v>
      </c>
      <c r="FM82" s="1">
        <f>VC_NEW!FH37</f>
        <v>0</v>
      </c>
      <c r="FN82" s="1">
        <f>VC_NEW!FI37</f>
        <v>0</v>
      </c>
      <c r="FO82" s="1">
        <f>VC_NEW!FJ37</f>
        <v>0</v>
      </c>
      <c r="FP82" s="1">
        <f>VC_NEW!FK37</f>
        <v>0</v>
      </c>
      <c r="FQ82" s="1">
        <f>VC_NEW!FL37</f>
        <v>0</v>
      </c>
      <c r="FR82" s="1">
        <f>VC_NEW!FM37</f>
        <v>0</v>
      </c>
      <c r="FS82" s="1">
        <f>VC_NEW!FN37</f>
        <v>0</v>
      </c>
      <c r="FT82" s="1">
        <f>VC_NEW!FO37</f>
        <v>0</v>
      </c>
      <c r="FU82" s="1">
        <f>VC_NEW!FP37</f>
        <v>0</v>
      </c>
      <c r="FV82" s="1">
        <f>VC_NEW!FQ37</f>
        <v>0</v>
      </c>
      <c r="FW82" s="1">
        <f>VC_NEW!FR37</f>
        <v>0</v>
      </c>
      <c r="FX82" s="1">
        <f>VC_NEW!FS37</f>
        <v>0</v>
      </c>
      <c r="FY82" s="1">
        <f>VC_NEW!FT37</f>
        <v>0</v>
      </c>
      <c r="FZ82" s="1">
        <f>VC_NEW!FU37</f>
        <v>0</v>
      </c>
      <c r="GA82" s="1">
        <f>VC_NEW!FV37</f>
        <v>0</v>
      </c>
      <c r="GB82" s="1">
        <f>VC_NEW!FW37</f>
        <v>0</v>
      </c>
      <c r="GC82" s="1">
        <f>VC_NEW!FX37</f>
        <v>0</v>
      </c>
      <c r="GD82" s="1">
        <f>VC_NEW!FY37</f>
        <v>0</v>
      </c>
      <c r="GE82" s="1">
        <f>VC_NEW!FZ37</f>
        <v>0</v>
      </c>
      <c r="GF82" s="1">
        <f>VC_NEW!GA37</f>
        <v>0</v>
      </c>
      <c r="GG82" s="1">
        <f>VC_NEW!GB37</f>
        <v>0</v>
      </c>
      <c r="GH82" s="1">
        <f>VC_NEW!GC37</f>
        <v>0</v>
      </c>
      <c r="GI82" s="1">
        <f>VC_NEW!GD37</f>
        <v>0</v>
      </c>
      <c r="GJ82" s="1">
        <f>VC_NEW!GE37</f>
        <v>0</v>
      </c>
      <c r="GK82" s="1">
        <f>VC_NEW!GF37</f>
        <v>0</v>
      </c>
      <c r="GL82" s="1">
        <f>VC_NEW!GG37</f>
        <v>0</v>
      </c>
      <c r="GM82" s="1">
        <f>VC_NEW!GH37</f>
        <v>0</v>
      </c>
      <c r="GN82" s="1" t="str">
        <f>VC_NEW!GI37</f>
        <v>G46S</v>
      </c>
      <c r="GO82" s="1" t="str">
        <f>VC_NEW!GJ37</f>
        <v>A29V; W97C</v>
      </c>
      <c r="GP82" s="1">
        <f>VC_NEW!GK37</f>
        <v>0</v>
      </c>
      <c r="GQ82" s="1">
        <f>VC_NEW!GL37</f>
        <v>0</v>
      </c>
      <c r="GR82" s="1">
        <f>VC_NEW!GM37</f>
        <v>0</v>
      </c>
      <c r="GS82" s="1">
        <f>VC_NEW!GN37</f>
        <v>0</v>
      </c>
      <c r="GT82" s="1" t="str">
        <f>VC_NEW!GO37</f>
        <v>R178C</v>
      </c>
      <c r="GU82" s="1">
        <f>VC_NEW!GP37</f>
        <v>0</v>
      </c>
      <c r="GV82" s="1">
        <f>VC_NEW!GQ37</f>
        <v>0</v>
      </c>
      <c r="GW82" s="1">
        <f>VC_NEW!GR37</f>
        <v>0</v>
      </c>
      <c r="GX82" s="1" t="str">
        <f>VC_NEW!GS37</f>
        <v>P126Q</v>
      </c>
      <c r="GY82" s="1">
        <f>VC_NEW!GT37</f>
        <v>0</v>
      </c>
      <c r="GZ82" s="1">
        <f>VC_NEW!GU37</f>
        <v>0</v>
      </c>
      <c r="HA82" s="1">
        <f>VC_NEW!GV37</f>
        <v>0</v>
      </c>
      <c r="HB82" s="1">
        <f>VC_NEW!GW37</f>
        <v>0</v>
      </c>
      <c r="HC82" s="1">
        <f>VC_NEW!GX37</f>
        <v>0</v>
      </c>
    </row>
    <row r="83" spans="1:443" s="7" customFormat="1" ht="15" hidden="1" customHeight="1" x14ac:dyDescent="0.25">
      <c r="A83" s="56" t="s">
        <v>90</v>
      </c>
      <c r="B83" s="57" t="s">
        <v>93</v>
      </c>
      <c r="C83" s="58" t="s">
        <v>4</v>
      </c>
      <c r="D83" s="57" t="s">
        <v>77</v>
      </c>
      <c r="E83" s="57"/>
      <c r="F83" s="57" t="s">
        <v>74</v>
      </c>
      <c r="G83" s="112" t="s">
        <v>1055</v>
      </c>
      <c r="H83" s="7">
        <f>VC_NEW!C38</f>
        <v>0</v>
      </c>
      <c r="I83" s="7">
        <f>VC_NEW!D38</f>
        <v>0</v>
      </c>
      <c r="J83" s="7">
        <f>VC_NEW!E38</f>
        <v>0</v>
      </c>
      <c r="K83" s="7">
        <f>VC_NEW!F38</f>
        <v>0</v>
      </c>
      <c r="L83" s="7">
        <f>VC_NEW!G38</f>
        <v>0</v>
      </c>
      <c r="M83" s="7">
        <f>VC_NEW!H38</f>
        <v>0</v>
      </c>
      <c r="N83" s="7">
        <f>VC_NEW!I38</f>
        <v>0</v>
      </c>
      <c r="O83" s="7">
        <f>VC_NEW!J38</f>
        <v>0</v>
      </c>
      <c r="P83" s="7">
        <f>VC_NEW!K38</f>
        <v>0</v>
      </c>
      <c r="Q83" s="7">
        <f>VC_NEW!L38</f>
        <v>0</v>
      </c>
      <c r="R83" s="7">
        <f>VC_NEW!M38</f>
        <v>0</v>
      </c>
      <c r="S83" s="7">
        <f>VC_NEW!N38</f>
        <v>0</v>
      </c>
      <c r="T83" s="7" t="str">
        <f>VC_NEW!O38</f>
        <v>I261T</v>
      </c>
      <c r="U83" s="7">
        <f>VC_NEW!P38</f>
        <v>0</v>
      </c>
      <c r="V83" s="7">
        <f>VC_NEW!Q38</f>
        <v>0</v>
      </c>
      <c r="W83" s="7">
        <f>VC_NEW!R38</f>
        <v>0</v>
      </c>
      <c r="X83" s="7">
        <f>VC_NEW!S38</f>
        <v>0</v>
      </c>
      <c r="Y83" s="7" t="str">
        <f>VC_NEW!T38</f>
        <v>A152V</v>
      </c>
      <c r="Z83" s="7">
        <f>VC_NEW!U38</f>
        <v>0</v>
      </c>
      <c r="AA83" s="7">
        <f>VC_NEW!V38</f>
        <v>0</v>
      </c>
      <c r="AB83" s="7">
        <f>VC_NEW!W38</f>
        <v>0</v>
      </c>
      <c r="AC83" s="7">
        <f>VC_NEW!X38</f>
        <v>0</v>
      </c>
      <c r="AD83" s="7">
        <f>VC_NEW!Y38</f>
        <v>0</v>
      </c>
      <c r="AE83" s="7">
        <f>VC_NEW!Z38</f>
        <v>0</v>
      </c>
      <c r="AF83" s="7">
        <f>VC_NEW!AA38</f>
        <v>0</v>
      </c>
      <c r="AG83" s="7">
        <f>VC_NEW!AB38</f>
        <v>0</v>
      </c>
      <c r="AH83" s="7">
        <f>VC_NEW!AC38</f>
        <v>0</v>
      </c>
      <c r="AI83" s="7">
        <f>VC_NEW!AD38</f>
        <v>0</v>
      </c>
      <c r="AJ83" s="7">
        <f>VC_NEW!AE38</f>
        <v>0</v>
      </c>
      <c r="AK83" s="7">
        <f>VC_NEW!AF38</f>
        <v>0</v>
      </c>
      <c r="AL83" s="7">
        <f>VC_NEW!AG38</f>
        <v>0</v>
      </c>
      <c r="AM83" s="7">
        <f>VC_NEW!AH38</f>
        <v>0</v>
      </c>
      <c r="AN83" s="7">
        <f>VC_NEW!AI38</f>
        <v>0</v>
      </c>
      <c r="AO83" s="7">
        <f>VC_NEW!AJ38</f>
        <v>0</v>
      </c>
      <c r="AP83" s="7">
        <f>VC_NEW!AK38</f>
        <v>0</v>
      </c>
      <c r="AQ83" s="7">
        <f>VC_NEW!AL38</f>
        <v>0</v>
      </c>
      <c r="AR83" s="7">
        <f>VC_NEW!AM38</f>
        <v>0</v>
      </c>
      <c r="AS83" s="7">
        <f>VC_NEW!AN38</f>
        <v>0</v>
      </c>
      <c r="AT83" s="7">
        <f>VC_NEW!AO38</f>
        <v>0</v>
      </c>
      <c r="AU83" s="7">
        <f>VC_NEW!AP38</f>
        <v>0</v>
      </c>
      <c r="AV83" s="7">
        <f>VC_NEW!AQ38</f>
        <v>0</v>
      </c>
      <c r="AW83" s="7">
        <f>VC_NEW!AR38</f>
        <v>0</v>
      </c>
      <c r="AX83" s="7">
        <f>VC_NEW!AS38</f>
        <v>0</v>
      </c>
      <c r="AY83" s="7">
        <f>VC_NEW!AT38</f>
        <v>0</v>
      </c>
      <c r="AZ83" s="7">
        <f>VC_NEW!AU38</f>
        <v>0</v>
      </c>
      <c r="BA83" s="7">
        <f>VC_NEW!AV38</f>
        <v>0</v>
      </c>
      <c r="BB83" s="7">
        <f>VC_NEW!AW38</f>
        <v>0</v>
      </c>
      <c r="BC83" s="7">
        <f>VC_NEW!AX38</f>
        <v>0</v>
      </c>
      <c r="BD83" s="7">
        <f>VC_NEW!AY38</f>
        <v>0</v>
      </c>
      <c r="BE83" s="7">
        <f>VC_NEW!AZ38</f>
        <v>0</v>
      </c>
      <c r="BF83" s="7">
        <f>VC_NEW!BA38</f>
        <v>0</v>
      </c>
      <c r="BG83" s="7">
        <f>VC_NEW!BB38</f>
        <v>0</v>
      </c>
      <c r="BH83" s="7">
        <f>VC_NEW!BC38</f>
        <v>0</v>
      </c>
      <c r="BI83" s="7">
        <f>VC_NEW!BD38</f>
        <v>0</v>
      </c>
      <c r="BJ83" s="7">
        <f>VC_NEW!BE38</f>
        <v>0</v>
      </c>
      <c r="BK83" s="7">
        <f>VC_NEW!BF38</f>
        <v>0</v>
      </c>
      <c r="BL83" s="7">
        <f>VC_NEW!BG38</f>
        <v>0</v>
      </c>
      <c r="BM83" s="7">
        <f>VC_NEW!BH38</f>
        <v>0</v>
      </c>
      <c r="BN83" s="7">
        <f>VC_NEW!BI38</f>
        <v>0</v>
      </c>
      <c r="BO83" s="7">
        <f>VC_NEW!BJ38</f>
        <v>0</v>
      </c>
      <c r="BP83" s="7">
        <f>VC_NEW!BK38</f>
        <v>0</v>
      </c>
      <c r="BQ83" s="7">
        <f>VC_NEW!BL38</f>
        <v>0</v>
      </c>
      <c r="BR83" s="7">
        <f>VC_NEW!BM38</f>
        <v>0</v>
      </c>
      <c r="BS83" s="7">
        <f>VC_NEW!BN38</f>
        <v>0</v>
      </c>
      <c r="BT83" s="7">
        <f>VC_NEW!BO38</f>
        <v>0</v>
      </c>
      <c r="BU83" s="7">
        <f>VC_NEW!BP38</f>
        <v>0</v>
      </c>
      <c r="BV83" s="7">
        <f>VC_NEW!BQ38</f>
        <v>0</v>
      </c>
      <c r="BW83" s="7">
        <f>VC_NEW!BR38</f>
        <v>0</v>
      </c>
      <c r="BX83" s="7">
        <f>VC_NEW!BS38</f>
        <v>0</v>
      </c>
      <c r="BY83" s="7">
        <f>VC_NEW!BT38</f>
        <v>0</v>
      </c>
      <c r="BZ83" s="7">
        <f>VC_NEW!BU38</f>
        <v>0</v>
      </c>
      <c r="CA83" s="7">
        <f>VC_NEW!BV38</f>
        <v>0</v>
      </c>
      <c r="CB83" s="7">
        <f>VC_NEW!BW38</f>
        <v>0</v>
      </c>
      <c r="CC83" s="7">
        <f>VC_NEW!BX38</f>
        <v>0</v>
      </c>
      <c r="CD83" s="7">
        <f>VC_NEW!BY38</f>
        <v>0</v>
      </c>
      <c r="CE83" s="7">
        <f>VC_NEW!BZ38</f>
        <v>0</v>
      </c>
      <c r="CF83" s="7">
        <f>VC_NEW!CA38</f>
        <v>0</v>
      </c>
      <c r="CG83" s="7">
        <f>VC_NEW!CB38</f>
        <v>0</v>
      </c>
      <c r="CH83" s="7">
        <f>VC_NEW!CC38</f>
        <v>0</v>
      </c>
      <c r="CI83" s="7">
        <f>VC_NEW!CD38</f>
        <v>0</v>
      </c>
      <c r="CJ83" s="7">
        <f>VC_NEW!CE38</f>
        <v>0</v>
      </c>
      <c r="CK83" s="7">
        <f>VC_NEW!CF38</f>
        <v>0</v>
      </c>
      <c r="CL83" s="7" t="str">
        <f>VC_NEW!CG38</f>
        <v>A40G</v>
      </c>
      <c r="CM83" s="7">
        <f>VC_NEW!CH38</f>
        <v>0</v>
      </c>
      <c r="CN83" s="7">
        <f>VC_NEW!CI38</f>
        <v>0</v>
      </c>
      <c r="CO83" s="7">
        <f>VC_NEW!CJ38</f>
        <v>0</v>
      </c>
      <c r="CP83" s="7">
        <f>VC_NEW!CK38</f>
        <v>0</v>
      </c>
      <c r="CQ83" s="7">
        <f>VC_NEW!CL38</f>
        <v>0</v>
      </c>
      <c r="CR83" s="7">
        <f>VC_NEW!CM38</f>
        <v>0</v>
      </c>
      <c r="CS83" s="7">
        <f>VC_NEW!CN38</f>
        <v>0</v>
      </c>
      <c r="CT83" s="7">
        <f>VC_NEW!CO38</f>
        <v>0</v>
      </c>
      <c r="CU83" s="7">
        <f>VC_NEW!CP38</f>
        <v>0</v>
      </c>
      <c r="CV83" s="7" t="str">
        <f>VC_NEW!CQ38</f>
        <v>D256G</v>
      </c>
      <c r="CW83" s="7">
        <f>VC_NEW!CR38</f>
        <v>0</v>
      </c>
      <c r="CX83" s="7">
        <f>VC_NEW!CS38</f>
        <v>0</v>
      </c>
      <c r="CY83" s="7">
        <f>VC_NEW!CT38</f>
        <v>0</v>
      </c>
      <c r="CZ83" s="7">
        <f>VC_NEW!CU38</f>
        <v>0</v>
      </c>
      <c r="DA83" s="7">
        <f>VC_NEW!CV38</f>
        <v>0</v>
      </c>
      <c r="DB83" s="7">
        <f>VC_NEW!CW38</f>
        <v>0</v>
      </c>
      <c r="DC83" s="7">
        <f>VC_NEW!CX38</f>
        <v>0</v>
      </c>
      <c r="DD83" s="7">
        <f>VC_NEW!CY38</f>
        <v>0</v>
      </c>
      <c r="DE83" s="7">
        <f>VC_NEW!CZ38</f>
        <v>0</v>
      </c>
      <c r="DF83" s="7">
        <f>VC_NEW!DA38</f>
        <v>0</v>
      </c>
      <c r="DG83" s="7">
        <f>VC_NEW!DB38</f>
        <v>0</v>
      </c>
      <c r="DH83" s="7">
        <f>VC_NEW!DC38</f>
        <v>0</v>
      </c>
      <c r="DI83" s="7">
        <f>VC_NEW!DD38</f>
        <v>0</v>
      </c>
      <c r="DJ83" s="7">
        <f>VC_NEW!DE38</f>
        <v>0</v>
      </c>
      <c r="DK83" s="7">
        <f>VC_NEW!DF38</f>
        <v>0</v>
      </c>
      <c r="DL83" s="7">
        <f>VC_NEW!DG38</f>
        <v>0</v>
      </c>
      <c r="DM83" s="7">
        <f>VC_NEW!DH38</f>
        <v>0</v>
      </c>
      <c r="DN83" s="7">
        <f>VC_NEW!DI38</f>
        <v>0</v>
      </c>
      <c r="DO83" s="7">
        <f>VC_NEW!DJ38</f>
        <v>0</v>
      </c>
      <c r="DP83" s="7">
        <f>VC_NEW!DK38</f>
        <v>0</v>
      </c>
      <c r="DQ83" s="7">
        <f>VC_NEW!DL38</f>
        <v>0</v>
      </c>
      <c r="DR83" s="7">
        <f>VC_NEW!DM38</f>
        <v>0</v>
      </c>
      <c r="DS83" s="7" t="str">
        <f>VC_NEW!DN38</f>
        <v>N73D</v>
      </c>
      <c r="DT83" s="7">
        <f>VC_NEW!DO38</f>
        <v>0</v>
      </c>
      <c r="DU83" s="7">
        <f>VC_NEW!DP38</f>
        <v>0</v>
      </c>
      <c r="DV83" s="7">
        <f>VC_NEW!DQ38</f>
        <v>0</v>
      </c>
      <c r="DW83" s="7">
        <f>VC_NEW!DR38</f>
        <v>0</v>
      </c>
      <c r="DX83" s="7" t="str">
        <f>VC_NEW!DS38</f>
        <v>V472A</v>
      </c>
      <c r="DY83" s="7">
        <f>VC_NEW!DT38</f>
        <v>0</v>
      </c>
      <c r="DZ83" s="7">
        <f>VC_NEW!DU38</f>
        <v>0</v>
      </c>
      <c r="EA83" s="7">
        <f>VC_NEW!DV38</f>
        <v>0</v>
      </c>
      <c r="EB83" s="7">
        <f>VC_NEW!DW38</f>
        <v>0</v>
      </c>
      <c r="EC83" s="7" t="str">
        <f>VC_NEW!DX38</f>
        <v>R210H</v>
      </c>
      <c r="ED83" s="7">
        <f>VC_NEW!DY38</f>
        <v>0</v>
      </c>
      <c r="EE83" s="7">
        <f>VC_NEW!DZ38</f>
        <v>0</v>
      </c>
      <c r="EF83" s="7">
        <f>VC_NEW!EA38</f>
        <v>0</v>
      </c>
      <c r="EG83" s="7">
        <f>VC_NEW!EB38</f>
        <v>0</v>
      </c>
      <c r="EH83" s="7">
        <f>VC_NEW!EC38</f>
        <v>0</v>
      </c>
      <c r="EI83" s="7">
        <f>VC_NEW!ED38</f>
        <v>0</v>
      </c>
      <c r="EJ83" s="7">
        <f>VC_NEW!EE38</f>
        <v>0</v>
      </c>
      <c r="EK83" s="7">
        <f>VC_NEW!EF38</f>
        <v>0</v>
      </c>
      <c r="EL83" s="7" t="str">
        <f>VC_NEW!EG38</f>
        <v>N121S</v>
      </c>
      <c r="EM83" s="7">
        <f>VC_NEW!EH38</f>
        <v>0</v>
      </c>
      <c r="EN83" s="7">
        <f>VC_NEW!EI38</f>
        <v>0</v>
      </c>
      <c r="EO83" s="7">
        <f>VC_NEW!EJ38</f>
        <v>0</v>
      </c>
      <c r="EP83" s="7">
        <f>VC_NEW!EK38</f>
        <v>0</v>
      </c>
      <c r="EQ83" s="7">
        <f>VC_NEW!EL38</f>
        <v>0</v>
      </c>
      <c r="ER83" s="7">
        <f>VC_NEW!EM38</f>
        <v>0</v>
      </c>
      <c r="ES83" s="7" t="str">
        <f>VC_NEW!EN38</f>
        <v>D303V</v>
      </c>
      <c r="ET83" s="7">
        <f>VC_NEW!EO38</f>
        <v>0</v>
      </c>
      <c r="EU83" s="7">
        <f>VC_NEW!EP38</f>
        <v>0</v>
      </c>
      <c r="EV83" s="7">
        <f>VC_NEW!EQ38</f>
        <v>0</v>
      </c>
      <c r="EW83" s="7" t="str">
        <f>VC_NEW!ER38</f>
        <v>A41T</v>
      </c>
      <c r="EX83" s="7" t="str">
        <f>VC_NEW!ES38</f>
        <v>L81I; A152T</v>
      </c>
      <c r="EY83" s="7">
        <f>VC_NEW!ET38</f>
        <v>0</v>
      </c>
      <c r="EZ83" s="7">
        <f>VC_NEW!EU38</f>
        <v>0</v>
      </c>
      <c r="FA83" s="7">
        <f>VC_NEW!EV38</f>
        <v>0</v>
      </c>
      <c r="FB83" s="7">
        <f>VC_NEW!EW38</f>
        <v>0</v>
      </c>
      <c r="FC83" s="7">
        <f>VC_NEW!EX38</f>
        <v>0</v>
      </c>
      <c r="FD83" s="7">
        <f>VC_NEW!EY38</f>
        <v>0</v>
      </c>
      <c r="FE83" s="7">
        <f>VC_NEW!EZ38</f>
        <v>0</v>
      </c>
      <c r="FF83" s="7">
        <f>VC_NEW!FA38</f>
        <v>0</v>
      </c>
      <c r="FG83" s="7">
        <f>VC_NEW!FB38</f>
        <v>0</v>
      </c>
      <c r="FH83" s="7">
        <f>VC_NEW!FC38</f>
        <v>0</v>
      </c>
      <c r="FI83" s="7">
        <f>VC_NEW!FD38</f>
        <v>0</v>
      </c>
      <c r="FJ83" s="7">
        <f>VC_NEW!FE38</f>
        <v>0</v>
      </c>
      <c r="FK83" s="7">
        <f>VC_NEW!FF38</f>
        <v>0</v>
      </c>
      <c r="FL83" s="7">
        <f>VC_NEW!FG38</f>
        <v>0</v>
      </c>
      <c r="FM83" s="7">
        <f>VC_NEW!FH38</f>
        <v>0</v>
      </c>
      <c r="FN83" s="7">
        <f>VC_NEW!FI38</f>
        <v>0</v>
      </c>
      <c r="FO83" s="7">
        <f>VC_NEW!FJ38</f>
        <v>0</v>
      </c>
      <c r="FP83" s="7">
        <f>VC_NEW!FK38</f>
        <v>0</v>
      </c>
      <c r="FQ83" s="7">
        <f>VC_NEW!FL38</f>
        <v>0</v>
      </c>
      <c r="FR83" s="7">
        <f>VC_NEW!FM38</f>
        <v>0</v>
      </c>
      <c r="FS83" s="7" t="str">
        <f>VC_NEW!FN38</f>
        <v>A364V</v>
      </c>
      <c r="FT83" s="7">
        <f>VC_NEW!FO38</f>
        <v>0</v>
      </c>
      <c r="FU83" s="7">
        <f>VC_NEW!FP38</f>
        <v>0</v>
      </c>
      <c r="FV83" s="7">
        <f>VC_NEW!FQ38</f>
        <v>0</v>
      </c>
      <c r="FW83" s="7">
        <f>VC_NEW!FR38</f>
        <v>0</v>
      </c>
      <c r="FX83" s="7">
        <f>VC_NEW!FS38</f>
        <v>0</v>
      </c>
      <c r="FY83" s="7">
        <f>VC_NEW!FT38</f>
        <v>0</v>
      </c>
      <c r="FZ83" s="7">
        <f>VC_NEW!FU38</f>
        <v>0</v>
      </c>
      <c r="GA83" s="7">
        <f>VC_NEW!FV38</f>
        <v>0</v>
      </c>
      <c r="GB83" s="7">
        <f>VC_NEW!FW38</f>
        <v>0</v>
      </c>
      <c r="GC83" s="7">
        <f>VC_NEW!FX38</f>
        <v>0</v>
      </c>
      <c r="GD83" s="7">
        <f>VC_NEW!FY38</f>
        <v>0</v>
      </c>
      <c r="GE83" s="7">
        <f>VC_NEW!FZ38</f>
        <v>0</v>
      </c>
      <c r="GF83" s="7">
        <f>VC_NEW!GA38</f>
        <v>0</v>
      </c>
      <c r="GG83" s="7">
        <f>VC_NEW!GB38</f>
        <v>0</v>
      </c>
      <c r="GH83" s="7">
        <f>VC_NEW!GC38</f>
        <v>0</v>
      </c>
      <c r="GI83" s="7">
        <f>VC_NEW!GD38</f>
        <v>0</v>
      </c>
      <c r="GJ83" s="7">
        <f>VC_NEW!GE38</f>
        <v>0</v>
      </c>
      <c r="GK83" s="7">
        <f>VC_NEW!GF38</f>
        <v>0</v>
      </c>
      <c r="GL83" s="7">
        <f>VC_NEW!GG38</f>
        <v>0</v>
      </c>
      <c r="GM83" s="7">
        <f>VC_NEW!GH38</f>
        <v>0</v>
      </c>
      <c r="GN83" s="7">
        <f>VC_NEW!GI38</f>
        <v>0</v>
      </c>
      <c r="GO83" s="7">
        <f>VC_NEW!GJ38</f>
        <v>0</v>
      </c>
      <c r="GP83" s="7">
        <f>VC_NEW!GK38</f>
        <v>0</v>
      </c>
      <c r="GQ83" s="7" t="str">
        <f>VC_NEW!GL38</f>
        <v>S127N</v>
      </c>
      <c r="GR83" s="7">
        <f>VC_NEW!GM38</f>
        <v>0</v>
      </c>
      <c r="GS83" s="7">
        <f>VC_NEW!GN38</f>
        <v>0</v>
      </c>
      <c r="GT83" s="7">
        <f>VC_NEW!GO38</f>
        <v>0</v>
      </c>
      <c r="GU83" s="7">
        <f>VC_NEW!GP38</f>
        <v>0</v>
      </c>
      <c r="GV83" s="7">
        <f>VC_NEW!GQ38</f>
        <v>0</v>
      </c>
      <c r="GW83" s="7">
        <f>VC_NEW!GR38</f>
        <v>0</v>
      </c>
      <c r="GX83" s="7">
        <f>VC_NEW!GS38</f>
        <v>0</v>
      </c>
      <c r="GY83" s="7">
        <f>VC_NEW!GT38</f>
        <v>0</v>
      </c>
      <c r="GZ83" s="7">
        <f>VC_NEW!GU38</f>
        <v>0</v>
      </c>
      <c r="HA83" s="7">
        <f>VC_NEW!GV38</f>
        <v>0</v>
      </c>
      <c r="HB83" s="7">
        <f>VC_NEW!GW38</f>
        <v>0</v>
      </c>
      <c r="HC83" s="7">
        <f>VC_NEW!GX38</f>
        <v>0</v>
      </c>
    </row>
    <row r="84" spans="1:443" s="1" customFormat="1" ht="15" hidden="1" customHeight="1" x14ac:dyDescent="0.25">
      <c r="A84" s="59" t="s">
        <v>89</v>
      </c>
      <c r="B84" s="60" t="s">
        <v>92</v>
      </c>
      <c r="C84" s="61" t="s">
        <v>4</v>
      </c>
      <c r="D84" s="60" t="s">
        <v>77</v>
      </c>
      <c r="E84" s="60"/>
      <c r="F84" s="60" t="s">
        <v>74</v>
      </c>
      <c r="G84" s="113"/>
      <c r="H84" s="1" t="str">
        <f>VC_NEW!C39</f>
        <v>A566T; V607A</v>
      </c>
      <c r="I84" s="1">
        <f>VC_NEW!D39</f>
        <v>0</v>
      </c>
      <c r="J84" s="1">
        <f>VC_NEW!E39</f>
        <v>0</v>
      </c>
      <c r="K84" s="1">
        <f>VC_NEW!F39</f>
        <v>0</v>
      </c>
      <c r="L84" s="1" t="str">
        <f>VC_NEW!G39</f>
        <v>A566T; V607A</v>
      </c>
      <c r="M84" s="1" t="str">
        <f>VC_NEW!H39</f>
        <v>R596S; L1027V</v>
      </c>
      <c r="N84" s="1">
        <f>VC_NEW!I39</f>
        <v>0</v>
      </c>
      <c r="O84" s="1">
        <f>VC_NEW!J39</f>
        <v>0</v>
      </c>
      <c r="P84" s="1">
        <f>VC_NEW!K39</f>
        <v>0</v>
      </c>
      <c r="Q84" s="1">
        <f>VC_NEW!L39</f>
        <v>0</v>
      </c>
      <c r="R84" s="1">
        <f>VC_NEW!M39</f>
        <v>0</v>
      </c>
      <c r="S84" s="1">
        <f>VC_NEW!N39</f>
        <v>0</v>
      </c>
      <c r="T84" s="1">
        <f>VC_NEW!O39</f>
        <v>0</v>
      </c>
      <c r="U84" s="1">
        <f>VC_NEW!P39</f>
        <v>0</v>
      </c>
      <c r="V84" s="1">
        <f>VC_NEW!Q39</f>
        <v>0</v>
      </c>
      <c r="W84" s="1">
        <f>VC_NEW!R39</f>
        <v>0</v>
      </c>
      <c r="X84" s="1">
        <f>VC_NEW!S39</f>
        <v>0</v>
      </c>
      <c r="Y84" s="1">
        <f>VC_NEW!T39</f>
        <v>0</v>
      </c>
      <c r="Z84" s="1">
        <f>VC_NEW!U39</f>
        <v>0</v>
      </c>
      <c r="AA84" s="1">
        <f>VC_NEW!V39</f>
        <v>0</v>
      </c>
      <c r="AB84" s="1" t="str">
        <f>VC_NEW!W39</f>
        <v>N775K</v>
      </c>
      <c r="AC84" s="1">
        <f>VC_NEW!X39</f>
        <v>0</v>
      </c>
      <c r="AD84" s="1">
        <f>VC_NEW!Y39</f>
        <v>0</v>
      </c>
      <c r="AE84" s="1">
        <f>VC_NEW!Z39</f>
        <v>0</v>
      </c>
      <c r="AF84" s="1">
        <f>VC_NEW!AA39</f>
        <v>0</v>
      </c>
      <c r="AG84" s="1">
        <f>VC_NEW!AB39</f>
        <v>0</v>
      </c>
      <c r="AH84" s="1">
        <f>VC_NEW!AC39</f>
        <v>0</v>
      </c>
      <c r="AI84" s="1">
        <f>VC_NEW!AD39</f>
        <v>0</v>
      </c>
      <c r="AJ84" s="1">
        <f>VC_NEW!AE39</f>
        <v>0</v>
      </c>
      <c r="AK84" s="1">
        <f>VC_NEW!AF39</f>
        <v>0</v>
      </c>
      <c r="AL84" s="1">
        <f>VC_NEW!AG39</f>
        <v>0</v>
      </c>
      <c r="AM84" s="1">
        <f>VC_NEW!AH39</f>
        <v>0</v>
      </c>
      <c r="AN84" s="1">
        <f>VC_NEW!AI39</f>
        <v>0</v>
      </c>
      <c r="AO84" s="1">
        <f>VC_NEW!AJ39</f>
        <v>0</v>
      </c>
      <c r="AP84" s="1">
        <f>VC_NEW!AK39</f>
        <v>0</v>
      </c>
      <c r="AQ84" s="1" t="str">
        <f>VC_NEW!AL39</f>
        <v>T778A; P829H</v>
      </c>
      <c r="AR84" s="1">
        <f>VC_NEW!AM39</f>
        <v>0</v>
      </c>
      <c r="AS84" s="1">
        <f>VC_NEW!AN39</f>
        <v>0</v>
      </c>
      <c r="AT84" s="1">
        <f>VC_NEW!AO39</f>
        <v>0</v>
      </c>
      <c r="AU84" s="1">
        <f>VC_NEW!AP39</f>
        <v>0</v>
      </c>
      <c r="AV84" s="1">
        <f>VC_NEW!AQ39</f>
        <v>0</v>
      </c>
      <c r="AW84" s="1">
        <f>VC_NEW!AR39</f>
        <v>0</v>
      </c>
      <c r="AX84" s="1">
        <f>VC_NEW!AS39</f>
        <v>0</v>
      </c>
      <c r="AY84" s="1">
        <f>VC_NEW!AT39</f>
        <v>0</v>
      </c>
      <c r="AZ84" s="1">
        <f>VC_NEW!AU39</f>
        <v>0</v>
      </c>
      <c r="BA84" s="1">
        <f>VC_NEW!AV39</f>
        <v>0</v>
      </c>
      <c r="BB84" s="1">
        <f>VC_NEW!AW39</f>
        <v>0</v>
      </c>
      <c r="BC84" s="1">
        <f>VC_NEW!AX39</f>
        <v>0</v>
      </c>
      <c r="BD84" s="1">
        <f>VC_NEW!AY39</f>
        <v>0</v>
      </c>
      <c r="BE84" s="1">
        <f>VC_NEW!AZ39</f>
        <v>0</v>
      </c>
      <c r="BF84" s="1">
        <f>VC_NEW!BA39</f>
        <v>0</v>
      </c>
      <c r="BG84" s="1">
        <f>VC_NEW!BB39</f>
        <v>0</v>
      </c>
      <c r="BH84" s="1" t="str">
        <f>VC_NEW!BC39</f>
        <v>N775K</v>
      </c>
      <c r="BI84" s="1">
        <f>VC_NEW!BD39</f>
        <v>0</v>
      </c>
      <c r="BJ84" s="1">
        <f>VC_NEW!BE39</f>
        <v>0</v>
      </c>
      <c r="BK84" s="1">
        <f>VC_NEW!BF39</f>
        <v>0</v>
      </c>
      <c r="BL84" s="1">
        <f>VC_NEW!BG39</f>
        <v>0</v>
      </c>
      <c r="BM84" s="1">
        <f>VC_NEW!BH39</f>
        <v>0</v>
      </c>
      <c r="BN84" s="1" t="str">
        <f>VC_NEW!BI39</f>
        <v>E602K</v>
      </c>
      <c r="BO84" s="1">
        <f>VC_NEW!BJ39</f>
        <v>0</v>
      </c>
      <c r="BP84" s="1" t="str">
        <f>VC_NEW!BK39</f>
        <v>A566T; V607A</v>
      </c>
      <c r="BQ84" s="1">
        <f>VC_NEW!BL39</f>
        <v>0</v>
      </c>
      <c r="BR84" s="1">
        <f>VC_NEW!BM39</f>
        <v>0</v>
      </c>
      <c r="BS84" s="1">
        <f>VC_NEW!BN39</f>
        <v>0</v>
      </c>
      <c r="BT84" s="1">
        <f>VC_NEW!BO39</f>
        <v>0</v>
      </c>
      <c r="BU84" s="1">
        <f>VC_NEW!BP39</f>
        <v>0</v>
      </c>
      <c r="BV84" s="1">
        <f>VC_NEW!BQ39</f>
        <v>0</v>
      </c>
      <c r="BW84" s="1">
        <f>VC_NEW!BR39</f>
        <v>0</v>
      </c>
      <c r="BX84" s="1">
        <f>VC_NEW!BS39</f>
        <v>0</v>
      </c>
      <c r="BY84" s="1">
        <f>VC_NEW!BT39</f>
        <v>0</v>
      </c>
      <c r="BZ84" s="1">
        <f>VC_NEW!BU39</f>
        <v>0</v>
      </c>
      <c r="CA84" s="1">
        <f>VC_NEW!BV39</f>
        <v>0</v>
      </c>
      <c r="CB84" s="1">
        <f>VC_NEW!BW39</f>
        <v>0</v>
      </c>
      <c r="CC84" s="1" t="str">
        <f>VC_NEW!BX39</f>
        <v>A566T; V607A</v>
      </c>
      <c r="CD84" s="1">
        <f>VC_NEW!BY39</f>
        <v>0</v>
      </c>
      <c r="CE84" s="1">
        <f>VC_NEW!BZ39</f>
        <v>0</v>
      </c>
      <c r="CF84" s="1">
        <f>VC_NEW!CA39</f>
        <v>0</v>
      </c>
      <c r="CG84" s="1">
        <f>VC_NEW!CB39</f>
        <v>0</v>
      </c>
      <c r="CH84" s="1">
        <f>VC_NEW!CC39</f>
        <v>0</v>
      </c>
      <c r="CI84" s="1">
        <f>VC_NEW!CD39</f>
        <v>0</v>
      </c>
      <c r="CJ84" s="1">
        <f>VC_NEW!CE39</f>
        <v>0</v>
      </c>
      <c r="CK84" s="1">
        <f>VC_NEW!CF39</f>
        <v>0</v>
      </c>
      <c r="CL84" s="1" t="str">
        <f>VC_NEW!CG39</f>
        <v>S606L</v>
      </c>
      <c r="CM84" s="1">
        <f>VC_NEW!CH39</f>
        <v>0</v>
      </c>
      <c r="CN84" s="1">
        <f>VC_NEW!CI39</f>
        <v>0</v>
      </c>
      <c r="CO84" s="1">
        <f>VC_NEW!CJ39</f>
        <v>0</v>
      </c>
      <c r="CP84" s="1">
        <f>VC_NEW!CK39</f>
        <v>0</v>
      </c>
      <c r="CQ84" s="1">
        <f>VC_NEW!CL39</f>
        <v>0</v>
      </c>
      <c r="CR84" s="1">
        <f>VC_NEW!CM39</f>
        <v>0</v>
      </c>
      <c r="CS84" s="1">
        <f>VC_NEW!CN39</f>
        <v>0</v>
      </c>
      <c r="CT84" s="1">
        <f>VC_NEW!CO39</f>
        <v>0</v>
      </c>
      <c r="CU84" s="1">
        <f>VC_NEW!CP39</f>
        <v>0</v>
      </c>
      <c r="CV84" s="1">
        <f>VC_NEW!CQ39</f>
        <v>0</v>
      </c>
      <c r="CW84" s="1">
        <f>VC_NEW!CR39</f>
        <v>0</v>
      </c>
      <c r="CX84" s="1">
        <f>VC_NEW!CS39</f>
        <v>0</v>
      </c>
      <c r="CY84" s="1" t="str">
        <f>VC_NEW!CT39</f>
        <v>A566T; V607A</v>
      </c>
      <c r="CZ84" s="1">
        <f>VC_NEW!CU39</f>
        <v>0</v>
      </c>
      <c r="DA84" s="1">
        <f>VC_NEW!CV39</f>
        <v>0</v>
      </c>
      <c r="DB84" s="1">
        <f>VC_NEW!CW39</f>
        <v>0</v>
      </c>
      <c r="DC84" s="1">
        <f>VC_NEW!CX39</f>
        <v>0</v>
      </c>
      <c r="DD84" s="1" t="str">
        <f>VC_NEW!CY39</f>
        <v>T489I</v>
      </c>
      <c r="DE84" s="1">
        <f>VC_NEW!CZ39</f>
        <v>0</v>
      </c>
      <c r="DF84" s="1">
        <f>VC_NEW!DA39</f>
        <v>0</v>
      </c>
      <c r="DG84" s="1" t="str">
        <f>VC_NEW!DB39</f>
        <v>A734V</v>
      </c>
      <c r="DH84" s="1">
        <f>VC_NEW!DC39</f>
        <v>0</v>
      </c>
      <c r="DI84" s="1">
        <f>VC_NEW!DD39</f>
        <v>0</v>
      </c>
      <c r="DJ84" s="1">
        <f>VC_NEW!DE39</f>
        <v>0</v>
      </c>
      <c r="DK84" s="1">
        <f>VC_NEW!DF39</f>
        <v>0</v>
      </c>
      <c r="DL84" s="1">
        <f>VC_NEW!DG39</f>
        <v>0</v>
      </c>
      <c r="DM84" s="1">
        <f>VC_NEW!DH39</f>
        <v>0</v>
      </c>
      <c r="DN84" s="1">
        <f>VC_NEW!DI39</f>
        <v>0</v>
      </c>
      <c r="DO84" s="1">
        <f>VC_NEW!DJ39</f>
        <v>0</v>
      </c>
      <c r="DP84" s="1">
        <f>VC_NEW!DK39</f>
        <v>0</v>
      </c>
      <c r="DQ84" s="1">
        <f>VC_NEW!DL39</f>
        <v>0</v>
      </c>
      <c r="DR84" s="1">
        <f>VC_NEW!DM39</f>
        <v>0</v>
      </c>
      <c r="DS84" s="1">
        <f>VC_NEW!DN39</f>
        <v>0</v>
      </c>
      <c r="DT84" s="1">
        <f>VC_NEW!DO39</f>
        <v>0</v>
      </c>
      <c r="DU84" s="1">
        <f>VC_NEW!DP39</f>
        <v>0</v>
      </c>
      <c r="DV84" s="1">
        <f>VC_NEW!DQ39</f>
        <v>0</v>
      </c>
      <c r="DW84" s="1">
        <f>VC_NEW!DR39</f>
        <v>0</v>
      </c>
      <c r="DX84" s="1">
        <f>VC_NEW!DS39</f>
        <v>0</v>
      </c>
      <c r="DY84" s="1" t="str">
        <f>VC_NEW!DT39</f>
        <v>R333C</v>
      </c>
      <c r="DZ84" s="1" t="str">
        <f>VC_NEW!DU39</f>
        <v>A905T</v>
      </c>
      <c r="EA84" s="1">
        <f>VC_NEW!DV39</f>
        <v>0</v>
      </c>
      <c r="EB84" s="1">
        <f>VC_NEW!DW39</f>
        <v>0</v>
      </c>
      <c r="EC84" s="1">
        <f>VC_NEW!DX39</f>
        <v>0</v>
      </c>
      <c r="ED84" s="1">
        <f>VC_NEW!DY39</f>
        <v>0</v>
      </c>
      <c r="EE84" s="1">
        <f>VC_NEW!DZ39</f>
        <v>0</v>
      </c>
      <c r="EF84" s="1">
        <f>VC_NEW!EA39</f>
        <v>0</v>
      </c>
      <c r="EG84" s="1">
        <f>VC_NEW!EB39</f>
        <v>0</v>
      </c>
      <c r="EH84" s="1">
        <f>VC_NEW!EC39</f>
        <v>0</v>
      </c>
      <c r="EI84" s="1">
        <f>VC_NEW!ED39</f>
        <v>0</v>
      </c>
      <c r="EJ84" s="1">
        <f>VC_NEW!EE39</f>
        <v>0</v>
      </c>
      <c r="EK84" s="1">
        <f>VC_NEW!EF39</f>
        <v>0</v>
      </c>
      <c r="EL84" s="1" t="str">
        <f>VC_NEW!EG39</f>
        <v>E650Q; H953N</v>
      </c>
      <c r="EM84" s="1" t="str">
        <f>VC_NEW!EH39</f>
        <v>A566T; V607A</v>
      </c>
      <c r="EN84" s="1">
        <f>VC_NEW!EI39</f>
        <v>0</v>
      </c>
      <c r="EO84" s="1" t="str">
        <f>VC_NEW!EJ39</f>
        <v>aa1027InsLLS</v>
      </c>
      <c r="EP84" s="1">
        <f>VC_NEW!EK39</f>
        <v>0</v>
      </c>
      <c r="EQ84" s="1">
        <f>VC_NEW!EL39</f>
        <v>0</v>
      </c>
      <c r="ER84" s="1">
        <f>VC_NEW!EM39</f>
        <v>0</v>
      </c>
      <c r="ES84" s="1" t="str">
        <f>VC_NEW!EN39</f>
        <v>aa1027InsLLS</v>
      </c>
      <c r="ET84" s="1">
        <f>VC_NEW!EO39</f>
        <v>0</v>
      </c>
      <c r="EU84" s="1">
        <f>VC_NEW!EP39</f>
        <v>0</v>
      </c>
      <c r="EV84" s="1">
        <f>VC_NEW!EQ39</f>
        <v>0</v>
      </c>
      <c r="EW84" s="1" t="str">
        <f>VC_NEW!ER39</f>
        <v>G147D; A642D; H651R; T659S; S738N</v>
      </c>
      <c r="EX84" s="1" t="str">
        <f>VC_NEW!ES39</f>
        <v>G686R</v>
      </c>
      <c r="EY84" s="1">
        <f>VC_NEW!ET39</f>
        <v>0</v>
      </c>
      <c r="EZ84" s="1">
        <f>VC_NEW!EU39</f>
        <v>0</v>
      </c>
      <c r="FA84" s="1">
        <f>VC_NEW!EV39</f>
        <v>0</v>
      </c>
      <c r="FB84" s="1" t="str">
        <f>VC_NEW!EW39</f>
        <v>A566T; V607A</v>
      </c>
      <c r="FC84" s="1" t="str">
        <f>VC_NEW!EX39</f>
        <v>V351L</v>
      </c>
      <c r="FD84" s="1">
        <f>VC_NEW!EY39</f>
        <v>0</v>
      </c>
      <c r="FE84" s="1">
        <f>VC_NEW!EZ39</f>
        <v>0</v>
      </c>
      <c r="FF84" s="1">
        <f>VC_NEW!FA39</f>
        <v>0</v>
      </c>
      <c r="FG84" s="1">
        <f>VC_NEW!FB39</f>
        <v>0</v>
      </c>
      <c r="FH84" s="1" t="str">
        <f>VC_NEW!FC39</f>
        <v xml:space="preserve">E650Q; H953N; </v>
      </c>
      <c r="FI84" s="1" t="str">
        <f>VC_NEW!FD39</f>
        <v>T286M</v>
      </c>
      <c r="FJ84" s="1">
        <f>VC_NEW!FE39</f>
        <v>0</v>
      </c>
      <c r="FK84" s="1">
        <f>VC_NEW!FF39</f>
        <v>0</v>
      </c>
      <c r="FL84" s="1">
        <f>VC_NEW!FG39</f>
        <v>0</v>
      </c>
      <c r="FM84" s="1">
        <f>VC_NEW!FH39</f>
        <v>0</v>
      </c>
      <c r="FN84" s="1">
        <f>VC_NEW!FI39</f>
        <v>0</v>
      </c>
      <c r="FO84" s="1">
        <f>VC_NEW!FJ39</f>
        <v>0</v>
      </c>
      <c r="FP84" s="1">
        <f>VC_NEW!FK39</f>
        <v>0</v>
      </c>
      <c r="FQ84" s="1">
        <f>VC_NEW!FL39</f>
        <v>0</v>
      </c>
      <c r="FR84" s="1">
        <f>VC_NEW!FM39</f>
        <v>0</v>
      </c>
      <c r="FS84" s="1">
        <f>VC_NEW!FN39</f>
        <v>0</v>
      </c>
      <c r="FT84" s="1" t="str">
        <f>VC_NEW!FO39</f>
        <v>I427V; G1042R</v>
      </c>
      <c r="FU84" s="1">
        <f>VC_NEW!FP39</f>
        <v>0</v>
      </c>
      <c r="FV84" s="1">
        <f>VC_NEW!FQ39</f>
        <v>0</v>
      </c>
      <c r="FW84" s="1">
        <f>VC_NEW!FR39</f>
        <v>0</v>
      </c>
      <c r="FX84" s="1">
        <f>VC_NEW!FS39</f>
        <v>0</v>
      </c>
      <c r="FY84" s="1">
        <f>VC_NEW!FT39</f>
        <v>0</v>
      </c>
      <c r="FZ84" s="1">
        <f>VC_NEW!FU39</f>
        <v>0</v>
      </c>
      <c r="GA84" s="1">
        <f>VC_NEW!FV39</f>
        <v>0</v>
      </c>
      <c r="GB84" s="1">
        <f>VC_NEW!FW39</f>
        <v>0</v>
      </c>
      <c r="GC84" s="1" t="str">
        <f>VC_NEW!FX39</f>
        <v>V914I</v>
      </c>
      <c r="GD84" s="1">
        <f>VC_NEW!FY39</f>
        <v>0</v>
      </c>
      <c r="GE84" s="1">
        <f>VC_NEW!FZ39</f>
        <v>0</v>
      </c>
      <c r="GF84" s="1">
        <f>VC_NEW!GA39</f>
        <v>0</v>
      </c>
      <c r="GG84" s="1">
        <f>VC_NEW!GB39</f>
        <v>0</v>
      </c>
      <c r="GH84" s="1">
        <f>VC_NEW!GC39</f>
        <v>0</v>
      </c>
      <c r="GI84" s="1">
        <f>VC_NEW!GD39</f>
        <v>0</v>
      </c>
      <c r="GJ84" s="1">
        <f>VC_NEW!GE39</f>
        <v>0</v>
      </c>
      <c r="GK84" s="1">
        <f>VC_NEW!GF39</f>
        <v>0</v>
      </c>
      <c r="GL84" s="1">
        <f>VC_NEW!GG39</f>
        <v>0</v>
      </c>
      <c r="GM84" s="1">
        <f>VC_NEW!GH39</f>
        <v>0</v>
      </c>
      <c r="GN84" s="1">
        <f>VC_NEW!GI39</f>
        <v>0</v>
      </c>
      <c r="GO84" s="1">
        <f>VC_NEW!GJ39</f>
        <v>0</v>
      </c>
      <c r="GP84" s="1">
        <f>VC_NEW!GK39</f>
        <v>0</v>
      </c>
      <c r="GQ84" s="1" t="str">
        <f>VC_NEW!GL39</f>
        <v>R696C</v>
      </c>
      <c r="GR84" s="1">
        <f>VC_NEW!GM39</f>
        <v>0</v>
      </c>
      <c r="GS84" s="1">
        <f>VC_NEW!GN39</f>
        <v>0</v>
      </c>
      <c r="GT84" s="1">
        <f>VC_NEW!GO39</f>
        <v>0</v>
      </c>
      <c r="GU84" s="1">
        <f>VC_NEW!GP39</f>
        <v>0</v>
      </c>
      <c r="GV84" s="1">
        <f>VC_NEW!GQ39</f>
        <v>0</v>
      </c>
      <c r="GW84" s="1">
        <f>VC_NEW!GR39</f>
        <v>0</v>
      </c>
      <c r="GX84" s="1" t="str">
        <f>VC_NEW!GS39</f>
        <v>L1027V</v>
      </c>
      <c r="GY84" s="1">
        <f>VC_NEW!GT39</f>
        <v>0</v>
      </c>
      <c r="GZ84" s="1" t="str">
        <f>VC_NEW!GU39</f>
        <v>R254H</v>
      </c>
      <c r="HA84" s="1">
        <f>VC_NEW!GV39</f>
        <v>0</v>
      </c>
      <c r="HB84" s="1">
        <f>VC_NEW!GW39</f>
        <v>0</v>
      </c>
      <c r="HC84" s="1">
        <f>VC_NEW!GX39</f>
        <v>0</v>
      </c>
    </row>
    <row r="85" spans="1:443" s="7" customFormat="1" ht="15.75" hidden="1" customHeight="1" thickBot="1" x14ac:dyDescent="0.3">
      <c r="A85" s="62" t="s">
        <v>88</v>
      </c>
      <c r="B85" s="63" t="s">
        <v>91</v>
      </c>
      <c r="C85" s="64" t="s">
        <v>4</v>
      </c>
      <c r="D85" s="63" t="s">
        <v>77</v>
      </c>
      <c r="E85" s="63"/>
      <c r="F85" s="63" t="s">
        <v>74</v>
      </c>
      <c r="G85" s="114"/>
      <c r="H85" s="7">
        <f>VC_NEW!C40</f>
        <v>0</v>
      </c>
      <c r="I85" s="7">
        <f>VC_NEW!D40</f>
        <v>0</v>
      </c>
      <c r="J85" s="7" t="str">
        <f>VC_NEW!E40</f>
        <v>V131M</v>
      </c>
      <c r="K85" s="7">
        <f>VC_NEW!F40</f>
        <v>0</v>
      </c>
      <c r="L85" s="7">
        <f>VC_NEW!G40</f>
        <v>0</v>
      </c>
      <c r="M85" s="7" t="str">
        <f>VC_NEW!H40</f>
        <v>V367A</v>
      </c>
      <c r="N85" s="7">
        <f>VC_NEW!I40</f>
        <v>0</v>
      </c>
      <c r="O85" s="7">
        <f>VC_NEW!J40</f>
        <v>0</v>
      </c>
      <c r="P85" s="7">
        <f>VC_NEW!K40</f>
        <v>0</v>
      </c>
      <c r="Q85" s="7">
        <f>VC_NEW!L40</f>
        <v>0</v>
      </c>
      <c r="R85" s="7">
        <f>VC_NEW!M40</f>
        <v>0</v>
      </c>
      <c r="S85" s="7">
        <f>VC_NEW!N40</f>
        <v>0</v>
      </c>
      <c r="T85" s="7">
        <f>VC_NEW!O40</f>
        <v>0</v>
      </c>
      <c r="U85" s="7">
        <f>VC_NEW!P40</f>
        <v>0</v>
      </c>
      <c r="V85" s="7">
        <f>VC_NEW!Q40</f>
        <v>0</v>
      </c>
      <c r="W85" s="7">
        <f>VC_NEW!R40</f>
        <v>0</v>
      </c>
      <c r="X85" s="7">
        <f>VC_NEW!S40</f>
        <v>0</v>
      </c>
      <c r="Y85" s="7">
        <f>VC_NEW!T40</f>
        <v>0</v>
      </c>
      <c r="Z85" s="7">
        <f>VC_NEW!U40</f>
        <v>0</v>
      </c>
      <c r="AA85" s="7">
        <f>VC_NEW!V40</f>
        <v>0</v>
      </c>
      <c r="AB85" s="7">
        <f>VC_NEW!W40</f>
        <v>0</v>
      </c>
      <c r="AC85" s="7">
        <f>VC_NEW!X40</f>
        <v>0</v>
      </c>
      <c r="AD85" s="7">
        <f>VC_NEW!Y40</f>
        <v>0</v>
      </c>
      <c r="AE85" s="7">
        <f>VC_NEW!Z40</f>
        <v>0</v>
      </c>
      <c r="AF85" s="7">
        <f>VC_NEW!AA40</f>
        <v>0</v>
      </c>
      <c r="AG85" s="7">
        <f>VC_NEW!AB40</f>
        <v>0</v>
      </c>
      <c r="AH85" s="7">
        <f>VC_NEW!AC40</f>
        <v>0</v>
      </c>
      <c r="AI85" s="7">
        <f>VC_NEW!AD40</f>
        <v>0</v>
      </c>
      <c r="AJ85" s="7" t="str">
        <f>VC_NEW!AE40</f>
        <v>G8R</v>
      </c>
      <c r="AK85" s="7">
        <f>VC_NEW!AF40</f>
        <v>0</v>
      </c>
      <c r="AL85" s="7">
        <f>VC_NEW!AG40</f>
        <v>0</v>
      </c>
      <c r="AM85" s="7">
        <f>VC_NEW!AH40</f>
        <v>0</v>
      </c>
      <c r="AN85" s="7">
        <f>VC_NEW!AI40</f>
        <v>0</v>
      </c>
      <c r="AO85" s="7">
        <f>VC_NEW!AJ40</f>
        <v>0</v>
      </c>
      <c r="AP85" s="7">
        <f>VC_NEW!AK40</f>
        <v>0</v>
      </c>
      <c r="AQ85" s="7">
        <f>VC_NEW!AL40</f>
        <v>0</v>
      </c>
      <c r="AR85" s="7">
        <f>VC_NEW!AM40</f>
        <v>0</v>
      </c>
      <c r="AS85" s="7">
        <f>VC_NEW!AN40</f>
        <v>0</v>
      </c>
      <c r="AT85" s="7">
        <f>VC_NEW!AO40</f>
        <v>0</v>
      </c>
      <c r="AU85" s="7">
        <f>VC_NEW!AP40</f>
        <v>0</v>
      </c>
      <c r="AV85" s="7">
        <f>VC_NEW!AQ40</f>
        <v>0</v>
      </c>
      <c r="AW85" s="7">
        <f>VC_NEW!AR40</f>
        <v>0</v>
      </c>
      <c r="AX85" s="7">
        <f>VC_NEW!AS40</f>
        <v>0</v>
      </c>
      <c r="AY85" s="7">
        <f>VC_NEW!AT40</f>
        <v>0</v>
      </c>
      <c r="AZ85" s="7">
        <f>VC_NEW!AU40</f>
        <v>0</v>
      </c>
      <c r="BA85" s="7" t="str">
        <f>VC_NEW!AV40</f>
        <v>E26A</v>
      </c>
      <c r="BB85" s="7">
        <f>VC_NEW!AW40</f>
        <v>0</v>
      </c>
      <c r="BC85" s="7" t="str">
        <f>VC_NEW!AX40</f>
        <v>E26A</v>
      </c>
      <c r="BD85" s="7">
        <f>VC_NEW!AY40</f>
        <v>0</v>
      </c>
      <c r="BE85" s="7">
        <f>VC_NEW!AZ40</f>
        <v>0</v>
      </c>
      <c r="BF85" s="7">
        <f>VC_NEW!BA40</f>
        <v>0</v>
      </c>
      <c r="BG85" s="7">
        <f>VC_NEW!BB40</f>
        <v>0</v>
      </c>
      <c r="BH85" s="7">
        <f>VC_NEW!BC40</f>
        <v>0</v>
      </c>
      <c r="BI85" s="7" t="str">
        <f>VC_NEW!BD40</f>
        <v>E26A</v>
      </c>
      <c r="BJ85" s="7">
        <f>VC_NEW!BE40</f>
        <v>0</v>
      </c>
      <c r="BK85" s="7" t="str">
        <f>VC_NEW!BF40</f>
        <v>nt205∆2</v>
      </c>
      <c r="BL85" s="7">
        <f>VC_NEW!BG40</f>
        <v>0</v>
      </c>
      <c r="BM85" s="7">
        <f>VC_NEW!BH40</f>
        <v>0</v>
      </c>
      <c r="BN85" s="7">
        <f>VC_NEW!BI40</f>
        <v>0</v>
      </c>
      <c r="BO85" s="7">
        <f>VC_NEW!BJ40</f>
        <v>0</v>
      </c>
      <c r="BP85" s="7">
        <f>VC_NEW!BK40</f>
        <v>0</v>
      </c>
      <c r="BQ85" s="7">
        <f>VC_NEW!BL40</f>
        <v>0</v>
      </c>
      <c r="BR85" s="7">
        <f>VC_NEW!BM40</f>
        <v>0</v>
      </c>
      <c r="BS85" s="7" t="str">
        <f>VC_NEW!BN40</f>
        <v>E26A</v>
      </c>
      <c r="BT85" s="7">
        <f>VC_NEW!BO40</f>
        <v>0</v>
      </c>
      <c r="BU85" s="7">
        <f>VC_NEW!BP40</f>
        <v>0</v>
      </c>
      <c r="BV85" s="7">
        <f>VC_NEW!BQ40</f>
        <v>0</v>
      </c>
      <c r="BW85" s="7">
        <f>VC_NEW!BR40</f>
        <v>0</v>
      </c>
      <c r="BX85" s="7">
        <f>VC_NEW!BS40</f>
        <v>0</v>
      </c>
      <c r="BY85" s="7">
        <f>VC_NEW!BT40</f>
        <v>0</v>
      </c>
      <c r="BZ85" s="7">
        <f>VC_NEW!BU40</f>
        <v>0</v>
      </c>
      <c r="CA85" s="7">
        <f>VC_NEW!BV40</f>
        <v>0</v>
      </c>
      <c r="CB85" s="7">
        <f>VC_NEW!BW40</f>
        <v>0</v>
      </c>
      <c r="CC85" s="7">
        <f>VC_NEW!BX40</f>
        <v>0</v>
      </c>
      <c r="CD85" s="7" t="str">
        <f>VC_NEW!BY40</f>
        <v>E26A</v>
      </c>
      <c r="CE85" s="7">
        <f>VC_NEW!BZ40</f>
        <v>0</v>
      </c>
      <c r="CF85" s="7">
        <f>VC_NEW!CA40</f>
        <v>0</v>
      </c>
      <c r="CG85" s="7">
        <f>VC_NEW!CB40</f>
        <v>0</v>
      </c>
      <c r="CH85" s="7">
        <f>VC_NEW!CC40</f>
        <v>0</v>
      </c>
      <c r="CI85" s="7">
        <f>VC_NEW!CD40</f>
        <v>0</v>
      </c>
      <c r="CJ85" s="7" t="str">
        <f>VC_NEW!CE40</f>
        <v>E26A</v>
      </c>
      <c r="CK85" s="7" t="str">
        <f>VC_NEW!CF40</f>
        <v>E26A</v>
      </c>
      <c r="CL85" s="7">
        <f>VC_NEW!CG40</f>
        <v>0</v>
      </c>
      <c r="CM85" s="7">
        <f>VC_NEW!CH40</f>
        <v>0</v>
      </c>
      <c r="CN85" s="7">
        <f>VC_NEW!CI40</f>
        <v>0</v>
      </c>
      <c r="CO85" s="7">
        <f>VC_NEW!CJ40</f>
        <v>0</v>
      </c>
      <c r="CP85" s="7" t="str">
        <f>VC_NEW!CK40</f>
        <v>E26A</v>
      </c>
      <c r="CQ85" s="7" t="str">
        <f>VC_NEW!CL40</f>
        <v>E26A</v>
      </c>
      <c r="CR85" s="7" t="str">
        <f>VC_NEW!CM40</f>
        <v>M34I</v>
      </c>
      <c r="CS85" s="7">
        <f>VC_NEW!CN40</f>
        <v>0</v>
      </c>
      <c r="CT85" s="7">
        <f>VC_NEW!CO40</f>
        <v>0</v>
      </c>
      <c r="CU85" s="7">
        <f>VC_NEW!CP40</f>
        <v>0</v>
      </c>
      <c r="CV85" s="7">
        <f>VC_NEW!CQ40</f>
        <v>0</v>
      </c>
      <c r="CW85" s="7">
        <f>VC_NEW!CR40</f>
        <v>0</v>
      </c>
      <c r="CX85" s="7">
        <f>VC_NEW!CS40</f>
        <v>0</v>
      </c>
      <c r="CY85" s="7">
        <f>VC_NEW!CT40</f>
        <v>0</v>
      </c>
      <c r="CZ85" s="7">
        <f>VC_NEW!CU40</f>
        <v>0</v>
      </c>
      <c r="DA85" s="7">
        <f>VC_NEW!CV40</f>
        <v>0</v>
      </c>
      <c r="DB85" s="7">
        <f>VC_NEW!CW40</f>
        <v>0</v>
      </c>
      <c r="DC85" s="7">
        <f>VC_NEW!CX40</f>
        <v>0</v>
      </c>
      <c r="DD85" s="7">
        <f>VC_NEW!CY40</f>
        <v>0</v>
      </c>
      <c r="DE85" s="7">
        <f>VC_NEW!CZ40</f>
        <v>0</v>
      </c>
      <c r="DF85" s="7">
        <f>VC_NEW!DA40</f>
        <v>0</v>
      </c>
      <c r="DG85" s="7">
        <f>VC_NEW!DB40</f>
        <v>0</v>
      </c>
      <c r="DH85" s="7">
        <f>VC_NEW!DC40</f>
        <v>0</v>
      </c>
      <c r="DI85" s="7">
        <f>VC_NEW!DD40</f>
        <v>0</v>
      </c>
      <c r="DJ85" s="7">
        <f>VC_NEW!DE40</f>
        <v>0</v>
      </c>
      <c r="DK85" s="7">
        <f>VC_NEW!DF40</f>
        <v>0</v>
      </c>
      <c r="DL85" s="7">
        <f>VC_NEW!DG40</f>
        <v>0</v>
      </c>
      <c r="DM85" s="7">
        <f>VC_NEW!DH40</f>
        <v>0</v>
      </c>
      <c r="DN85" s="7">
        <f>VC_NEW!DI40</f>
        <v>0</v>
      </c>
      <c r="DO85" s="7">
        <f>VC_NEW!DJ40</f>
        <v>0</v>
      </c>
      <c r="DP85" s="7">
        <f>VC_NEW!DK40</f>
        <v>0</v>
      </c>
      <c r="DQ85" s="7">
        <f>VC_NEW!DL40</f>
        <v>0</v>
      </c>
      <c r="DR85" s="7">
        <f>VC_NEW!DM40</f>
        <v>0</v>
      </c>
      <c r="DS85" s="7" t="str">
        <f>VC_NEW!DN40</f>
        <v>T145I</v>
      </c>
      <c r="DT85" s="7">
        <f>VC_NEW!DO40</f>
        <v>0</v>
      </c>
      <c r="DU85" s="7" t="str">
        <f>VC_NEW!DP40</f>
        <v>E26A</v>
      </c>
      <c r="DV85" s="7">
        <f>VC_NEW!DQ40</f>
        <v>0</v>
      </c>
      <c r="DW85" s="7" t="str">
        <f>VC_NEW!DR40</f>
        <v>E26A</v>
      </c>
      <c r="DX85" s="7">
        <f>VC_NEW!DS40</f>
        <v>0</v>
      </c>
      <c r="DY85" s="7" t="str">
        <f>VC_NEW!DT40</f>
        <v>Q206X</v>
      </c>
      <c r="DZ85" s="7">
        <f>VC_NEW!DU40</f>
        <v>0</v>
      </c>
      <c r="EA85" s="7" t="str">
        <f>VC_NEW!DV40</f>
        <v>E26A</v>
      </c>
      <c r="EB85" s="7">
        <f>VC_NEW!DW40</f>
        <v>0</v>
      </c>
      <c r="EC85" s="7" t="str">
        <f>VC_NEW!DX40</f>
        <v>G254S</v>
      </c>
      <c r="ED85" s="7">
        <f>VC_NEW!DY40</f>
        <v>0</v>
      </c>
      <c r="EE85" s="7" t="str">
        <f>VC_NEW!DZ40</f>
        <v>E26A</v>
      </c>
      <c r="EF85" s="7">
        <f>VC_NEW!EA40</f>
        <v>0</v>
      </c>
      <c r="EG85" s="7" t="str">
        <f>VC_NEW!EB40</f>
        <v>Q134X</v>
      </c>
      <c r="EH85" s="7">
        <f>VC_NEW!EC40</f>
        <v>0</v>
      </c>
      <c r="EI85" s="7">
        <f>VC_NEW!ED40</f>
        <v>0</v>
      </c>
      <c r="EJ85" s="7">
        <f>VC_NEW!EE40</f>
        <v>0</v>
      </c>
      <c r="EK85" s="7">
        <f>VC_NEW!EF40</f>
        <v>0</v>
      </c>
      <c r="EL85" s="7">
        <f>VC_NEW!EG40</f>
        <v>0</v>
      </c>
      <c r="EM85" s="7">
        <f>VC_NEW!EH40</f>
        <v>0</v>
      </c>
      <c r="EN85" s="7">
        <f>VC_NEW!EI40</f>
        <v>0</v>
      </c>
      <c r="EO85" s="7">
        <f>VC_NEW!EJ40</f>
        <v>0</v>
      </c>
      <c r="EP85" s="7">
        <f>VC_NEW!EK40</f>
        <v>0</v>
      </c>
      <c r="EQ85" s="7">
        <f>VC_NEW!EL40</f>
        <v>0</v>
      </c>
      <c r="ER85" s="7">
        <f>VC_NEW!EM40</f>
        <v>0</v>
      </c>
      <c r="ES85" s="7">
        <f>VC_NEW!EN40</f>
        <v>0</v>
      </c>
      <c r="ET85" s="7">
        <f>VC_NEW!EO40</f>
        <v>0</v>
      </c>
      <c r="EU85" s="7">
        <f>VC_NEW!EP40</f>
        <v>0</v>
      </c>
      <c r="EV85" s="7">
        <f>VC_NEW!EQ40</f>
        <v>0</v>
      </c>
      <c r="EW85" s="7" t="str">
        <f>VC_NEW!ER40</f>
        <v>E152Q; V282I; N299S; G334A; V337A; E350K</v>
      </c>
      <c r="EX85" s="7">
        <f>VC_NEW!ES40</f>
        <v>0</v>
      </c>
      <c r="EY85" s="7">
        <f>VC_NEW!ET40</f>
        <v>0</v>
      </c>
      <c r="EZ85" s="7">
        <f>VC_NEW!EU40</f>
        <v>0</v>
      </c>
      <c r="FA85" s="7">
        <f>VC_NEW!EV40</f>
        <v>0</v>
      </c>
      <c r="FB85" s="7">
        <f>VC_NEW!EW40</f>
        <v>0</v>
      </c>
      <c r="FC85" s="7">
        <f>VC_NEW!EX40</f>
        <v>0</v>
      </c>
      <c r="FD85" s="7">
        <f>VC_NEW!EY40</f>
        <v>0</v>
      </c>
      <c r="FE85" s="7">
        <f>VC_NEW!EZ40</f>
        <v>0</v>
      </c>
      <c r="FF85" s="7">
        <f>VC_NEW!FA40</f>
        <v>0</v>
      </c>
      <c r="FG85" s="7">
        <f>VC_NEW!FB40</f>
        <v>0</v>
      </c>
      <c r="FH85" s="7">
        <f>VC_NEW!FC40</f>
        <v>0</v>
      </c>
      <c r="FI85" s="7">
        <f>VC_NEW!FD40</f>
        <v>0</v>
      </c>
      <c r="FJ85" s="7">
        <f>VC_NEW!FE40</f>
        <v>0</v>
      </c>
      <c r="FK85" s="7">
        <f>VC_NEW!FF40</f>
        <v>0</v>
      </c>
      <c r="FL85" s="7">
        <f>VC_NEW!FG40</f>
        <v>0</v>
      </c>
      <c r="FM85" s="7">
        <f>VC_NEW!FH40</f>
        <v>0</v>
      </c>
      <c r="FN85" s="7">
        <f>VC_NEW!FI40</f>
        <v>0</v>
      </c>
      <c r="FO85" s="7">
        <f>VC_NEW!FJ40</f>
        <v>0</v>
      </c>
      <c r="FP85" s="7">
        <f>VC_NEW!FK40</f>
        <v>0</v>
      </c>
      <c r="FQ85" s="7" t="str">
        <f>VC_NEW!FL40</f>
        <v>E26A</v>
      </c>
      <c r="FR85" s="7" t="str">
        <f>VC_NEW!FM40</f>
        <v>G8R</v>
      </c>
      <c r="FS85" s="7">
        <f>VC_NEW!FN40</f>
        <v>0</v>
      </c>
      <c r="FT85" s="7">
        <f>VC_NEW!FO40</f>
        <v>0</v>
      </c>
      <c r="FU85" s="7">
        <f>VC_NEW!FP40</f>
        <v>0</v>
      </c>
      <c r="FV85" s="7">
        <f>VC_NEW!FQ40</f>
        <v>0</v>
      </c>
      <c r="FW85" s="7">
        <f>VC_NEW!FR40</f>
        <v>0</v>
      </c>
      <c r="FX85" s="7">
        <f>VC_NEW!FS40</f>
        <v>0</v>
      </c>
      <c r="FY85" s="7">
        <f>VC_NEW!FT40</f>
        <v>0</v>
      </c>
      <c r="FZ85" s="7">
        <f>VC_NEW!FU40</f>
        <v>0</v>
      </c>
      <c r="GA85" s="7" t="str">
        <f>VC_NEW!FV40</f>
        <v>E26A</v>
      </c>
      <c r="GB85" s="7">
        <f>VC_NEW!FW40</f>
        <v>0</v>
      </c>
      <c r="GC85" s="7">
        <f>VC_NEW!FX40</f>
        <v>0</v>
      </c>
      <c r="GD85" s="7" t="str">
        <f>VC_NEW!FY40</f>
        <v>E26A</v>
      </c>
      <c r="GE85" s="7">
        <f>VC_NEW!FZ40</f>
        <v>0</v>
      </c>
      <c r="GF85" s="7">
        <f>VC_NEW!GA40</f>
        <v>0</v>
      </c>
      <c r="GG85" s="7">
        <f>VC_NEW!GB40</f>
        <v>0</v>
      </c>
      <c r="GH85" s="7">
        <f>VC_NEW!GC40</f>
        <v>0</v>
      </c>
      <c r="GI85" s="7">
        <f>VC_NEW!GD40</f>
        <v>0</v>
      </c>
      <c r="GJ85" s="7" t="str">
        <f>VC_NEW!GE40</f>
        <v>S51R</v>
      </c>
      <c r="GK85" s="7">
        <f>VC_NEW!GF40</f>
        <v>0</v>
      </c>
      <c r="GL85" s="7">
        <f>VC_NEW!GG40</f>
        <v>0</v>
      </c>
      <c r="GM85" s="7" t="str">
        <f>VC_NEW!GH40</f>
        <v>E26A</v>
      </c>
      <c r="GN85" s="7">
        <f>VC_NEW!GI40</f>
        <v>0</v>
      </c>
      <c r="GO85" s="7">
        <f>VC_NEW!GJ40</f>
        <v>0</v>
      </c>
      <c r="GP85" s="7">
        <f>VC_NEW!GK40</f>
        <v>0</v>
      </c>
      <c r="GQ85" s="7">
        <f>VC_NEW!GL40</f>
        <v>0</v>
      </c>
      <c r="GR85" s="7">
        <f>VC_NEW!GM40</f>
        <v>0</v>
      </c>
      <c r="GS85" s="7">
        <f>VC_NEW!GN40</f>
        <v>0</v>
      </c>
      <c r="GT85" s="7">
        <f>VC_NEW!GO40</f>
        <v>0</v>
      </c>
      <c r="GU85" s="7">
        <f>VC_NEW!GP40</f>
        <v>0</v>
      </c>
      <c r="GV85" s="7">
        <f>VC_NEW!GQ40</f>
        <v>0</v>
      </c>
      <c r="GW85" s="7">
        <f>VC_NEW!GR40</f>
        <v>0</v>
      </c>
      <c r="GX85" s="7" t="str">
        <f>VC_NEW!GS40</f>
        <v>V367A</v>
      </c>
      <c r="GY85" s="7">
        <f>VC_NEW!GT40</f>
        <v>0</v>
      </c>
      <c r="GZ85" s="7" t="str">
        <f>VC_NEW!GU40</f>
        <v>V367A</v>
      </c>
      <c r="HA85" s="7">
        <f>VC_NEW!GV40</f>
        <v>0</v>
      </c>
      <c r="HB85" s="7">
        <f>VC_NEW!GW40</f>
        <v>0</v>
      </c>
      <c r="HC85" s="7" t="str">
        <f>VC_NEW!GX40</f>
        <v>E26A</v>
      </c>
    </row>
    <row r="86" spans="1:443" s="1" customFormat="1" ht="15.75" hidden="1" customHeight="1" thickBot="1" x14ac:dyDescent="0.3">
      <c r="A86" s="74" t="s">
        <v>66</v>
      </c>
      <c r="B86" s="75" t="s">
        <v>155</v>
      </c>
      <c r="C86" s="76" t="s">
        <v>4</v>
      </c>
      <c r="D86" s="75" t="s">
        <v>76</v>
      </c>
      <c r="E86" s="75" t="s">
        <v>147</v>
      </c>
      <c r="F86" s="75" t="s">
        <v>74</v>
      </c>
      <c r="G86" s="77" t="s">
        <v>141</v>
      </c>
      <c r="H86" s="1">
        <f>VC_NEW!C41</f>
        <v>0</v>
      </c>
      <c r="I86" s="1">
        <f>VC_NEW!D41</f>
        <v>0</v>
      </c>
      <c r="J86" s="1">
        <f>VC_NEW!E41</f>
        <v>0</v>
      </c>
      <c r="K86" s="1">
        <f>VC_NEW!F41</f>
        <v>0</v>
      </c>
      <c r="L86" s="1">
        <f>VC_NEW!G41</f>
        <v>0</v>
      </c>
      <c r="M86" s="1">
        <f>VC_NEW!H41</f>
        <v>0</v>
      </c>
      <c r="N86" s="1">
        <f>VC_NEW!I41</f>
        <v>0</v>
      </c>
      <c r="O86" s="1">
        <f>VC_NEW!J41</f>
        <v>0</v>
      </c>
      <c r="P86" s="1">
        <f>VC_NEW!K41</f>
        <v>0</v>
      </c>
      <c r="Q86" s="1">
        <f>VC_NEW!L41</f>
        <v>0</v>
      </c>
      <c r="R86" s="1">
        <f>VC_NEW!M41</f>
        <v>0</v>
      </c>
      <c r="S86" s="1">
        <f>VC_NEW!N41</f>
        <v>0</v>
      </c>
      <c r="T86" s="1">
        <f>VC_NEW!O41</f>
        <v>0</v>
      </c>
      <c r="U86" s="1">
        <f>VC_NEW!P41</f>
        <v>0</v>
      </c>
      <c r="V86" s="1">
        <f>VC_NEW!Q41</f>
        <v>0</v>
      </c>
      <c r="W86" s="1">
        <f>VC_NEW!R41</f>
        <v>0</v>
      </c>
      <c r="X86" s="1">
        <f>VC_NEW!S41</f>
        <v>0</v>
      </c>
      <c r="Y86" s="1">
        <f>VC_NEW!T41</f>
        <v>0</v>
      </c>
      <c r="Z86" s="1">
        <f>VC_NEW!U41</f>
        <v>0</v>
      </c>
      <c r="AA86" s="1">
        <f>VC_NEW!V41</f>
        <v>0</v>
      </c>
      <c r="AB86" s="1">
        <f>VC_NEW!W41</f>
        <v>0</v>
      </c>
      <c r="AC86" s="1">
        <f>VC_NEW!X41</f>
        <v>0</v>
      </c>
      <c r="AD86" s="1">
        <f>VC_NEW!Y41</f>
        <v>0</v>
      </c>
      <c r="AE86" s="1">
        <f>VC_NEW!Z41</f>
        <v>0</v>
      </c>
      <c r="AF86" s="1">
        <f>VC_NEW!AA41</f>
        <v>0</v>
      </c>
      <c r="AG86" s="1">
        <f>VC_NEW!AB41</f>
        <v>0</v>
      </c>
      <c r="AH86" s="1">
        <f>VC_NEW!AC41</f>
        <v>0</v>
      </c>
      <c r="AI86" s="1">
        <f>VC_NEW!AD41</f>
        <v>0</v>
      </c>
      <c r="AJ86" s="1" t="str">
        <f>VC_NEW!AE41</f>
        <v>A124T</v>
      </c>
      <c r="AK86" s="1">
        <f>VC_NEW!AF41</f>
        <v>0</v>
      </c>
      <c r="AL86" s="1">
        <f>VC_NEW!AG41</f>
        <v>0</v>
      </c>
      <c r="AM86" s="1">
        <f>VC_NEW!AH41</f>
        <v>0</v>
      </c>
      <c r="AN86" s="1">
        <f>VC_NEW!AI41</f>
        <v>0</v>
      </c>
      <c r="AO86" s="1">
        <f>VC_NEW!AJ41</f>
        <v>0</v>
      </c>
      <c r="AP86" s="1">
        <f>VC_NEW!AK41</f>
        <v>0</v>
      </c>
      <c r="AQ86" s="1">
        <f>VC_NEW!AL41</f>
        <v>0</v>
      </c>
      <c r="AR86" s="1">
        <f>VC_NEW!AM41</f>
        <v>0</v>
      </c>
      <c r="AS86" s="1">
        <f>VC_NEW!AN41</f>
        <v>0</v>
      </c>
      <c r="AT86" s="1">
        <f>VC_NEW!AO41</f>
        <v>0</v>
      </c>
      <c r="AU86" s="1">
        <f>VC_NEW!AP41</f>
        <v>0</v>
      </c>
      <c r="AV86" s="1">
        <f>VC_NEW!AQ41</f>
        <v>0</v>
      </c>
      <c r="AW86" s="1">
        <f>VC_NEW!AR41</f>
        <v>0</v>
      </c>
      <c r="AX86" s="1">
        <f>VC_NEW!AS41</f>
        <v>0</v>
      </c>
      <c r="AY86" s="1">
        <f>VC_NEW!AT41</f>
        <v>0</v>
      </c>
      <c r="AZ86" s="1">
        <f>VC_NEW!AU41</f>
        <v>0</v>
      </c>
      <c r="BA86" s="1">
        <f>VC_NEW!AV41</f>
        <v>0</v>
      </c>
      <c r="BB86" s="1">
        <f>VC_NEW!AW41</f>
        <v>0</v>
      </c>
      <c r="BC86" s="1">
        <f>VC_NEW!AX41</f>
        <v>0</v>
      </c>
      <c r="BD86" s="1">
        <f>VC_NEW!AY41</f>
        <v>0</v>
      </c>
      <c r="BE86" s="1">
        <f>VC_NEW!AZ41</f>
        <v>0</v>
      </c>
      <c r="BF86" s="1">
        <f>VC_NEW!BA41</f>
        <v>0</v>
      </c>
      <c r="BG86" s="1" t="str">
        <f>VC_NEW!BB41</f>
        <v>R163Q</v>
      </c>
      <c r="BH86" s="1">
        <f>VC_NEW!BC41</f>
        <v>0</v>
      </c>
      <c r="BI86" s="1">
        <f>VC_NEW!BD41</f>
        <v>0</v>
      </c>
      <c r="BJ86" s="1">
        <f>VC_NEW!BE41</f>
        <v>0</v>
      </c>
      <c r="BK86" s="1">
        <f>VC_NEW!BF41</f>
        <v>0</v>
      </c>
      <c r="BL86" s="1">
        <f>VC_NEW!BG41</f>
        <v>0</v>
      </c>
      <c r="BM86" s="1">
        <f>VC_NEW!BH41</f>
        <v>0</v>
      </c>
      <c r="BN86" s="1">
        <f>VC_NEW!BI41</f>
        <v>0</v>
      </c>
      <c r="BO86" s="1">
        <f>VC_NEW!BJ41</f>
        <v>0</v>
      </c>
      <c r="BP86" s="1">
        <f>VC_NEW!BK41</f>
        <v>0</v>
      </c>
      <c r="BQ86" s="1">
        <f>VC_NEW!BL41</f>
        <v>0</v>
      </c>
      <c r="BR86" s="1">
        <f>VC_NEW!BM41</f>
        <v>0</v>
      </c>
      <c r="BS86" s="1">
        <f>VC_NEW!BN41</f>
        <v>0</v>
      </c>
      <c r="BT86" s="1">
        <f>VC_NEW!BO41</f>
        <v>0</v>
      </c>
      <c r="BU86" s="1">
        <f>VC_NEW!BP41</f>
        <v>0</v>
      </c>
      <c r="BV86" s="1">
        <f>VC_NEW!BQ41</f>
        <v>0</v>
      </c>
      <c r="BW86" s="1">
        <f>VC_NEW!BR41</f>
        <v>0</v>
      </c>
      <c r="BX86" s="1">
        <f>VC_NEW!BS41</f>
        <v>0</v>
      </c>
      <c r="BY86" s="1">
        <f>VC_NEW!BT41</f>
        <v>0</v>
      </c>
      <c r="BZ86" s="1">
        <f>VC_NEW!BU41</f>
        <v>0</v>
      </c>
      <c r="CA86" s="1">
        <f>VC_NEW!BV41</f>
        <v>0</v>
      </c>
      <c r="CB86" s="1">
        <f>VC_NEW!BW41</f>
        <v>0</v>
      </c>
      <c r="CC86" s="1">
        <f>VC_NEW!BX41</f>
        <v>0</v>
      </c>
      <c r="CD86" s="1">
        <f>VC_NEW!BY41</f>
        <v>0</v>
      </c>
      <c r="CE86" s="1">
        <f>VC_NEW!BZ41</f>
        <v>0</v>
      </c>
      <c r="CF86" s="1">
        <f>VC_NEW!CA41</f>
        <v>0</v>
      </c>
      <c r="CG86" s="1">
        <f>VC_NEW!CB41</f>
        <v>0</v>
      </c>
      <c r="CH86" s="1">
        <f>VC_NEW!CC41</f>
        <v>0</v>
      </c>
      <c r="CI86" s="1">
        <f>VC_NEW!CD41</f>
        <v>0</v>
      </c>
      <c r="CJ86" s="1">
        <f>VC_NEW!CE41</f>
        <v>0</v>
      </c>
      <c r="CK86" s="1">
        <f>VC_NEW!CF41</f>
        <v>0</v>
      </c>
      <c r="CL86" s="1">
        <f>VC_NEW!CG41</f>
        <v>0</v>
      </c>
      <c r="CM86" s="1">
        <f>VC_NEW!CH41</f>
        <v>0</v>
      </c>
      <c r="CN86" s="1">
        <f>VC_NEW!CI41</f>
        <v>0</v>
      </c>
      <c r="CO86" s="1">
        <f>VC_NEW!CJ41</f>
        <v>0</v>
      </c>
      <c r="CP86" s="1">
        <f>VC_NEW!CK41</f>
        <v>0</v>
      </c>
      <c r="CQ86" s="1">
        <f>VC_NEW!CL41</f>
        <v>0</v>
      </c>
      <c r="CR86" s="1">
        <f>VC_NEW!CM41</f>
        <v>0</v>
      </c>
      <c r="CS86" s="1">
        <f>VC_NEW!CN41</f>
        <v>0</v>
      </c>
      <c r="CT86" s="1">
        <f>VC_NEW!CO41</f>
        <v>0</v>
      </c>
      <c r="CU86" s="1">
        <f>VC_NEW!CP41</f>
        <v>0</v>
      </c>
      <c r="CV86" s="1" t="str">
        <f>VC_NEW!CQ41</f>
        <v>X188ext</v>
      </c>
      <c r="CW86" s="1">
        <f>VC_NEW!CR41</f>
        <v>0</v>
      </c>
      <c r="CX86" s="1">
        <f>VC_NEW!CS41</f>
        <v>0</v>
      </c>
      <c r="CY86" s="1">
        <f>VC_NEW!CT41</f>
        <v>0</v>
      </c>
      <c r="CZ86" s="1">
        <f>VC_NEW!CU41</f>
        <v>0</v>
      </c>
      <c r="DA86" s="1">
        <f>VC_NEW!CV41</f>
        <v>0</v>
      </c>
      <c r="DB86" s="1">
        <f>VC_NEW!CW41</f>
        <v>0</v>
      </c>
      <c r="DC86" s="1">
        <f>VC_NEW!CX41</f>
        <v>0</v>
      </c>
      <c r="DD86" s="1">
        <f>VC_NEW!CY41</f>
        <v>0</v>
      </c>
      <c r="DE86" s="1">
        <f>VC_NEW!CZ41</f>
        <v>0</v>
      </c>
      <c r="DF86" s="1">
        <f>VC_NEW!DA41</f>
        <v>0</v>
      </c>
      <c r="DG86" s="1">
        <f>VC_NEW!DB41</f>
        <v>0</v>
      </c>
      <c r="DH86" s="1">
        <f>VC_NEW!DC41</f>
        <v>0</v>
      </c>
      <c r="DI86" s="1">
        <f>VC_NEW!DD41</f>
        <v>0</v>
      </c>
      <c r="DJ86" s="1">
        <f>VC_NEW!DE41</f>
        <v>0</v>
      </c>
      <c r="DK86" s="1">
        <f>VC_NEW!DF41</f>
        <v>0</v>
      </c>
      <c r="DL86" s="1">
        <f>VC_NEW!DG41</f>
        <v>0</v>
      </c>
      <c r="DM86" s="1">
        <f>VC_NEW!DH41</f>
        <v>0</v>
      </c>
      <c r="DN86" s="1">
        <f>VC_NEW!DI41</f>
        <v>0</v>
      </c>
      <c r="DO86" s="1">
        <f>VC_NEW!DJ41</f>
        <v>0</v>
      </c>
      <c r="DP86" s="1">
        <f>VC_NEW!DK41</f>
        <v>0</v>
      </c>
      <c r="DQ86" s="1">
        <f>VC_NEW!DL41</f>
        <v>0</v>
      </c>
      <c r="DR86" s="1">
        <f>VC_NEW!DM41</f>
        <v>0</v>
      </c>
      <c r="DS86" s="1">
        <f>VC_NEW!DN41</f>
        <v>0</v>
      </c>
      <c r="DT86" s="1">
        <f>VC_NEW!DO41</f>
        <v>0</v>
      </c>
      <c r="DU86" s="1">
        <f>VC_NEW!DP41</f>
        <v>0</v>
      </c>
      <c r="DV86" s="1">
        <f>VC_NEW!DQ41</f>
        <v>0</v>
      </c>
      <c r="DW86" s="1">
        <f>VC_NEW!DR41</f>
        <v>0</v>
      </c>
      <c r="DX86" s="1">
        <f>VC_NEW!DS41</f>
        <v>0</v>
      </c>
      <c r="DY86" s="1" t="str">
        <f>VC_NEW!DT41</f>
        <v>aa18InsVA</v>
      </c>
      <c r="DZ86" s="1">
        <f>VC_NEW!DU41</f>
        <v>0</v>
      </c>
      <c r="EA86" s="1">
        <f>VC_NEW!DV41</f>
        <v>0</v>
      </c>
      <c r="EB86" s="1">
        <f>VC_NEW!DW41</f>
        <v>0</v>
      </c>
      <c r="EC86" s="1" t="str">
        <f>VC_NEW!DX41</f>
        <v>G129R</v>
      </c>
      <c r="ED86" s="1">
        <f>VC_NEW!DY41</f>
        <v>0</v>
      </c>
      <c r="EE86" s="1">
        <f>VC_NEW!DZ41</f>
        <v>0</v>
      </c>
      <c r="EF86" s="1">
        <f>VC_NEW!EA41</f>
        <v>0</v>
      </c>
      <c r="EG86" s="1" t="str">
        <f>VC_NEW!EB41</f>
        <v>Q64X</v>
      </c>
      <c r="EH86" s="1">
        <f>VC_NEW!EC41</f>
        <v>0</v>
      </c>
      <c r="EI86" s="1" t="str">
        <f>VC_NEW!ED41</f>
        <v>I149L</v>
      </c>
      <c r="EJ86" s="1">
        <f>VC_NEW!EE41</f>
        <v>0</v>
      </c>
      <c r="EK86" s="1" t="str">
        <f>VC_NEW!EF41</f>
        <v>R47Q</v>
      </c>
      <c r="EL86" s="1">
        <f>VC_NEW!EG41</f>
        <v>0</v>
      </c>
      <c r="EM86" s="1">
        <f>VC_NEW!EH41</f>
        <v>0</v>
      </c>
      <c r="EN86" s="1">
        <f>VC_NEW!EI41</f>
        <v>0</v>
      </c>
      <c r="EO86" s="1">
        <f>VC_NEW!EJ41</f>
        <v>0</v>
      </c>
      <c r="EP86" s="1">
        <f>VC_NEW!EK41</f>
        <v>0</v>
      </c>
      <c r="EQ86" s="1">
        <f>VC_NEW!EL41</f>
        <v>0</v>
      </c>
      <c r="ER86" s="1">
        <f>VC_NEW!EM41</f>
        <v>0</v>
      </c>
      <c r="ES86" s="1">
        <f>VC_NEW!EN41</f>
        <v>0</v>
      </c>
      <c r="ET86" s="1">
        <f>VC_NEW!EO41</f>
        <v>0</v>
      </c>
      <c r="EU86" s="1">
        <f>VC_NEW!EP41</f>
        <v>0</v>
      </c>
      <c r="EV86" s="1">
        <f>VC_NEW!EQ41</f>
        <v>0</v>
      </c>
      <c r="EW86" s="1" t="str">
        <f>VC_NEW!ER41</f>
        <v>E75G</v>
      </c>
      <c r="EX86" s="1">
        <f>VC_NEW!ES41</f>
        <v>0</v>
      </c>
      <c r="EY86" s="1">
        <f>VC_NEW!ET41</f>
        <v>0</v>
      </c>
      <c r="EZ86" s="1">
        <f>VC_NEW!EU41</f>
        <v>0</v>
      </c>
      <c r="FA86" s="1">
        <f>VC_NEW!EV41</f>
        <v>0</v>
      </c>
      <c r="FB86" s="1">
        <f>VC_NEW!EW41</f>
        <v>0</v>
      </c>
      <c r="FC86" s="1">
        <f>VC_NEW!EX41</f>
        <v>0</v>
      </c>
      <c r="FD86" s="1">
        <f>VC_NEW!EY41</f>
        <v>0</v>
      </c>
      <c r="FE86" s="1">
        <f>VC_NEW!EZ41</f>
        <v>0</v>
      </c>
      <c r="FF86" s="1">
        <f>VC_NEW!FA41</f>
        <v>0</v>
      </c>
      <c r="FG86" s="1">
        <f>VC_NEW!FB41</f>
        <v>0</v>
      </c>
      <c r="FH86" s="1">
        <f>VC_NEW!FC41</f>
        <v>0</v>
      </c>
      <c r="FI86" s="1">
        <f>VC_NEW!FD41</f>
        <v>0</v>
      </c>
      <c r="FJ86" s="1">
        <f>VC_NEW!FE41</f>
        <v>0</v>
      </c>
      <c r="FK86" s="1">
        <f>VC_NEW!FF41</f>
        <v>0</v>
      </c>
      <c r="FL86" s="1">
        <f>VC_NEW!FG41</f>
        <v>0</v>
      </c>
      <c r="FM86" s="1">
        <f>VC_NEW!FH41</f>
        <v>0</v>
      </c>
      <c r="FN86" s="1">
        <f>VC_NEW!FI41</f>
        <v>0</v>
      </c>
      <c r="FO86" s="1">
        <f>VC_NEW!FJ41</f>
        <v>0</v>
      </c>
      <c r="FP86" s="1">
        <f>VC_NEW!FK41</f>
        <v>0</v>
      </c>
      <c r="FQ86" s="1">
        <f>VC_NEW!FL41</f>
        <v>0</v>
      </c>
      <c r="FR86" s="1" t="str">
        <f>VC_NEW!FM41</f>
        <v>A124T</v>
      </c>
      <c r="FS86" s="1">
        <f>VC_NEW!FN41</f>
        <v>0</v>
      </c>
      <c r="FT86" s="1" t="str">
        <f>VC_NEW!FO41</f>
        <v>G133S</v>
      </c>
      <c r="FU86" s="1">
        <f>VC_NEW!FP41</f>
        <v>0</v>
      </c>
      <c r="FV86" s="1">
        <f>VC_NEW!FQ41</f>
        <v>0</v>
      </c>
      <c r="FW86" s="1">
        <f>VC_NEW!FR41</f>
        <v>0</v>
      </c>
      <c r="FX86" s="1">
        <f>VC_NEW!FS41</f>
        <v>0</v>
      </c>
      <c r="FY86" s="1">
        <f>VC_NEW!FT41</f>
        <v>0</v>
      </c>
      <c r="FZ86" s="1">
        <f>VC_NEW!FU41</f>
        <v>0</v>
      </c>
      <c r="GA86" s="1">
        <f>VC_NEW!FV41</f>
        <v>0</v>
      </c>
      <c r="GB86" s="1">
        <f>VC_NEW!FW41</f>
        <v>0</v>
      </c>
      <c r="GC86" s="1">
        <f>VC_NEW!FX41</f>
        <v>0</v>
      </c>
      <c r="GD86" s="1">
        <f>VC_NEW!FY41</f>
        <v>0</v>
      </c>
      <c r="GE86" s="1">
        <f>VC_NEW!FZ41</f>
        <v>0</v>
      </c>
      <c r="GF86" s="1">
        <f>VC_NEW!GA41</f>
        <v>0</v>
      </c>
      <c r="GG86" s="1">
        <f>VC_NEW!GB41</f>
        <v>0</v>
      </c>
      <c r="GH86" s="1">
        <f>VC_NEW!GC41</f>
        <v>0</v>
      </c>
      <c r="GI86" s="1">
        <f>VC_NEW!GD41</f>
        <v>0</v>
      </c>
      <c r="GJ86" s="1">
        <f>VC_NEW!GE41</f>
        <v>0</v>
      </c>
      <c r="GK86" s="1">
        <f>VC_NEW!GF41</f>
        <v>0</v>
      </c>
      <c r="GL86" s="1">
        <f>VC_NEW!GG41</f>
        <v>0</v>
      </c>
      <c r="GM86" s="1">
        <f>VC_NEW!GH41</f>
        <v>0</v>
      </c>
      <c r="GN86" s="1">
        <f>VC_NEW!GI41</f>
        <v>0</v>
      </c>
      <c r="GO86" s="1">
        <f>VC_NEW!GJ41</f>
        <v>0</v>
      </c>
      <c r="GP86" s="1">
        <f>VC_NEW!GK41</f>
        <v>0</v>
      </c>
      <c r="GQ86" s="1">
        <f>VC_NEW!GL41</f>
        <v>0</v>
      </c>
      <c r="GR86" s="1">
        <f>VC_NEW!GM41</f>
        <v>0</v>
      </c>
      <c r="GS86" s="1">
        <f>VC_NEW!GN41</f>
        <v>0</v>
      </c>
      <c r="GT86" s="1">
        <f>VC_NEW!GO41</f>
        <v>0</v>
      </c>
      <c r="GU86" s="1">
        <f>VC_NEW!GP41</f>
        <v>0</v>
      </c>
      <c r="GV86" s="1">
        <f>VC_NEW!GQ41</f>
        <v>0</v>
      </c>
      <c r="GW86" s="1">
        <f>VC_NEW!GR41</f>
        <v>0</v>
      </c>
      <c r="GX86" s="1">
        <f>VC_NEW!GS41</f>
        <v>0</v>
      </c>
      <c r="GY86" s="1">
        <f>VC_NEW!GT41</f>
        <v>0</v>
      </c>
      <c r="GZ86" s="1">
        <f>VC_NEW!GU41</f>
        <v>0</v>
      </c>
      <c r="HA86" s="1">
        <f>VC_NEW!GV41</f>
        <v>0</v>
      </c>
      <c r="HB86" s="1">
        <f>VC_NEW!GW41</f>
        <v>0</v>
      </c>
      <c r="HC86" s="1">
        <f>VC_NEW!GX41</f>
        <v>0</v>
      </c>
    </row>
    <row r="87" spans="1:443" s="2" customFormat="1" ht="15" hidden="1" customHeight="1" x14ac:dyDescent="0.25">
      <c r="A87" s="2" t="s">
        <v>133</v>
      </c>
      <c r="B87" s="2" t="s">
        <v>119</v>
      </c>
      <c r="C87" s="4" t="s">
        <v>0</v>
      </c>
      <c r="D87" s="2" t="s">
        <v>76</v>
      </c>
      <c r="E87" s="2" t="s">
        <v>138</v>
      </c>
      <c r="F87" s="2" t="s">
        <v>73</v>
      </c>
      <c r="G87" s="20" t="s">
        <v>157</v>
      </c>
      <c r="H87" s="1">
        <f>VC_NEW!C43</f>
        <v>0</v>
      </c>
      <c r="I87" s="1">
        <f>VC_NEW!D43</f>
        <v>0</v>
      </c>
      <c r="J87" s="1">
        <f>VC_NEW!E43</f>
        <v>0</v>
      </c>
      <c r="K87" s="1">
        <f>VC_NEW!F43</f>
        <v>0</v>
      </c>
      <c r="L87" s="1">
        <f>VC_NEW!G43</f>
        <v>0</v>
      </c>
      <c r="M87" s="1" t="str">
        <f>VC_NEW!H43</f>
        <v>D61N</v>
      </c>
      <c r="N87" s="1">
        <f>VC_NEW!I43</f>
        <v>0</v>
      </c>
      <c r="O87" s="1">
        <f>VC_NEW!J43</f>
        <v>0</v>
      </c>
      <c r="P87" s="1">
        <f>VC_NEW!K43</f>
        <v>0</v>
      </c>
      <c r="Q87" s="1">
        <f>VC_NEW!L43</f>
        <v>0</v>
      </c>
      <c r="R87" s="1">
        <f>VC_NEW!M43</f>
        <v>0</v>
      </c>
      <c r="S87" s="1">
        <f>VC_NEW!N43</f>
        <v>0</v>
      </c>
      <c r="T87" s="1">
        <f>VC_NEW!O43</f>
        <v>0</v>
      </c>
      <c r="U87" s="1">
        <f>VC_NEW!P43</f>
        <v>0</v>
      </c>
      <c r="V87" s="1">
        <f>VC_NEW!Q43</f>
        <v>0</v>
      </c>
      <c r="W87" s="1">
        <f>VC_NEW!R43</f>
        <v>0</v>
      </c>
      <c r="X87" s="1">
        <f>VC_NEW!S43</f>
        <v>0</v>
      </c>
      <c r="Y87" s="1">
        <f>VC_NEW!T43</f>
        <v>0</v>
      </c>
      <c r="Z87" s="1">
        <f>VC_NEW!U43</f>
        <v>0</v>
      </c>
      <c r="AA87" s="1">
        <f>VC_NEW!V43</f>
        <v>0</v>
      </c>
      <c r="AB87" s="1">
        <f>VC_NEW!W43</f>
        <v>0</v>
      </c>
      <c r="AC87" s="1">
        <f>VC_NEW!X43</f>
        <v>0</v>
      </c>
      <c r="AD87" s="1">
        <f>VC_NEW!Y43</f>
        <v>0</v>
      </c>
      <c r="AE87" s="1">
        <f>VC_NEW!Z43</f>
        <v>0</v>
      </c>
      <c r="AF87" s="1">
        <f>VC_NEW!AA43</f>
        <v>0</v>
      </c>
      <c r="AG87" s="1">
        <f>VC_NEW!AB43</f>
        <v>0</v>
      </c>
      <c r="AH87" s="1">
        <f>VC_NEW!AC43</f>
        <v>0</v>
      </c>
      <c r="AI87" s="1">
        <f>VC_NEW!AD43</f>
        <v>0</v>
      </c>
      <c r="AJ87" s="1">
        <f>VC_NEW!AE43</f>
        <v>0</v>
      </c>
      <c r="AK87" s="1">
        <f>VC_NEW!AF43</f>
        <v>0</v>
      </c>
      <c r="AL87" s="1">
        <f>VC_NEW!AG43</f>
        <v>0</v>
      </c>
      <c r="AM87" s="1">
        <f>VC_NEW!AH43</f>
        <v>0</v>
      </c>
      <c r="AN87" s="1">
        <f>VC_NEW!AI43</f>
        <v>0</v>
      </c>
      <c r="AO87" s="1">
        <f>VC_NEW!AJ43</f>
        <v>0</v>
      </c>
      <c r="AP87" s="1">
        <f>VC_NEW!AK43</f>
        <v>0</v>
      </c>
      <c r="AQ87" s="1">
        <f>VC_NEW!AL43</f>
        <v>0</v>
      </c>
      <c r="AR87" s="1">
        <f>VC_NEW!AM43</f>
        <v>0</v>
      </c>
      <c r="AS87" s="1">
        <f>VC_NEW!AN43</f>
        <v>0</v>
      </c>
      <c r="AT87" s="1">
        <f>VC_NEW!AO43</f>
        <v>0</v>
      </c>
      <c r="AU87" s="1">
        <f>VC_NEW!AP43</f>
        <v>0</v>
      </c>
      <c r="AV87" s="1">
        <f>VC_NEW!AQ43</f>
        <v>0</v>
      </c>
      <c r="AW87" s="1">
        <f>VC_NEW!AR43</f>
        <v>0</v>
      </c>
      <c r="AX87" s="1">
        <f>VC_NEW!AS43</f>
        <v>0</v>
      </c>
      <c r="AY87" s="1">
        <f>VC_NEW!AT43</f>
        <v>0</v>
      </c>
      <c r="AZ87" s="1">
        <f>VC_NEW!AU43</f>
        <v>0</v>
      </c>
      <c r="BA87" s="1">
        <f>VC_NEW!AV43</f>
        <v>0</v>
      </c>
      <c r="BB87" s="1">
        <f>VC_NEW!AW43</f>
        <v>0</v>
      </c>
      <c r="BC87" s="1">
        <f>VC_NEW!AX43</f>
        <v>0</v>
      </c>
      <c r="BD87" s="1">
        <f>VC_NEW!AY43</f>
        <v>0</v>
      </c>
      <c r="BE87" s="1">
        <f>VC_NEW!AZ43</f>
        <v>0</v>
      </c>
      <c r="BF87" s="1">
        <f>VC_NEW!BA43</f>
        <v>0</v>
      </c>
      <c r="BG87" s="1">
        <f>VC_NEW!BB43</f>
        <v>0</v>
      </c>
      <c r="BH87" s="1">
        <f>VC_NEW!BC43</f>
        <v>0</v>
      </c>
      <c r="BI87" s="1">
        <f>VC_NEW!BD43</f>
        <v>0</v>
      </c>
      <c r="BJ87" s="1">
        <f>VC_NEW!BE43</f>
        <v>0</v>
      </c>
      <c r="BK87" s="1">
        <f>VC_NEW!BF43</f>
        <v>0</v>
      </c>
      <c r="BL87" s="1">
        <f>VC_NEW!BG43</f>
        <v>0</v>
      </c>
      <c r="BM87" s="1">
        <f>VC_NEW!BH43</f>
        <v>0</v>
      </c>
      <c r="BN87" s="1">
        <f>VC_NEW!BI43</f>
        <v>0</v>
      </c>
      <c r="BO87" s="1">
        <f>VC_NEW!BJ43</f>
        <v>0</v>
      </c>
      <c r="BP87" s="1">
        <f>VC_NEW!BK43</f>
        <v>0</v>
      </c>
      <c r="BQ87" s="1">
        <f>VC_NEW!BL43</f>
        <v>0</v>
      </c>
      <c r="BR87" s="1">
        <f>VC_NEW!BM43</f>
        <v>0</v>
      </c>
      <c r="BS87" s="1">
        <f>VC_NEW!BN43</f>
        <v>0</v>
      </c>
      <c r="BT87" s="1">
        <f>VC_NEW!BO43</f>
        <v>0</v>
      </c>
      <c r="BU87" s="1">
        <f>VC_NEW!BP43</f>
        <v>0</v>
      </c>
      <c r="BV87" s="1">
        <f>VC_NEW!BQ43</f>
        <v>0</v>
      </c>
      <c r="BW87" s="1">
        <f>VC_NEW!BR43</f>
        <v>0</v>
      </c>
      <c r="BX87" s="1">
        <f>VC_NEW!BS43</f>
        <v>0</v>
      </c>
      <c r="BY87" s="1">
        <f>VC_NEW!BT43</f>
        <v>0</v>
      </c>
      <c r="BZ87" s="1">
        <f>VC_NEW!BU43</f>
        <v>0</v>
      </c>
      <c r="CA87" s="1">
        <f>VC_NEW!BV43</f>
        <v>0</v>
      </c>
      <c r="CB87" s="1">
        <f>VC_NEW!BW43</f>
        <v>0</v>
      </c>
      <c r="CC87" s="1" t="str">
        <f>VC_NEW!BX43</f>
        <v>R122H</v>
      </c>
      <c r="CD87" s="1">
        <f>VC_NEW!BY43</f>
        <v>0</v>
      </c>
      <c r="CE87" s="1">
        <f>VC_NEW!BZ43</f>
        <v>0</v>
      </c>
      <c r="CF87" s="1">
        <f>VC_NEW!CA43</f>
        <v>0</v>
      </c>
      <c r="CG87" s="1">
        <f>VC_NEW!CB43</f>
        <v>0</v>
      </c>
      <c r="CH87" s="1">
        <f>VC_NEW!CC43</f>
        <v>0</v>
      </c>
      <c r="CI87" s="1">
        <f>VC_NEW!CD43</f>
        <v>0</v>
      </c>
      <c r="CJ87" s="1">
        <f>VC_NEW!CE43</f>
        <v>0</v>
      </c>
      <c r="CK87" s="1">
        <f>VC_NEW!CF43</f>
        <v>0</v>
      </c>
      <c r="CL87" s="1">
        <f>VC_NEW!CG43</f>
        <v>0</v>
      </c>
      <c r="CM87" s="1">
        <f>VC_NEW!CH43</f>
        <v>0</v>
      </c>
      <c r="CN87" s="1">
        <f>VC_NEW!CI43</f>
        <v>0</v>
      </c>
      <c r="CO87" s="1">
        <f>VC_NEW!CJ43</f>
        <v>0</v>
      </c>
      <c r="CP87" s="1">
        <f>VC_NEW!CK43</f>
        <v>0</v>
      </c>
      <c r="CQ87" s="1">
        <f>VC_NEW!CL43</f>
        <v>0</v>
      </c>
      <c r="CR87" s="1">
        <f>VC_NEW!CM43</f>
        <v>0</v>
      </c>
      <c r="CS87" s="1">
        <f>VC_NEW!CN43</f>
        <v>0</v>
      </c>
      <c r="CT87" s="1">
        <f>VC_NEW!CO43</f>
        <v>0</v>
      </c>
      <c r="CU87" s="1">
        <f>VC_NEW!CP43</f>
        <v>0</v>
      </c>
      <c r="CV87" s="1">
        <f>VC_NEW!CQ43</f>
        <v>0</v>
      </c>
      <c r="CW87" s="1">
        <f>VC_NEW!CR43</f>
        <v>0</v>
      </c>
      <c r="CX87" s="1">
        <f>VC_NEW!CS43</f>
        <v>0</v>
      </c>
      <c r="CY87" s="1">
        <f>VC_NEW!CT43</f>
        <v>0</v>
      </c>
      <c r="CZ87" s="1">
        <f>VC_NEW!CU43</f>
        <v>0</v>
      </c>
      <c r="DA87" s="1">
        <f>VC_NEW!CV43</f>
        <v>0</v>
      </c>
      <c r="DB87" s="1">
        <f>VC_NEW!CW43</f>
        <v>0</v>
      </c>
      <c r="DC87" s="1">
        <f>VC_NEW!CX43</f>
        <v>0</v>
      </c>
      <c r="DD87" s="1">
        <f>VC_NEW!CY43</f>
        <v>0</v>
      </c>
      <c r="DE87" s="1">
        <f>VC_NEW!CZ43</f>
        <v>0</v>
      </c>
      <c r="DF87" s="1">
        <f>VC_NEW!DA43</f>
        <v>0</v>
      </c>
      <c r="DG87" s="1">
        <f>VC_NEW!DB43</f>
        <v>0</v>
      </c>
      <c r="DH87" s="1">
        <f>VC_NEW!DC43</f>
        <v>0</v>
      </c>
      <c r="DI87" s="1">
        <f>VC_NEW!DD43</f>
        <v>0</v>
      </c>
      <c r="DJ87" s="1">
        <f>VC_NEW!DE43</f>
        <v>0</v>
      </c>
      <c r="DK87" s="1">
        <f>VC_NEW!DF43</f>
        <v>0</v>
      </c>
      <c r="DL87" s="1">
        <f>VC_NEW!DG43</f>
        <v>0</v>
      </c>
      <c r="DM87" s="1">
        <f>VC_NEW!DH43</f>
        <v>0</v>
      </c>
      <c r="DN87" s="1">
        <f>VC_NEW!DI43</f>
        <v>0</v>
      </c>
      <c r="DO87" s="1">
        <f>VC_NEW!DJ43</f>
        <v>0</v>
      </c>
      <c r="DP87" s="1">
        <f>VC_NEW!DK43</f>
        <v>0</v>
      </c>
      <c r="DQ87" s="1">
        <f>VC_NEW!DL43</f>
        <v>0</v>
      </c>
      <c r="DR87" s="1">
        <f>VC_NEW!DM43</f>
        <v>0</v>
      </c>
      <c r="DS87" s="1">
        <f>VC_NEW!DN43</f>
        <v>0</v>
      </c>
      <c r="DT87" s="1">
        <f>VC_NEW!DO43</f>
        <v>0</v>
      </c>
      <c r="DU87" s="1">
        <f>VC_NEW!DP43</f>
        <v>0</v>
      </c>
      <c r="DV87" s="1">
        <f>VC_NEW!DQ43</f>
        <v>0</v>
      </c>
      <c r="DW87" s="1">
        <f>VC_NEW!DR43</f>
        <v>0</v>
      </c>
      <c r="DX87" s="1">
        <f>VC_NEW!DS43</f>
        <v>0</v>
      </c>
      <c r="DY87" s="1">
        <f>VC_NEW!DT43</f>
        <v>0</v>
      </c>
      <c r="DZ87" s="1">
        <f>VC_NEW!DU43</f>
        <v>0</v>
      </c>
      <c r="EA87" s="1">
        <f>VC_NEW!DV43</f>
        <v>0</v>
      </c>
      <c r="EB87" s="1">
        <f>VC_NEW!DW43</f>
        <v>0</v>
      </c>
      <c r="EC87" s="1">
        <f>VC_NEW!DX43</f>
        <v>0</v>
      </c>
      <c r="ED87" s="1">
        <f>VC_NEW!DY43</f>
        <v>0</v>
      </c>
      <c r="EE87" s="1">
        <f>VC_NEW!DZ43</f>
        <v>0</v>
      </c>
      <c r="EF87" s="1">
        <f>VC_NEW!EA43</f>
        <v>0</v>
      </c>
      <c r="EG87" s="1">
        <f>VC_NEW!EB43</f>
        <v>0</v>
      </c>
      <c r="EH87" s="1">
        <f>VC_NEW!EC43</f>
        <v>0</v>
      </c>
      <c r="EI87" s="1">
        <f>VC_NEW!ED43</f>
        <v>0</v>
      </c>
      <c r="EJ87" s="1">
        <f>VC_NEW!EE43</f>
        <v>0</v>
      </c>
      <c r="EK87" s="1">
        <f>VC_NEW!EF43</f>
        <v>0</v>
      </c>
      <c r="EL87" s="1">
        <f>VC_NEW!EG43</f>
        <v>0</v>
      </c>
      <c r="EM87" s="1">
        <f>VC_NEW!EH43</f>
        <v>0</v>
      </c>
      <c r="EN87" s="1">
        <f>VC_NEW!EI43</f>
        <v>0</v>
      </c>
      <c r="EO87" s="1">
        <f>VC_NEW!EJ43</f>
        <v>0</v>
      </c>
      <c r="EP87" s="1">
        <f>VC_NEW!EK43</f>
        <v>0</v>
      </c>
      <c r="EQ87" s="1">
        <f>VC_NEW!EL43</f>
        <v>0</v>
      </c>
      <c r="ER87" s="1">
        <f>VC_NEW!EM43</f>
        <v>0</v>
      </c>
      <c r="ES87" s="1">
        <f>VC_NEW!EN43</f>
        <v>0</v>
      </c>
      <c r="ET87" s="1">
        <f>VC_NEW!EO43</f>
        <v>0</v>
      </c>
      <c r="EU87" s="1">
        <f>VC_NEW!EP43</f>
        <v>0</v>
      </c>
      <c r="EV87" s="1" t="str">
        <f>VC_NEW!EQ43</f>
        <v>E163D</v>
      </c>
      <c r="EW87" s="1">
        <f>VC_NEW!ER43</f>
        <v>0</v>
      </c>
      <c r="EX87" s="1">
        <f>VC_NEW!ES43</f>
        <v>0</v>
      </c>
      <c r="EY87" s="1">
        <f>VC_NEW!ET43</f>
        <v>0</v>
      </c>
      <c r="EZ87" s="1">
        <f>VC_NEW!EU43</f>
        <v>0</v>
      </c>
      <c r="FA87" s="1">
        <f>VC_NEW!EV43</f>
        <v>0</v>
      </c>
      <c r="FB87" s="1">
        <f>VC_NEW!EW43</f>
        <v>0</v>
      </c>
      <c r="FC87" s="1">
        <f>VC_NEW!EX43</f>
        <v>0</v>
      </c>
      <c r="FD87" s="1">
        <f>VC_NEW!EY43</f>
        <v>0</v>
      </c>
      <c r="FE87" s="1">
        <f>VC_NEW!EZ43</f>
        <v>0</v>
      </c>
      <c r="FF87" s="1">
        <f>VC_NEW!FA43</f>
        <v>0</v>
      </c>
      <c r="FG87" s="1">
        <f>VC_NEW!FB43</f>
        <v>0</v>
      </c>
      <c r="FH87" s="1">
        <f>VC_NEW!FC43</f>
        <v>0</v>
      </c>
      <c r="FI87" s="1">
        <f>VC_NEW!FD43</f>
        <v>0</v>
      </c>
      <c r="FJ87" s="1">
        <f>VC_NEW!FE43</f>
        <v>0</v>
      </c>
      <c r="FK87" s="1">
        <f>VC_NEW!FF43</f>
        <v>0</v>
      </c>
      <c r="FL87" s="1">
        <f>VC_NEW!FG43</f>
        <v>0</v>
      </c>
      <c r="FM87" s="1">
        <f>VC_NEW!FH43</f>
        <v>0</v>
      </c>
      <c r="FN87" s="1">
        <f>VC_NEW!FI43</f>
        <v>0</v>
      </c>
      <c r="FO87" s="1">
        <f>VC_NEW!FJ43</f>
        <v>0</v>
      </c>
      <c r="FP87" s="1">
        <f>VC_NEW!FK43</f>
        <v>0</v>
      </c>
      <c r="FQ87" s="1">
        <f>VC_NEW!FL43</f>
        <v>0</v>
      </c>
      <c r="FR87" s="1">
        <f>VC_NEW!FM43</f>
        <v>0</v>
      </c>
      <c r="FS87" s="1">
        <f>VC_NEW!FN43</f>
        <v>0</v>
      </c>
      <c r="FT87" s="1">
        <f>VC_NEW!FO43</f>
        <v>0</v>
      </c>
      <c r="FU87" s="1">
        <f>VC_NEW!FP43</f>
        <v>0</v>
      </c>
      <c r="FV87" s="1">
        <f>VC_NEW!FQ43</f>
        <v>0</v>
      </c>
      <c r="FW87" s="1">
        <f>VC_NEW!FR43</f>
        <v>0</v>
      </c>
      <c r="FX87" s="1">
        <f>VC_NEW!FS43</f>
        <v>0</v>
      </c>
      <c r="FY87" s="1">
        <f>VC_NEW!FT43</f>
        <v>0</v>
      </c>
      <c r="FZ87" s="1">
        <f>VC_NEW!FU43</f>
        <v>0</v>
      </c>
      <c r="GA87" s="1">
        <f>VC_NEW!FV43</f>
        <v>0</v>
      </c>
      <c r="GB87" s="1">
        <f>VC_NEW!FW43</f>
        <v>0</v>
      </c>
      <c r="GC87" s="1">
        <f>VC_NEW!FX43</f>
        <v>0</v>
      </c>
      <c r="GD87" s="1">
        <f>VC_NEW!FY43</f>
        <v>0</v>
      </c>
      <c r="GE87" s="1" t="str">
        <f>VC_NEW!FZ43</f>
        <v>R81Q</v>
      </c>
      <c r="GF87" s="1">
        <f>VC_NEW!GA43</f>
        <v>0</v>
      </c>
      <c r="GG87" s="1">
        <f>VC_NEW!GB43</f>
        <v>0</v>
      </c>
      <c r="GH87" s="1">
        <f>VC_NEW!GC43</f>
        <v>0</v>
      </c>
      <c r="GI87" s="1">
        <f>VC_NEW!GD43</f>
        <v>0</v>
      </c>
      <c r="GJ87" s="1">
        <f>VC_NEW!GE43</f>
        <v>0</v>
      </c>
      <c r="GK87" s="1">
        <f>VC_NEW!GF43</f>
        <v>0</v>
      </c>
      <c r="GL87" s="1">
        <f>VC_NEW!GG43</f>
        <v>0</v>
      </c>
      <c r="GM87" s="1">
        <f>VC_NEW!GH43</f>
        <v>0</v>
      </c>
      <c r="GN87" s="1">
        <f>VC_NEW!GI43</f>
        <v>0</v>
      </c>
      <c r="GO87" s="1">
        <f>VC_NEW!GJ43</f>
        <v>0</v>
      </c>
      <c r="GP87" s="1">
        <f>VC_NEW!GK43</f>
        <v>0</v>
      </c>
      <c r="GQ87" s="1">
        <f>VC_NEW!GL43</f>
        <v>0</v>
      </c>
      <c r="GR87" s="1">
        <f>VC_NEW!GM43</f>
        <v>0</v>
      </c>
      <c r="GS87" s="1">
        <f>VC_NEW!GN43</f>
        <v>0</v>
      </c>
      <c r="GT87" s="1">
        <f>VC_NEW!GO43</f>
        <v>0</v>
      </c>
      <c r="GU87" s="1">
        <f>VC_NEW!GP43</f>
        <v>0</v>
      </c>
      <c r="GV87" s="1">
        <f>VC_NEW!GQ43</f>
        <v>0</v>
      </c>
      <c r="GW87" s="1">
        <f>VC_NEW!GR43</f>
        <v>0</v>
      </c>
      <c r="GX87" s="1" t="str">
        <f>VC_NEW!GS43</f>
        <v>D61N</v>
      </c>
      <c r="GY87" s="1">
        <f>VC_NEW!GT43</f>
        <v>0</v>
      </c>
      <c r="GZ87" s="1">
        <f>VC_NEW!GU43</f>
        <v>0</v>
      </c>
      <c r="HA87" s="1">
        <f>VC_NEW!GV43</f>
        <v>0</v>
      </c>
      <c r="HB87" s="1">
        <f>VC_NEW!GW43</f>
        <v>0</v>
      </c>
      <c r="HC87" s="1">
        <f>VC_NEW!GX43</f>
        <v>0</v>
      </c>
    </row>
    <row r="88" spans="1:443" s="7" customFormat="1" ht="15" hidden="1" customHeight="1" x14ac:dyDescent="0.25">
      <c r="A88" s="7" t="s">
        <v>118</v>
      </c>
      <c r="B88" s="7" t="s">
        <v>121</v>
      </c>
      <c r="C88" s="8" t="s">
        <v>0</v>
      </c>
      <c r="D88" s="7" t="s">
        <v>76</v>
      </c>
      <c r="E88" s="7" t="s">
        <v>138</v>
      </c>
      <c r="F88" s="7" t="s">
        <v>73</v>
      </c>
      <c r="G88" s="7" t="s">
        <v>156</v>
      </c>
      <c r="H88" s="7">
        <f>VC_NEW!C44</f>
        <v>0</v>
      </c>
      <c r="I88" s="7">
        <f>VC_NEW!D44</f>
        <v>0</v>
      </c>
      <c r="J88" s="7">
        <f>VC_NEW!E44</f>
        <v>0</v>
      </c>
      <c r="K88" s="7">
        <f>VC_NEW!F44</f>
        <v>0</v>
      </c>
      <c r="L88" s="7">
        <f>VC_NEW!G44</f>
        <v>0</v>
      </c>
      <c r="M88" s="7">
        <f>VC_NEW!H44</f>
        <v>0</v>
      </c>
      <c r="N88" s="7">
        <f>VC_NEW!I44</f>
        <v>0</v>
      </c>
      <c r="O88" s="7">
        <f>VC_NEW!J44</f>
        <v>0</v>
      </c>
      <c r="P88" s="7">
        <f>VC_NEW!K44</f>
        <v>0</v>
      </c>
      <c r="Q88" s="7">
        <f>VC_NEW!L44</f>
        <v>0</v>
      </c>
      <c r="R88" s="7" t="str">
        <f>VC_NEW!M44</f>
        <v>T343A</v>
      </c>
      <c r="S88" s="7">
        <f>VC_NEW!N44</f>
        <v>0</v>
      </c>
      <c r="T88" s="7">
        <f>VC_NEW!O44</f>
        <v>0</v>
      </c>
      <c r="U88" s="7">
        <f>VC_NEW!P44</f>
        <v>0</v>
      </c>
      <c r="V88" s="7">
        <f>VC_NEW!Q44</f>
        <v>0</v>
      </c>
      <c r="W88" s="7">
        <f>VC_NEW!R44</f>
        <v>0</v>
      </c>
      <c r="X88" s="7">
        <f>VC_NEW!S44</f>
        <v>0</v>
      </c>
      <c r="Y88" s="7">
        <f>VC_NEW!T44</f>
        <v>0</v>
      </c>
      <c r="Z88" s="7">
        <f>VC_NEW!U44</f>
        <v>0</v>
      </c>
      <c r="AA88" s="7">
        <f>VC_NEW!V44</f>
        <v>0</v>
      </c>
      <c r="AB88" s="7">
        <f>VC_NEW!W44</f>
        <v>0</v>
      </c>
      <c r="AC88" s="7" t="str">
        <f>VC_NEW!X44</f>
        <v>V431I</v>
      </c>
      <c r="AD88" s="7">
        <f>VC_NEW!Y44</f>
        <v>0</v>
      </c>
      <c r="AE88" s="7">
        <f>VC_NEW!Z44</f>
        <v>0</v>
      </c>
      <c r="AF88" s="7">
        <f>VC_NEW!AA44</f>
        <v>0</v>
      </c>
      <c r="AG88" s="7">
        <f>VC_NEW!AB44</f>
        <v>0</v>
      </c>
      <c r="AH88" s="7">
        <f>VC_NEW!AC44</f>
        <v>0</v>
      </c>
      <c r="AI88" s="7">
        <f>VC_NEW!AD44</f>
        <v>0</v>
      </c>
      <c r="AJ88" s="7">
        <f>VC_NEW!AE44</f>
        <v>0</v>
      </c>
      <c r="AK88" s="7">
        <f>VC_NEW!AF44</f>
        <v>0</v>
      </c>
      <c r="AL88" s="7">
        <f>VC_NEW!AG44</f>
        <v>0</v>
      </c>
      <c r="AM88" s="7">
        <f>VC_NEW!AH44</f>
        <v>0</v>
      </c>
      <c r="AN88" s="7">
        <f>VC_NEW!AI44</f>
        <v>0</v>
      </c>
      <c r="AO88" s="7">
        <f>VC_NEW!AJ44</f>
        <v>0</v>
      </c>
      <c r="AP88" s="7">
        <f>VC_NEW!AK44</f>
        <v>0</v>
      </c>
      <c r="AQ88" s="7">
        <f>VC_NEW!AL44</f>
        <v>0</v>
      </c>
      <c r="AR88" s="7">
        <f>VC_NEW!AM44</f>
        <v>0</v>
      </c>
      <c r="AS88" s="7">
        <f>VC_NEW!AN44</f>
        <v>0</v>
      </c>
      <c r="AT88" s="7">
        <f>VC_NEW!AO44</f>
        <v>0</v>
      </c>
      <c r="AU88" s="7">
        <f>VC_NEW!AP44</f>
        <v>0</v>
      </c>
      <c r="AV88" s="7">
        <f>VC_NEW!AQ44</f>
        <v>0</v>
      </c>
      <c r="AW88" s="7">
        <f>VC_NEW!AR44</f>
        <v>0</v>
      </c>
      <c r="AX88" s="7">
        <f>VC_NEW!AS44</f>
        <v>0</v>
      </c>
      <c r="AY88" s="7">
        <f>VC_NEW!AT44</f>
        <v>0</v>
      </c>
      <c r="AZ88" s="7">
        <f>VC_NEW!AU44</f>
        <v>0</v>
      </c>
      <c r="BA88" s="7">
        <f>VC_NEW!AV44</f>
        <v>0</v>
      </c>
      <c r="BB88" s="7">
        <f>VC_NEW!AW44</f>
        <v>0</v>
      </c>
      <c r="BC88" s="7">
        <f>VC_NEW!AX44</f>
        <v>0</v>
      </c>
      <c r="BD88" s="7">
        <f>VC_NEW!AY44</f>
        <v>0</v>
      </c>
      <c r="BE88" s="7">
        <f>VC_NEW!AZ44</f>
        <v>0</v>
      </c>
      <c r="BF88" s="7" t="str">
        <f>VC_NEW!BA44</f>
        <v>T406A</v>
      </c>
      <c r="BG88" s="7">
        <f>VC_NEW!BB44</f>
        <v>0</v>
      </c>
      <c r="BH88" s="7">
        <f>VC_NEW!BC44</f>
        <v>0</v>
      </c>
      <c r="BI88" s="7">
        <f>VC_NEW!BD44</f>
        <v>0</v>
      </c>
      <c r="BJ88" s="7">
        <f>VC_NEW!BE44</f>
        <v>0</v>
      </c>
      <c r="BK88" s="7">
        <f>VC_NEW!BF44</f>
        <v>0</v>
      </c>
      <c r="BL88" s="7">
        <f>VC_NEW!BG44</f>
        <v>0</v>
      </c>
      <c r="BM88" s="7">
        <f>VC_NEW!BH44</f>
        <v>0</v>
      </c>
      <c r="BN88" s="7">
        <f>VC_NEW!BI44</f>
        <v>0</v>
      </c>
      <c r="BO88" s="7">
        <f>VC_NEW!BJ44</f>
        <v>0</v>
      </c>
      <c r="BP88" s="7">
        <f>VC_NEW!BK44</f>
        <v>0</v>
      </c>
      <c r="BQ88" s="7">
        <f>VC_NEW!BL44</f>
        <v>0</v>
      </c>
      <c r="BR88" s="7">
        <f>VC_NEW!BM44</f>
        <v>0</v>
      </c>
      <c r="BS88" s="7">
        <f>VC_NEW!BN44</f>
        <v>0</v>
      </c>
      <c r="BT88" s="7">
        <f>VC_NEW!BO44</f>
        <v>0</v>
      </c>
      <c r="BU88" s="7">
        <f>VC_NEW!BP44</f>
        <v>0</v>
      </c>
      <c r="BV88" s="7" t="str">
        <f>VC_NEW!BQ44</f>
        <v>H311Q</v>
      </c>
      <c r="BW88" s="7">
        <f>VC_NEW!BR44</f>
        <v>0</v>
      </c>
      <c r="BX88" s="7">
        <f>VC_NEW!BS44</f>
        <v>0</v>
      </c>
      <c r="BY88" s="7">
        <f>VC_NEW!BT44</f>
        <v>0</v>
      </c>
      <c r="BZ88" s="7">
        <f>VC_NEW!BU44</f>
        <v>0</v>
      </c>
      <c r="CA88" s="7">
        <f>VC_NEW!BV44</f>
        <v>0</v>
      </c>
      <c r="CB88" s="7">
        <f>VC_NEW!BW44</f>
        <v>0</v>
      </c>
      <c r="CC88" s="7">
        <f>VC_NEW!BX44</f>
        <v>0</v>
      </c>
      <c r="CD88" s="7">
        <f>VC_NEW!BY44</f>
        <v>0</v>
      </c>
      <c r="CE88" s="7">
        <f>VC_NEW!BZ44</f>
        <v>0</v>
      </c>
      <c r="CF88" s="7">
        <f>VC_NEW!CA44</f>
        <v>0</v>
      </c>
      <c r="CG88" s="7" t="str">
        <f>VC_NEW!CB44</f>
        <v>H311Q; A413T</v>
      </c>
      <c r="CH88" s="7">
        <f>VC_NEW!CC44</f>
        <v>0</v>
      </c>
      <c r="CI88" s="7" t="str">
        <f>VC_NEW!CD44</f>
        <v>H311Q; A413T</v>
      </c>
      <c r="CJ88" s="7">
        <f>VC_NEW!CE44</f>
        <v>0</v>
      </c>
      <c r="CK88" s="7">
        <f>VC_NEW!CF44</f>
        <v>0</v>
      </c>
      <c r="CL88" s="7">
        <f>VC_NEW!CG44</f>
        <v>0</v>
      </c>
      <c r="CM88" s="7">
        <f>VC_NEW!CH44</f>
        <v>0</v>
      </c>
      <c r="CN88" s="7">
        <f>VC_NEW!CI44</f>
        <v>0</v>
      </c>
      <c r="CO88" s="7">
        <f>VC_NEW!CJ44</f>
        <v>0</v>
      </c>
      <c r="CP88" s="7">
        <f>VC_NEW!CK44</f>
        <v>0</v>
      </c>
      <c r="CQ88" s="7">
        <f>VC_NEW!CL44</f>
        <v>0</v>
      </c>
      <c r="CR88" s="7">
        <f>VC_NEW!CM44</f>
        <v>0</v>
      </c>
      <c r="CS88" s="7">
        <f>VC_NEW!CN44</f>
        <v>0</v>
      </c>
      <c r="CT88" s="7">
        <f>VC_NEW!CO44</f>
        <v>0</v>
      </c>
      <c r="CU88" s="7">
        <f>VC_NEW!CP44</f>
        <v>0</v>
      </c>
      <c r="CV88" s="7">
        <f>VC_NEW!CQ44</f>
        <v>0</v>
      </c>
      <c r="CW88" s="7">
        <f>VC_NEW!CR44</f>
        <v>0</v>
      </c>
      <c r="CX88" s="7">
        <f>VC_NEW!CS44</f>
        <v>0</v>
      </c>
      <c r="CY88" s="7">
        <f>VC_NEW!CT44</f>
        <v>0</v>
      </c>
      <c r="CZ88" s="7" t="str">
        <f>VC_NEW!CU44</f>
        <v>G362S</v>
      </c>
      <c r="DA88" s="7">
        <f>VC_NEW!CV44</f>
        <v>0</v>
      </c>
      <c r="DB88" s="7">
        <f>VC_NEW!CW44</f>
        <v>0</v>
      </c>
      <c r="DC88" s="7">
        <f>VC_NEW!CX44</f>
        <v>0</v>
      </c>
      <c r="DD88" s="7" t="str">
        <f>VC_NEW!CY44</f>
        <v>S94N</v>
      </c>
      <c r="DE88" s="7">
        <f>VC_NEW!CZ44</f>
        <v>0</v>
      </c>
      <c r="DF88" s="7">
        <f>VC_NEW!DA44</f>
        <v>0</v>
      </c>
      <c r="DG88" s="7">
        <f>VC_NEW!DB44</f>
        <v>0</v>
      </c>
      <c r="DH88" s="7">
        <f>VC_NEW!DC44</f>
        <v>0</v>
      </c>
      <c r="DI88" s="7">
        <f>VC_NEW!DD44</f>
        <v>0</v>
      </c>
      <c r="DJ88" s="7" t="str">
        <f>VC_NEW!DE44</f>
        <v>G362S</v>
      </c>
      <c r="DK88" s="7">
        <f>VC_NEW!DF44</f>
        <v>0</v>
      </c>
      <c r="DL88" s="7">
        <f>VC_NEW!DG44</f>
        <v>0</v>
      </c>
      <c r="DM88" s="7">
        <f>VC_NEW!DH44</f>
        <v>0</v>
      </c>
      <c r="DN88" s="7">
        <f>VC_NEW!DI44</f>
        <v>0</v>
      </c>
      <c r="DO88" s="7">
        <f>VC_NEW!DJ44</f>
        <v>0</v>
      </c>
      <c r="DP88" s="7">
        <f>VC_NEW!DK44</f>
        <v>0</v>
      </c>
      <c r="DQ88" s="7">
        <f>VC_NEW!DL44</f>
        <v>0</v>
      </c>
      <c r="DR88" s="7">
        <f>VC_NEW!DM44</f>
        <v>0</v>
      </c>
      <c r="DS88" s="7">
        <f>VC_NEW!DN44</f>
        <v>0</v>
      </c>
      <c r="DT88" s="7">
        <f>VC_NEW!DO44</f>
        <v>0</v>
      </c>
      <c r="DU88" s="7">
        <f>VC_NEW!DP44</f>
        <v>0</v>
      </c>
      <c r="DV88" s="7">
        <f>VC_NEW!DQ44</f>
        <v>0</v>
      </c>
      <c r="DW88" s="7">
        <f>VC_NEW!DR44</f>
        <v>0</v>
      </c>
      <c r="DX88" s="7">
        <f>VC_NEW!DS44</f>
        <v>0</v>
      </c>
      <c r="DY88" s="7" t="str">
        <f>VC_NEW!DT44</f>
        <v>H311Q; A413T</v>
      </c>
      <c r="DZ88" s="7">
        <f>VC_NEW!DU44</f>
        <v>0</v>
      </c>
      <c r="EA88" s="7">
        <f>VC_NEW!DV44</f>
        <v>0</v>
      </c>
      <c r="EB88" s="7">
        <f>VC_NEW!DW44</f>
        <v>0</v>
      </c>
      <c r="EC88" s="7">
        <f>VC_NEW!DX44</f>
        <v>0</v>
      </c>
      <c r="ED88" s="7">
        <f>VC_NEW!DY44</f>
        <v>0</v>
      </c>
      <c r="EE88" s="7">
        <f>VC_NEW!DZ44</f>
        <v>0</v>
      </c>
      <c r="EF88" s="7">
        <f>VC_NEW!EA44</f>
        <v>0</v>
      </c>
      <c r="EG88" s="7">
        <f>VC_NEW!EB44</f>
        <v>0</v>
      </c>
      <c r="EH88" s="7">
        <f>VC_NEW!EC44</f>
        <v>0</v>
      </c>
      <c r="EI88" s="7">
        <f>VC_NEW!ED44</f>
        <v>0</v>
      </c>
      <c r="EJ88" s="7">
        <f>VC_NEW!EE44</f>
        <v>0</v>
      </c>
      <c r="EK88" s="7">
        <f>VC_NEW!EF44</f>
        <v>0</v>
      </c>
      <c r="EL88" s="7">
        <f>VC_NEW!EG44</f>
        <v>0</v>
      </c>
      <c r="EM88" s="7">
        <f>VC_NEW!EH44</f>
        <v>0</v>
      </c>
      <c r="EN88" s="7">
        <f>VC_NEW!EI44</f>
        <v>0</v>
      </c>
      <c r="EO88" s="7">
        <f>VC_NEW!EJ44</f>
        <v>0</v>
      </c>
      <c r="EP88" s="7">
        <f>VC_NEW!EK44</f>
        <v>0</v>
      </c>
      <c r="EQ88" s="7">
        <f>VC_NEW!EL44</f>
        <v>0</v>
      </c>
      <c r="ER88" s="7">
        <f>VC_NEW!EM44</f>
        <v>0</v>
      </c>
      <c r="ES88" s="7" t="str">
        <f>VC_NEW!EN44</f>
        <v>A467V</v>
      </c>
      <c r="ET88" s="7">
        <f>VC_NEW!EO44</f>
        <v>0</v>
      </c>
      <c r="EU88" s="7">
        <f>VC_NEW!EP44</f>
        <v>0</v>
      </c>
      <c r="EV88" s="7">
        <f>VC_NEW!EQ44</f>
        <v>0</v>
      </c>
      <c r="EW88" s="7" t="str">
        <f>VC_NEW!ER44</f>
        <v>A197S; E213D; L217V; ; L398Q; G469S</v>
      </c>
      <c r="EX88" s="7" t="str">
        <f>VC_NEW!ES44</f>
        <v>G439D</v>
      </c>
      <c r="EY88" s="7">
        <f>VC_NEW!ET44</f>
        <v>0</v>
      </c>
      <c r="EZ88" s="7">
        <f>VC_NEW!EU44</f>
        <v>0</v>
      </c>
      <c r="FA88" s="7" t="str">
        <f>VC_NEW!EV44</f>
        <v>G362S</v>
      </c>
      <c r="FB88" s="7">
        <f>VC_NEW!EW44</f>
        <v>0</v>
      </c>
      <c r="FC88" s="7">
        <f>VC_NEW!EX44</f>
        <v>0</v>
      </c>
      <c r="FD88" s="7" t="str">
        <f>VC_NEW!EY44</f>
        <v>G362S</v>
      </c>
      <c r="FE88" s="7">
        <f>VC_NEW!EZ44</f>
        <v>0</v>
      </c>
      <c r="FF88" s="7">
        <f>VC_NEW!FA44</f>
        <v>0</v>
      </c>
      <c r="FG88" s="7" t="str">
        <f>VC_NEW!FB44</f>
        <v>A67T</v>
      </c>
      <c r="FH88" s="7">
        <f>VC_NEW!FC44</f>
        <v>0</v>
      </c>
      <c r="FI88" s="7">
        <f>VC_NEW!FD44</f>
        <v>0</v>
      </c>
      <c r="FJ88" s="7">
        <f>VC_NEW!FE44</f>
        <v>0</v>
      </c>
      <c r="FK88" s="7">
        <f>VC_NEW!FF44</f>
        <v>0</v>
      </c>
      <c r="FL88" s="7">
        <f>VC_NEW!FG44</f>
        <v>0</v>
      </c>
      <c r="FM88" s="7">
        <f>VC_NEW!FH44</f>
        <v>0</v>
      </c>
      <c r="FN88" s="7">
        <f>VC_NEW!FI44</f>
        <v>0</v>
      </c>
      <c r="FO88" s="7">
        <f>VC_NEW!FJ44</f>
        <v>0</v>
      </c>
      <c r="FP88" s="7">
        <f>VC_NEW!FK44</f>
        <v>0</v>
      </c>
      <c r="FQ88" s="7">
        <f>VC_NEW!FL44</f>
        <v>0</v>
      </c>
      <c r="FR88" s="7">
        <f>VC_NEW!FM44</f>
        <v>0</v>
      </c>
      <c r="FS88" s="7">
        <f>VC_NEW!FN44</f>
        <v>0</v>
      </c>
      <c r="FT88" s="7">
        <f>VC_NEW!FO44</f>
        <v>0</v>
      </c>
      <c r="FU88" s="7">
        <f>VC_NEW!FP44</f>
        <v>0</v>
      </c>
      <c r="FV88" s="7" t="str">
        <f>VC_NEW!FQ44</f>
        <v>V431I</v>
      </c>
      <c r="FW88" s="7" t="str">
        <f>VC_NEW!FR44</f>
        <v>A67T</v>
      </c>
      <c r="FX88" s="7">
        <f>VC_NEW!FS44</f>
        <v>0</v>
      </c>
      <c r="FY88" s="7">
        <f>VC_NEW!FT44</f>
        <v>0</v>
      </c>
      <c r="FZ88" s="7">
        <f>VC_NEW!FU44</f>
        <v>0</v>
      </c>
      <c r="GA88" s="7">
        <f>VC_NEW!FV44</f>
        <v>0</v>
      </c>
      <c r="GB88" s="7">
        <f>VC_NEW!FW44</f>
        <v>0</v>
      </c>
      <c r="GC88" s="7">
        <f>VC_NEW!FX44</f>
        <v>0</v>
      </c>
      <c r="GD88" s="7" t="str">
        <f>VC_NEW!FY44</f>
        <v>P369S</v>
      </c>
      <c r="GE88" s="7">
        <f>VC_NEW!FZ44</f>
        <v>0</v>
      </c>
      <c r="GF88" s="7">
        <f>VC_NEW!GA44</f>
        <v>0</v>
      </c>
      <c r="GG88" s="7">
        <f>VC_NEW!GB44</f>
        <v>0</v>
      </c>
      <c r="GH88" s="7">
        <f>VC_NEW!GC44</f>
        <v>0</v>
      </c>
      <c r="GI88" s="7">
        <f>VC_NEW!GD44</f>
        <v>0</v>
      </c>
      <c r="GJ88" s="7">
        <f>VC_NEW!GE44</f>
        <v>0</v>
      </c>
      <c r="GK88" s="7">
        <f>VC_NEW!GF44</f>
        <v>0</v>
      </c>
      <c r="GL88" s="7">
        <f>VC_NEW!GG44</f>
        <v>0</v>
      </c>
      <c r="GM88" s="7">
        <f>VC_NEW!GH44</f>
        <v>0</v>
      </c>
      <c r="GN88" s="7">
        <f>VC_NEW!GI44</f>
        <v>0</v>
      </c>
      <c r="GO88" s="7">
        <f>VC_NEW!GJ44</f>
        <v>0</v>
      </c>
      <c r="GP88" s="7">
        <f>VC_NEW!GK44</f>
        <v>0</v>
      </c>
      <c r="GQ88" s="7">
        <f>VC_NEW!GL44</f>
        <v>0</v>
      </c>
      <c r="GR88" s="7">
        <f>VC_NEW!GM44</f>
        <v>0</v>
      </c>
      <c r="GS88" s="7">
        <f>VC_NEW!GN44</f>
        <v>0</v>
      </c>
      <c r="GT88" s="7">
        <f>VC_NEW!GO44</f>
        <v>0</v>
      </c>
      <c r="GU88" s="7">
        <f>VC_NEW!GP44</f>
        <v>0</v>
      </c>
      <c r="GV88" s="7">
        <f>VC_NEW!GQ44</f>
        <v>0</v>
      </c>
      <c r="GW88" s="7">
        <f>VC_NEW!GR44</f>
        <v>0</v>
      </c>
      <c r="GX88" s="7" t="str">
        <f>VC_NEW!GS44</f>
        <v>A173T</v>
      </c>
      <c r="GY88" s="7">
        <f>VC_NEW!GT44</f>
        <v>0</v>
      </c>
      <c r="GZ88" s="7">
        <f>VC_NEW!GU44</f>
        <v>0</v>
      </c>
      <c r="HA88" s="7">
        <f>VC_NEW!GV44</f>
        <v>0</v>
      </c>
      <c r="HB88" s="7">
        <f>VC_NEW!GW44</f>
        <v>0</v>
      </c>
      <c r="HC88" s="7">
        <f>VC_NEW!GX44</f>
        <v>0</v>
      </c>
    </row>
    <row r="89" spans="1:443" s="2" customFormat="1" ht="15" hidden="1" customHeight="1" x14ac:dyDescent="0.25">
      <c r="A89" s="2" t="s">
        <v>68</v>
      </c>
      <c r="B89" s="2" t="s">
        <v>69</v>
      </c>
      <c r="C89" s="4" t="s">
        <v>4</v>
      </c>
      <c r="D89" s="2" t="s">
        <v>76</v>
      </c>
      <c r="E89" s="2">
        <v>0.5</v>
      </c>
      <c r="F89" s="2" t="s">
        <v>73</v>
      </c>
      <c r="G89" s="2" t="s">
        <v>158</v>
      </c>
      <c r="H89" s="1">
        <f>VC_NEW!C45</f>
        <v>0</v>
      </c>
      <c r="I89" s="1">
        <f>VC_NEW!D45</f>
        <v>0</v>
      </c>
      <c r="J89" s="1">
        <f>VC_NEW!E45</f>
        <v>0</v>
      </c>
      <c r="K89" s="1" t="str">
        <f>VC_NEW!F45</f>
        <v>R441L</v>
      </c>
      <c r="L89" s="1">
        <f>VC_NEW!G45</f>
        <v>0</v>
      </c>
      <c r="M89" s="1">
        <f>VC_NEW!H45</f>
        <v>0</v>
      </c>
      <c r="N89" s="1" t="str">
        <f>VC_NEW!I45</f>
        <v>S87L</v>
      </c>
      <c r="O89" s="1">
        <f>VC_NEW!J45</f>
        <v>0</v>
      </c>
      <c r="P89" s="1">
        <f>VC_NEW!K45</f>
        <v>0</v>
      </c>
      <c r="Q89" s="1">
        <f>VC_NEW!L45</f>
        <v>0</v>
      </c>
      <c r="R89" s="1">
        <f>VC_NEW!M45</f>
        <v>0</v>
      </c>
      <c r="S89" s="1">
        <f>VC_NEW!N45</f>
        <v>0</v>
      </c>
      <c r="T89" s="1">
        <f>VC_NEW!O45</f>
        <v>0</v>
      </c>
      <c r="U89" s="1">
        <f>VC_NEW!P45</f>
        <v>0</v>
      </c>
      <c r="V89" s="1">
        <f>VC_NEW!Q45</f>
        <v>0</v>
      </c>
      <c r="W89" s="1">
        <f>VC_NEW!R45</f>
        <v>0</v>
      </c>
      <c r="X89" s="1">
        <f>VC_NEW!S45</f>
        <v>0</v>
      </c>
      <c r="Y89" s="1">
        <f>VC_NEW!T45</f>
        <v>0</v>
      </c>
      <c r="Z89" s="1">
        <f>VC_NEW!U45</f>
        <v>0</v>
      </c>
      <c r="AA89" s="1">
        <f>VC_NEW!V45</f>
        <v>0</v>
      </c>
      <c r="AB89" s="1">
        <f>VC_NEW!W45</f>
        <v>0</v>
      </c>
      <c r="AC89" s="1">
        <f>VC_NEW!X45</f>
        <v>0</v>
      </c>
      <c r="AD89" s="1">
        <f>VC_NEW!Y45</f>
        <v>0</v>
      </c>
      <c r="AE89" s="1">
        <f>VC_NEW!Z45</f>
        <v>0</v>
      </c>
      <c r="AF89" s="1">
        <f>VC_NEW!AA45</f>
        <v>0</v>
      </c>
      <c r="AG89" s="1">
        <f>VC_NEW!AB45</f>
        <v>0</v>
      </c>
      <c r="AH89" s="1">
        <f>VC_NEW!AC45</f>
        <v>0</v>
      </c>
      <c r="AI89" s="1">
        <f>VC_NEW!AD45</f>
        <v>0</v>
      </c>
      <c r="AJ89" s="1" t="str">
        <f>VC_NEW!AE45</f>
        <v>A688V</v>
      </c>
      <c r="AK89" s="1">
        <f>VC_NEW!AF45</f>
        <v>0</v>
      </c>
      <c r="AL89" s="1">
        <f>VC_NEW!AG45</f>
        <v>0</v>
      </c>
      <c r="AM89" s="1" t="str">
        <f>VC_NEW!AH45</f>
        <v>V238I</v>
      </c>
      <c r="AN89" s="1">
        <f>VC_NEW!AI45</f>
        <v>0</v>
      </c>
      <c r="AO89" s="1">
        <f>VC_NEW!AJ45</f>
        <v>0</v>
      </c>
      <c r="AP89" s="1">
        <f>VC_NEW!AK45</f>
        <v>0</v>
      </c>
      <c r="AQ89" s="1">
        <f>VC_NEW!AL45</f>
        <v>0</v>
      </c>
      <c r="AR89" s="1">
        <f>VC_NEW!AM45</f>
        <v>0</v>
      </c>
      <c r="AS89" s="1">
        <f>VC_NEW!AN45</f>
        <v>0</v>
      </c>
      <c r="AT89" s="1">
        <f>VC_NEW!AO45</f>
        <v>0</v>
      </c>
      <c r="AU89" s="1">
        <f>VC_NEW!AP45</f>
        <v>0</v>
      </c>
      <c r="AV89" s="1">
        <f>VC_NEW!AQ45</f>
        <v>0</v>
      </c>
      <c r="AW89" s="1">
        <f>VC_NEW!AR45</f>
        <v>0</v>
      </c>
      <c r="AX89" s="1" t="str">
        <f>VC_NEW!AS45</f>
        <v>P683S</v>
      </c>
      <c r="AY89" s="1">
        <f>VC_NEW!AT45</f>
        <v>0</v>
      </c>
      <c r="AZ89" s="1">
        <f>VC_NEW!AU45</f>
        <v>0</v>
      </c>
      <c r="BA89" s="1" t="str">
        <f>VC_NEW!AV45</f>
        <v>S87W; L168Q</v>
      </c>
      <c r="BB89" s="1">
        <f>VC_NEW!AW45</f>
        <v>0</v>
      </c>
      <c r="BC89" s="1" t="str">
        <f>VC_NEW!AX45</f>
        <v>S87W; L168Q</v>
      </c>
      <c r="BD89" s="1">
        <f>VC_NEW!AY45</f>
        <v>0</v>
      </c>
      <c r="BE89" s="1">
        <f>VC_NEW!AZ45</f>
        <v>0</v>
      </c>
      <c r="BF89" s="1">
        <f>VC_NEW!BA45</f>
        <v>0</v>
      </c>
      <c r="BG89" s="1">
        <f>VC_NEW!BB45</f>
        <v>0</v>
      </c>
      <c r="BH89" s="1">
        <f>VC_NEW!BC45</f>
        <v>0</v>
      </c>
      <c r="BI89" s="1" t="str">
        <f>VC_NEW!BD45</f>
        <v>S87W; L168Q</v>
      </c>
      <c r="BJ89" s="1">
        <f>VC_NEW!BE45</f>
        <v>0</v>
      </c>
      <c r="BK89" s="1">
        <f>VC_NEW!BF45</f>
        <v>0</v>
      </c>
      <c r="BL89" s="1">
        <f>VC_NEW!BG45</f>
        <v>0</v>
      </c>
      <c r="BM89" s="1">
        <f>VC_NEW!BH45</f>
        <v>0</v>
      </c>
      <c r="BN89" s="1" t="str">
        <f>VC_NEW!BI45</f>
        <v>D422A</v>
      </c>
      <c r="BO89" s="1">
        <f>VC_NEW!BJ45</f>
        <v>0</v>
      </c>
      <c r="BP89" s="1">
        <f>VC_NEW!BK45</f>
        <v>0</v>
      </c>
      <c r="BQ89" s="1">
        <f>VC_NEW!BL45</f>
        <v>0</v>
      </c>
      <c r="BR89" s="1" t="str">
        <f>VC_NEW!BM45</f>
        <v>S87L</v>
      </c>
      <c r="BS89" s="1" t="str">
        <f>VC_NEW!BN45</f>
        <v>S87W; L168Q</v>
      </c>
      <c r="BT89" s="1">
        <f>VC_NEW!BO45</f>
        <v>0</v>
      </c>
      <c r="BU89" s="1">
        <f>VC_NEW!BP45</f>
        <v>0</v>
      </c>
      <c r="BV89" s="1">
        <f>VC_NEW!BQ45</f>
        <v>0</v>
      </c>
      <c r="BW89" s="1" t="str">
        <f>VC_NEW!BR45</f>
        <v>S87W</v>
      </c>
      <c r="BX89" s="1">
        <f>VC_NEW!BS45</f>
        <v>0</v>
      </c>
      <c r="BY89" s="1">
        <f>VC_NEW!BT45</f>
        <v>0</v>
      </c>
      <c r="BZ89" s="1">
        <f>VC_NEW!BU45</f>
        <v>0</v>
      </c>
      <c r="CA89" s="1">
        <f>VC_NEW!BV45</f>
        <v>0</v>
      </c>
      <c r="CB89" s="1">
        <f>VC_NEW!BW45</f>
        <v>0</v>
      </c>
      <c r="CC89" s="1">
        <f>VC_NEW!BX45</f>
        <v>0</v>
      </c>
      <c r="CD89" s="1" t="str">
        <f>VC_NEW!BY45</f>
        <v>S87W; L168Q</v>
      </c>
      <c r="CE89" s="1">
        <f>VC_NEW!BZ45</f>
        <v>0</v>
      </c>
      <c r="CF89" s="1" t="str">
        <f>VC_NEW!CA45</f>
        <v>S87W</v>
      </c>
      <c r="CG89" s="1">
        <f>VC_NEW!CB45</f>
        <v>0</v>
      </c>
      <c r="CH89" s="1">
        <f>VC_NEW!CC45</f>
        <v>0</v>
      </c>
      <c r="CI89" s="1">
        <f>VC_NEW!CD45</f>
        <v>0</v>
      </c>
      <c r="CJ89" s="1" t="str">
        <f>VC_NEW!CE45</f>
        <v>S87W; L168Q</v>
      </c>
      <c r="CK89" s="1" t="str">
        <f>VC_NEW!CF45</f>
        <v>S87W; L168Q</v>
      </c>
      <c r="CL89" s="1">
        <f>VC_NEW!CG45</f>
        <v>0</v>
      </c>
      <c r="CM89" s="1" t="str">
        <f>VC_NEW!CH45</f>
        <v>S87W</v>
      </c>
      <c r="CN89" s="1">
        <f>VC_NEW!CI45</f>
        <v>0</v>
      </c>
      <c r="CO89" s="1">
        <f>VC_NEW!CJ45</f>
        <v>0</v>
      </c>
      <c r="CP89" s="1" t="str">
        <f>VC_NEW!CK45</f>
        <v>S87W; L168Q</v>
      </c>
      <c r="CQ89" s="1" t="str">
        <f>VC_NEW!CL45</f>
        <v>S87W; L168Q</v>
      </c>
      <c r="CR89" s="1">
        <f>VC_NEW!CM45</f>
        <v>0</v>
      </c>
      <c r="CS89" s="1">
        <f>VC_NEW!CN45</f>
        <v>0</v>
      </c>
      <c r="CT89" s="1">
        <f>VC_NEW!CO45</f>
        <v>0</v>
      </c>
      <c r="CU89" s="1">
        <f>VC_NEW!CP45</f>
        <v>0</v>
      </c>
      <c r="CV89" s="1">
        <f>VC_NEW!CQ45</f>
        <v>0</v>
      </c>
      <c r="CW89" s="1" t="str">
        <f>VC_NEW!CR45</f>
        <v>S87L</v>
      </c>
      <c r="CX89" s="1">
        <f>VC_NEW!CS45</f>
        <v>0</v>
      </c>
      <c r="CY89" s="1">
        <f>VC_NEW!CT45</f>
        <v>0</v>
      </c>
      <c r="CZ89" s="1" t="str">
        <f>VC_NEW!CU45</f>
        <v>S87L</v>
      </c>
      <c r="DA89" s="1">
        <f>VC_NEW!CV45</f>
        <v>0</v>
      </c>
      <c r="DB89" s="1">
        <f>VC_NEW!CW45</f>
        <v>0</v>
      </c>
      <c r="DC89" s="1">
        <f>VC_NEW!CX45</f>
        <v>0</v>
      </c>
      <c r="DD89" s="1">
        <f>VC_NEW!CY45</f>
        <v>0</v>
      </c>
      <c r="DE89" s="1">
        <f>VC_NEW!CZ45</f>
        <v>0</v>
      </c>
      <c r="DF89" s="1">
        <f>VC_NEW!DA45</f>
        <v>0</v>
      </c>
      <c r="DG89" s="1">
        <f>VC_NEW!DB45</f>
        <v>0</v>
      </c>
      <c r="DH89" s="1">
        <f>VC_NEW!DC45</f>
        <v>0</v>
      </c>
      <c r="DI89" s="1">
        <f>VC_NEW!DD45</f>
        <v>0</v>
      </c>
      <c r="DJ89" s="1" t="str">
        <f>VC_NEW!DE45</f>
        <v>S87L</v>
      </c>
      <c r="DK89" s="1" t="str">
        <f>VC_NEW!DF45</f>
        <v>E91K; L458F</v>
      </c>
      <c r="DL89" s="1" t="str">
        <f>VC_NEW!DG45</f>
        <v>S87L</v>
      </c>
      <c r="DM89" s="1">
        <f>VC_NEW!DH45</f>
        <v>0</v>
      </c>
      <c r="DN89" s="1">
        <f>VC_NEW!DI45</f>
        <v>0</v>
      </c>
      <c r="DO89" s="1">
        <f>VC_NEW!DJ45</f>
        <v>0</v>
      </c>
      <c r="DP89" s="1">
        <f>VC_NEW!DK45</f>
        <v>0</v>
      </c>
      <c r="DQ89" s="1">
        <f>VC_NEW!DL45</f>
        <v>0</v>
      </c>
      <c r="DR89" s="1">
        <f>VC_NEW!DM45</f>
        <v>0</v>
      </c>
      <c r="DS89" s="1">
        <f>VC_NEW!DN45</f>
        <v>0</v>
      </c>
      <c r="DT89" s="1">
        <f>VC_NEW!DO45</f>
        <v>0</v>
      </c>
      <c r="DU89" s="1" t="str">
        <f>VC_NEW!DP45</f>
        <v>S87W; L168Q</v>
      </c>
      <c r="DV89" s="1">
        <f>VC_NEW!DQ45</f>
        <v>0</v>
      </c>
      <c r="DW89" s="1" t="str">
        <f>VC_NEW!DR45</f>
        <v>S87W; L168Q</v>
      </c>
      <c r="DX89" s="1">
        <f>VC_NEW!DS45</f>
        <v>0</v>
      </c>
      <c r="DY89" s="1">
        <f>VC_NEW!DT45</f>
        <v>0</v>
      </c>
      <c r="DZ89" s="1">
        <f>VC_NEW!DU45</f>
        <v>0</v>
      </c>
      <c r="EA89" s="1" t="str">
        <f>VC_NEW!DV45</f>
        <v>S87W; L168Q</v>
      </c>
      <c r="EB89" s="1" t="str">
        <f>VC_NEW!DW45</f>
        <v>V238I</v>
      </c>
      <c r="EC89" s="1">
        <f>VC_NEW!DX45</f>
        <v>0</v>
      </c>
      <c r="ED89" s="1">
        <f>VC_NEW!DY45</f>
        <v>0</v>
      </c>
      <c r="EE89" s="1" t="str">
        <f>VC_NEW!DZ45</f>
        <v>S87W; L168Q</v>
      </c>
      <c r="EF89" s="1">
        <f>VC_NEW!EA45</f>
        <v>0</v>
      </c>
      <c r="EG89" s="1">
        <f>VC_NEW!EB45</f>
        <v>0</v>
      </c>
      <c r="EH89" s="1" t="str">
        <f>VC_NEW!EC45</f>
        <v>S87L</v>
      </c>
      <c r="EI89" s="1">
        <f>VC_NEW!ED45</f>
        <v>0</v>
      </c>
      <c r="EJ89" s="1" t="str">
        <f>VC_NEW!EE45</f>
        <v>E91K</v>
      </c>
      <c r="EK89" s="1" t="str">
        <f>VC_NEW!EF45</f>
        <v>S87L</v>
      </c>
      <c r="EL89" s="1">
        <f>VC_NEW!EG45</f>
        <v>0</v>
      </c>
      <c r="EM89" s="1">
        <f>VC_NEW!EH45</f>
        <v>0</v>
      </c>
      <c r="EN89" s="1">
        <f>VC_NEW!EI45</f>
        <v>0</v>
      </c>
      <c r="EO89" s="1">
        <f>VC_NEW!EJ45</f>
        <v>0</v>
      </c>
      <c r="EP89" s="1">
        <f>VC_NEW!EK45</f>
        <v>0</v>
      </c>
      <c r="EQ89" s="1">
        <f>VC_NEW!EL45</f>
        <v>0</v>
      </c>
      <c r="ER89" s="1">
        <f>VC_NEW!EM45</f>
        <v>0</v>
      </c>
      <c r="ES89" s="1">
        <f>VC_NEW!EN45</f>
        <v>0</v>
      </c>
      <c r="ET89" s="1">
        <f>VC_NEW!EO45</f>
        <v>0</v>
      </c>
      <c r="EU89" s="1">
        <f>VC_NEW!EP45</f>
        <v>0</v>
      </c>
      <c r="EV89" s="1">
        <f>VC_NEW!EQ45</f>
        <v>0</v>
      </c>
      <c r="EW89" s="1" t="str">
        <f>VC_NEW!ER45</f>
        <v>I388V; A528T</v>
      </c>
      <c r="EX89" s="1">
        <f>VC_NEW!ES45</f>
        <v>0</v>
      </c>
      <c r="EY89" s="1">
        <f>VC_NEW!ET45</f>
        <v>0</v>
      </c>
      <c r="EZ89" s="1">
        <f>VC_NEW!EU45</f>
        <v>0</v>
      </c>
      <c r="FA89" s="1" t="str">
        <f>VC_NEW!EV45</f>
        <v>S87L</v>
      </c>
      <c r="FB89" s="1">
        <f>VC_NEW!EW45</f>
        <v>0</v>
      </c>
      <c r="FC89" s="1">
        <f>VC_NEW!EX45</f>
        <v>0</v>
      </c>
      <c r="FD89" s="1">
        <f>VC_NEW!EY45</f>
        <v>0</v>
      </c>
      <c r="FE89" s="1" t="str">
        <f>VC_NEW!EZ45</f>
        <v>S87L</v>
      </c>
      <c r="FF89" s="1">
        <f>VC_NEW!FA45</f>
        <v>0</v>
      </c>
      <c r="FG89" s="1">
        <f>VC_NEW!FB45</f>
        <v>0</v>
      </c>
      <c r="FH89" s="1">
        <f>VC_NEW!FC45</f>
        <v>0</v>
      </c>
      <c r="FI89" s="1" t="str">
        <f>VC_NEW!FD45</f>
        <v>S87L</v>
      </c>
      <c r="FJ89" s="1">
        <f>VC_NEW!FE45</f>
        <v>0</v>
      </c>
      <c r="FK89" s="1">
        <f>VC_NEW!FF45</f>
        <v>0</v>
      </c>
      <c r="FL89" s="1" t="str">
        <f>VC_NEW!FG45</f>
        <v>S87L</v>
      </c>
      <c r="FM89" s="1">
        <f>VC_NEW!FH45</f>
        <v>0</v>
      </c>
      <c r="FN89" s="1" t="str">
        <f>VC_NEW!FI45</f>
        <v>V238I</v>
      </c>
      <c r="FO89" s="1">
        <f>VC_NEW!FJ45</f>
        <v>0</v>
      </c>
      <c r="FP89" s="1">
        <f>VC_NEW!FK45</f>
        <v>0</v>
      </c>
      <c r="FQ89" s="1" t="str">
        <f>VC_NEW!FL45</f>
        <v>S87W; L168Q</v>
      </c>
      <c r="FR89" s="1" t="str">
        <f>VC_NEW!FM45</f>
        <v>A688V</v>
      </c>
      <c r="FS89" s="1">
        <f>VC_NEW!FN45</f>
        <v>0</v>
      </c>
      <c r="FT89" s="1">
        <f>VC_NEW!FO45</f>
        <v>0</v>
      </c>
      <c r="FU89" s="1">
        <f>VC_NEW!FP45</f>
        <v>0</v>
      </c>
      <c r="FV89" s="1">
        <f>VC_NEW!FQ45</f>
        <v>0</v>
      </c>
      <c r="FW89" s="1" t="str">
        <f>VC_NEW!FR45</f>
        <v>S87L</v>
      </c>
      <c r="FX89" s="1">
        <f>VC_NEW!FS45</f>
        <v>0</v>
      </c>
      <c r="FY89" s="1">
        <f>VC_NEW!FT45</f>
        <v>0</v>
      </c>
      <c r="FZ89" s="1">
        <f>VC_NEW!FU45</f>
        <v>0</v>
      </c>
      <c r="GA89" s="1" t="str">
        <f>VC_NEW!FV45</f>
        <v>S87W; L168Q</v>
      </c>
      <c r="GB89" s="1" t="str">
        <f>VC_NEW!FW45</f>
        <v>S87L</v>
      </c>
      <c r="GC89" s="1">
        <f>VC_NEW!FX45</f>
        <v>0</v>
      </c>
      <c r="GD89" s="1">
        <f>VC_NEW!FY45</f>
        <v>0</v>
      </c>
      <c r="GE89" s="1" t="str">
        <f>VC_NEW!FZ45</f>
        <v>M502L</v>
      </c>
      <c r="GF89" s="1">
        <f>VC_NEW!GA45</f>
        <v>0</v>
      </c>
      <c r="GG89" s="1" t="str">
        <f>VC_NEW!GB45</f>
        <v>K726R</v>
      </c>
      <c r="GH89" s="1">
        <f>VC_NEW!GC45</f>
        <v>0</v>
      </c>
      <c r="GI89" s="1">
        <f>VC_NEW!GD45</f>
        <v>0</v>
      </c>
      <c r="GJ89" s="1">
        <f>VC_NEW!GE45</f>
        <v>0</v>
      </c>
      <c r="GK89" s="1">
        <f>VC_NEW!GF45</f>
        <v>0</v>
      </c>
      <c r="GL89" s="1">
        <f>VC_NEW!GG45</f>
        <v>0</v>
      </c>
      <c r="GM89" s="1" t="str">
        <f>VC_NEW!GH45</f>
        <v>S87W; L168Q</v>
      </c>
      <c r="GN89" s="1">
        <f>VC_NEW!GI45</f>
        <v>0</v>
      </c>
      <c r="GO89" s="1">
        <f>VC_NEW!GJ45</f>
        <v>0</v>
      </c>
      <c r="GP89" s="1">
        <f>VC_NEW!GK45</f>
        <v>0</v>
      </c>
      <c r="GQ89" s="1">
        <f>VC_NEW!GL45</f>
        <v>0</v>
      </c>
      <c r="GR89" s="1">
        <f>VC_NEW!GM45</f>
        <v>0</v>
      </c>
      <c r="GS89" s="1">
        <f>VC_NEW!GN45</f>
        <v>0</v>
      </c>
      <c r="GT89" s="1">
        <f>VC_NEW!GO45</f>
        <v>0</v>
      </c>
      <c r="GU89" s="1">
        <f>VC_NEW!GP45</f>
        <v>0</v>
      </c>
      <c r="GV89" s="1">
        <f>VC_NEW!GQ45</f>
        <v>0</v>
      </c>
      <c r="GW89" s="1">
        <f>VC_NEW!GR45</f>
        <v>0</v>
      </c>
      <c r="GX89" s="1">
        <f>VC_NEW!GS45</f>
        <v>0</v>
      </c>
      <c r="GY89" s="1" t="str">
        <f>VC_NEW!GT45</f>
        <v>E91K</v>
      </c>
      <c r="GZ89" s="1">
        <f>VC_NEW!GU45</f>
        <v>0</v>
      </c>
      <c r="HA89" s="1" t="str">
        <f>VC_NEW!GV45</f>
        <v>G85C</v>
      </c>
      <c r="HB89" s="1" t="str">
        <f>VC_NEW!GW45</f>
        <v>S87W; L168Q</v>
      </c>
      <c r="HC89" s="1">
        <f>VC_NEW!GX45</f>
        <v>0</v>
      </c>
    </row>
    <row r="90" spans="1:443" s="7" customFormat="1" ht="15" hidden="1" customHeight="1" x14ac:dyDescent="0.25">
      <c r="A90" s="7" t="s">
        <v>70</v>
      </c>
      <c r="B90" s="7" t="s">
        <v>71</v>
      </c>
      <c r="C90" s="8" t="s">
        <v>4</v>
      </c>
      <c r="D90" s="7" t="s">
        <v>76</v>
      </c>
      <c r="E90" s="7">
        <v>0.5</v>
      </c>
      <c r="F90" s="7" t="s">
        <v>73</v>
      </c>
      <c r="G90" s="7" t="s">
        <v>159</v>
      </c>
      <c r="H90" s="7">
        <f>VC_NEW!C46</f>
        <v>0</v>
      </c>
      <c r="I90" s="7">
        <f>VC_NEW!D46</f>
        <v>0</v>
      </c>
      <c r="J90" s="7">
        <f>VC_NEW!E46</f>
        <v>0</v>
      </c>
      <c r="K90" s="7">
        <f>VC_NEW!F46</f>
        <v>0</v>
      </c>
      <c r="L90" s="7" t="str">
        <f>VC_NEW!G46</f>
        <v>E459V</v>
      </c>
      <c r="M90" s="7">
        <f>VC_NEW!H46</f>
        <v>0</v>
      </c>
      <c r="N90" s="7" t="str">
        <f>VC_NEW!I46</f>
        <v>P438S</v>
      </c>
      <c r="O90" s="7">
        <f>VC_NEW!J46</f>
        <v>0</v>
      </c>
      <c r="P90" s="7">
        <f>VC_NEW!K46</f>
        <v>0</v>
      </c>
      <c r="Q90" s="7">
        <f>VC_NEW!L46</f>
        <v>0</v>
      </c>
      <c r="R90" s="7">
        <f>VC_NEW!M46</f>
        <v>0</v>
      </c>
      <c r="S90" s="7">
        <f>VC_NEW!N46</f>
        <v>0</v>
      </c>
      <c r="T90" s="7">
        <f>VC_NEW!O46</f>
        <v>0</v>
      </c>
      <c r="U90" s="7">
        <f>VC_NEW!P46</f>
        <v>0</v>
      </c>
      <c r="V90" s="7">
        <f>VC_NEW!Q46</f>
        <v>0</v>
      </c>
      <c r="W90" s="7">
        <f>VC_NEW!R46</f>
        <v>0</v>
      </c>
      <c r="X90" s="7">
        <f>VC_NEW!S46</f>
        <v>0</v>
      </c>
      <c r="Y90" s="7">
        <f>VC_NEW!T46</f>
        <v>0</v>
      </c>
      <c r="Z90" s="7">
        <f>VC_NEW!U46</f>
        <v>0</v>
      </c>
      <c r="AA90" s="7">
        <f>VC_NEW!V46</f>
        <v>0</v>
      </c>
      <c r="AB90" s="7">
        <f>VC_NEW!W46</f>
        <v>0</v>
      </c>
      <c r="AC90" s="7">
        <f>VC_NEW!X46</f>
        <v>0</v>
      </c>
      <c r="AD90" s="7">
        <f>VC_NEW!Y46</f>
        <v>0</v>
      </c>
      <c r="AE90" s="7">
        <f>VC_NEW!Z46</f>
        <v>0</v>
      </c>
      <c r="AF90" s="7">
        <f>VC_NEW!AA46</f>
        <v>0</v>
      </c>
      <c r="AG90" s="7">
        <f>VC_NEW!AB46</f>
        <v>0</v>
      </c>
      <c r="AH90" s="7">
        <f>VC_NEW!AC46</f>
        <v>0</v>
      </c>
      <c r="AI90" s="7">
        <f>VC_NEW!AD46</f>
        <v>0</v>
      </c>
      <c r="AJ90" s="7">
        <f>VC_NEW!AE46</f>
        <v>0</v>
      </c>
      <c r="AK90" s="7">
        <f>VC_NEW!AF46</f>
        <v>0</v>
      </c>
      <c r="AL90" s="7">
        <f>VC_NEW!AG46</f>
        <v>0</v>
      </c>
      <c r="AM90" s="7">
        <f>VC_NEW!AH46</f>
        <v>0</v>
      </c>
      <c r="AN90" s="7">
        <f>VC_NEW!AI46</f>
        <v>0</v>
      </c>
      <c r="AO90" s="7">
        <f>VC_NEW!AJ46</f>
        <v>0</v>
      </c>
      <c r="AP90" s="7">
        <f>VC_NEW!AK46</f>
        <v>0</v>
      </c>
      <c r="AQ90" s="7">
        <f>VC_NEW!AL46</f>
        <v>0</v>
      </c>
      <c r="AR90" s="7">
        <f>VC_NEW!AM46</f>
        <v>0</v>
      </c>
      <c r="AS90" s="7">
        <f>VC_NEW!AN46</f>
        <v>0</v>
      </c>
      <c r="AT90" s="7">
        <f>VC_NEW!AO46</f>
        <v>0</v>
      </c>
      <c r="AU90" s="7">
        <f>VC_NEW!AP46</f>
        <v>0</v>
      </c>
      <c r="AV90" s="7">
        <f>VC_NEW!AQ46</f>
        <v>0</v>
      </c>
      <c r="AW90" s="7">
        <f>VC_NEW!AR46</f>
        <v>0</v>
      </c>
      <c r="AX90" s="7">
        <f>VC_NEW!AS46</f>
        <v>0</v>
      </c>
      <c r="AY90" s="7">
        <f>VC_NEW!AT46</f>
        <v>0</v>
      </c>
      <c r="AZ90" s="7">
        <f>VC_NEW!AU46</f>
        <v>0</v>
      </c>
      <c r="BA90" s="7">
        <f>VC_NEW!AV46</f>
        <v>0</v>
      </c>
      <c r="BB90" s="7">
        <f>VC_NEW!AW46</f>
        <v>0</v>
      </c>
      <c r="BC90" s="7">
        <f>VC_NEW!AX46</f>
        <v>0</v>
      </c>
      <c r="BD90" s="7">
        <f>VC_NEW!AY46</f>
        <v>0</v>
      </c>
      <c r="BE90" s="7">
        <f>VC_NEW!AZ46</f>
        <v>0</v>
      </c>
      <c r="BF90" s="7">
        <f>VC_NEW!BA46</f>
        <v>0</v>
      </c>
      <c r="BG90" s="7">
        <f>VC_NEW!BB46</f>
        <v>0</v>
      </c>
      <c r="BH90" s="7">
        <f>VC_NEW!BC46</f>
        <v>0</v>
      </c>
      <c r="BI90" s="7">
        <f>VC_NEW!BD46</f>
        <v>0</v>
      </c>
      <c r="BJ90" s="7">
        <f>VC_NEW!BE46</f>
        <v>0</v>
      </c>
      <c r="BK90" s="7">
        <f>VC_NEW!BF46</f>
        <v>0</v>
      </c>
      <c r="BL90" s="7">
        <f>VC_NEW!BG46</f>
        <v>0</v>
      </c>
      <c r="BM90" s="7" t="str">
        <f>VC_NEW!BH46</f>
        <v>E215Q</v>
      </c>
      <c r="BN90" s="7">
        <f>VC_NEW!BI46</f>
        <v>0</v>
      </c>
      <c r="BO90" s="7">
        <f>VC_NEW!BJ46</f>
        <v>0</v>
      </c>
      <c r="BP90" s="7">
        <f>VC_NEW!BK46</f>
        <v>0</v>
      </c>
      <c r="BQ90" s="7">
        <f>VC_NEW!BL46</f>
        <v>0</v>
      </c>
      <c r="BR90" s="7">
        <f>VC_NEW!BM46</f>
        <v>0</v>
      </c>
      <c r="BS90" s="7">
        <f>VC_NEW!BN46</f>
        <v>0</v>
      </c>
      <c r="BT90" s="7">
        <f>VC_NEW!BO46</f>
        <v>0</v>
      </c>
      <c r="BU90" s="7">
        <f>VC_NEW!BP46</f>
        <v>0</v>
      </c>
      <c r="BV90" s="7">
        <f>VC_NEW!BQ46</f>
        <v>0</v>
      </c>
      <c r="BW90" s="7">
        <f>VC_NEW!BR46</f>
        <v>0</v>
      </c>
      <c r="BX90" s="7">
        <f>VC_NEW!BS46</f>
        <v>0</v>
      </c>
      <c r="BY90" s="7">
        <f>VC_NEW!BT46</f>
        <v>0</v>
      </c>
      <c r="BZ90" s="7">
        <f>VC_NEW!BU46</f>
        <v>0</v>
      </c>
      <c r="CA90" s="7">
        <f>VC_NEW!BV46</f>
        <v>0</v>
      </c>
      <c r="CB90" s="7">
        <f>VC_NEW!BW46</f>
        <v>0</v>
      </c>
      <c r="CC90" s="7">
        <f>VC_NEW!BX46</f>
        <v>0</v>
      </c>
      <c r="CD90" s="7">
        <f>VC_NEW!BY46</f>
        <v>0</v>
      </c>
      <c r="CE90" s="7">
        <f>VC_NEW!BZ46</f>
        <v>0</v>
      </c>
      <c r="CF90" s="7">
        <f>VC_NEW!CA46</f>
        <v>0</v>
      </c>
      <c r="CG90" s="7">
        <f>VC_NEW!CB46</f>
        <v>0</v>
      </c>
      <c r="CH90" s="7">
        <f>VC_NEW!CC46</f>
        <v>0</v>
      </c>
      <c r="CI90" s="7">
        <f>VC_NEW!CD46</f>
        <v>0</v>
      </c>
      <c r="CJ90" s="7">
        <f>VC_NEW!CE46</f>
        <v>0</v>
      </c>
      <c r="CK90" s="7">
        <f>VC_NEW!CF46</f>
        <v>0</v>
      </c>
      <c r="CL90" s="7">
        <f>VC_NEW!CG46</f>
        <v>0</v>
      </c>
      <c r="CM90" s="7">
        <f>VC_NEW!CH46</f>
        <v>0</v>
      </c>
      <c r="CN90" s="7">
        <f>VC_NEW!CI46</f>
        <v>0</v>
      </c>
      <c r="CO90" s="7" t="str">
        <f>VC_NEW!CJ46</f>
        <v>V629A</v>
      </c>
      <c r="CP90" s="7">
        <f>VC_NEW!CK46</f>
        <v>0</v>
      </c>
      <c r="CQ90" s="7">
        <f>VC_NEW!CL46</f>
        <v>0</v>
      </c>
      <c r="CR90" s="7">
        <f>VC_NEW!CM46</f>
        <v>0</v>
      </c>
      <c r="CS90" s="7">
        <f>VC_NEW!CN46</f>
        <v>0</v>
      </c>
      <c r="CT90" s="7">
        <f>VC_NEW!CO46</f>
        <v>0</v>
      </c>
      <c r="CU90" s="7">
        <f>VC_NEW!CP46</f>
        <v>0</v>
      </c>
      <c r="CV90" s="7">
        <f>VC_NEW!CQ46</f>
        <v>0</v>
      </c>
      <c r="CW90" s="7">
        <f>VC_NEW!CR46</f>
        <v>0</v>
      </c>
      <c r="CX90" s="7">
        <f>VC_NEW!CS46</f>
        <v>0</v>
      </c>
      <c r="CY90" s="7">
        <f>VC_NEW!CT46</f>
        <v>0</v>
      </c>
      <c r="CZ90" s="7">
        <f>VC_NEW!CU46</f>
        <v>0</v>
      </c>
      <c r="DA90" s="7">
        <f>VC_NEW!CV46</f>
        <v>0</v>
      </c>
      <c r="DB90" s="7">
        <f>VC_NEW!CW46</f>
        <v>0</v>
      </c>
      <c r="DC90" s="7">
        <f>VC_NEW!CX46</f>
        <v>0</v>
      </c>
      <c r="DD90" s="7">
        <f>VC_NEW!CY46</f>
        <v>0</v>
      </c>
      <c r="DE90" s="7" t="str">
        <f>VC_NEW!CZ46</f>
        <v>P511S</v>
      </c>
      <c r="DF90" s="7">
        <f>VC_NEW!DA46</f>
        <v>0</v>
      </c>
      <c r="DG90" s="7">
        <f>VC_NEW!DB46</f>
        <v>0</v>
      </c>
      <c r="DH90" s="7">
        <f>VC_NEW!DC46</f>
        <v>0</v>
      </c>
      <c r="DI90" s="7">
        <f>VC_NEW!DD46</f>
        <v>0</v>
      </c>
      <c r="DJ90" s="7">
        <f>VC_NEW!DE46</f>
        <v>0</v>
      </c>
      <c r="DK90" s="7" t="str">
        <f>VC_NEW!DF46</f>
        <v>E215Q</v>
      </c>
      <c r="DL90" s="7">
        <f>VC_NEW!DG46</f>
        <v>0</v>
      </c>
      <c r="DM90" s="7">
        <f>VC_NEW!DH46</f>
        <v>0</v>
      </c>
      <c r="DN90" s="7">
        <f>VC_NEW!DI46</f>
        <v>0</v>
      </c>
      <c r="DO90" s="7">
        <f>VC_NEW!DJ46</f>
        <v>0</v>
      </c>
      <c r="DP90" s="7">
        <f>VC_NEW!DK46</f>
        <v>0</v>
      </c>
      <c r="DQ90" s="7">
        <f>VC_NEW!DL46</f>
        <v>0</v>
      </c>
      <c r="DR90" s="7">
        <f>VC_NEW!DM46</f>
        <v>0</v>
      </c>
      <c r="DS90" s="7">
        <f>VC_NEW!DN46</f>
        <v>0</v>
      </c>
      <c r="DT90" s="7">
        <f>VC_NEW!DO46</f>
        <v>0</v>
      </c>
      <c r="DU90" s="7">
        <f>VC_NEW!DP46</f>
        <v>0</v>
      </c>
      <c r="DV90" s="7">
        <f>VC_NEW!DQ46</f>
        <v>0</v>
      </c>
      <c r="DW90" s="7">
        <f>VC_NEW!DR46</f>
        <v>0</v>
      </c>
      <c r="DX90" s="7">
        <f>VC_NEW!DS46</f>
        <v>0</v>
      </c>
      <c r="DY90" s="7">
        <f>VC_NEW!DT46</f>
        <v>0</v>
      </c>
      <c r="DZ90" s="7">
        <f>VC_NEW!DU46</f>
        <v>0</v>
      </c>
      <c r="EA90" s="7">
        <f>VC_NEW!DV46</f>
        <v>0</v>
      </c>
      <c r="EB90" s="7">
        <f>VC_NEW!DW46</f>
        <v>0</v>
      </c>
      <c r="EC90" s="7">
        <f>VC_NEW!DX46</f>
        <v>0</v>
      </c>
      <c r="ED90" s="7">
        <f>VC_NEW!DY46</f>
        <v>0</v>
      </c>
      <c r="EE90" s="7">
        <f>VC_NEW!DZ46</f>
        <v>0</v>
      </c>
      <c r="EF90" s="7">
        <f>VC_NEW!EA46</f>
        <v>0</v>
      </c>
      <c r="EG90" s="7">
        <f>VC_NEW!EB46</f>
        <v>0</v>
      </c>
      <c r="EH90" s="7">
        <f>VC_NEW!EC46</f>
        <v>0</v>
      </c>
      <c r="EI90" s="7">
        <f>VC_NEW!ED46</f>
        <v>0</v>
      </c>
      <c r="EJ90" s="7">
        <f>VC_NEW!EE46</f>
        <v>0</v>
      </c>
      <c r="EK90" s="7">
        <f>VC_NEW!EF46</f>
        <v>0</v>
      </c>
      <c r="EL90" s="7">
        <f>VC_NEW!EG46</f>
        <v>0</v>
      </c>
      <c r="EM90" s="7">
        <f>VC_NEW!EH46</f>
        <v>0</v>
      </c>
      <c r="EN90" s="7">
        <f>VC_NEW!EI46</f>
        <v>0</v>
      </c>
      <c r="EO90" s="7">
        <f>VC_NEW!EJ46</f>
        <v>0</v>
      </c>
      <c r="EP90" s="7">
        <f>VC_NEW!EK46</f>
        <v>0</v>
      </c>
      <c r="EQ90" s="7" t="str">
        <f>VC_NEW!EL46</f>
        <v>S457R</v>
      </c>
      <c r="ER90" s="7">
        <f>VC_NEW!EM46</f>
        <v>0</v>
      </c>
      <c r="ES90" s="7">
        <f>VC_NEW!EN46</f>
        <v>0</v>
      </c>
      <c r="ET90" s="7">
        <f>VC_NEW!EO46</f>
        <v>0</v>
      </c>
      <c r="EU90" s="7" t="str">
        <f>VC_NEW!EP46</f>
        <v>S457R</v>
      </c>
      <c r="EV90" s="7" t="str">
        <f>VC_NEW!EQ46</f>
        <v>E215Q</v>
      </c>
      <c r="EW90" s="7">
        <f>VC_NEW!ER46</f>
        <v>0</v>
      </c>
      <c r="EX90" s="7">
        <f>VC_NEW!ES46</f>
        <v>0</v>
      </c>
      <c r="EY90" s="7">
        <f>VC_NEW!ET46</f>
        <v>0</v>
      </c>
      <c r="EZ90" s="7">
        <f>VC_NEW!EU46</f>
        <v>0</v>
      </c>
      <c r="FA90" s="7">
        <f>VC_NEW!EV46</f>
        <v>0</v>
      </c>
      <c r="FB90" s="7">
        <f>VC_NEW!EW46</f>
        <v>0</v>
      </c>
      <c r="FC90" s="7" t="str">
        <f>VC_NEW!EX46</f>
        <v>E459K</v>
      </c>
      <c r="FD90" s="7">
        <f>VC_NEW!EY46</f>
        <v>0</v>
      </c>
      <c r="FE90" s="7" t="str">
        <f>VC_NEW!EZ46</f>
        <v>P438S</v>
      </c>
      <c r="FF90" s="7">
        <f>VC_NEW!FA46</f>
        <v>0</v>
      </c>
      <c r="FG90" s="7">
        <f>VC_NEW!FB46</f>
        <v>0</v>
      </c>
      <c r="FH90" s="7">
        <f>VC_NEW!FC46</f>
        <v>0</v>
      </c>
      <c r="FI90" s="7">
        <f>VC_NEW!FD46</f>
        <v>0</v>
      </c>
      <c r="FJ90" s="7">
        <f>VC_NEW!FE46</f>
        <v>0</v>
      </c>
      <c r="FK90" s="7">
        <f>VC_NEW!FF46</f>
        <v>0</v>
      </c>
      <c r="FL90" s="7">
        <f>VC_NEW!FG46</f>
        <v>0</v>
      </c>
      <c r="FM90" s="7">
        <f>VC_NEW!FH46</f>
        <v>0</v>
      </c>
      <c r="FN90" s="7">
        <f>VC_NEW!FI46</f>
        <v>0</v>
      </c>
      <c r="FO90" s="7">
        <f>VC_NEW!FJ46</f>
        <v>0</v>
      </c>
      <c r="FP90" s="7">
        <f>VC_NEW!FK46</f>
        <v>0</v>
      </c>
      <c r="FQ90" s="7">
        <f>VC_NEW!FL46</f>
        <v>0</v>
      </c>
      <c r="FR90" s="7">
        <f>VC_NEW!FM46</f>
        <v>0</v>
      </c>
      <c r="FS90" s="7">
        <f>VC_NEW!FN46</f>
        <v>0</v>
      </c>
      <c r="FT90" s="7">
        <f>VC_NEW!FO46</f>
        <v>0</v>
      </c>
      <c r="FU90" s="7">
        <f>VC_NEW!FP46</f>
        <v>0</v>
      </c>
      <c r="FV90" s="7">
        <f>VC_NEW!FQ46</f>
        <v>0</v>
      </c>
      <c r="FW90" s="7">
        <f>VC_NEW!FR46</f>
        <v>0</v>
      </c>
      <c r="FX90" s="7">
        <f>VC_NEW!FS46</f>
        <v>0</v>
      </c>
      <c r="FY90" s="7">
        <f>VC_NEW!FT46</f>
        <v>0</v>
      </c>
      <c r="FZ90" s="7">
        <f>VC_NEW!FU46</f>
        <v>0</v>
      </c>
      <c r="GA90" s="7">
        <f>VC_NEW!FV46</f>
        <v>0</v>
      </c>
      <c r="GB90" s="7">
        <f>VC_NEW!FW46</f>
        <v>0</v>
      </c>
      <c r="GC90" s="7" t="str">
        <f>VC_NEW!FX46</f>
        <v>I89T</v>
      </c>
      <c r="GD90" s="7">
        <f>VC_NEW!FY46</f>
        <v>0</v>
      </c>
      <c r="GE90" s="7">
        <f>VC_NEW!FZ46</f>
        <v>0</v>
      </c>
      <c r="GF90" s="7">
        <f>VC_NEW!GA46</f>
        <v>0</v>
      </c>
      <c r="GG90" s="7">
        <f>VC_NEW!GB46</f>
        <v>0</v>
      </c>
      <c r="GH90" s="7">
        <f>VC_NEW!GC46</f>
        <v>0</v>
      </c>
      <c r="GI90" s="7">
        <f>VC_NEW!GD46</f>
        <v>0</v>
      </c>
      <c r="GJ90" s="7">
        <f>VC_NEW!GE46</f>
        <v>0</v>
      </c>
      <c r="GK90" s="7">
        <f>VC_NEW!GF46</f>
        <v>0</v>
      </c>
      <c r="GL90" s="7">
        <f>VC_NEW!GG46</f>
        <v>0</v>
      </c>
      <c r="GM90" s="7">
        <f>VC_NEW!GH46</f>
        <v>0</v>
      </c>
      <c r="GN90" s="7">
        <f>VC_NEW!GI46</f>
        <v>0</v>
      </c>
      <c r="GO90" s="7">
        <f>VC_NEW!GJ46</f>
        <v>0</v>
      </c>
      <c r="GP90" s="7">
        <f>VC_NEW!GK46</f>
        <v>0</v>
      </c>
      <c r="GQ90" s="7">
        <f>VC_NEW!GL46</f>
        <v>0</v>
      </c>
      <c r="GR90" s="7">
        <f>VC_NEW!GM46</f>
        <v>0</v>
      </c>
      <c r="GS90" s="7" t="str">
        <f>VC_NEW!GN46</f>
        <v>A342V</v>
      </c>
      <c r="GT90" s="7">
        <f>VC_NEW!GO46</f>
        <v>0</v>
      </c>
      <c r="GU90" s="7">
        <f>VC_NEW!GP46</f>
        <v>0</v>
      </c>
      <c r="GV90" s="7">
        <f>VC_NEW!GQ46</f>
        <v>0</v>
      </c>
      <c r="GW90" s="7">
        <f>VC_NEW!GR46</f>
        <v>0</v>
      </c>
      <c r="GX90" s="7">
        <f>VC_NEW!GS46</f>
        <v>0</v>
      </c>
      <c r="GY90" s="7">
        <f>VC_NEW!GT46</f>
        <v>0</v>
      </c>
      <c r="GZ90" s="7">
        <f>VC_NEW!GU46</f>
        <v>0</v>
      </c>
      <c r="HA90" s="7">
        <f>VC_NEW!GV46</f>
        <v>0</v>
      </c>
      <c r="HB90" s="7">
        <f>VC_NEW!GW46</f>
        <v>0</v>
      </c>
      <c r="HC90" s="7">
        <f>VC_NEW!GX46</f>
        <v>0</v>
      </c>
    </row>
    <row r="91" spans="1:443" s="2" customFormat="1" ht="15" hidden="1" customHeight="1" x14ac:dyDescent="0.25">
      <c r="A91" s="2" t="s">
        <v>80</v>
      </c>
      <c r="B91" s="2" t="s">
        <v>59</v>
      </c>
      <c r="C91" s="4" t="s">
        <v>0</v>
      </c>
      <c r="D91" s="2" t="s">
        <v>76</v>
      </c>
      <c r="E91" s="2" t="s">
        <v>138</v>
      </c>
      <c r="F91" s="2" t="s">
        <v>74</v>
      </c>
      <c r="G91" s="2" t="s">
        <v>136</v>
      </c>
      <c r="H91" s="1">
        <f>VC_NEW!C49</f>
        <v>0</v>
      </c>
      <c r="I91" s="1">
        <f>VC_NEW!D49</f>
        <v>0</v>
      </c>
      <c r="J91" s="1">
        <f>VC_NEW!E49</f>
        <v>0</v>
      </c>
      <c r="K91" s="1">
        <f>VC_NEW!F49</f>
        <v>0</v>
      </c>
      <c r="L91" s="1">
        <f>VC_NEW!G49</f>
        <v>0</v>
      </c>
      <c r="M91" s="1" t="str">
        <f>VC_NEW!H49</f>
        <v>A262S</v>
      </c>
      <c r="N91" s="1">
        <f>VC_NEW!I49</f>
        <v>0</v>
      </c>
      <c r="O91" s="1">
        <f>VC_NEW!J49</f>
        <v>0</v>
      </c>
      <c r="P91" s="1">
        <f>VC_NEW!K49</f>
        <v>0</v>
      </c>
      <c r="Q91" s="1">
        <f>VC_NEW!L49</f>
        <v>0</v>
      </c>
      <c r="R91" s="1">
        <f>VC_NEW!M49</f>
        <v>0</v>
      </c>
      <c r="S91" s="1">
        <f>VC_NEW!N49</f>
        <v>0</v>
      </c>
      <c r="T91" s="1">
        <f>VC_NEW!O49</f>
        <v>0</v>
      </c>
      <c r="U91" s="1">
        <f>VC_NEW!P49</f>
        <v>0</v>
      </c>
      <c r="V91" s="1">
        <f>VC_NEW!Q49</f>
        <v>0</v>
      </c>
      <c r="W91" s="1">
        <f>VC_NEW!R49</f>
        <v>0</v>
      </c>
      <c r="X91" s="1">
        <f>VC_NEW!S49</f>
        <v>0</v>
      </c>
      <c r="Y91" s="1">
        <f>VC_NEW!T49</f>
        <v>0</v>
      </c>
      <c r="Z91" s="1">
        <f>VC_NEW!U49</f>
        <v>0</v>
      </c>
      <c r="AA91" s="1">
        <f>VC_NEW!V49</f>
        <v>0</v>
      </c>
      <c r="AB91" s="1">
        <f>VC_NEW!W49</f>
        <v>0</v>
      </c>
      <c r="AC91" s="1">
        <f>VC_NEW!X49</f>
        <v>0</v>
      </c>
      <c r="AD91" s="1">
        <f>VC_NEW!Y49</f>
        <v>0</v>
      </c>
      <c r="AE91" s="1">
        <f>VC_NEW!Z49</f>
        <v>0</v>
      </c>
      <c r="AF91" s="1">
        <f>VC_NEW!AA49</f>
        <v>0</v>
      </c>
      <c r="AG91" s="1">
        <f>VC_NEW!AB49</f>
        <v>0</v>
      </c>
      <c r="AH91" s="1">
        <f>VC_NEW!AC49</f>
        <v>0</v>
      </c>
      <c r="AI91" s="1">
        <f>VC_NEW!AD49</f>
        <v>0</v>
      </c>
      <c r="AJ91" s="1">
        <f>VC_NEW!AE49</f>
        <v>0</v>
      </c>
      <c r="AK91" s="1">
        <f>VC_NEW!AF49</f>
        <v>0</v>
      </c>
      <c r="AL91" s="1">
        <f>VC_NEW!AG49</f>
        <v>0</v>
      </c>
      <c r="AM91" s="1">
        <f>VC_NEW!AH49</f>
        <v>0</v>
      </c>
      <c r="AN91" s="1">
        <f>VC_NEW!AI49</f>
        <v>0</v>
      </c>
      <c r="AO91" s="1">
        <f>VC_NEW!AJ49</f>
        <v>0</v>
      </c>
      <c r="AP91" s="1" t="str">
        <f>VC_NEW!AK49</f>
        <v>R320C</v>
      </c>
      <c r="AQ91" s="1">
        <f>VC_NEW!AL49</f>
        <v>0</v>
      </c>
      <c r="AR91" s="1">
        <f>VC_NEW!AM49</f>
        <v>0</v>
      </c>
      <c r="AS91" s="1">
        <f>VC_NEW!AN49</f>
        <v>0</v>
      </c>
      <c r="AT91" s="1">
        <f>VC_NEW!AO49</f>
        <v>0</v>
      </c>
      <c r="AU91" s="1">
        <f>VC_NEW!AP49</f>
        <v>0</v>
      </c>
      <c r="AV91" s="1">
        <f>VC_NEW!AQ49</f>
        <v>0</v>
      </c>
      <c r="AW91" s="1">
        <f>VC_NEW!AR49</f>
        <v>0</v>
      </c>
      <c r="AX91" s="1">
        <f>VC_NEW!AS49</f>
        <v>0</v>
      </c>
      <c r="AY91" s="1">
        <f>VC_NEW!AT49</f>
        <v>0</v>
      </c>
      <c r="AZ91" s="1">
        <f>VC_NEW!AU49</f>
        <v>0</v>
      </c>
      <c r="BA91" s="1" t="str">
        <f>VC_NEW!AV49</f>
        <v>V266M</v>
      </c>
      <c r="BB91" s="1">
        <f>VC_NEW!AW49</f>
        <v>0</v>
      </c>
      <c r="BC91" s="1" t="str">
        <f>VC_NEW!AX49</f>
        <v>V266M</v>
      </c>
      <c r="BD91" s="1">
        <f>VC_NEW!AY49</f>
        <v>0</v>
      </c>
      <c r="BE91" s="1">
        <f>VC_NEW!AZ49</f>
        <v>0</v>
      </c>
      <c r="BF91" s="1">
        <f>VC_NEW!BA49</f>
        <v>0</v>
      </c>
      <c r="BG91" s="1">
        <f>VC_NEW!BB49</f>
        <v>0</v>
      </c>
      <c r="BH91" s="1">
        <f>VC_NEW!BC49</f>
        <v>0</v>
      </c>
      <c r="BI91" s="1" t="str">
        <f>VC_NEW!BD49</f>
        <v>V266M</v>
      </c>
      <c r="BJ91" s="1">
        <f>VC_NEW!BE49</f>
        <v>0</v>
      </c>
      <c r="BK91" s="1">
        <f>VC_NEW!BF49</f>
        <v>0</v>
      </c>
      <c r="BL91" s="1">
        <f>VC_NEW!BG49</f>
        <v>0</v>
      </c>
      <c r="BM91" s="1" t="str">
        <f>VC_NEW!BH49</f>
        <v>D159N</v>
      </c>
      <c r="BN91" s="1">
        <f>VC_NEW!BI49</f>
        <v>0</v>
      </c>
      <c r="BO91" s="1">
        <f>VC_NEW!BJ49</f>
        <v>0</v>
      </c>
      <c r="BP91" s="1">
        <f>VC_NEW!BK49</f>
        <v>0</v>
      </c>
      <c r="BQ91" s="1">
        <f>VC_NEW!BL49</f>
        <v>0</v>
      </c>
      <c r="BR91" s="1">
        <f>VC_NEW!BM49</f>
        <v>0</v>
      </c>
      <c r="BS91" s="1" t="str">
        <f>VC_NEW!BN49</f>
        <v>V266M</v>
      </c>
      <c r="BT91" s="1" t="str">
        <f>VC_NEW!BO49</f>
        <v>A262S</v>
      </c>
      <c r="BU91" s="1">
        <f>VC_NEW!BP49</f>
        <v>0</v>
      </c>
      <c r="BV91" s="1">
        <f>VC_NEW!BQ49</f>
        <v>0</v>
      </c>
      <c r="BW91" s="1">
        <f>VC_NEW!BR49</f>
        <v>0</v>
      </c>
      <c r="BX91" s="1">
        <f>VC_NEW!BS49</f>
        <v>0</v>
      </c>
      <c r="BY91" s="1">
        <f>VC_NEW!BT49</f>
        <v>0</v>
      </c>
      <c r="BZ91" s="1" t="str">
        <f>VC_NEW!BU49</f>
        <v>A87T</v>
      </c>
      <c r="CA91" s="1">
        <f>VC_NEW!BV49</f>
        <v>0</v>
      </c>
      <c r="CB91" s="1">
        <f>VC_NEW!BW49</f>
        <v>0</v>
      </c>
      <c r="CC91" s="1">
        <f>VC_NEW!BX49</f>
        <v>0</v>
      </c>
      <c r="CD91" s="1" t="str">
        <f>VC_NEW!BY49</f>
        <v>V266M</v>
      </c>
      <c r="CE91" s="1">
        <f>VC_NEW!BZ49</f>
        <v>0</v>
      </c>
      <c r="CF91" s="1">
        <f>VC_NEW!CA49</f>
        <v>0</v>
      </c>
      <c r="CG91" s="1">
        <f>VC_NEW!CB49</f>
        <v>0</v>
      </c>
      <c r="CH91" s="1">
        <f>VC_NEW!CC49</f>
        <v>0</v>
      </c>
      <c r="CI91" s="1">
        <f>VC_NEW!CD49</f>
        <v>0</v>
      </c>
      <c r="CJ91" s="1" t="str">
        <f>VC_NEW!CE49</f>
        <v>V266M</v>
      </c>
      <c r="CK91" s="1" t="str">
        <f>VC_NEW!CF49</f>
        <v>V266M</v>
      </c>
      <c r="CL91" s="1">
        <f>VC_NEW!CG49</f>
        <v>0</v>
      </c>
      <c r="CM91" s="1">
        <f>VC_NEW!CH49</f>
        <v>0</v>
      </c>
      <c r="CN91" s="1">
        <f>VC_NEW!CI49</f>
        <v>0</v>
      </c>
      <c r="CO91" s="1">
        <f>VC_NEW!CJ49</f>
        <v>0</v>
      </c>
      <c r="CP91" s="1" t="str">
        <f>VC_NEW!CK49</f>
        <v>V266M</v>
      </c>
      <c r="CQ91" s="1" t="str">
        <f>VC_NEW!CL49</f>
        <v>V266M</v>
      </c>
      <c r="CR91" s="1">
        <f>VC_NEW!CM49</f>
        <v>0</v>
      </c>
      <c r="CS91" s="1">
        <f>VC_NEW!CN49</f>
        <v>0</v>
      </c>
      <c r="CT91" s="1">
        <f>VC_NEW!CO49</f>
        <v>0</v>
      </c>
      <c r="CU91" s="1">
        <f>VC_NEW!CP49</f>
        <v>0</v>
      </c>
      <c r="CV91" s="1">
        <f>VC_NEW!CQ49</f>
        <v>0</v>
      </c>
      <c r="CW91" s="1">
        <f>VC_NEW!CR49</f>
        <v>0</v>
      </c>
      <c r="CX91" s="1">
        <f>VC_NEW!CS49</f>
        <v>0</v>
      </c>
      <c r="CY91" s="1">
        <f>VC_NEW!CT49</f>
        <v>0</v>
      </c>
      <c r="CZ91" s="1">
        <f>VC_NEW!CU49</f>
        <v>0</v>
      </c>
      <c r="DA91" s="1">
        <f>VC_NEW!CV49</f>
        <v>0</v>
      </c>
      <c r="DB91" s="1">
        <f>VC_NEW!CW49</f>
        <v>0</v>
      </c>
      <c r="DC91" s="1">
        <f>VC_NEW!CX49</f>
        <v>0</v>
      </c>
      <c r="DD91" s="1">
        <f>VC_NEW!CY49</f>
        <v>0</v>
      </c>
      <c r="DE91" s="1">
        <f>VC_NEW!CZ49</f>
        <v>0</v>
      </c>
      <c r="DF91" s="1">
        <f>VC_NEW!DA49</f>
        <v>0</v>
      </c>
      <c r="DG91" s="1">
        <f>VC_NEW!DB49</f>
        <v>0</v>
      </c>
      <c r="DH91" s="1" t="str">
        <f>VC_NEW!DC49</f>
        <v>S184G</v>
      </c>
      <c r="DI91" s="1">
        <f>VC_NEW!DD49</f>
        <v>0</v>
      </c>
      <c r="DJ91" s="1">
        <f>VC_NEW!DE49</f>
        <v>0</v>
      </c>
      <c r="DK91" s="1" t="str">
        <f>VC_NEW!DF49</f>
        <v>A262S</v>
      </c>
      <c r="DL91" s="1">
        <f>VC_NEW!DG49</f>
        <v>0</v>
      </c>
      <c r="DM91" s="1">
        <f>VC_NEW!DH49</f>
        <v>0</v>
      </c>
      <c r="DN91" s="1">
        <f>VC_NEW!DI49</f>
        <v>0</v>
      </c>
      <c r="DO91" s="1">
        <f>VC_NEW!DJ49</f>
        <v>0</v>
      </c>
      <c r="DP91" s="1">
        <f>VC_NEW!DK49</f>
        <v>0</v>
      </c>
      <c r="DQ91" s="1">
        <f>VC_NEW!DL49</f>
        <v>0</v>
      </c>
      <c r="DR91" s="1">
        <f>VC_NEW!DM49</f>
        <v>0</v>
      </c>
      <c r="DS91" s="1">
        <f>VC_NEW!DN49</f>
        <v>0</v>
      </c>
      <c r="DT91" s="1">
        <f>VC_NEW!DO49</f>
        <v>0</v>
      </c>
      <c r="DU91" s="1" t="str">
        <f>VC_NEW!DP49</f>
        <v>V266M</v>
      </c>
      <c r="DV91" s="1">
        <f>VC_NEW!DQ49</f>
        <v>0</v>
      </c>
      <c r="DW91" s="1" t="str">
        <f>VC_NEW!DR49</f>
        <v>V266M</v>
      </c>
      <c r="DX91" s="1">
        <f>VC_NEW!DS49</f>
        <v>0</v>
      </c>
      <c r="DY91" s="1">
        <f>VC_NEW!DT49</f>
        <v>0</v>
      </c>
      <c r="DZ91" s="1">
        <f>VC_NEW!DU49</f>
        <v>0</v>
      </c>
      <c r="EA91" s="1" t="str">
        <f>VC_NEW!DV49</f>
        <v>V266M</v>
      </c>
      <c r="EB91" s="1">
        <f>VC_NEW!DW49</f>
        <v>0</v>
      </c>
      <c r="EC91" s="1">
        <f>VC_NEW!DX49</f>
        <v>0</v>
      </c>
      <c r="ED91" s="1">
        <f>VC_NEW!DY49</f>
        <v>0</v>
      </c>
      <c r="EE91" s="1" t="str">
        <f>VC_NEW!DZ49</f>
        <v>V266M</v>
      </c>
      <c r="EF91" s="1">
        <f>VC_NEW!EA49</f>
        <v>0</v>
      </c>
      <c r="EG91" s="1">
        <f>VC_NEW!EB49</f>
        <v>0</v>
      </c>
      <c r="EH91" s="1">
        <f>VC_NEW!EC49</f>
        <v>0</v>
      </c>
      <c r="EI91" s="1">
        <f>VC_NEW!ED49</f>
        <v>0</v>
      </c>
      <c r="EJ91" s="1">
        <f>VC_NEW!EE49</f>
        <v>0</v>
      </c>
      <c r="EK91" s="1" t="str">
        <f>VC_NEW!EF49</f>
        <v>S184G</v>
      </c>
      <c r="EL91" s="1">
        <f>VC_NEW!EG49</f>
        <v>0</v>
      </c>
      <c r="EM91" s="1">
        <f>VC_NEW!EH49</f>
        <v>0</v>
      </c>
      <c r="EN91" s="1">
        <f>VC_NEW!EI49</f>
        <v>0</v>
      </c>
      <c r="EO91" s="1">
        <f>VC_NEW!EJ49</f>
        <v>0</v>
      </c>
      <c r="EP91" s="1">
        <f>VC_NEW!EK49</f>
        <v>0</v>
      </c>
      <c r="EQ91" s="1">
        <f>VC_NEW!EL49</f>
        <v>0</v>
      </c>
      <c r="ER91" s="1">
        <f>VC_NEW!EM49</f>
        <v>0</v>
      </c>
      <c r="ES91" s="1">
        <f>VC_NEW!EN49</f>
        <v>0</v>
      </c>
      <c r="ET91" s="1">
        <f>VC_NEW!EO49</f>
        <v>0</v>
      </c>
      <c r="EU91" s="1">
        <f>VC_NEW!EP49</f>
        <v>0</v>
      </c>
      <c r="EV91" s="1" t="str">
        <f>VC_NEW!EQ49</f>
        <v>A262S</v>
      </c>
      <c r="EW91" s="1" t="str">
        <f>VC_NEW!ER49</f>
        <v>V247I; V362I</v>
      </c>
      <c r="EX91" s="1">
        <f>VC_NEW!ES49</f>
        <v>0</v>
      </c>
      <c r="EY91" s="1">
        <f>VC_NEW!ET49</f>
        <v>0</v>
      </c>
      <c r="EZ91" s="1">
        <f>VC_NEW!EU49</f>
        <v>0</v>
      </c>
      <c r="FA91" s="1">
        <f>VC_NEW!EV49</f>
        <v>0</v>
      </c>
      <c r="FB91" s="1">
        <f>VC_NEW!EW49</f>
        <v>0</v>
      </c>
      <c r="FC91" s="1">
        <f>VC_NEW!EX49</f>
        <v>0</v>
      </c>
      <c r="FD91" s="1">
        <f>VC_NEW!EY49</f>
        <v>0</v>
      </c>
      <c r="FE91" s="1">
        <f>VC_NEW!EZ49</f>
        <v>0</v>
      </c>
      <c r="FF91" s="1">
        <f>VC_NEW!FA49</f>
        <v>0</v>
      </c>
      <c r="FG91" s="1" t="str">
        <f>VC_NEW!FB49</f>
        <v>G190S</v>
      </c>
      <c r="FH91" s="1">
        <f>VC_NEW!FC49</f>
        <v>0</v>
      </c>
      <c r="FI91" s="1">
        <f>VC_NEW!FD49</f>
        <v>0</v>
      </c>
      <c r="FJ91" s="1">
        <f>VC_NEW!FE49</f>
        <v>0</v>
      </c>
      <c r="FK91" s="1">
        <f>VC_NEW!FF49</f>
        <v>0</v>
      </c>
      <c r="FL91" s="1">
        <f>VC_NEW!FG49</f>
        <v>0</v>
      </c>
      <c r="FM91" s="1">
        <f>VC_NEW!FH49</f>
        <v>0</v>
      </c>
      <c r="FN91" s="1">
        <f>VC_NEW!FI49</f>
        <v>0</v>
      </c>
      <c r="FO91" s="1" t="str">
        <f>VC_NEW!FJ49</f>
        <v>V266M</v>
      </c>
      <c r="FP91" s="1">
        <f>VC_NEW!FK49</f>
        <v>0</v>
      </c>
      <c r="FQ91" s="1" t="str">
        <f>VC_NEW!FL49</f>
        <v>V266M</v>
      </c>
      <c r="FR91" s="1">
        <f>VC_NEW!FM49</f>
        <v>0</v>
      </c>
      <c r="FS91" s="1" t="str">
        <f>VC_NEW!FN49</f>
        <v>G134D</v>
      </c>
      <c r="FT91" s="1">
        <f>VC_NEW!FO49</f>
        <v>0</v>
      </c>
      <c r="FU91" s="1">
        <f>VC_NEW!FP49</f>
        <v>0</v>
      </c>
      <c r="FV91" s="1">
        <f>VC_NEW!FQ49</f>
        <v>0</v>
      </c>
      <c r="FW91" s="1" t="str">
        <f>VC_NEW!FR49</f>
        <v>G190S</v>
      </c>
      <c r="FX91" s="1">
        <f>VC_NEW!FS49</f>
        <v>0</v>
      </c>
      <c r="FY91" s="1">
        <f>VC_NEW!FT49</f>
        <v>0</v>
      </c>
      <c r="FZ91" s="1">
        <f>VC_NEW!FU49</f>
        <v>0</v>
      </c>
      <c r="GA91" s="1" t="str">
        <f>VC_NEW!FV49</f>
        <v>V266M</v>
      </c>
      <c r="GB91" s="1">
        <f>VC_NEW!FW49</f>
        <v>0</v>
      </c>
      <c r="GC91" s="1">
        <f>VC_NEW!FX49</f>
        <v>0</v>
      </c>
      <c r="GD91" s="1">
        <f>VC_NEW!FY49</f>
        <v>0</v>
      </c>
      <c r="GE91" s="1">
        <f>VC_NEW!FZ49</f>
        <v>0</v>
      </c>
      <c r="GF91" s="1">
        <f>VC_NEW!GA49</f>
        <v>0</v>
      </c>
      <c r="GG91" s="1">
        <f>VC_NEW!GB49</f>
        <v>0</v>
      </c>
      <c r="GH91" s="1">
        <f>VC_NEW!GC49</f>
        <v>0</v>
      </c>
      <c r="GI91" s="1">
        <f>VC_NEW!GD49</f>
        <v>0</v>
      </c>
      <c r="GJ91" s="1">
        <f>VC_NEW!GE49</f>
        <v>0</v>
      </c>
      <c r="GK91" s="1">
        <f>VC_NEW!GF49</f>
        <v>0</v>
      </c>
      <c r="GL91" s="1">
        <f>VC_NEW!GG49</f>
        <v>0</v>
      </c>
      <c r="GM91" s="1" t="str">
        <f>VC_NEW!GH49</f>
        <v>V266M</v>
      </c>
      <c r="GN91" s="1">
        <f>VC_NEW!GI49</f>
        <v>0</v>
      </c>
      <c r="GO91" s="1">
        <f>VC_NEW!GJ49</f>
        <v>0</v>
      </c>
      <c r="GP91" s="1">
        <f>VC_NEW!GK49</f>
        <v>0</v>
      </c>
      <c r="GQ91" s="1">
        <f>VC_NEW!GL49</f>
        <v>0</v>
      </c>
      <c r="GR91" s="1">
        <f>VC_NEW!GM49</f>
        <v>0</v>
      </c>
      <c r="GS91" s="1">
        <f>VC_NEW!GN49</f>
        <v>0</v>
      </c>
      <c r="GT91" s="1">
        <f>VC_NEW!GO49</f>
        <v>0</v>
      </c>
      <c r="GU91" s="1" t="str">
        <f>VC_NEW!GP49</f>
        <v>H182Y</v>
      </c>
      <c r="GV91" s="1">
        <f>VC_NEW!GQ49</f>
        <v>0</v>
      </c>
      <c r="GW91" s="1">
        <f>VC_NEW!GR49</f>
        <v>0</v>
      </c>
      <c r="GX91" s="1" t="str">
        <f>VC_NEW!GS49</f>
        <v>A262S</v>
      </c>
      <c r="GY91" s="1">
        <f>VC_NEW!GT49</f>
        <v>0</v>
      </c>
      <c r="GZ91" s="1">
        <f>VC_NEW!GU49</f>
        <v>0</v>
      </c>
      <c r="HA91" s="1">
        <f>VC_NEW!GV49</f>
        <v>0</v>
      </c>
      <c r="HB91" s="1" t="str">
        <f>VC_NEW!GW49</f>
        <v>V266M</v>
      </c>
      <c r="HC91" s="1">
        <f>VC_NEW!GX49</f>
        <v>0</v>
      </c>
    </row>
    <row r="92" spans="1:443" s="7" customFormat="1" ht="15" customHeight="1" x14ac:dyDescent="0.25">
      <c r="A92" s="7" t="s">
        <v>37</v>
      </c>
      <c r="B92" s="7" t="s">
        <v>38</v>
      </c>
      <c r="C92" s="8" t="s">
        <v>1</v>
      </c>
      <c r="D92" s="7" t="s">
        <v>76</v>
      </c>
      <c r="E92" s="7" t="s">
        <v>139</v>
      </c>
      <c r="F92" s="7" t="s">
        <v>74</v>
      </c>
      <c r="G92" s="7" t="s">
        <v>136</v>
      </c>
      <c r="H92" s="7">
        <f>VC_NEW!C50</f>
        <v>0</v>
      </c>
      <c r="I92" s="7">
        <f>VC_NEW!D50</f>
        <v>0</v>
      </c>
      <c r="J92" s="7">
        <f>VC_NEW!E50</f>
        <v>0</v>
      </c>
      <c r="K92" s="7">
        <f>VC_NEW!F50</f>
        <v>0</v>
      </c>
      <c r="L92" s="7">
        <f>VC_NEW!G50</f>
        <v>0</v>
      </c>
      <c r="M92" s="7">
        <f>VC_NEW!H50</f>
        <v>0</v>
      </c>
      <c r="N92" s="7">
        <f>VC_NEW!I50</f>
        <v>0</v>
      </c>
      <c r="O92" s="7">
        <f>VC_NEW!J50</f>
        <v>0</v>
      </c>
      <c r="P92" s="7">
        <f>VC_NEW!K50</f>
        <v>0</v>
      </c>
      <c r="Q92" s="7">
        <f>VC_NEW!L50</f>
        <v>0</v>
      </c>
      <c r="R92" s="7">
        <f>VC_NEW!M50</f>
        <v>0</v>
      </c>
      <c r="S92" s="7">
        <f>VC_NEW!N50</f>
        <v>0</v>
      </c>
      <c r="T92" s="7">
        <f>VC_NEW!O50</f>
        <v>0</v>
      </c>
      <c r="U92" s="7">
        <f>VC_NEW!P50</f>
        <v>0</v>
      </c>
      <c r="V92" s="7">
        <f>VC_NEW!Q50</f>
        <v>0</v>
      </c>
      <c r="W92" s="7">
        <f>VC_NEW!R50</f>
        <v>0</v>
      </c>
      <c r="X92" s="7">
        <f>VC_NEW!S50</f>
        <v>0</v>
      </c>
      <c r="Y92" s="7">
        <f>VC_NEW!T50</f>
        <v>0</v>
      </c>
      <c r="Z92" s="7">
        <f>VC_NEW!U50</f>
        <v>0</v>
      </c>
      <c r="AA92" s="7">
        <f>VC_NEW!V50</f>
        <v>0</v>
      </c>
      <c r="AB92" s="7">
        <f>VC_NEW!W50</f>
        <v>0</v>
      </c>
      <c r="AC92" s="7">
        <f>VC_NEW!X50</f>
        <v>0</v>
      </c>
      <c r="AD92" s="7">
        <f>VC_NEW!Y50</f>
        <v>0</v>
      </c>
      <c r="AE92" s="7">
        <f>VC_NEW!Z50</f>
        <v>0</v>
      </c>
      <c r="AF92" s="7">
        <f>VC_NEW!AA50</f>
        <v>0</v>
      </c>
      <c r="AG92" s="7">
        <f>VC_NEW!AB50</f>
        <v>0</v>
      </c>
      <c r="AH92" s="7" t="str">
        <f>VC_NEW!AC50</f>
        <v>P116S</v>
      </c>
      <c r="AI92" s="7">
        <f>VC_NEW!AD50</f>
        <v>0</v>
      </c>
      <c r="AJ92" s="7">
        <f>VC_NEW!AE50</f>
        <v>0</v>
      </c>
      <c r="AK92" s="7">
        <f>VC_NEW!AF50</f>
        <v>0</v>
      </c>
      <c r="AL92" s="7">
        <f>VC_NEW!AG50</f>
        <v>0</v>
      </c>
      <c r="AM92" s="7">
        <f>VC_NEW!AH50</f>
        <v>0</v>
      </c>
      <c r="AN92" s="7">
        <f>VC_NEW!AI50</f>
        <v>0</v>
      </c>
      <c r="AO92" s="7">
        <f>VC_NEW!AJ50</f>
        <v>0</v>
      </c>
      <c r="AP92" s="7">
        <f>VC_NEW!AK50</f>
        <v>0</v>
      </c>
      <c r="AQ92" s="7">
        <f>VC_NEW!AL50</f>
        <v>0</v>
      </c>
      <c r="AR92" s="7">
        <f>VC_NEW!AM50</f>
        <v>0</v>
      </c>
      <c r="AS92" s="7">
        <f>VC_NEW!AN50</f>
        <v>0</v>
      </c>
      <c r="AT92" s="7">
        <f>VC_NEW!AO50</f>
        <v>0</v>
      </c>
      <c r="AU92" s="7">
        <f>VC_NEW!AP50</f>
        <v>0</v>
      </c>
      <c r="AV92" s="7">
        <f>VC_NEW!AQ50</f>
        <v>0</v>
      </c>
      <c r="AW92" s="7">
        <f>VC_NEW!AR50</f>
        <v>0</v>
      </c>
      <c r="AX92" s="7">
        <f>VC_NEW!AS50</f>
        <v>0</v>
      </c>
      <c r="AY92" s="7">
        <f>VC_NEW!AT50</f>
        <v>0</v>
      </c>
      <c r="AZ92" s="7">
        <f>VC_NEW!AU50</f>
        <v>0</v>
      </c>
      <c r="BA92" s="7">
        <f>VC_NEW!AV50</f>
        <v>0</v>
      </c>
      <c r="BB92" s="7">
        <f>VC_NEW!AW50</f>
        <v>0</v>
      </c>
      <c r="BC92" s="7">
        <f>VC_NEW!AX50</f>
        <v>0</v>
      </c>
      <c r="BD92" s="7">
        <f>VC_NEW!AY50</f>
        <v>0</v>
      </c>
      <c r="BE92" s="7">
        <f>VC_NEW!AZ50</f>
        <v>0</v>
      </c>
      <c r="BF92" s="7">
        <f>VC_NEW!BA50</f>
        <v>0</v>
      </c>
      <c r="BG92" s="7">
        <f>VC_NEW!BB50</f>
        <v>0</v>
      </c>
      <c r="BH92" s="7">
        <f>VC_NEW!BC50</f>
        <v>0</v>
      </c>
      <c r="BI92" s="7">
        <f>VC_NEW!BD50</f>
        <v>0</v>
      </c>
      <c r="BJ92" s="7">
        <f>VC_NEW!BE50</f>
        <v>0</v>
      </c>
      <c r="BK92" s="7">
        <f>VC_NEW!BF50</f>
        <v>0</v>
      </c>
      <c r="BL92" s="7">
        <f>VC_NEW!BG50</f>
        <v>0</v>
      </c>
      <c r="BM92" s="7">
        <f>VC_NEW!BH50</f>
        <v>0</v>
      </c>
      <c r="BN92" s="7">
        <f>VC_NEW!BI50</f>
        <v>0</v>
      </c>
      <c r="BO92" s="7">
        <f>VC_NEW!BJ50</f>
        <v>0</v>
      </c>
      <c r="BP92" s="7">
        <f>VC_NEW!BK50</f>
        <v>0</v>
      </c>
      <c r="BQ92" s="7">
        <f>VC_NEW!BL50</f>
        <v>0</v>
      </c>
      <c r="BR92" s="7">
        <f>VC_NEW!BM50</f>
        <v>0</v>
      </c>
      <c r="BS92" s="7">
        <f>VC_NEW!BN50</f>
        <v>0</v>
      </c>
      <c r="BT92" s="7">
        <f>VC_NEW!BO50</f>
        <v>0</v>
      </c>
      <c r="BU92" s="7">
        <f>VC_NEW!BP50</f>
        <v>0</v>
      </c>
      <c r="BV92" s="7">
        <f>VC_NEW!BQ50</f>
        <v>0</v>
      </c>
      <c r="BW92" s="7">
        <f>VC_NEW!BR50</f>
        <v>0</v>
      </c>
      <c r="BX92" s="7">
        <f>VC_NEW!BS50</f>
        <v>0</v>
      </c>
      <c r="BY92" s="7">
        <f>VC_NEW!BT50</f>
        <v>0</v>
      </c>
      <c r="BZ92" s="7">
        <f>VC_NEW!BU50</f>
        <v>0</v>
      </c>
      <c r="CA92" s="7">
        <f>VC_NEW!BV50</f>
        <v>0</v>
      </c>
      <c r="CB92" s="7">
        <f>VC_NEW!BW50</f>
        <v>0</v>
      </c>
      <c r="CC92" s="7">
        <f>VC_NEW!BX50</f>
        <v>0</v>
      </c>
      <c r="CD92" s="7">
        <f>VC_NEW!BY50</f>
        <v>0</v>
      </c>
      <c r="CE92" s="7">
        <f>VC_NEW!BZ50</f>
        <v>0</v>
      </c>
      <c r="CF92" s="7">
        <f>VC_NEW!CA50</f>
        <v>0</v>
      </c>
      <c r="CG92" s="7">
        <f>VC_NEW!CB50</f>
        <v>0</v>
      </c>
      <c r="CH92" s="7">
        <f>VC_NEW!CC50</f>
        <v>0</v>
      </c>
      <c r="CI92" s="7">
        <f>VC_NEW!CD50</f>
        <v>0</v>
      </c>
      <c r="CJ92" s="7">
        <f>VC_NEW!CE50</f>
        <v>0</v>
      </c>
      <c r="CK92" s="7">
        <f>VC_NEW!CF50</f>
        <v>0</v>
      </c>
      <c r="CL92" s="7">
        <f>VC_NEW!CG50</f>
        <v>0</v>
      </c>
      <c r="CM92" s="7">
        <f>VC_NEW!CH50</f>
        <v>0</v>
      </c>
      <c r="CN92" s="7">
        <f>VC_NEW!CI50</f>
        <v>0</v>
      </c>
      <c r="CO92" s="7">
        <f>VC_NEW!CJ50</f>
        <v>0</v>
      </c>
      <c r="CP92" s="7">
        <f>VC_NEW!CK50</f>
        <v>0</v>
      </c>
      <c r="CQ92" s="7">
        <f>VC_NEW!CL50</f>
        <v>0</v>
      </c>
      <c r="CR92" s="7">
        <f>VC_NEW!CM50</f>
        <v>0</v>
      </c>
      <c r="CS92" s="7">
        <f>VC_NEW!CN50</f>
        <v>0</v>
      </c>
      <c r="CT92" s="7">
        <f>VC_NEW!CO50</f>
        <v>0</v>
      </c>
      <c r="CU92" s="7">
        <f>VC_NEW!CP50</f>
        <v>0</v>
      </c>
      <c r="CV92" s="7">
        <f>VC_NEW!CQ50</f>
        <v>0</v>
      </c>
      <c r="CW92" s="7">
        <f>VC_NEW!CR50</f>
        <v>0</v>
      </c>
      <c r="CX92" s="7">
        <f>VC_NEW!CS50</f>
        <v>0</v>
      </c>
      <c r="CY92" s="7">
        <f>VC_NEW!CT50</f>
        <v>0</v>
      </c>
      <c r="CZ92" s="7">
        <f>VC_NEW!CU50</f>
        <v>0</v>
      </c>
      <c r="DA92" s="7">
        <f>VC_NEW!CV50</f>
        <v>0</v>
      </c>
      <c r="DB92" s="7">
        <f>VC_NEW!CW50</f>
        <v>0</v>
      </c>
      <c r="DC92" s="7">
        <f>VC_NEW!CX50</f>
        <v>0</v>
      </c>
      <c r="DD92" s="7">
        <f>VC_NEW!CY50</f>
        <v>0</v>
      </c>
      <c r="DE92" s="7">
        <f>VC_NEW!CZ50</f>
        <v>0</v>
      </c>
      <c r="DF92" s="7">
        <f>VC_NEW!DA50</f>
        <v>0</v>
      </c>
      <c r="DG92" s="7">
        <f>VC_NEW!DB50</f>
        <v>0</v>
      </c>
      <c r="DH92" s="7">
        <f>VC_NEW!DC50</f>
        <v>0</v>
      </c>
      <c r="DI92" s="7">
        <f>VC_NEW!DD50</f>
        <v>0</v>
      </c>
      <c r="DJ92" s="7">
        <f>VC_NEW!DE50</f>
        <v>0</v>
      </c>
      <c r="DK92" s="7">
        <f>VC_NEW!DF50</f>
        <v>0</v>
      </c>
      <c r="DL92" s="7">
        <f>VC_NEW!DG50</f>
        <v>0</v>
      </c>
      <c r="DM92" s="7">
        <f>VC_NEW!DH50</f>
        <v>0</v>
      </c>
      <c r="DN92" s="7">
        <f>VC_NEW!DI50</f>
        <v>0</v>
      </c>
      <c r="DO92" s="7">
        <f>VC_NEW!DJ50</f>
        <v>0</v>
      </c>
      <c r="DP92" s="7">
        <f>VC_NEW!DK50</f>
        <v>0</v>
      </c>
      <c r="DQ92" s="7">
        <f>VC_NEW!DL50</f>
        <v>0</v>
      </c>
      <c r="DR92" s="7">
        <f>VC_NEW!DM50</f>
        <v>0</v>
      </c>
      <c r="DS92" s="7">
        <f>VC_NEW!DN50</f>
        <v>0</v>
      </c>
      <c r="DT92" s="7">
        <f>VC_NEW!DO50</f>
        <v>0</v>
      </c>
      <c r="DU92" s="7">
        <f>VC_NEW!DP50</f>
        <v>0</v>
      </c>
      <c r="DV92" s="7">
        <f>VC_NEW!DQ50</f>
        <v>0</v>
      </c>
      <c r="DW92" s="7">
        <f>VC_NEW!DR50</f>
        <v>0</v>
      </c>
      <c r="DX92" s="7">
        <f>VC_NEW!DS50</f>
        <v>0</v>
      </c>
      <c r="DY92" s="7">
        <f>VC_NEW!DT50</f>
        <v>0</v>
      </c>
      <c r="DZ92" s="7">
        <f>VC_NEW!DU50</f>
        <v>0</v>
      </c>
      <c r="EA92" s="7">
        <f>VC_NEW!DV50</f>
        <v>0</v>
      </c>
      <c r="EB92" s="7">
        <f>VC_NEW!DW50</f>
        <v>0</v>
      </c>
      <c r="EC92" s="7">
        <f>VC_NEW!DX50</f>
        <v>0</v>
      </c>
      <c r="ED92" s="7">
        <f>VC_NEW!DY50</f>
        <v>0</v>
      </c>
      <c r="EE92" s="7">
        <f>VC_NEW!DZ50</f>
        <v>0</v>
      </c>
      <c r="EF92" s="7">
        <f>VC_NEW!EA50</f>
        <v>0</v>
      </c>
      <c r="EG92" s="7">
        <f>VC_NEW!EB50</f>
        <v>0</v>
      </c>
      <c r="EH92" s="7">
        <f>VC_NEW!EC50</f>
        <v>0</v>
      </c>
      <c r="EI92" s="7">
        <f>VC_NEW!ED50</f>
        <v>0</v>
      </c>
      <c r="EJ92" s="7">
        <f>VC_NEW!EE50</f>
        <v>0</v>
      </c>
      <c r="EK92" s="7">
        <f>VC_NEW!EF50</f>
        <v>0</v>
      </c>
      <c r="EL92" s="7">
        <f>VC_NEW!EG50</f>
        <v>0</v>
      </c>
      <c r="EM92" s="7">
        <f>VC_NEW!EH50</f>
        <v>0</v>
      </c>
      <c r="EN92" s="7">
        <f>VC_NEW!EI50</f>
        <v>0</v>
      </c>
      <c r="EO92" s="7">
        <f>VC_NEW!EJ50</f>
        <v>0</v>
      </c>
      <c r="EP92" s="7">
        <f>VC_NEW!EK50</f>
        <v>0</v>
      </c>
      <c r="EQ92" s="7">
        <f>VC_NEW!EL50</f>
        <v>0</v>
      </c>
      <c r="ER92" s="7">
        <f>VC_NEW!EM50</f>
        <v>0</v>
      </c>
      <c r="ES92" s="7">
        <f>VC_NEW!EN50</f>
        <v>0</v>
      </c>
      <c r="ET92" s="7">
        <f>VC_NEW!EO50</f>
        <v>0</v>
      </c>
      <c r="EU92" s="7">
        <f>VC_NEW!EP50</f>
        <v>0</v>
      </c>
      <c r="EV92" s="7">
        <f>VC_NEW!EQ50</f>
        <v>0</v>
      </c>
      <c r="EW92" s="7" t="str">
        <f>VC_NEW!ER50</f>
        <v>A8V; Q110K</v>
      </c>
      <c r="EX92" s="7">
        <f>VC_NEW!ES50</f>
        <v>0</v>
      </c>
      <c r="EY92" s="7">
        <f>VC_NEW!ET50</f>
        <v>0</v>
      </c>
      <c r="EZ92" s="7">
        <f>VC_NEW!EU50</f>
        <v>0</v>
      </c>
      <c r="FA92" s="7">
        <f>VC_NEW!EV50</f>
        <v>0</v>
      </c>
      <c r="FB92" s="7">
        <f>VC_NEW!EW50</f>
        <v>0</v>
      </c>
      <c r="FC92" s="7">
        <f>VC_NEW!EX50</f>
        <v>0</v>
      </c>
      <c r="FD92" s="7">
        <f>VC_NEW!EY50</f>
        <v>0</v>
      </c>
      <c r="FE92" s="7">
        <f>VC_NEW!EZ50</f>
        <v>0</v>
      </c>
      <c r="FF92" s="7">
        <f>VC_NEW!FA50</f>
        <v>0</v>
      </c>
      <c r="FG92" s="7">
        <f>VC_NEW!FB50</f>
        <v>0</v>
      </c>
      <c r="FH92" s="7">
        <f>VC_NEW!FC50</f>
        <v>0</v>
      </c>
      <c r="FI92" s="7">
        <f>VC_NEW!FD50</f>
        <v>0</v>
      </c>
      <c r="FJ92" s="7">
        <f>VC_NEW!FE50</f>
        <v>0</v>
      </c>
      <c r="FK92" s="7">
        <f>VC_NEW!FF50</f>
        <v>0</v>
      </c>
      <c r="FL92" s="7">
        <f>VC_NEW!FG50</f>
        <v>0</v>
      </c>
      <c r="FM92" s="7">
        <f>VC_NEW!FH50</f>
        <v>0</v>
      </c>
      <c r="FN92" s="7">
        <f>VC_NEW!FI50</f>
        <v>0</v>
      </c>
      <c r="FO92" s="7">
        <f>VC_NEW!FJ50</f>
        <v>0</v>
      </c>
      <c r="FP92" s="7">
        <f>VC_NEW!FK50</f>
        <v>0</v>
      </c>
      <c r="FQ92" s="7">
        <f>VC_NEW!FL50</f>
        <v>0</v>
      </c>
      <c r="FR92" s="7">
        <f>VC_NEW!FM50</f>
        <v>0</v>
      </c>
      <c r="FS92" s="7">
        <f>VC_NEW!FN50</f>
        <v>0</v>
      </c>
      <c r="FT92" s="7">
        <f>VC_NEW!FO50</f>
        <v>0</v>
      </c>
      <c r="FU92" s="7">
        <f>VC_NEW!FP50</f>
        <v>0</v>
      </c>
      <c r="FV92" s="7">
        <f>VC_NEW!FQ50</f>
        <v>0</v>
      </c>
      <c r="FW92" s="7">
        <f>VC_NEW!FR50</f>
        <v>0</v>
      </c>
      <c r="FX92" s="7">
        <f>VC_NEW!FS50</f>
        <v>0</v>
      </c>
      <c r="FY92" s="7" t="str">
        <f>VC_NEW!FT50</f>
        <v>T115S</v>
      </c>
      <c r="FZ92" s="7">
        <f>VC_NEW!FU50</f>
        <v>0</v>
      </c>
      <c r="GA92" s="7">
        <f>VC_NEW!FV50</f>
        <v>0</v>
      </c>
      <c r="GB92" s="7">
        <f>VC_NEW!FW50</f>
        <v>0</v>
      </c>
      <c r="GC92" s="7">
        <f>VC_NEW!FX50</f>
        <v>0</v>
      </c>
      <c r="GD92" s="7">
        <f>VC_NEW!FY50</f>
        <v>0</v>
      </c>
      <c r="GE92" s="7">
        <f>VC_NEW!FZ50</f>
        <v>0</v>
      </c>
      <c r="GF92" s="7">
        <f>VC_NEW!GA50</f>
        <v>0</v>
      </c>
      <c r="GG92" s="7">
        <f>VC_NEW!GB50</f>
        <v>0</v>
      </c>
      <c r="GH92" s="7">
        <f>VC_NEW!GC50</f>
        <v>0</v>
      </c>
      <c r="GI92" s="7">
        <f>VC_NEW!GD50</f>
        <v>0</v>
      </c>
      <c r="GJ92" s="7">
        <f>VC_NEW!GE50</f>
        <v>0</v>
      </c>
      <c r="GK92" s="7">
        <f>VC_NEW!GF50</f>
        <v>0</v>
      </c>
      <c r="GL92" s="7">
        <f>VC_NEW!GG50</f>
        <v>0</v>
      </c>
      <c r="GM92" s="7">
        <f>VC_NEW!GH50</f>
        <v>0</v>
      </c>
      <c r="GN92" s="7">
        <f>VC_NEW!GI50</f>
        <v>0</v>
      </c>
      <c r="GO92" s="7">
        <f>VC_NEW!GJ50</f>
        <v>0</v>
      </c>
      <c r="GP92" s="7">
        <f>VC_NEW!GK50</f>
        <v>0</v>
      </c>
      <c r="GQ92" s="7">
        <f>VC_NEW!GL50</f>
        <v>0</v>
      </c>
      <c r="GR92" s="7">
        <f>VC_NEW!GM50</f>
        <v>0</v>
      </c>
      <c r="GS92" s="7">
        <f>VC_NEW!GN50</f>
        <v>0</v>
      </c>
      <c r="GT92" s="7">
        <f>VC_NEW!GO50</f>
        <v>0</v>
      </c>
      <c r="GU92" s="7">
        <f>VC_NEW!GP50</f>
        <v>0</v>
      </c>
      <c r="GV92" s="7">
        <f>VC_NEW!GQ50</f>
        <v>0</v>
      </c>
      <c r="GW92" s="7">
        <f>VC_NEW!GR50</f>
        <v>0</v>
      </c>
      <c r="GX92" s="7">
        <f>VC_NEW!GS50</f>
        <v>0</v>
      </c>
      <c r="GY92" s="7">
        <f>VC_NEW!GT50</f>
        <v>0</v>
      </c>
      <c r="GZ92" s="7">
        <f>VC_NEW!GU50</f>
        <v>0</v>
      </c>
      <c r="HA92" s="7">
        <f>VC_NEW!GV50</f>
        <v>0</v>
      </c>
      <c r="HB92" s="7">
        <f>VC_NEW!GW50</f>
        <v>0</v>
      </c>
      <c r="HC92" s="7" t="str">
        <f>VC_NEW!GX50</f>
        <v>P21Q</v>
      </c>
    </row>
    <row r="93" spans="1:443" ht="15" hidden="1" customHeight="1" x14ac:dyDescent="0.25">
      <c r="C93" s="4" t="s">
        <v>0</v>
      </c>
      <c r="G93" t="s">
        <v>1044</v>
      </c>
      <c r="H93" s="1">
        <v>1.25</v>
      </c>
      <c r="I93" s="1">
        <v>0.25</v>
      </c>
      <c r="J93" s="1">
        <v>0.25</v>
      </c>
      <c r="K93" s="1">
        <v>0</v>
      </c>
      <c r="L93" s="1">
        <v>0.5</v>
      </c>
      <c r="M93" s="1">
        <v>0.5</v>
      </c>
      <c r="N93" s="1">
        <v>2</v>
      </c>
      <c r="O93" s="1">
        <f>VC_NEW!J87</f>
        <v>0</v>
      </c>
      <c r="P93" s="1">
        <f>VC_NEW!K87</f>
        <v>0</v>
      </c>
      <c r="Q93" s="1">
        <f>VC_NEW!L87</f>
        <v>0</v>
      </c>
      <c r="R93" s="1">
        <v>0.5</v>
      </c>
      <c r="S93" s="1">
        <f>VC_NEW!N87</f>
        <v>0</v>
      </c>
      <c r="T93" s="1">
        <f>VC_NEW!O87</f>
        <v>0</v>
      </c>
      <c r="U93" s="1">
        <f>VC_NEW!P87</f>
        <v>0</v>
      </c>
      <c r="V93" s="1">
        <f>VC_NEW!Q87</f>
        <v>0</v>
      </c>
      <c r="W93" s="1">
        <f>VC_NEW!R87</f>
        <v>0</v>
      </c>
      <c r="X93" s="1">
        <f>VC_NEW!S87</f>
        <v>0</v>
      </c>
      <c r="Y93" s="1">
        <f>VC_NEW!T87</f>
        <v>0</v>
      </c>
      <c r="Z93" s="1">
        <v>0</v>
      </c>
      <c r="AA93" s="1">
        <f>VC_NEW!V87</f>
        <v>0</v>
      </c>
      <c r="AB93" s="1">
        <f>VC_NEW!W87</f>
        <v>0</v>
      </c>
      <c r="AC93" s="1">
        <v>0.5</v>
      </c>
      <c r="AD93" s="1">
        <f>VC_NEW!Y87</f>
        <v>0</v>
      </c>
      <c r="AE93" s="1">
        <v>0.25</v>
      </c>
      <c r="AF93" s="1">
        <f>VC_NEW!AA87</f>
        <v>0</v>
      </c>
      <c r="AG93" s="1">
        <f>VC_NEW!AB87</f>
        <v>0</v>
      </c>
      <c r="AH93" s="1">
        <f>VC_NEW!AC87</f>
        <v>0</v>
      </c>
      <c r="AI93" s="1">
        <f>VC_NEW!AD87</f>
        <v>0</v>
      </c>
      <c r="AJ93" s="1">
        <f>VC_NEW!AE87</f>
        <v>0</v>
      </c>
      <c r="AK93" s="1">
        <f>VC_NEW!AF87</f>
        <v>0</v>
      </c>
      <c r="AL93" s="1">
        <v>0.5</v>
      </c>
      <c r="AM93" s="1">
        <f>VC_NEW!AH87</f>
        <v>0</v>
      </c>
      <c r="AN93" s="1">
        <f>VC_NEW!AI87</f>
        <v>0</v>
      </c>
      <c r="AO93" s="1">
        <v>0.25</v>
      </c>
      <c r="AP93" s="1">
        <v>0.25</v>
      </c>
      <c r="AQ93" s="1">
        <v>0.5</v>
      </c>
      <c r="AR93" s="1">
        <f>VC_NEW!AM87</f>
        <v>0</v>
      </c>
      <c r="AS93" s="1">
        <f>VC_NEW!AN87</f>
        <v>0</v>
      </c>
      <c r="AT93" s="1">
        <v>0</v>
      </c>
      <c r="AU93" s="1">
        <f>VC_NEW!AP87</f>
        <v>0</v>
      </c>
      <c r="AV93" s="1">
        <f>VC_NEW!AQ87</f>
        <v>0</v>
      </c>
      <c r="AW93" s="1">
        <f>VC_NEW!AR87</f>
        <v>0</v>
      </c>
      <c r="AX93" s="1">
        <f>VC_NEW!AS87</f>
        <v>0</v>
      </c>
      <c r="AY93" s="1">
        <f>VC_NEW!AT87</f>
        <v>0</v>
      </c>
      <c r="AZ93" s="1">
        <f>VC_NEW!AU87</f>
        <v>0</v>
      </c>
      <c r="BA93" s="1">
        <v>1.75</v>
      </c>
      <c r="BB93" s="1">
        <f>VC_NEW!AW87</f>
        <v>0</v>
      </c>
      <c r="BC93" s="1">
        <v>1.75</v>
      </c>
      <c r="BD93" s="1">
        <f>VC_NEW!AY87</f>
        <v>0</v>
      </c>
      <c r="BE93" s="1">
        <v>0.5</v>
      </c>
      <c r="BF93" s="1">
        <v>0.25</v>
      </c>
      <c r="BG93" s="1">
        <v>0.25</v>
      </c>
      <c r="BH93" s="1">
        <f>VC_NEW!BC87</f>
        <v>0</v>
      </c>
      <c r="BI93" s="1">
        <v>1.75</v>
      </c>
      <c r="BJ93" s="1">
        <v>1.25</v>
      </c>
      <c r="BK93" s="1">
        <f>VC_NEW!BF87</f>
        <v>0</v>
      </c>
      <c r="BL93" s="1">
        <f>VC_NEW!BG87</f>
        <v>0</v>
      </c>
      <c r="BM93" s="1">
        <v>0.25</v>
      </c>
      <c r="BN93" s="1">
        <v>-0.5</v>
      </c>
      <c r="BO93" s="1">
        <f>VC_NEW!BJ87</f>
        <v>0</v>
      </c>
      <c r="BP93" s="1">
        <v>0</v>
      </c>
      <c r="BQ93" s="1">
        <v>0.25</v>
      </c>
      <c r="BR93" s="1">
        <v>1</v>
      </c>
      <c r="BS93" s="1">
        <v>1.75</v>
      </c>
      <c r="BT93" s="1">
        <v>1</v>
      </c>
      <c r="BU93" s="1">
        <v>0</v>
      </c>
      <c r="BV93" s="1">
        <v>0.25</v>
      </c>
      <c r="BW93" s="1">
        <v>0.25</v>
      </c>
      <c r="BX93" s="1">
        <v>0.25</v>
      </c>
      <c r="BY93" s="1">
        <f>VC_NEW!BT87</f>
        <v>0</v>
      </c>
      <c r="BZ93" s="1">
        <v>0.25</v>
      </c>
      <c r="CA93" s="1">
        <f>VC_NEW!BV87</f>
        <v>0</v>
      </c>
      <c r="CB93" s="1">
        <f>VC_NEW!BW87</f>
        <v>0</v>
      </c>
      <c r="CC93" s="1">
        <v>0.25</v>
      </c>
      <c r="CD93" s="1">
        <v>1.75</v>
      </c>
      <c r="CE93" s="1">
        <f>VC_NEW!BZ87</f>
        <v>0</v>
      </c>
      <c r="CF93" s="1">
        <f>VC_NEW!CA87</f>
        <v>0</v>
      </c>
      <c r="CG93" s="1">
        <v>0.25</v>
      </c>
      <c r="CH93" s="1">
        <f>VC_NEW!CC87</f>
        <v>0</v>
      </c>
      <c r="CI93" s="1">
        <v>0.25</v>
      </c>
      <c r="CJ93" s="1">
        <v>1.75</v>
      </c>
      <c r="CK93" s="1">
        <v>1.25</v>
      </c>
      <c r="CL93" s="1">
        <f>VC_NEW!CG87</f>
        <v>0</v>
      </c>
      <c r="CM93" s="1">
        <v>0.25</v>
      </c>
      <c r="CN93" s="1">
        <f>VC_NEW!CI87</f>
        <v>0</v>
      </c>
      <c r="CO93" s="1">
        <f>VC_NEW!CJ87</f>
        <v>0</v>
      </c>
      <c r="CP93" s="1">
        <v>1.75</v>
      </c>
      <c r="CQ93" s="1">
        <v>1.75</v>
      </c>
      <c r="CR93" s="1">
        <v>0.25</v>
      </c>
      <c r="CS93" s="1">
        <f>VC_NEW!CN87</f>
        <v>0</v>
      </c>
      <c r="CT93" s="1">
        <f>VC_NEW!CO87</f>
        <v>0</v>
      </c>
      <c r="CU93" s="1">
        <f>VC_NEW!CP87</f>
        <v>0</v>
      </c>
      <c r="CV93" s="1">
        <f>VC_NEW!CQ87</f>
        <v>0</v>
      </c>
      <c r="CW93" s="1">
        <v>0</v>
      </c>
      <c r="CX93" s="1">
        <f>VC_NEW!CS87</f>
        <v>0</v>
      </c>
      <c r="CY93" s="1">
        <f>VC_NEW!CT87</f>
        <v>0</v>
      </c>
      <c r="CZ93" s="1">
        <v>1.75</v>
      </c>
      <c r="DA93" s="1">
        <f>VC_NEW!CV87</f>
        <v>0</v>
      </c>
      <c r="DB93" s="1">
        <v>1.25</v>
      </c>
      <c r="DC93" s="1">
        <f>VC_NEW!CX87</f>
        <v>0</v>
      </c>
      <c r="DD93" s="1">
        <v>0.25</v>
      </c>
      <c r="DE93" s="1">
        <f>VC_NEW!CZ87</f>
        <v>0</v>
      </c>
      <c r="DF93" s="1">
        <f>VC_NEW!DA87</f>
        <v>0</v>
      </c>
      <c r="DG93" s="1">
        <f>VC_NEW!DB87</f>
        <v>0</v>
      </c>
      <c r="DH93" s="1">
        <v>0.25</v>
      </c>
      <c r="DI93" s="1">
        <v>-0.5</v>
      </c>
      <c r="DJ93" s="1">
        <v>0.25</v>
      </c>
      <c r="DK93" s="1">
        <v>1.25</v>
      </c>
      <c r="DL93" s="1">
        <v>0.25</v>
      </c>
      <c r="DM93" s="1">
        <v>0.5</v>
      </c>
      <c r="DN93" s="1">
        <v>-0.5</v>
      </c>
      <c r="DO93" s="1">
        <v>0</v>
      </c>
      <c r="DP93" s="1">
        <f>VC_NEW!DK87</f>
        <v>0</v>
      </c>
      <c r="DQ93" s="1">
        <v>0.25</v>
      </c>
      <c r="DR93" s="1">
        <v>-0.25</v>
      </c>
      <c r="DS93" s="1">
        <f>VC_NEW!DN87</f>
        <v>0</v>
      </c>
      <c r="DT93" s="1">
        <f>VC_NEW!DO87</f>
        <v>0</v>
      </c>
      <c r="DU93" s="1">
        <v>1.25</v>
      </c>
      <c r="DV93" s="1">
        <v>0.25</v>
      </c>
      <c r="DW93" s="1">
        <v>1.75</v>
      </c>
      <c r="DX93" s="1">
        <v>0.25</v>
      </c>
      <c r="DY93" s="1">
        <v>0.5</v>
      </c>
      <c r="DZ93" s="1">
        <f>VC_NEW!DU87</f>
        <v>0</v>
      </c>
      <c r="EA93" s="1">
        <v>1.75</v>
      </c>
      <c r="EB93" s="1">
        <f>VC_NEW!DW87</f>
        <v>0</v>
      </c>
      <c r="EC93" s="1">
        <f>VC_NEW!DX87</f>
        <v>0</v>
      </c>
      <c r="ED93" s="1">
        <v>1</v>
      </c>
      <c r="EE93" s="1">
        <v>1.75</v>
      </c>
      <c r="EF93" s="1">
        <v>-0.5</v>
      </c>
      <c r="EG93" s="1">
        <v>0.25</v>
      </c>
      <c r="EH93" s="1">
        <v>0.5</v>
      </c>
      <c r="EI93" s="1">
        <v>0.5</v>
      </c>
      <c r="EJ93" s="1">
        <f>VC_NEW!EE87</f>
        <v>0</v>
      </c>
      <c r="EK93" s="1">
        <v>0.25</v>
      </c>
      <c r="EL93" s="1">
        <f>VC_NEW!EG87</f>
        <v>0</v>
      </c>
      <c r="EM93" s="1">
        <f>VC_NEW!EH87</f>
        <v>0</v>
      </c>
      <c r="EN93" s="1">
        <f>VC_NEW!EI87</f>
        <v>0</v>
      </c>
      <c r="EO93" s="1">
        <f>VC_NEW!EJ87</f>
        <v>0</v>
      </c>
      <c r="EP93" s="1">
        <f>VC_NEW!EK87</f>
        <v>0</v>
      </c>
      <c r="EQ93" s="1">
        <v>-0.5</v>
      </c>
      <c r="ER93" s="1">
        <v>0.25</v>
      </c>
      <c r="ES93" s="1">
        <v>0.25</v>
      </c>
      <c r="ET93" s="1">
        <v>0.5</v>
      </c>
      <c r="EU93" s="1">
        <f>VC_NEW!EP87</f>
        <v>0</v>
      </c>
      <c r="EV93" s="1">
        <v>0.5</v>
      </c>
      <c r="EW93" s="1" t="s">
        <v>1151</v>
      </c>
      <c r="EX93" s="1">
        <f>VC_NEW!ES87</f>
        <v>0</v>
      </c>
      <c r="EY93" s="1">
        <f>VC_NEW!ET87</f>
        <v>0</v>
      </c>
      <c r="EZ93" s="1">
        <v>0.5</v>
      </c>
      <c r="FA93" s="1">
        <v>0.75</v>
      </c>
      <c r="FB93" s="1">
        <f>VC_NEW!EW87</f>
        <v>0</v>
      </c>
      <c r="FC93" s="1">
        <f>VC_NEW!EX87</f>
        <v>0</v>
      </c>
      <c r="FD93" s="1">
        <v>0.25</v>
      </c>
      <c r="FE93" s="1">
        <v>1.75</v>
      </c>
      <c r="FF93" s="1">
        <f>VC_NEW!FA87</f>
        <v>0</v>
      </c>
      <c r="FG93" s="1">
        <v>0.5</v>
      </c>
      <c r="FH93" s="1">
        <f>VC_NEW!FC87</f>
        <v>0</v>
      </c>
      <c r="FI93" s="1">
        <v>1.5</v>
      </c>
      <c r="FJ93" s="1">
        <v>-0.5</v>
      </c>
      <c r="FK93" s="1">
        <f>VC_NEW!FF87</f>
        <v>0</v>
      </c>
      <c r="FL93" s="1">
        <v>1.25</v>
      </c>
      <c r="FM93" s="1">
        <f>VC_NEW!FH87</f>
        <v>0</v>
      </c>
      <c r="FN93" s="1">
        <f>VC_NEW!FI87</f>
        <v>0</v>
      </c>
      <c r="FO93" s="1">
        <v>0.25</v>
      </c>
      <c r="FP93" s="1">
        <f>VC_NEW!FK87</f>
        <v>0</v>
      </c>
      <c r="FQ93" s="1">
        <v>1.75</v>
      </c>
      <c r="FR93" s="1">
        <f>VC_NEW!FM87</f>
        <v>0</v>
      </c>
      <c r="FS93" s="1">
        <v>0.75</v>
      </c>
      <c r="FT93" s="1">
        <f>VC_NEW!FO87</f>
        <v>0</v>
      </c>
      <c r="FU93" s="1">
        <v>1.25</v>
      </c>
      <c r="FV93" s="1">
        <v>0.25</v>
      </c>
      <c r="FW93" s="1">
        <v>0.5</v>
      </c>
      <c r="FX93" s="1">
        <v>0.25</v>
      </c>
      <c r="FY93" s="1">
        <f>VC_NEW!FT87</f>
        <v>0</v>
      </c>
      <c r="FZ93" s="1">
        <f>VC_NEW!FU87</f>
        <v>0</v>
      </c>
      <c r="GA93" s="1">
        <v>1.75</v>
      </c>
      <c r="GB93" s="1">
        <f>VC_NEW!FW87</f>
        <v>0</v>
      </c>
      <c r="GC93" s="1">
        <v>0.25</v>
      </c>
      <c r="GD93" s="1">
        <v>-0.25</v>
      </c>
      <c r="GE93" s="1">
        <v>0.5</v>
      </c>
      <c r="GF93" s="1">
        <f>VC_NEW!GA87</f>
        <v>0</v>
      </c>
      <c r="GG93" s="1">
        <f>VC_NEW!GB87</f>
        <v>0</v>
      </c>
      <c r="GH93" s="1">
        <v>0.25</v>
      </c>
      <c r="GI93" s="1">
        <f>VC_NEW!GD87</f>
        <v>0</v>
      </c>
      <c r="GJ93" s="1">
        <v>0.5</v>
      </c>
      <c r="GK93" s="1">
        <v>0.25</v>
      </c>
      <c r="GL93" s="1">
        <v>0.25</v>
      </c>
      <c r="GM93" s="1">
        <v>1.75</v>
      </c>
      <c r="GN93" s="1">
        <v>0.75</v>
      </c>
      <c r="GO93" s="1">
        <f>VC_NEW!GJ87</f>
        <v>0</v>
      </c>
      <c r="GP93" s="1">
        <v>0</v>
      </c>
      <c r="GQ93" s="1">
        <f>VC_NEW!GL87</f>
        <v>0</v>
      </c>
      <c r="GR93" s="1">
        <f>VC_NEW!GM87</f>
        <v>0</v>
      </c>
      <c r="GS93" s="1">
        <f>VC_NEW!GN87</f>
        <v>0</v>
      </c>
      <c r="GT93" s="1">
        <f>VC_NEW!GO87</f>
        <v>0</v>
      </c>
      <c r="GU93" s="1">
        <v>0.5</v>
      </c>
      <c r="GV93" s="1">
        <f>VC_NEW!GQ87</f>
        <v>0</v>
      </c>
      <c r="GW93" s="1">
        <f>VC_NEW!GR87</f>
        <v>0</v>
      </c>
      <c r="GX93" s="1">
        <v>1.25</v>
      </c>
      <c r="GY93" s="1">
        <v>1.5</v>
      </c>
      <c r="GZ93" s="1">
        <f>VC_NEW!GU87</f>
        <v>0</v>
      </c>
      <c r="HA93" s="1">
        <f>VC_NEW!GV87</f>
        <v>0</v>
      </c>
      <c r="HB93" s="1">
        <v>1.75</v>
      </c>
      <c r="HC93" s="1">
        <v>0.25</v>
      </c>
    </row>
    <row r="94" spans="1:443" ht="15" customHeight="1" x14ac:dyDescent="0.25">
      <c r="C94" s="8" t="s">
        <v>1</v>
      </c>
      <c r="G94" s="7" t="s">
        <v>1046</v>
      </c>
      <c r="H94" s="7">
        <v>0.5</v>
      </c>
      <c r="I94" s="7">
        <v>0.25</v>
      </c>
      <c r="J94" s="7">
        <v>0.25</v>
      </c>
      <c r="K94" s="7">
        <v>0</v>
      </c>
      <c r="L94" s="7">
        <v>0.5</v>
      </c>
      <c r="M94" s="7">
        <v>0.75</v>
      </c>
      <c r="N94" s="7">
        <v>0.5</v>
      </c>
      <c r="O94" s="7">
        <v>0</v>
      </c>
      <c r="P94" s="7">
        <v>0.25</v>
      </c>
      <c r="Q94" s="7">
        <f>VC_NEW!L88</f>
        <v>0</v>
      </c>
      <c r="R94" s="7">
        <v>0.25</v>
      </c>
      <c r="S94" s="7">
        <f>VC_NEW!N88</f>
        <v>0</v>
      </c>
      <c r="T94" s="7">
        <f>VC_NEW!O88</f>
        <v>0</v>
      </c>
      <c r="U94" s="7">
        <v>0</v>
      </c>
      <c r="V94" s="7">
        <v>1</v>
      </c>
      <c r="W94" s="7">
        <f>VC_NEW!R88</f>
        <v>0</v>
      </c>
      <c r="X94" s="7">
        <f>VC_NEW!S88</f>
        <v>0</v>
      </c>
      <c r="Y94" s="7">
        <f>VC_NEW!T88</f>
        <v>0</v>
      </c>
      <c r="Z94" s="7">
        <f>VC_NEW!U88</f>
        <v>0</v>
      </c>
      <c r="AA94" s="7">
        <f>VC_NEW!V88</f>
        <v>0</v>
      </c>
      <c r="AB94" s="7">
        <v>0.25</v>
      </c>
      <c r="AC94" s="7">
        <v>0.25</v>
      </c>
      <c r="AD94" s="7">
        <f>VC_NEW!Y88</f>
        <v>0</v>
      </c>
      <c r="AE94" s="7">
        <f>VC_NEW!Z88</f>
        <v>0</v>
      </c>
      <c r="AF94" s="7">
        <f>VC_NEW!AA88</f>
        <v>0</v>
      </c>
      <c r="AG94" s="7">
        <f>VC_NEW!AB88</f>
        <v>0</v>
      </c>
      <c r="AH94" s="7">
        <v>0.375</v>
      </c>
      <c r="AI94" s="7">
        <f>VC_NEW!AD88</f>
        <v>0</v>
      </c>
      <c r="AJ94" s="7">
        <f>VC_NEW!AE88</f>
        <v>0</v>
      </c>
      <c r="AK94" s="7">
        <v>0.25</v>
      </c>
      <c r="AL94" s="7">
        <f>VC_NEW!AG88</f>
        <v>0</v>
      </c>
      <c r="AM94" s="7">
        <v>0</v>
      </c>
      <c r="AN94" s="7">
        <f>VC_NEW!AI88</f>
        <v>0</v>
      </c>
      <c r="AO94" s="7">
        <v>1.5</v>
      </c>
      <c r="AP94" s="7">
        <f>VC_NEW!AK88</f>
        <v>0</v>
      </c>
      <c r="AQ94" s="7">
        <f>VC_NEW!AL88</f>
        <v>0</v>
      </c>
      <c r="AR94" s="7">
        <f>VC_NEW!AM88</f>
        <v>0</v>
      </c>
      <c r="AS94" s="7">
        <f>VC_NEW!AN88</f>
        <v>0</v>
      </c>
      <c r="AT94" s="7">
        <v>0.25</v>
      </c>
      <c r="AU94" s="7">
        <v>1.25</v>
      </c>
      <c r="AV94" s="7">
        <f>VC_NEW!AQ88</f>
        <v>0</v>
      </c>
      <c r="AW94" s="7">
        <f>VC_NEW!AR88</f>
        <v>0</v>
      </c>
      <c r="AX94" s="7">
        <f>VC_NEW!AS88</f>
        <v>0</v>
      </c>
      <c r="AY94" s="7">
        <f>VC_NEW!AT88</f>
        <v>0</v>
      </c>
      <c r="AZ94" s="7">
        <v>0.25</v>
      </c>
      <c r="BA94" s="7">
        <v>1</v>
      </c>
      <c r="BB94" s="7">
        <v>0.5</v>
      </c>
      <c r="BC94" s="7">
        <v>1</v>
      </c>
      <c r="BD94" s="7">
        <f>VC_NEW!AY88</f>
        <v>0</v>
      </c>
      <c r="BE94" s="7">
        <f>VC_NEW!AZ88</f>
        <v>0</v>
      </c>
      <c r="BF94" s="7">
        <f>VC_NEW!BA88</f>
        <v>0</v>
      </c>
      <c r="BG94" s="7">
        <v>0.625</v>
      </c>
      <c r="BH94" s="7">
        <f>VC_NEW!BC88</f>
        <v>0</v>
      </c>
      <c r="BI94" s="7">
        <v>1.5</v>
      </c>
      <c r="BJ94" s="7">
        <v>2.5</v>
      </c>
      <c r="BK94" s="7">
        <f>VC_NEW!BF88</f>
        <v>0</v>
      </c>
      <c r="BL94" s="7">
        <f>VC_NEW!BG88</f>
        <v>0</v>
      </c>
      <c r="BM94" s="7">
        <f>VC_NEW!BH88</f>
        <v>0</v>
      </c>
      <c r="BN94" s="7">
        <v>1.75</v>
      </c>
      <c r="BO94" s="7">
        <v>-0.5</v>
      </c>
      <c r="BP94" s="7">
        <v>0.25</v>
      </c>
      <c r="BQ94" s="7">
        <v>-0.5</v>
      </c>
      <c r="BR94" s="7">
        <v>0.25</v>
      </c>
      <c r="BS94" s="7">
        <v>0.5</v>
      </c>
      <c r="BT94" s="7">
        <v>1</v>
      </c>
      <c r="BU94" s="7">
        <v>0</v>
      </c>
      <c r="BV94" s="7">
        <v>0.5</v>
      </c>
      <c r="BW94" s="7">
        <v>0.5</v>
      </c>
      <c r="BX94" s="7">
        <v>0.5</v>
      </c>
      <c r="BY94" s="7">
        <f>VC_NEW!BT88</f>
        <v>0</v>
      </c>
      <c r="BZ94" s="7">
        <f>VC_NEW!BU88</f>
        <v>0</v>
      </c>
      <c r="CA94" s="7">
        <v>1</v>
      </c>
      <c r="CB94" s="7">
        <f>VC_NEW!BW88</f>
        <v>0</v>
      </c>
      <c r="CC94" s="7">
        <f>VC_NEW!BX88</f>
        <v>0</v>
      </c>
      <c r="CD94" s="7">
        <v>1</v>
      </c>
      <c r="CE94" s="7">
        <f>VC_NEW!BZ88</f>
        <v>0</v>
      </c>
      <c r="CF94" s="7">
        <v>1</v>
      </c>
      <c r="CG94" s="7">
        <f>VC_NEW!CB88</f>
        <v>0</v>
      </c>
      <c r="CH94" s="7">
        <f>VC_NEW!CC88</f>
        <v>0</v>
      </c>
      <c r="CI94" s="7">
        <f>VC_NEW!CD88</f>
        <v>0</v>
      </c>
      <c r="CJ94" s="7">
        <v>1</v>
      </c>
      <c r="CK94" s="7">
        <v>1</v>
      </c>
      <c r="CL94" s="7">
        <f>VC_NEW!CG88</f>
        <v>0</v>
      </c>
      <c r="CM94" s="7">
        <v>2</v>
      </c>
      <c r="CN94" s="7">
        <f>VC_NEW!CI88</f>
        <v>0</v>
      </c>
      <c r="CO94" s="7">
        <v>0.5</v>
      </c>
      <c r="CP94" s="7">
        <v>1</v>
      </c>
      <c r="CQ94" s="7">
        <v>1.5</v>
      </c>
      <c r="CR94" s="7">
        <f>VC_NEW!CM88</f>
        <v>0</v>
      </c>
      <c r="CS94" s="7">
        <v>0.5</v>
      </c>
      <c r="CT94" s="7">
        <v>0.5</v>
      </c>
      <c r="CU94" s="7">
        <v>0.25</v>
      </c>
      <c r="CV94" s="7">
        <f>VC_NEW!CQ88</f>
        <v>0</v>
      </c>
      <c r="CW94" s="7">
        <v>0.5</v>
      </c>
      <c r="CX94" s="7">
        <v>0.25</v>
      </c>
      <c r="CY94" s="7">
        <f>VC_NEW!CT88</f>
        <v>0</v>
      </c>
      <c r="CZ94" s="7">
        <v>1</v>
      </c>
      <c r="DA94" s="7">
        <f>VC_NEW!CV88</f>
        <v>0</v>
      </c>
      <c r="DB94" s="7">
        <f>VC_NEW!CW88</f>
        <v>0</v>
      </c>
      <c r="DC94" s="7">
        <f>VC_NEW!CX88</f>
        <v>0</v>
      </c>
      <c r="DD94" s="7">
        <v>0.5</v>
      </c>
      <c r="DE94" s="7">
        <f>VC_NEW!CZ88</f>
        <v>0</v>
      </c>
      <c r="DF94" s="7">
        <v>0.25</v>
      </c>
      <c r="DG94" s="7">
        <f>VC_NEW!DB88</f>
        <v>0</v>
      </c>
      <c r="DH94" s="7">
        <v>0.25</v>
      </c>
      <c r="DI94" s="7">
        <v>0.75</v>
      </c>
      <c r="DJ94" s="7">
        <v>1.5</v>
      </c>
      <c r="DK94" s="7">
        <v>3</v>
      </c>
      <c r="DL94" s="7">
        <v>0.25</v>
      </c>
      <c r="DM94" s="7">
        <f>VC_NEW!DH88</f>
        <v>0</v>
      </c>
      <c r="DN94" s="7">
        <f>VC_NEW!DI88</f>
        <v>0</v>
      </c>
      <c r="DO94" s="7">
        <v>0.5</v>
      </c>
      <c r="DP94" s="7">
        <v>0.25</v>
      </c>
      <c r="DQ94" s="7">
        <f>VC_NEW!DL88</f>
        <v>0</v>
      </c>
      <c r="DR94" s="7">
        <v>0.75</v>
      </c>
      <c r="DS94" s="7">
        <v>0.25</v>
      </c>
      <c r="DT94" s="7">
        <f>VC_NEW!DO88</f>
        <v>0</v>
      </c>
      <c r="DU94" s="7">
        <v>0.25</v>
      </c>
      <c r="DV94" s="7">
        <f>VC_NEW!DQ88</f>
        <v>0</v>
      </c>
      <c r="DW94" s="7">
        <v>0.75</v>
      </c>
      <c r="DX94" s="7">
        <f>VC_NEW!DS88</f>
        <v>0</v>
      </c>
      <c r="DY94" s="7">
        <f>VC_NEW!DT88</f>
        <v>0</v>
      </c>
      <c r="DZ94" s="7">
        <f>VC_NEW!DU88</f>
        <v>0</v>
      </c>
      <c r="EA94" s="7">
        <v>1.5</v>
      </c>
      <c r="EB94" s="7">
        <v>0.5</v>
      </c>
      <c r="EC94" s="7">
        <v>0.75</v>
      </c>
      <c r="ED94" s="7">
        <v>-0.5</v>
      </c>
      <c r="EE94" s="7">
        <v>2.5</v>
      </c>
      <c r="EF94" s="7">
        <v>0.25</v>
      </c>
      <c r="EG94" s="7">
        <v>-0.125</v>
      </c>
      <c r="EH94" s="7">
        <v>1.5</v>
      </c>
      <c r="EI94" s="7">
        <v>0.25</v>
      </c>
      <c r="EJ94" s="7">
        <v>0.5</v>
      </c>
      <c r="EK94" s="7">
        <v>0.75</v>
      </c>
      <c r="EL94" s="7">
        <v>1.5</v>
      </c>
      <c r="EM94" s="7">
        <f>VC_NEW!EH88</f>
        <v>0</v>
      </c>
      <c r="EN94" s="7">
        <v>0.5</v>
      </c>
      <c r="EO94" s="7">
        <f>VC_NEW!EJ88</f>
        <v>0</v>
      </c>
      <c r="EP94" s="7">
        <f>VC_NEW!EK88</f>
        <v>0</v>
      </c>
      <c r="EQ94" s="7">
        <v>0.5</v>
      </c>
      <c r="ER94" s="7">
        <f>VC_NEW!EM88</f>
        <v>0</v>
      </c>
      <c r="ES94" s="7">
        <v>0.5</v>
      </c>
      <c r="ET94" s="7">
        <v>-0.25</v>
      </c>
      <c r="EU94" s="7">
        <v>1</v>
      </c>
      <c r="EV94" s="7">
        <f>VC_NEW!EQ88</f>
        <v>0</v>
      </c>
      <c r="EW94" s="7">
        <v>2.625</v>
      </c>
      <c r="EX94" s="7">
        <f>VC_NEW!ES88</f>
        <v>0</v>
      </c>
      <c r="EY94" s="7">
        <f>VC_NEW!ET88</f>
        <v>0</v>
      </c>
      <c r="EZ94" s="7">
        <f>VC_NEW!EU88</f>
        <v>0</v>
      </c>
      <c r="FA94" s="7">
        <v>0.5</v>
      </c>
      <c r="FB94" s="7">
        <f>VC_NEW!EW88</f>
        <v>0</v>
      </c>
      <c r="FC94" s="7">
        <v>0.75</v>
      </c>
      <c r="FD94" s="7">
        <f>VC_NEW!EY88</f>
        <v>0</v>
      </c>
      <c r="FE94" s="7">
        <v>0.625</v>
      </c>
      <c r="FF94" s="7">
        <v>0.25</v>
      </c>
      <c r="FG94" s="7">
        <f>VC_NEW!FB88</f>
        <v>0</v>
      </c>
      <c r="FH94" s="7">
        <f>VC_NEW!FC88</f>
        <v>0</v>
      </c>
      <c r="FI94" s="7">
        <v>1.75</v>
      </c>
      <c r="FJ94" s="7">
        <v>0.5</v>
      </c>
      <c r="FK94" s="7">
        <v>0.5</v>
      </c>
      <c r="FL94" s="7">
        <v>0.75</v>
      </c>
      <c r="FM94" s="7">
        <f>VC_NEW!FH88</f>
        <v>0</v>
      </c>
      <c r="FN94" s="7">
        <f>VC_NEW!FI88</f>
        <v>0</v>
      </c>
      <c r="FO94" s="7">
        <f>VC_NEW!FJ88</f>
        <v>0</v>
      </c>
      <c r="FP94" s="7">
        <f>VC_NEW!FK88</f>
        <v>0</v>
      </c>
      <c r="FQ94" s="7">
        <v>0.25</v>
      </c>
      <c r="FR94" s="7">
        <v>0.5</v>
      </c>
      <c r="FS94" s="7">
        <f>VC_NEW!FN88</f>
        <v>0</v>
      </c>
      <c r="FT94" s="7">
        <f>VC_NEW!FO88</f>
        <v>0</v>
      </c>
      <c r="FU94" s="7">
        <f>VC_NEW!FP88</f>
        <v>0</v>
      </c>
      <c r="FV94" s="7">
        <f>VC_NEW!FQ88</f>
        <v>0</v>
      </c>
      <c r="FW94" s="7">
        <v>0.25</v>
      </c>
      <c r="FX94" s="7">
        <v>0.25</v>
      </c>
      <c r="FY94" s="7">
        <v>0.25</v>
      </c>
      <c r="FZ94" s="7">
        <f>VC_NEW!FU88</f>
        <v>0</v>
      </c>
      <c r="GA94" s="7">
        <v>2</v>
      </c>
      <c r="GB94" s="7">
        <v>1.25</v>
      </c>
      <c r="GC94" s="7">
        <f>VC_NEW!FX88</f>
        <v>0</v>
      </c>
      <c r="GD94" s="7">
        <f>VC_NEW!FY88</f>
        <v>0</v>
      </c>
      <c r="GE94" s="7">
        <f>VC_NEW!FZ88</f>
        <v>0</v>
      </c>
      <c r="GF94" s="7">
        <v>0.25</v>
      </c>
      <c r="GG94" s="7">
        <f>VC_NEW!GB88</f>
        <v>0</v>
      </c>
      <c r="GH94" s="7">
        <f>VC_NEW!GC88</f>
        <v>0</v>
      </c>
      <c r="GI94" s="7">
        <v>0.25</v>
      </c>
      <c r="GJ94" s="7">
        <f>VC_NEW!GE88</f>
        <v>0</v>
      </c>
      <c r="GK94" s="7">
        <f>VC_NEW!GF88</f>
        <v>0</v>
      </c>
      <c r="GL94" s="7">
        <f>VC_NEW!GG88</f>
        <v>0</v>
      </c>
      <c r="GM94" s="7">
        <f>VC_NEW!GH88</f>
        <v>0</v>
      </c>
      <c r="GN94" s="7">
        <v>0.5</v>
      </c>
      <c r="GO94" s="7">
        <v>0.75</v>
      </c>
      <c r="GP94" s="7">
        <f>VC_NEW!GK88</f>
        <v>0</v>
      </c>
      <c r="GQ94" s="7">
        <f>VC_NEW!GL88</f>
        <v>0</v>
      </c>
      <c r="GR94" s="7">
        <v>0.25</v>
      </c>
      <c r="GS94" s="7">
        <v>0.5</v>
      </c>
      <c r="GT94" s="7">
        <v>0.75</v>
      </c>
      <c r="GU94" s="7">
        <f>VC_NEW!GP88</f>
        <v>0</v>
      </c>
      <c r="GV94" s="7">
        <v>0.25</v>
      </c>
      <c r="GW94" s="7">
        <f>VC_NEW!GR88</f>
        <v>0</v>
      </c>
      <c r="GX94" s="7">
        <v>0.75</v>
      </c>
      <c r="GY94" s="7">
        <v>1</v>
      </c>
      <c r="GZ94" s="7">
        <f>VC_NEW!GU88</f>
        <v>0</v>
      </c>
      <c r="HA94" s="7">
        <f>VC_NEW!GV88</f>
        <v>0</v>
      </c>
      <c r="HB94" s="7">
        <v>1.5</v>
      </c>
      <c r="HC94" s="7">
        <v>0.125</v>
      </c>
      <c r="HD94" s="7"/>
      <c r="HE94" s="7"/>
      <c r="HF94" s="7"/>
      <c r="HG94" s="7"/>
      <c r="HH94" s="7"/>
      <c r="HI94" s="7"/>
      <c r="HJ94" s="7"/>
      <c r="HK94" s="7"/>
      <c r="HL94" s="7"/>
      <c r="HM94" s="7"/>
      <c r="HN94" s="7"/>
      <c r="HO94" s="7"/>
      <c r="HP94" s="7"/>
      <c r="HQ94" s="7"/>
      <c r="HR94" s="7"/>
      <c r="HS94" s="7"/>
      <c r="HT94" s="7"/>
      <c r="HU94" s="7"/>
      <c r="HV94" s="7"/>
      <c r="HW94" s="7"/>
      <c r="HX94" s="7"/>
      <c r="HY94" s="7"/>
      <c r="HZ94" s="7"/>
      <c r="IA94" s="7"/>
      <c r="IB94" s="7"/>
      <c r="IC94" s="7"/>
      <c r="ID94" s="7"/>
      <c r="IE94" s="7"/>
      <c r="IF94" s="7"/>
      <c r="IG94" s="7"/>
      <c r="IH94" s="7"/>
      <c r="II94" s="7"/>
      <c r="IJ94" s="7"/>
      <c r="IK94" s="7"/>
      <c r="IL94" s="7"/>
      <c r="IM94" s="7"/>
      <c r="IN94" s="7"/>
      <c r="IO94" s="7"/>
      <c r="IP94" s="7"/>
      <c r="IQ94" s="7"/>
      <c r="IR94" s="7"/>
      <c r="IS94" s="7"/>
      <c r="IT94" s="7"/>
      <c r="IU94" s="7"/>
      <c r="IV94" s="7"/>
      <c r="IW94" s="7"/>
      <c r="IX94" s="7"/>
      <c r="IY94" s="7"/>
      <c r="IZ94" s="7"/>
      <c r="JA94" s="7"/>
      <c r="JB94" s="7"/>
      <c r="JC94" s="7"/>
      <c r="JD94" s="7"/>
      <c r="JE94" s="7"/>
      <c r="JF94" s="7"/>
      <c r="JG94" s="7"/>
      <c r="JH94" s="7"/>
      <c r="JI94" s="7"/>
      <c r="JJ94" s="7"/>
      <c r="JK94" s="7"/>
      <c r="JL94" s="7"/>
      <c r="JM94" s="7"/>
      <c r="JN94" s="7"/>
      <c r="JO94" s="7"/>
      <c r="JP94" s="7"/>
      <c r="JQ94" s="7"/>
      <c r="JR94" s="7"/>
      <c r="JS94" s="7"/>
      <c r="JT94" s="7"/>
      <c r="JU94" s="7"/>
      <c r="JV94" s="7"/>
      <c r="JW94" s="7"/>
      <c r="JX94" s="7"/>
      <c r="JY94" s="7"/>
      <c r="JZ94" s="7"/>
      <c r="KA94" s="7"/>
      <c r="KB94" s="7"/>
      <c r="KC94" s="7"/>
      <c r="KD94" s="7"/>
      <c r="KE94" s="7"/>
      <c r="KF94" s="7"/>
      <c r="KG94" s="7"/>
      <c r="KH94" s="7"/>
      <c r="KI94" s="7"/>
      <c r="KJ94" s="7"/>
      <c r="KK94" s="7"/>
      <c r="KL94" s="7"/>
      <c r="KM94" s="7"/>
      <c r="KN94" s="7"/>
      <c r="KO94" s="7"/>
      <c r="KP94" s="7"/>
      <c r="KQ94" s="7"/>
      <c r="KR94" s="7"/>
      <c r="KS94" s="7"/>
      <c r="KT94" s="7"/>
      <c r="KU94" s="7"/>
      <c r="KV94" s="7"/>
      <c r="KW94" s="7"/>
      <c r="KX94" s="7"/>
      <c r="KY94" s="7"/>
      <c r="KZ94" s="7"/>
      <c r="LA94" s="7"/>
      <c r="LB94" s="7"/>
      <c r="LC94" s="7"/>
      <c r="LD94" s="7"/>
      <c r="LE94" s="7"/>
      <c r="LF94" s="7"/>
      <c r="LG94" s="7"/>
      <c r="LH94" s="7"/>
      <c r="LI94" s="7"/>
      <c r="LJ94" s="7"/>
      <c r="LK94" s="7"/>
      <c r="LL94" s="7"/>
      <c r="LM94" s="7"/>
      <c r="LN94" s="7"/>
      <c r="LO94" s="7"/>
      <c r="LP94" s="7"/>
      <c r="LQ94" s="7"/>
      <c r="LR94" s="7"/>
      <c r="LS94" s="7"/>
      <c r="LT94" s="7"/>
      <c r="LU94" s="7"/>
      <c r="LV94" s="7"/>
      <c r="LW94" s="7"/>
      <c r="LX94" s="7"/>
      <c r="LY94" s="7"/>
      <c r="LZ94" s="7"/>
      <c r="MA94" s="7"/>
      <c r="MB94" s="7"/>
      <c r="MC94" s="7"/>
      <c r="MD94" s="7"/>
      <c r="ME94" s="7"/>
      <c r="MF94" s="7"/>
      <c r="MG94" s="7"/>
      <c r="MH94" s="7"/>
      <c r="MI94" s="7"/>
      <c r="MJ94" s="7"/>
      <c r="MK94" s="7"/>
      <c r="ML94" s="7"/>
      <c r="MM94" s="7"/>
      <c r="MN94" s="7"/>
      <c r="MO94" s="7"/>
      <c r="MP94" s="7"/>
      <c r="MQ94" s="7"/>
      <c r="MR94" s="7"/>
      <c r="MS94" s="7"/>
      <c r="MT94" s="7"/>
      <c r="MU94" s="7"/>
      <c r="MV94" s="7"/>
      <c r="MW94" s="7"/>
      <c r="MX94" s="7"/>
      <c r="MY94" s="7"/>
      <c r="MZ94" s="7"/>
      <c r="NA94" s="7"/>
      <c r="NB94" s="7"/>
      <c r="NC94" s="7"/>
      <c r="ND94" s="7"/>
      <c r="NE94" s="7"/>
      <c r="NF94" s="7"/>
      <c r="NG94" s="7"/>
      <c r="NH94" s="7"/>
      <c r="NI94" s="7"/>
      <c r="NJ94" s="7"/>
      <c r="NK94" s="7"/>
      <c r="NL94" s="7"/>
      <c r="NM94" s="7"/>
      <c r="NN94" s="7"/>
      <c r="NO94" s="7"/>
      <c r="NP94" s="7"/>
      <c r="NQ94" s="7"/>
      <c r="NR94" s="7"/>
      <c r="NS94" s="7"/>
      <c r="NT94" s="7"/>
      <c r="NU94" s="7"/>
      <c r="NV94" s="7"/>
      <c r="NW94" s="7"/>
      <c r="NX94" s="7"/>
      <c r="NY94" s="7"/>
      <c r="NZ94" s="7"/>
      <c r="OA94" s="7"/>
      <c r="OB94" s="7"/>
      <c r="OC94" s="7"/>
      <c r="OD94" s="7"/>
      <c r="OE94" s="7"/>
      <c r="OF94" s="7"/>
      <c r="OG94" s="7"/>
      <c r="OH94" s="7"/>
      <c r="OI94" s="7"/>
      <c r="OJ94" s="7"/>
      <c r="OK94" s="7"/>
      <c r="OL94" s="7"/>
      <c r="OM94" s="7"/>
      <c r="ON94" s="7"/>
      <c r="OO94" s="7"/>
      <c r="OP94" s="7"/>
      <c r="OQ94" s="7"/>
      <c r="OR94" s="7"/>
      <c r="OS94" s="7"/>
      <c r="OT94" s="7"/>
      <c r="OU94" s="7"/>
      <c r="OV94" s="7"/>
      <c r="OW94" s="7"/>
      <c r="OX94" s="7"/>
      <c r="OY94" s="7"/>
      <c r="OZ94" s="7"/>
      <c r="PA94" s="7"/>
      <c r="PB94" s="7"/>
      <c r="PC94" s="7"/>
      <c r="PD94" s="7"/>
      <c r="PE94" s="7"/>
      <c r="PF94" s="7"/>
      <c r="PG94" s="7"/>
      <c r="PH94" s="7"/>
      <c r="PI94" s="7"/>
      <c r="PJ94" s="7"/>
      <c r="PK94" s="7"/>
      <c r="PL94" s="7"/>
      <c r="PM94" s="7"/>
      <c r="PN94" s="7"/>
      <c r="PO94" s="7"/>
      <c r="PP94" s="7"/>
      <c r="PQ94" s="7"/>
      <c r="PR94" s="7"/>
      <c r="PS94" s="7"/>
      <c r="PT94" s="7"/>
      <c r="PU94" s="7"/>
      <c r="PV94" s="7"/>
      <c r="PW94" s="7"/>
      <c r="PX94" s="7"/>
      <c r="PY94" s="7"/>
      <c r="PZ94" s="7"/>
      <c r="QA94" s="7"/>
    </row>
    <row r="95" spans="1:443" ht="15" hidden="1" customHeight="1" x14ac:dyDescent="0.25">
      <c r="C95" s="4" t="s">
        <v>2</v>
      </c>
      <c r="G95" t="s">
        <v>1045</v>
      </c>
      <c r="H95" s="1">
        <v>0.875</v>
      </c>
      <c r="I95" s="1">
        <v>0.5</v>
      </c>
      <c r="J95" s="1">
        <v>0.375</v>
      </c>
      <c r="K95" s="1">
        <f>VC_NEW!F89</f>
        <v>0</v>
      </c>
      <c r="L95" s="1">
        <v>1.125</v>
      </c>
      <c r="M95" s="1">
        <v>0.125</v>
      </c>
      <c r="N95" s="1">
        <v>1.625</v>
      </c>
      <c r="O95" s="1">
        <f>VC_NEW!J89</f>
        <v>0</v>
      </c>
      <c r="P95" s="1">
        <v>0.125</v>
      </c>
      <c r="Q95" s="1">
        <f>VC_NEW!L89</f>
        <v>0</v>
      </c>
      <c r="R95" s="1">
        <v>0.5</v>
      </c>
      <c r="S95" s="1">
        <f>VC_NEW!N89</f>
        <v>0</v>
      </c>
      <c r="T95" s="1">
        <f>VC_NEW!O89</f>
        <v>0</v>
      </c>
      <c r="U95" s="1">
        <v>0</v>
      </c>
      <c r="V95" s="1">
        <v>0.875</v>
      </c>
      <c r="W95" s="1">
        <f>VC_NEW!R89</f>
        <v>0</v>
      </c>
      <c r="X95" s="1">
        <f>VC_NEW!S89</f>
        <v>0</v>
      </c>
      <c r="Y95" s="1">
        <f>VC_NEW!T89</f>
        <v>0</v>
      </c>
      <c r="Z95" s="1">
        <v>0</v>
      </c>
      <c r="AA95" s="1">
        <v>0.25</v>
      </c>
      <c r="AB95" s="1">
        <v>0.25</v>
      </c>
      <c r="AC95" s="1">
        <v>0.75</v>
      </c>
      <c r="AD95" s="1">
        <v>0</v>
      </c>
      <c r="AE95" s="1">
        <v>0.75</v>
      </c>
      <c r="AF95" s="1">
        <v>0</v>
      </c>
      <c r="AG95" s="1">
        <v>0</v>
      </c>
      <c r="AH95" s="1">
        <v>0.375</v>
      </c>
      <c r="AI95" s="1">
        <f>VC_NEW!AD89</f>
        <v>0</v>
      </c>
      <c r="AJ95" s="1">
        <f>VC_NEW!AE89</f>
        <v>0</v>
      </c>
      <c r="AK95" s="1">
        <v>0.5</v>
      </c>
      <c r="AL95" s="1">
        <v>1</v>
      </c>
      <c r="AM95" s="1">
        <v>0.5</v>
      </c>
      <c r="AN95" s="1">
        <f>VC_NEW!AI89</f>
        <v>0</v>
      </c>
      <c r="AO95" s="1">
        <v>1</v>
      </c>
      <c r="AP95" s="1">
        <v>0</v>
      </c>
      <c r="AQ95" s="1">
        <v>0.5</v>
      </c>
      <c r="AR95" s="1">
        <v>0</v>
      </c>
      <c r="AS95" s="1">
        <v>0.5</v>
      </c>
      <c r="AT95" s="1">
        <v>0.625</v>
      </c>
      <c r="AU95" s="1">
        <v>0.375</v>
      </c>
      <c r="AV95" s="1">
        <v>0.25</v>
      </c>
      <c r="AW95" s="1">
        <v>0.25</v>
      </c>
      <c r="AX95" s="1">
        <v>0</v>
      </c>
      <c r="AY95" s="1">
        <v>0</v>
      </c>
      <c r="AZ95" s="1">
        <v>0.125</v>
      </c>
      <c r="BA95" s="1">
        <v>1.25</v>
      </c>
      <c r="BB95" s="1">
        <v>1</v>
      </c>
      <c r="BC95" s="1">
        <v>1.25</v>
      </c>
      <c r="BD95" s="1">
        <v>0</v>
      </c>
      <c r="BE95" s="1">
        <v>0.75</v>
      </c>
      <c r="BF95" s="1">
        <v>0</v>
      </c>
      <c r="BG95" s="1">
        <v>0.625</v>
      </c>
      <c r="BH95" s="1">
        <f>VC_NEW!BC89</f>
        <v>0</v>
      </c>
      <c r="BI95" s="1">
        <v>0.75</v>
      </c>
      <c r="BJ95" s="1">
        <v>1.25</v>
      </c>
      <c r="BK95" s="1">
        <v>0</v>
      </c>
      <c r="BL95" s="1">
        <v>0</v>
      </c>
      <c r="BM95" s="1">
        <v>0</v>
      </c>
      <c r="BN95" s="1">
        <v>1</v>
      </c>
      <c r="BO95" s="1">
        <v>0</v>
      </c>
      <c r="BP95" s="1">
        <v>0.25</v>
      </c>
      <c r="BQ95" s="1">
        <v>0.75</v>
      </c>
      <c r="BR95" s="1">
        <v>0.5</v>
      </c>
      <c r="BS95" s="1">
        <v>1.125</v>
      </c>
      <c r="BT95" s="1">
        <v>1.625</v>
      </c>
      <c r="BU95" s="1">
        <v>0</v>
      </c>
      <c r="BV95" s="1">
        <v>0.125</v>
      </c>
      <c r="BW95" s="1">
        <v>1</v>
      </c>
      <c r="BX95" s="1">
        <v>0.375</v>
      </c>
      <c r="BY95" s="1">
        <v>0</v>
      </c>
      <c r="BZ95" s="1">
        <v>0</v>
      </c>
      <c r="CA95" s="1">
        <v>0.625</v>
      </c>
      <c r="CB95" s="1">
        <v>0</v>
      </c>
      <c r="CC95" s="1">
        <v>0.25</v>
      </c>
      <c r="CD95" s="1">
        <v>1.25</v>
      </c>
      <c r="CE95" s="1">
        <v>0</v>
      </c>
      <c r="CF95" s="1">
        <v>1.25</v>
      </c>
      <c r="CG95" s="1">
        <v>0.25</v>
      </c>
      <c r="CH95" s="1">
        <v>0</v>
      </c>
      <c r="CI95" s="1">
        <v>0.25</v>
      </c>
      <c r="CJ95" s="1">
        <v>1.25</v>
      </c>
      <c r="CK95" s="1">
        <v>1.25</v>
      </c>
      <c r="CL95" s="1">
        <v>0.25</v>
      </c>
      <c r="CM95" s="1">
        <v>3</v>
      </c>
      <c r="CN95" s="1">
        <v>0</v>
      </c>
      <c r="CO95" s="1">
        <v>0.375</v>
      </c>
      <c r="CP95" s="1">
        <v>1.25</v>
      </c>
      <c r="CQ95" s="1">
        <v>1.375</v>
      </c>
      <c r="CR95" s="1">
        <v>0.25</v>
      </c>
      <c r="CS95" s="1">
        <v>0.625</v>
      </c>
      <c r="CT95" s="1">
        <v>0.125</v>
      </c>
      <c r="CU95" s="1">
        <v>0.375</v>
      </c>
      <c r="CV95" s="1">
        <v>0</v>
      </c>
      <c r="CW95" s="1">
        <v>0.5</v>
      </c>
      <c r="CX95" s="1">
        <v>0.25</v>
      </c>
      <c r="CY95" s="1">
        <v>0</v>
      </c>
      <c r="CZ95" s="1">
        <v>1.5</v>
      </c>
      <c r="DA95" s="1">
        <v>0.25</v>
      </c>
      <c r="DB95" s="1">
        <v>0.25</v>
      </c>
      <c r="DC95" s="1">
        <v>0</v>
      </c>
      <c r="DD95" s="1">
        <v>0.125</v>
      </c>
      <c r="DE95" s="1">
        <v>0</v>
      </c>
      <c r="DF95" s="1">
        <v>0.25</v>
      </c>
      <c r="DG95" s="1">
        <v>0</v>
      </c>
      <c r="DH95" s="1">
        <v>0.125</v>
      </c>
      <c r="DI95" s="1">
        <v>0.75</v>
      </c>
      <c r="DJ95" s="1">
        <v>1.25</v>
      </c>
      <c r="DK95" s="1">
        <v>2.625</v>
      </c>
      <c r="DL95" s="1">
        <v>0.375</v>
      </c>
      <c r="DM95" s="1">
        <v>0.5</v>
      </c>
      <c r="DN95" s="1">
        <v>0</v>
      </c>
      <c r="DO95" s="1">
        <v>0.125</v>
      </c>
      <c r="DP95" s="1">
        <v>0.5</v>
      </c>
      <c r="DQ95" s="1">
        <v>0.25</v>
      </c>
      <c r="DR95" s="1">
        <v>-0.25</v>
      </c>
      <c r="DS95" s="1">
        <v>0.125</v>
      </c>
      <c r="DT95" s="1">
        <v>0</v>
      </c>
      <c r="DU95" s="1">
        <v>0.125</v>
      </c>
      <c r="DV95" s="1">
        <v>0.5</v>
      </c>
      <c r="DW95" s="1">
        <v>1.125</v>
      </c>
      <c r="DX95" s="1">
        <v>0.5</v>
      </c>
      <c r="DY95" s="1">
        <v>0.25</v>
      </c>
      <c r="DZ95" s="1">
        <v>0.25</v>
      </c>
      <c r="EA95" s="1">
        <v>2.5</v>
      </c>
      <c r="EB95" s="1">
        <v>0.75</v>
      </c>
      <c r="EC95" s="1">
        <v>0.75</v>
      </c>
      <c r="ED95" s="1">
        <v>0.25</v>
      </c>
      <c r="EE95" s="1">
        <v>3.125</v>
      </c>
      <c r="EF95" s="1">
        <v>0.5</v>
      </c>
      <c r="EG95" s="1">
        <v>0.5</v>
      </c>
      <c r="EH95" s="1">
        <v>2</v>
      </c>
      <c r="EI95" s="1">
        <v>0.5</v>
      </c>
      <c r="EJ95" s="1">
        <v>1.25</v>
      </c>
      <c r="EK95" s="1">
        <v>1.125</v>
      </c>
      <c r="EL95" s="1">
        <v>0.75</v>
      </c>
      <c r="EM95" s="1">
        <v>0</v>
      </c>
      <c r="EN95" s="1">
        <v>0.25</v>
      </c>
      <c r="EO95" s="1">
        <v>0</v>
      </c>
      <c r="EP95" s="1">
        <v>0</v>
      </c>
      <c r="EQ95" s="1">
        <v>0.25</v>
      </c>
      <c r="ER95" s="1">
        <v>0.25</v>
      </c>
      <c r="ES95" s="1">
        <v>1.25</v>
      </c>
      <c r="ET95" s="1">
        <v>0.125</v>
      </c>
      <c r="EU95" s="1">
        <v>1.25</v>
      </c>
      <c r="EV95" s="1">
        <f>VC_NEW!EQ89</f>
        <v>0</v>
      </c>
      <c r="EW95" s="1" t="s">
        <v>1151</v>
      </c>
      <c r="EX95" s="1">
        <v>0</v>
      </c>
      <c r="EY95" s="1">
        <v>0.25</v>
      </c>
      <c r="EZ95" s="1">
        <v>0.5</v>
      </c>
      <c r="FA95" s="1">
        <v>1.5</v>
      </c>
      <c r="FB95" s="1">
        <v>0.25</v>
      </c>
      <c r="FC95" s="1">
        <v>0.75</v>
      </c>
      <c r="FD95" s="1">
        <v>0</v>
      </c>
      <c r="FE95" s="1">
        <v>1.375</v>
      </c>
      <c r="FF95" s="1">
        <v>0.125</v>
      </c>
      <c r="FG95" s="1">
        <v>0</v>
      </c>
      <c r="FH95" s="1">
        <v>0.25</v>
      </c>
      <c r="FI95" s="1">
        <v>1.625</v>
      </c>
      <c r="FJ95" s="1">
        <v>0.5</v>
      </c>
      <c r="FK95" s="1">
        <v>0.625</v>
      </c>
      <c r="FL95" s="1">
        <v>0.5</v>
      </c>
      <c r="FM95" s="1">
        <v>0</v>
      </c>
      <c r="FN95" s="1">
        <v>0.25</v>
      </c>
      <c r="FO95" s="1">
        <v>0.25</v>
      </c>
      <c r="FP95" s="1">
        <v>0.5</v>
      </c>
      <c r="FQ95" s="1">
        <v>0.625</v>
      </c>
      <c r="FR95" s="1">
        <v>0.5</v>
      </c>
      <c r="FS95" s="1">
        <v>0.5</v>
      </c>
      <c r="FT95" s="1">
        <v>0</v>
      </c>
      <c r="FU95" s="1">
        <v>0.25</v>
      </c>
      <c r="FV95" s="1">
        <v>0</v>
      </c>
      <c r="FW95" s="1">
        <v>0.5</v>
      </c>
      <c r="FX95" s="1">
        <v>0.5</v>
      </c>
      <c r="FY95" s="1">
        <v>0</v>
      </c>
      <c r="FZ95" s="1">
        <v>0</v>
      </c>
      <c r="GA95" s="1">
        <v>3</v>
      </c>
      <c r="GB95" s="1">
        <v>1</v>
      </c>
      <c r="GC95" s="1">
        <v>0.25</v>
      </c>
      <c r="GD95" s="1">
        <v>-0.5</v>
      </c>
      <c r="GE95" s="1">
        <v>0.25</v>
      </c>
      <c r="GF95" s="1">
        <v>0.25</v>
      </c>
      <c r="GG95" s="1">
        <v>0</v>
      </c>
      <c r="GH95" s="1">
        <v>0.25</v>
      </c>
      <c r="GI95" s="1">
        <v>0.25</v>
      </c>
      <c r="GJ95" s="1">
        <v>0.25</v>
      </c>
      <c r="GK95" s="1">
        <v>0.25</v>
      </c>
      <c r="GL95" s="1">
        <v>0.5</v>
      </c>
      <c r="GM95" s="1">
        <v>0.5</v>
      </c>
      <c r="GN95" s="1">
        <v>1.125</v>
      </c>
      <c r="GO95" s="1">
        <v>0.375</v>
      </c>
      <c r="GP95" s="1">
        <v>0</v>
      </c>
      <c r="GQ95" s="1">
        <v>0.25</v>
      </c>
      <c r="GR95" s="1">
        <v>0.25</v>
      </c>
      <c r="GS95" s="1">
        <v>0.375</v>
      </c>
      <c r="GT95" s="1">
        <v>0.375</v>
      </c>
      <c r="GU95" s="1">
        <v>0.25</v>
      </c>
      <c r="GV95" s="1">
        <v>0.75</v>
      </c>
      <c r="GW95" s="1">
        <f>VC_NEW!GR89</f>
        <v>0</v>
      </c>
      <c r="GX95" s="1">
        <v>1.125</v>
      </c>
      <c r="GY95" s="1">
        <v>1.25</v>
      </c>
      <c r="GZ95" s="1">
        <v>0</v>
      </c>
      <c r="HA95" s="1">
        <v>0.25</v>
      </c>
      <c r="HB95" s="1">
        <v>1.75</v>
      </c>
      <c r="HC95" s="1">
        <v>0.5</v>
      </c>
    </row>
    <row r="96" spans="1:443" ht="15" hidden="1" customHeight="1" x14ac:dyDescent="0.25">
      <c r="C96" s="8" t="s">
        <v>4</v>
      </c>
      <c r="G96" s="7" t="s">
        <v>1047</v>
      </c>
      <c r="H96" s="7">
        <v>1.125</v>
      </c>
      <c r="I96" s="7">
        <v>0.375</v>
      </c>
      <c r="J96" s="7">
        <v>0.125</v>
      </c>
      <c r="K96" s="7">
        <v>0</v>
      </c>
      <c r="L96" s="7">
        <v>1.75</v>
      </c>
      <c r="M96" s="7">
        <f>VC_NEW!H90</f>
        <v>0</v>
      </c>
      <c r="N96" s="7">
        <v>3</v>
      </c>
      <c r="O96" s="7">
        <f>VC_NEW!J90</f>
        <v>0</v>
      </c>
      <c r="P96" s="7">
        <f>VC_NEW!K90</f>
        <v>0</v>
      </c>
      <c r="Q96" s="7">
        <f>VC_NEW!L90</f>
        <v>0</v>
      </c>
      <c r="R96" s="7">
        <v>0.375</v>
      </c>
      <c r="S96" s="7">
        <f>VC_NEW!N90</f>
        <v>0</v>
      </c>
      <c r="T96" s="7">
        <f>VC_NEW!O90</f>
        <v>0</v>
      </c>
      <c r="U96" s="7">
        <f>VC_NEW!P90</f>
        <v>0</v>
      </c>
      <c r="V96" s="7">
        <v>2</v>
      </c>
      <c r="W96" s="7">
        <f>VC_NEW!R90</f>
        <v>0</v>
      </c>
      <c r="X96" s="7">
        <f>VC_NEW!S90</f>
        <v>0</v>
      </c>
      <c r="Y96" s="7">
        <f>VC_NEW!T90</f>
        <v>0</v>
      </c>
      <c r="Z96" s="7">
        <v>0</v>
      </c>
      <c r="AA96" s="7">
        <f>VC_NEW!V90</f>
        <v>0</v>
      </c>
      <c r="AB96" s="7">
        <v>0.25</v>
      </c>
      <c r="AC96" s="7">
        <v>1.625</v>
      </c>
      <c r="AD96" s="7">
        <f>VC_NEW!Y90</f>
        <v>0</v>
      </c>
      <c r="AE96" s="7">
        <v>0.125</v>
      </c>
      <c r="AF96" s="7">
        <f>VC_NEW!AA90</f>
        <v>0</v>
      </c>
      <c r="AG96" s="7">
        <f>VC_NEW!AB90</f>
        <v>0</v>
      </c>
      <c r="AH96" s="7">
        <v>0.5</v>
      </c>
      <c r="AI96" s="7">
        <f>VC_NEW!AD90</f>
        <v>0</v>
      </c>
      <c r="AJ96" s="7">
        <v>0.5</v>
      </c>
      <c r="AK96" s="7">
        <v>1.25</v>
      </c>
      <c r="AL96" s="7">
        <v>0.25</v>
      </c>
      <c r="AM96" s="7">
        <f>VC_NEW!AH90</f>
        <v>0</v>
      </c>
      <c r="AN96" s="7">
        <f>VC_NEW!AI90</f>
        <v>0</v>
      </c>
      <c r="AO96" s="7">
        <v>0.625</v>
      </c>
      <c r="AP96" s="7">
        <f>VC_NEW!AK90</f>
        <v>0</v>
      </c>
      <c r="AQ96" s="7">
        <v>0.25</v>
      </c>
      <c r="AR96" s="7">
        <f>VC_NEW!AM90</f>
        <v>0</v>
      </c>
      <c r="AS96" s="7">
        <f>VC_NEW!AN90</f>
        <v>0</v>
      </c>
      <c r="AT96" s="7">
        <v>0</v>
      </c>
      <c r="AU96" s="7">
        <v>1</v>
      </c>
      <c r="AV96" s="7">
        <f>VC_NEW!AQ90</f>
        <v>0</v>
      </c>
      <c r="AW96" s="7">
        <v>0.5</v>
      </c>
      <c r="AX96" s="7">
        <f>VC_NEW!AS90</f>
        <v>0</v>
      </c>
      <c r="AY96" s="7">
        <f>VC_NEW!AT90</f>
        <v>0</v>
      </c>
      <c r="AZ96" s="7">
        <f>VC_NEW!AU90</f>
        <v>0</v>
      </c>
      <c r="BA96" s="7">
        <v>1.75</v>
      </c>
      <c r="BB96" s="7">
        <v>0.25</v>
      </c>
      <c r="BC96" s="7">
        <v>1.75</v>
      </c>
      <c r="BD96" s="7">
        <f>VC_NEW!AY90</f>
        <v>0</v>
      </c>
      <c r="BE96" s="7">
        <v>0.75</v>
      </c>
      <c r="BF96" s="7">
        <f>VC_NEW!BA90</f>
        <v>0</v>
      </c>
      <c r="BG96" s="7">
        <v>1.125</v>
      </c>
      <c r="BH96" s="7">
        <f>VC_NEW!BC90</f>
        <v>0</v>
      </c>
      <c r="BI96" s="7">
        <v>1.75</v>
      </c>
      <c r="BJ96" s="7">
        <v>1.625</v>
      </c>
      <c r="BK96" s="7">
        <v>1</v>
      </c>
      <c r="BL96" s="7">
        <f>VC_NEW!BG90</f>
        <v>0</v>
      </c>
      <c r="BM96" s="7">
        <f>VC_NEW!BH90</f>
        <v>0</v>
      </c>
      <c r="BN96" s="7">
        <v>1</v>
      </c>
      <c r="BO96" s="7">
        <v>-0.5</v>
      </c>
      <c r="BP96" s="7">
        <v>0.125</v>
      </c>
      <c r="BQ96" s="7">
        <v>0.625</v>
      </c>
      <c r="BR96" s="7">
        <v>1.5</v>
      </c>
      <c r="BS96" s="7">
        <v>1.75</v>
      </c>
      <c r="BT96" s="7">
        <v>1.625</v>
      </c>
      <c r="BU96" s="7">
        <v>0</v>
      </c>
      <c r="BV96" s="7">
        <f>VC_NEW!BQ90</f>
        <v>0</v>
      </c>
      <c r="BW96" s="7">
        <v>2.125</v>
      </c>
      <c r="BX96" s="7">
        <v>0.125</v>
      </c>
      <c r="BY96" s="7">
        <f>VC_NEW!BT90</f>
        <v>0</v>
      </c>
      <c r="BZ96" s="7">
        <f>VC_NEW!BU90</f>
        <v>0</v>
      </c>
      <c r="CA96" s="7">
        <v>0.5</v>
      </c>
      <c r="CB96" s="7">
        <f>VC_NEW!BW90</f>
        <v>0</v>
      </c>
      <c r="CC96" s="7">
        <v>0.5</v>
      </c>
      <c r="CD96" s="7">
        <v>1.75</v>
      </c>
      <c r="CE96" s="7">
        <f>VC_NEW!BZ90</f>
        <v>0</v>
      </c>
      <c r="CF96" s="7">
        <v>1.75</v>
      </c>
      <c r="CG96" s="7">
        <v>0.5</v>
      </c>
      <c r="CH96" s="7">
        <f>VC_NEW!CC90</f>
        <v>0</v>
      </c>
      <c r="CI96" s="7">
        <v>0.5</v>
      </c>
      <c r="CJ96" s="7">
        <v>1.75</v>
      </c>
      <c r="CK96" s="7">
        <v>1.25</v>
      </c>
      <c r="CL96" s="7">
        <f>VC_NEW!CG90</f>
        <v>0</v>
      </c>
      <c r="CM96" s="7">
        <v>1.75</v>
      </c>
      <c r="CN96" s="7">
        <f>VC_NEW!CI90</f>
        <v>0</v>
      </c>
      <c r="CO96" s="7">
        <v>0.5</v>
      </c>
      <c r="CP96" s="7">
        <v>1.75</v>
      </c>
      <c r="CQ96" s="7">
        <v>1.75</v>
      </c>
      <c r="CR96" s="7">
        <v>0.125</v>
      </c>
      <c r="CS96" s="7">
        <v>1.25</v>
      </c>
      <c r="CT96" s="7">
        <f>VC_NEW!CO90</f>
        <v>0</v>
      </c>
      <c r="CU96" s="7">
        <v>0.5</v>
      </c>
      <c r="CV96" s="7">
        <v>1</v>
      </c>
      <c r="CW96" s="7">
        <v>2</v>
      </c>
      <c r="CX96" s="7">
        <v>0.25</v>
      </c>
      <c r="CY96" s="7">
        <f>VC_NEW!CT90</f>
        <v>0</v>
      </c>
      <c r="CZ96" s="7">
        <v>2.25</v>
      </c>
      <c r="DA96" s="7">
        <v>0.5</v>
      </c>
      <c r="DB96" s="7">
        <v>0.125</v>
      </c>
      <c r="DC96" s="7">
        <f>VC_NEW!CX90</f>
        <v>0</v>
      </c>
      <c r="DD96" s="7">
        <f>VC_NEW!CY90</f>
        <v>0</v>
      </c>
      <c r="DE96" s="7">
        <f>VC_NEW!CZ90</f>
        <v>0</v>
      </c>
      <c r="DF96" s="7">
        <v>0.25</v>
      </c>
      <c r="DG96" s="7">
        <f>VC_NEW!DB90</f>
        <v>0</v>
      </c>
      <c r="DH96" s="7">
        <f>VC_NEW!DC90</f>
        <v>0</v>
      </c>
      <c r="DI96" s="7">
        <v>0.25</v>
      </c>
      <c r="DJ96" s="7">
        <v>2</v>
      </c>
      <c r="DK96" s="7">
        <v>1.5</v>
      </c>
      <c r="DL96" s="7">
        <v>1.625</v>
      </c>
      <c r="DM96" s="7">
        <v>0.25</v>
      </c>
      <c r="DN96" s="7">
        <v>0</v>
      </c>
      <c r="DO96" s="7">
        <v>1</v>
      </c>
      <c r="DP96" s="7">
        <v>1.75</v>
      </c>
      <c r="DQ96" s="7">
        <v>0.125</v>
      </c>
      <c r="DR96" s="7">
        <v>0.5</v>
      </c>
      <c r="DS96" s="7">
        <f>VC_NEW!DN90</f>
        <v>0</v>
      </c>
      <c r="DT96" s="7">
        <f>VC_NEW!DO90</f>
        <v>0</v>
      </c>
      <c r="DU96" s="7">
        <v>2</v>
      </c>
      <c r="DV96" s="7">
        <v>2</v>
      </c>
      <c r="DW96" s="7">
        <v>2.75</v>
      </c>
      <c r="DX96" s="7">
        <v>0.125</v>
      </c>
      <c r="DY96" s="7">
        <v>1.125</v>
      </c>
      <c r="DZ96" s="7">
        <v>0.5</v>
      </c>
      <c r="EA96" s="7">
        <v>1.25</v>
      </c>
      <c r="EB96" s="7">
        <v>0.5</v>
      </c>
      <c r="EC96" s="7">
        <v>0.625</v>
      </c>
      <c r="ED96" s="7">
        <v>0.875</v>
      </c>
      <c r="EE96" s="7">
        <v>1.75</v>
      </c>
      <c r="EF96" s="7">
        <f>VC_NEW!EA90</f>
        <v>0</v>
      </c>
      <c r="EG96" s="7">
        <v>0.75</v>
      </c>
      <c r="EH96" s="7">
        <v>2.75</v>
      </c>
      <c r="EI96" s="7">
        <v>0.625</v>
      </c>
      <c r="EJ96" s="7">
        <v>2</v>
      </c>
      <c r="EK96" s="7">
        <v>3</v>
      </c>
      <c r="EL96" s="7">
        <v>1.5</v>
      </c>
      <c r="EM96" s="7">
        <f>VC_NEW!EH90</f>
        <v>0</v>
      </c>
      <c r="EN96" s="7">
        <v>1</v>
      </c>
      <c r="EO96" s="7">
        <f>VC_NEW!EJ90</f>
        <v>0</v>
      </c>
      <c r="EP96" s="7">
        <f>VC_NEW!EK90</f>
        <v>0</v>
      </c>
      <c r="EQ96" s="7">
        <v>2.25</v>
      </c>
      <c r="ER96" s="7">
        <v>0.125</v>
      </c>
      <c r="ES96" s="7">
        <v>0.75</v>
      </c>
      <c r="ET96" s="7">
        <f>VC_NEW!EO90</f>
        <v>0</v>
      </c>
      <c r="EU96" s="7">
        <v>2.5</v>
      </c>
      <c r="EV96" s="7">
        <v>1</v>
      </c>
      <c r="EW96" s="7" t="s">
        <v>1151</v>
      </c>
      <c r="EX96" s="7">
        <f>VC_NEW!ES90</f>
        <v>0</v>
      </c>
      <c r="EY96" s="7">
        <f>VC_NEW!ET90</f>
        <v>0</v>
      </c>
      <c r="EZ96" s="7">
        <v>0.25</v>
      </c>
      <c r="FA96" s="7">
        <v>2.25</v>
      </c>
      <c r="FB96" s="7">
        <v>1.5</v>
      </c>
      <c r="FC96" s="7">
        <v>2.25</v>
      </c>
      <c r="FD96" s="7">
        <f>VC_NEW!EY90</f>
        <v>0</v>
      </c>
      <c r="FE96" s="7">
        <v>2.875</v>
      </c>
      <c r="FF96" s="7">
        <f>VC_NEW!FA90</f>
        <v>0</v>
      </c>
      <c r="FG96" s="7">
        <f>VC_NEW!FB90</f>
        <v>0</v>
      </c>
      <c r="FH96" s="7">
        <v>0.5</v>
      </c>
      <c r="FI96" s="7">
        <v>2.125</v>
      </c>
      <c r="FJ96" s="7">
        <f>VC_NEW!FE90</f>
        <v>0</v>
      </c>
      <c r="FK96" s="7">
        <f>VC_NEW!FF90</f>
        <v>0</v>
      </c>
      <c r="FL96" s="7">
        <v>1.625</v>
      </c>
      <c r="FM96" s="7">
        <f>VC_NEW!FH90</f>
        <v>0</v>
      </c>
      <c r="FN96" s="7">
        <f>VC_NEW!FI90</f>
        <v>0</v>
      </c>
      <c r="FO96" s="7">
        <f>VC_NEW!FJ90</f>
        <v>0</v>
      </c>
      <c r="FP96" s="7">
        <v>1</v>
      </c>
      <c r="FQ96" s="7">
        <v>1.75</v>
      </c>
      <c r="FR96" s="7">
        <v>1</v>
      </c>
      <c r="FS96" s="7">
        <v>0.25</v>
      </c>
      <c r="FT96" s="7">
        <v>0.5</v>
      </c>
      <c r="FU96" s="7">
        <v>1.125</v>
      </c>
      <c r="FV96" s="7">
        <f>VC_NEW!FQ90</f>
        <v>0</v>
      </c>
      <c r="FW96" s="7">
        <v>2</v>
      </c>
      <c r="FX96" s="7">
        <v>0.125</v>
      </c>
      <c r="FY96" s="7">
        <f>VC_NEW!FT90</f>
        <v>0</v>
      </c>
      <c r="FZ96" s="7">
        <f>VC_NEW!FU90</f>
        <v>0</v>
      </c>
      <c r="GA96" s="7">
        <v>1.75</v>
      </c>
      <c r="GB96" s="7">
        <v>3.5</v>
      </c>
      <c r="GC96" s="7">
        <v>1.125</v>
      </c>
      <c r="GD96" s="7">
        <v>-0.25</v>
      </c>
      <c r="GE96" s="7">
        <v>0.125</v>
      </c>
      <c r="GF96" s="7">
        <v>0.25</v>
      </c>
      <c r="GG96" s="7">
        <f>VC_NEW!GB90</f>
        <v>0</v>
      </c>
      <c r="GH96" s="7">
        <v>0.125</v>
      </c>
      <c r="GI96" s="7">
        <v>0.25</v>
      </c>
      <c r="GJ96" s="7">
        <v>0.125</v>
      </c>
      <c r="GK96" s="7">
        <v>0.125</v>
      </c>
      <c r="GL96" s="7">
        <v>1.125</v>
      </c>
      <c r="GM96" s="7">
        <v>1.75</v>
      </c>
      <c r="GN96" s="7">
        <v>0.875</v>
      </c>
      <c r="GO96" s="7">
        <v>0.25</v>
      </c>
      <c r="GP96" s="7">
        <v>0</v>
      </c>
      <c r="GQ96" s="7">
        <f>VC_NEW!GL90</f>
        <v>0</v>
      </c>
      <c r="GR96" s="7">
        <f>VC_NEW!GM90</f>
        <v>0</v>
      </c>
      <c r="GS96" s="7">
        <f>VC_NEW!GN90</f>
        <v>0</v>
      </c>
      <c r="GT96" s="7">
        <v>0.25</v>
      </c>
      <c r="GU96" s="7">
        <v>0.125</v>
      </c>
      <c r="GV96" s="7">
        <v>0.25</v>
      </c>
      <c r="GW96" s="7">
        <f>VC_NEW!GR90</f>
        <v>0</v>
      </c>
      <c r="GX96" s="7">
        <v>0.125</v>
      </c>
      <c r="GY96" s="7">
        <v>1.25</v>
      </c>
      <c r="GZ96" s="7">
        <f>VC_NEW!GU90</f>
        <v>0</v>
      </c>
      <c r="HA96" s="7">
        <v>1.5</v>
      </c>
      <c r="HB96" s="7">
        <v>2.25</v>
      </c>
      <c r="HC96" s="7">
        <v>0.625</v>
      </c>
      <c r="HD96" s="7"/>
      <c r="HE96" s="7"/>
      <c r="HF96" s="7"/>
      <c r="HG96" s="7"/>
      <c r="HH96" s="7"/>
      <c r="HI96" s="7"/>
      <c r="HJ96" s="7"/>
      <c r="HK96" s="7"/>
      <c r="HL96" s="7"/>
      <c r="HM96" s="7"/>
      <c r="HN96" s="7"/>
      <c r="HO96" s="7"/>
      <c r="HP96" s="7"/>
      <c r="HQ96" s="7"/>
      <c r="HR96" s="7"/>
      <c r="HS96" s="7"/>
      <c r="HT96" s="7"/>
      <c r="HU96" s="7"/>
      <c r="HV96" s="7"/>
      <c r="HW96" s="7"/>
      <c r="HX96" s="7"/>
      <c r="HY96" s="7"/>
      <c r="HZ96" s="7"/>
      <c r="IA96" s="7"/>
      <c r="IB96" s="7"/>
      <c r="IC96" s="7"/>
    </row>
    <row r="97" spans="3:211" ht="15" hidden="1" customHeight="1" x14ac:dyDescent="0.25">
      <c r="C97" s="4" t="s">
        <v>3</v>
      </c>
      <c r="G97" t="s">
        <v>1048</v>
      </c>
      <c r="H97" s="1">
        <v>0.125</v>
      </c>
      <c r="I97" s="1">
        <v>0.125</v>
      </c>
      <c r="J97" s="1">
        <v>0.125</v>
      </c>
      <c r="K97" s="1">
        <f>VC_NEW!F91</f>
        <v>0</v>
      </c>
      <c r="L97" s="1">
        <v>0.125</v>
      </c>
      <c r="M97" s="1">
        <v>0.5</v>
      </c>
      <c r="N97" s="1">
        <v>0.125</v>
      </c>
      <c r="O97" s="1">
        <f>VC_NEW!J91</f>
        <v>0</v>
      </c>
      <c r="P97" s="1">
        <v>0.125</v>
      </c>
      <c r="Q97" s="1">
        <f>VC_NEW!L91</f>
        <v>0</v>
      </c>
      <c r="R97" s="1">
        <v>0.125</v>
      </c>
      <c r="S97" s="1">
        <f>VC_NEW!N91</f>
        <v>0</v>
      </c>
      <c r="T97" s="1">
        <f>VC_NEW!O91</f>
        <v>0</v>
      </c>
      <c r="U97" s="1">
        <v>0</v>
      </c>
      <c r="V97" s="1">
        <v>0.375</v>
      </c>
      <c r="W97" s="1">
        <f>VC_NEW!R91</f>
        <v>0</v>
      </c>
      <c r="X97" s="1">
        <f>VC_NEW!S91</f>
        <v>0</v>
      </c>
      <c r="Y97" s="1">
        <f>VC_NEW!T91</f>
        <v>0</v>
      </c>
      <c r="Z97" s="1">
        <f>VC_NEW!U91</f>
        <v>0</v>
      </c>
      <c r="AA97" s="1">
        <f>VC_NEW!V91</f>
        <v>0</v>
      </c>
      <c r="AB97" s="1">
        <v>0.125</v>
      </c>
      <c r="AC97" s="1">
        <v>0.25</v>
      </c>
      <c r="AD97" s="1">
        <f>VC_NEW!Y91</f>
        <v>0</v>
      </c>
      <c r="AE97" s="1">
        <f>VC_NEW!Z91</f>
        <v>0</v>
      </c>
      <c r="AF97" s="1">
        <f>VC_NEW!AA91</f>
        <v>0</v>
      </c>
      <c r="AG97" s="1">
        <f>VC_NEW!AB91</f>
        <v>0</v>
      </c>
      <c r="AH97" s="1">
        <v>0.125</v>
      </c>
      <c r="AI97" s="1">
        <f>VC_NEW!AD91</f>
        <v>0</v>
      </c>
      <c r="AJ97" s="1">
        <f>VC_NEW!AE91</f>
        <v>0</v>
      </c>
      <c r="AK97" s="1">
        <v>0.125</v>
      </c>
      <c r="AL97" s="1">
        <f>VC_NEW!AG91</f>
        <v>0</v>
      </c>
      <c r="AM97" s="1">
        <f>VC_NEW!AH91</f>
        <v>0</v>
      </c>
      <c r="AN97" s="1">
        <f>VC_NEW!AI91</f>
        <v>0</v>
      </c>
      <c r="AO97" s="1">
        <v>0.875</v>
      </c>
      <c r="AP97" s="1">
        <f>VC_NEW!AK91</f>
        <v>0</v>
      </c>
      <c r="AQ97" s="1">
        <f>VC_NEW!AL91</f>
        <v>0</v>
      </c>
      <c r="AR97" s="1">
        <f>VC_NEW!AM91</f>
        <v>0</v>
      </c>
      <c r="AS97" s="1">
        <f>VC_NEW!AN91</f>
        <v>0</v>
      </c>
      <c r="AT97" s="1">
        <v>0.125</v>
      </c>
      <c r="AU97" s="1">
        <v>0.375</v>
      </c>
      <c r="AV97" s="1">
        <f>VC_NEW!AQ91</f>
        <v>0</v>
      </c>
      <c r="AW97" s="1">
        <f>VC_NEW!AR91</f>
        <v>0</v>
      </c>
      <c r="AX97" s="1">
        <f>VC_NEW!AS91</f>
        <v>0</v>
      </c>
      <c r="AY97" s="1">
        <f>VC_NEW!AT91</f>
        <v>0</v>
      </c>
      <c r="AZ97" s="1">
        <v>0.125</v>
      </c>
      <c r="BA97" s="1">
        <v>0.25</v>
      </c>
      <c r="BB97" s="1">
        <v>0.375</v>
      </c>
      <c r="BC97" s="1">
        <v>0.25</v>
      </c>
      <c r="BD97" s="1">
        <f>VC_NEW!AY91</f>
        <v>0</v>
      </c>
      <c r="BE97" s="1">
        <f>VC_NEW!AZ91</f>
        <v>0</v>
      </c>
      <c r="BF97" s="1">
        <f>VC_NEW!BA91</f>
        <v>0</v>
      </c>
      <c r="BG97" s="1">
        <v>0.125</v>
      </c>
      <c r="BH97" s="1">
        <f>VC_NEW!BC91</f>
        <v>0</v>
      </c>
      <c r="BI97" s="1">
        <v>1</v>
      </c>
      <c r="BJ97" s="1">
        <v>2.25</v>
      </c>
      <c r="BK97" s="1">
        <f>VC_NEW!BF91</f>
        <v>0</v>
      </c>
      <c r="BL97" s="1">
        <f>VC_NEW!BG91</f>
        <v>0</v>
      </c>
      <c r="BM97" s="1">
        <f>VC_NEW!BH91</f>
        <v>0</v>
      </c>
      <c r="BN97" s="1">
        <v>1.25</v>
      </c>
      <c r="BO97" s="1">
        <v>-0.25</v>
      </c>
      <c r="BP97" s="1">
        <v>0.25</v>
      </c>
      <c r="BQ97" s="1">
        <v>-0.25</v>
      </c>
      <c r="BR97" s="1">
        <v>0.25</v>
      </c>
      <c r="BS97" s="1">
        <v>0.125</v>
      </c>
      <c r="BT97" s="1">
        <v>0.5</v>
      </c>
      <c r="BU97" s="1">
        <f>VC_NEW!BP91</f>
        <v>0</v>
      </c>
      <c r="BV97" s="1">
        <v>0.125</v>
      </c>
      <c r="BW97" s="1">
        <v>0.25</v>
      </c>
      <c r="BX97" s="1">
        <v>0.125</v>
      </c>
      <c r="BY97" s="1">
        <f>VC_NEW!BT91</f>
        <v>0</v>
      </c>
      <c r="BZ97" s="1">
        <f>VC_NEW!BU91</f>
        <v>0</v>
      </c>
      <c r="CA97" s="1">
        <v>0.375</v>
      </c>
      <c r="CB97" s="1">
        <f>VC_NEW!BW91</f>
        <v>0</v>
      </c>
      <c r="CC97" s="1">
        <f>VC_NEW!BX91</f>
        <v>0</v>
      </c>
      <c r="CD97" s="1">
        <v>0.25</v>
      </c>
      <c r="CE97" s="1">
        <f>VC_NEW!BZ91</f>
        <v>0</v>
      </c>
      <c r="CF97" s="1">
        <v>0.375</v>
      </c>
      <c r="CG97" s="1">
        <f>VC_NEW!CB91</f>
        <v>0</v>
      </c>
      <c r="CH97" s="1">
        <f>VC_NEW!CC91</f>
        <v>0</v>
      </c>
      <c r="CI97" s="1">
        <f>VC_NEW!CD91</f>
        <v>0</v>
      </c>
      <c r="CJ97" s="1">
        <v>0.25</v>
      </c>
      <c r="CK97" s="1">
        <v>0.5</v>
      </c>
      <c r="CL97" s="1">
        <f>VC_NEW!CG91</f>
        <v>0</v>
      </c>
      <c r="CM97" s="1">
        <v>2</v>
      </c>
      <c r="CN97" s="1">
        <f>VC_NEW!CI91</f>
        <v>0</v>
      </c>
      <c r="CO97" s="1">
        <v>0.125</v>
      </c>
      <c r="CP97" s="1">
        <v>0.25</v>
      </c>
      <c r="CQ97" s="1">
        <v>0.375</v>
      </c>
      <c r="CR97" s="1">
        <f>VC_NEW!CM91</f>
        <v>0</v>
      </c>
      <c r="CS97" s="1">
        <v>0.25</v>
      </c>
      <c r="CT97" s="1">
        <v>0.125</v>
      </c>
      <c r="CU97" s="1">
        <v>0.125</v>
      </c>
      <c r="CV97" s="1">
        <f>VC_NEW!CQ91</f>
        <v>0</v>
      </c>
      <c r="CW97" s="1">
        <v>0.25</v>
      </c>
      <c r="CX97" s="1">
        <v>0.125</v>
      </c>
      <c r="CY97" s="1">
        <f>VC_NEW!CT91</f>
        <v>0</v>
      </c>
      <c r="CZ97" s="1">
        <v>0.75</v>
      </c>
      <c r="DA97" s="1">
        <f>VC_NEW!CV91</f>
        <v>0</v>
      </c>
      <c r="DB97" s="1">
        <f>VC_NEW!CW91</f>
        <v>0</v>
      </c>
      <c r="DC97" s="1">
        <f>VC_NEW!CX91</f>
        <v>0</v>
      </c>
      <c r="DD97" s="1">
        <v>0.125</v>
      </c>
      <c r="DE97" s="1">
        <f>VC_NEW!CZ91</f>
        <v>0</v>
      </c>
      <c r="DF97" s="1">
        <v>0.125</v>
      </c>
      <c r="DG97" s="1">
        <f>VC_NEW!DB91</f>
        <v>0</v>
      </c>
      <c r="DH97" s="1">
        <v>0.125</v>
      </c>
      <c r="DI97" s="1">
        <v>0.625</v>
      </c>
      <c r="DJ97" s="1">
        <v>0.5</v>
      </c>
      <c r="DK97" s="1">
        <v>2.375</v>
      </c>
      <c r="DL97" s="1">
        <v>0.125</v>
      </c>
      <c r="DM97" s="1">
        <v>0</v>
      </c>
      <c r="DN97" s="1">
        <v>0.5</v>
      </c>
      <c r="DO97" s="1">
        <v>0.125</v>
      </c>
      <c r="DP97" s="1">
        <v>0.125</v>
      </c>
      <c r="DQ97" s="1">
        <f>VC_NEW!DL91</f>
        <v>0</v>
      </c>
      <c r="DR97" s="1">
        <v>0.375</v>
      </c>
      <c r="DS97" s="1">
        <v>0.125</v>
      </c>
      <c r="DT97" s="1">
        <f>VC_NEW!DO91</f>
        <v>0</v>
      </c>
      <c r="DU97" s="1">
        <v>-0.125</v>
      </c>
      <c r="DV97" s="1">
        <f>VC_NEW!DQ91</f>
        <v>0</v>
      </c>
      <c r="DW97" s="1">
        <v>0.125</v>
      </c>
      <c r="DX97" s="1">
        <f>VC_NEW!DS91</f>
        <v>0</v>
      </c>
      <c r="DY97" s="1">
        <f>VC_NEW!DT91</f>
        <v>0</v>
      </c>
      <c r="DZ97" s="1">
        <f>VC_NEW!DU91</f>
        <v>0</v>
      </c>
      <c r="EA97" s="1">
        <v>1.75</v>
      </c>
      <c r="EB97" s="1">
        <v>0.25</v>
      </c>
      <c r="EC97" s="1">
        <v>0.5</v>
      </c>
      <c r="ED97" s="1">
        <v>-0.25</v>
      </c>
      <c r="EE97" s="1">
        <v>2.125</v>
      </c>
      <c r="EF97" s="1">
        <v>0.5</v>
      </c>
      <c r="EG97" s="1">
        <f>VC_NEW!EB91</f>
        <v>0</v>
      </c>
      <c r="EH97" s="1">
        <v>0.5</v>
      </c>
      <c r="EI97" s="1">
        <f>VC_NEW!ED91</f>
        <v>0</v>
      </c>
      <c r="EJ97" s="1">
        <v>0.25</v>
      </c>
      <c r="EK97" s="1">
        <v>0.375</v>
      </c>
      <c r="EL97" s="1">
        <v>0.875</v>
      </c>
      <c r="EM97" s="1">
        <f>VC_NEW!EH91</f>
        <v>0</v>
      </c>
      <c r="EN97" s="1">
        <v>0.25</v>
      </c>
      <c r="EO97" s="1">
        <f>VC_NEW!EJ91</f>
        <v>0</v>
      </c>
      <c r="EP97" s="1">
        <f>VC_NEW!EK91</f>
        <v>0</v>
      </c>
      <c r="EQ97" s="1">
        <v>0.25</v>
      </c>
      <c r="ER97" s="1">
        <f>VC_NEW!EM91</f>
        <v>0</v>
      </c>
      <c r="ES97" s="1">
        <v>0.5</v>
      </c>
      <c r="ET97" s="1">
        <v>-0.125</v>
      </c>
      <c r="EU97" s="1">
        <v>0.5</v>
      </c>
      <c r="EV97" s="1">
        <f>VC_NEW!EQ91</f>
        <v>0</v>
      </c>
      <c r="EW97" s="1">
        <v>1.5</v>
      </c>
      <c r="EX97" s="1">
        <f>VC_NEW!ES91</f>
        <v>0</v>
      </c>
      <c r="EY97" s="1">
        <f>VC_NEW!ET91</f>
        <v>0</v>
      </c>
      <c r="EZ97" s="1">
        <f>VC_NEW!EU91</f>
        <v>0</v>
      </c>
      <c r="FA97" s="1">
        <v>0.25</v>
      </c>
      <c r="FB97" s="1">
        <f>VC_NEW!EW91</f>
        <v>0</v>
      </c>
      <c r="FC97" s="1">
        <v>0.375</v>
      </c>
      <c r="FD97" s="1">
        <f>VC_NEW!EY91</f>
        <v>0</v>
      </c>
      <c r="FE97" s="1">
        <v>0.125</v>
      </c>
      <c r="FF97" s="1">
        <v>0.125</v>
      </c>
      <c r="FG97" s="1">
        <f>VC_NEW!FB91</f>
        <v>0</v>
      </c>
      <c r="FH97" s="1">
        <f>VC_NEW!FC91</f>
        <v>0</v>
      </c>
      <c r="FI97" s="1">
        <v>0.625</v>
      </c>
      <c r="FJ97" s="1">
        <v>0.5</v>
      </c>
      <c r="FK97" s="1">
        <v>0.125</v>
      </c>
      <c r="FL97" s="1">
        <v>0.25</v>
      </c>
      <c r="FM97" s="1">
        <f>VC_NEW!FH91</f>
        <v>0</v>
      </c>
      <c r="FN97" s="1">
        <f>VC_NEW!FI91</f>
        <v>0</v>
      </c>
      <c r="FO97" s="1">
        <f>VC_NEW!FJ91</f>
        <v>0</v>
      </c>
      <c r="FP97" s="1">
        <f>VC_NEW!FK91</f>
        <v>0</v>
      </c>
      <c r="FQ97" s="1">
        <v>0.125</v>
      </c>
      <c r="FR97" s="1">
        <v>0.25</v>
      </c>
      <c r="FS97" s="1">
        <f>VC_NEW!FN91</f>
        <v>0</v>
      </c>
      <c r="FT97" s="1">
        <f>VC_NEW!FO91</f>
        <v>0</v>
      </c>
      <c r="FU97" s="1">
        <f>VC_NEW!FP91</f>
        <v>0</v>
      </c>
      <c r="FV97" s="1">
        <f>VC_NEW!FQ91</f>
        <v>0</v>
      </c>
      <c r="FW97" s="1">
        <v>0.25</v>
      </c>
      <c r="FX97" s="1">
        <v>0.25</v>
      </c>
      <c r="FY97" s="1">
        <f>VC_NEW!FT91</f>
        <v>0</v>
      </c>
      <c r="FZ97" s="1">
        <f>VC_NEW!FU91</f>
        <v>0</v>
      </c>
      <c r="GA97" s="1">
        <v>2</v>
      </c>
      <c r="GB97" s="1">
        <v>0.75</v>
      </c>
      <c r="GC97" s="1">
        <f>VC_NEW!FX91</f>
        <v>0</v>
      </c>
      <c r="GD97" s="1">
        <f>VC_NEW!FY91</f>
        <v>0</v>
      </c>
      <c r="GE97" s="1">
        <f>VC_NEW!FZ91</f>
        <v>0</v>
      </c>
      <c r="GF97" s="1">
        <v>0.125</v>
      </c>
      <c r="GG97" s="1">
        <f>VC_NEW!GB91</f>
        <v>0</v>
      </c>
      <c r="GH97" s="1">
        <f>VC_NEW!GC91</f>
        <v>0</v>
      </c>
      <c r="GI97" s="1">
        <v>0.125</v>
      </c>
      <c r="GJ97" s="1">
        <f>VC_NEW!GE91</f>
        <v>0</v>
      </c>
      <c r="GK97" s="1">
        <f>VC_NEW!GF91</f>
        <v>0</v>
      </c>
      <c r="GL97" s="1">
        <f>VC_NEW!GG91</f>
        <v>0</v>
      </c>
      <c r="GM97" s="1">
        <f>VC_NEW!GH91</f>
        <v>0</v>
      </c>
      <c r="GN97" s="1">
        <v>0.125</v>
      </c>
      <c r="GO97" s="1">
        <v>0.25</v>
      </c>
      <c r="GP97" s="1">
        <f>VC_NEW!GK91</f>
        <v>0</v>
      </c>
      <c r="GQ97" s="1">
        <f>VC_NEW!GL91</f>
        <v>0</v>
      </c>
      <c r="GR97" s="1">
        <v>0.25</v>
      </c>
      <c r="GS97" s="1">
        <v>0.125</v>
      </c>
      <c r="GT97" s="1">
        <v>0.25</v>
      </c>
      <c r="GU97" s="1">
        <f>VC_NEW!GP91</f>
        <v>0</v>
      </c>
      <c r="GV97" s="1">
        <v>0.125</v>
      </c>
      <c r="GW97" s="1">
        <f>VC_NEW!GR91</f>
        <v>0</v>
      </c>
      <c r="GX97" s="1">
        <v>0.375</v>
      </c>
      <c r="GY97" s="1">
        <v>0.25</v>
      </c>
      <c r="GZ97" s="1">
        <f>VC_NEW!GU91</f>
        <v>0</v>
      </c>
      <c r="HA97" s="1">
        <f>VC_NEW!GV91</f>
        <v>0</v>
      </c>
      <c r="HB97" s="1">
        <v>0.5</v>
      </c>
      <c r="HC97" s="1">
        <f>VC_NEW!GX91</f>
        <v>0</v>
      </c>
    </row>
    <row r="111" spans="3:211" x14ac:dyDescent="0.25">
      <c r="FC111" s="7"/>
    </row>
  </sheetData>
  <autoFilter ref="A1:HC97">
    <filterColumn colId="2">
      <filters>
        <filter val="CAZ"/>
      </filters>
    </filterColumn>
  </autoFilter>
  <mergeCells count="2">
    <mergeCell ref="G51:G53"/>
    <mergeCell ref="G83:G85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X58"/>
  <sheetViews>
    <sheetView topLeftCell="AO48" zoomScale="70" zoomScaleNormal="70" workbookViewId="0">
      <selection activeCell="BI54" sqref="BI54"/>
    </sheetView>
  </sheetViews>
  <sheetFormatPr baseColWidth="10" defaultRowHeight="15" x14ac:dyDescent="0.25"/>
  <cols>
    <col min="2" max="2" width="14.28515625" bestFit="1" customWidth="1"/>
    <col min="3" max="159" width="11.42578125" customWidth="1"/>
  </cols>
  <sheetData>
    <row r="1" spans="1:206" s="86" customFormat="1" x14ac:dyDescent="0.25">
      <c r="A1" s="84" t="s">
        <v>132</v>
      </c>
      <c r="B1" s="84" t="s">
        <v>39</v>
      </c>
      <c r="C1" s="85" t="s">
        <v>162</v>
      </c>
      <c r="D1" s="85" t="s">
        <v>163</v>
      </c>
      <c r="E1" s="85" t="s">
        <v>164</v>
      </c>
      <c r="F1" s="85" t="s">
        <v>165</v>
      </c>
      <c r="G1" s="85" t="s">
        <v>166</v>
      </c>
      <c r="H1" s="85" t="s">
        <v>167</v>
      </c>
      <c r="I1" s="85" t="s">
        <v>168</v>
      </c>
      <c r="J1" s="85" t="s">
        <v>169</v>
      </c>
      <c r="K1" s="85" t="s">
        <v>170</v>
      </c>
      <c r="L1" s="85" t="s">
        <v>171</v>
      </c>
      <c r="M1" s="85" t="s">
        <v>172</v>
      </c>
      <c r="N1" s="85" t="s">
        <v>173</v>
      </c>
      <c r="O1" s="85" t="s">
        <v>174</v>
      </c>
      <c r="P1" s="85" t="s">
        <v>175</v>
      </c>
      <c r="Q1" s="85" t="s">
        <v>176</v>
      </c>
      <c r="R1" s="85" t="s">
        <v>177</v>
      </c>
      <c r="S1" s="85" t="s">
        <v>178</v>
      </c>
      <c r="T1" s="85" t="s">
        <v>179</v>
      </c>
      <c r="U1" s="85" t="s">
        <v>180</v>
      </c>
      <c r="V1" s="85" t="s">
        <v>181</v>
      </c>
      <c r="W1" s="85" t="s">
        <v>182</v>
      </c>
      <c r="X1" s="85" t="s">
        <v>183</v>
      </c>
      <c r="Y1" s="85" t="s">
        <v>184</v>
      </c>
      <c r="Z1" s="85" t="s">
        <v>185</v>
      </c>
      <c r="AA1" s="85" t="s">
        <v>186</v>
      </c>
      <c r="AB1" s="85" t="s">
        <v>187</v>
      </c>
      <c r="AC1" s="85" t="s">
        <v>188</v>
      </c>
      <c r="AD1" s="85" t="s">
        <v>189</v>
      </c>
      <c r="AE1" s="85" t="s">
        <v>190</v>
      </c>
      <c r="AF1" s="85" t="s">
        <v>191</v>
      </c>
      <c r="AG1" s="85" t="s">
        <v>192</v>
      </c>
      <c r="AH1" s="85" t="s">
        <v>193</v>
      </c>
      <c r="AI1" s="85" t="s">
        <v>194</v>
      </c>
      <c r="AJ1" s="85" t="s">
        <v>195</v>
      </c>
      <c r="AK1" s="85" t="s">
        <v>196</v>
      </c>
      <c r="AL1" s="85" t="s">
        <v>197</v>
      </c>
      <c r="AM1" s="85" t="s">
        <v>198</v>
      </c>
      <c r="AN1" s="85" t="s">
        <v>199</v>
      </c>
      <c r="AO1" s="85" t="s">
        <v>200</v>
      </c>
      <c r="AP1" s="85" t="s">
        <v>201</v>
      </c>
      <c r="AQ1" s="85" t="s">
        <v>202</v>
      </c>
      <c r="AR1" s="85" t="s">
        <v>203</v>
      </c>
      <c r="AS1" s="85" t="s">
        <v>204</v>
      </c>
      <c r="AT1" s="85" t="s">
        <v>205</v>
      </c>
      <c r="AU1" s="85" t="s">
        <v>206</v>
      </c>
      <c r="AV1" s="85" t="s">
        <v>207</v>
      </c>
      <c r="AW1" s="85" t="s">
        <v>208</v>
      </c>
      <c r="AX1" s="85" t="s">
        <v>209</v>
      </c>
      <c r="AY1" s="85" t="s">
        <v>210</v>
      </c>
      <c r="AZ1" s="85" t="s">
        <v>211</v>
      </c>
      <c r="BA1" s="85" t="s">
        <v>212</v>
      </c>
      <c r="BB1" s="85" t="s">
        <v>213</v>
      </c>
      <c r="BC1" s="85" t="s">
        <v>214</v>
      </c>
      <c r="BD1" s="85" t="s">
        <v>215</v>
      </c>
      <c r="BE1" s="85" t="s">
        <v>216</v>
      </c>
      <c r="BF1" s="85" t="s">
        <v>217</v>
      </c>
      <c r="BG1" s="85" t="s">
        <v>218</v>
      </c>
      <c r="BH1" s="85" t="s">
        <v>219</v>
      </c>
      <c r="BI1" s="85" t="s">
        <v>220</v>
      </c>
      <c r="BJ1" s="85" t="s">
        <v>221</v>
      </c>
      <c r="BK1" s="85" t="s">
        <v>222</v>
      </c>
      <c r="BL1" s="85" t="s">
        <v>223</v>
      </c>
      <c r="BM1" s="85" t="s">
        <v>224</v>
      </c>
      <c r="BN1" s="85" t="s">
        <v>225</v>
      </c>
      <c r="BO1" s="85" t="s">
        <v>226</v>
      </c>
      <c r="BP1" s="85" t="s">
        <v>227</v>
      </c>
      <c r="BQ1" s="85" t="s">
        <v>228</v>
      </c>
      <c r="BR1" s="85" t="s">
        <v>229</v>
      </c>
      <c r="BS1" s="85" t="s">
        <v>230</v>
      </c>
      <c r="BT1" s="85" t="s">
        <v>231</v>
      </c>
      <c r="BU1" s="85" t="s">
        <v>232</v>
      </c>
      <c r="BV1" s="85" t="s">
        <v>233</v>
      </c>
      <c r="BW1" s="85" t="s">
        <v>234</v>
      </c>
      <c r="BX1" s="85" t="s">
        <v>235</v>
      </c>
      <c r="BY1" s="85" t="s">
        <v>236</v>
      </c>
      <c r="BZ1" s="85" t="s">
        <v>237</v>
      </c>
      <c r="CA1" s="85" t="s">
        <v>238</v>
      </c>
      <c r="CB1" s="85" t="s">
        <v>239</v>
      </c>
      <c r="CC1" s="85" t="s">
        <v>240</v>
      </c>
      <c r="CD1" s="85" t="s">
        <v>241</v>
      </c>
      <c r="CE1" s="85" t="s">
        <v>242</v>
      </c>
      <c r="CF1" s="85" t="s">
        <v>243</v>
      </c>
      <c r="CG1" s="85" t="s">
        <v>244</v>
      </c>
      <c r="CH1" s="85" t="s">
        <v>245</v>
      </c>
      <c r="CI1" s="85" t="s">
        <v>246</v>
      </c>
      <c r="CJ1" s="85" t="s">
        <v>247</v>
      </c>
      <c r="CK1" s="85" t="s">
        <v>248</v>
      </c>
      <c r="CL1" s="85" t="s">
        <v>249</v>
      </c>
      <c r="CM1" s="85" t="s">
        <v>250</v>
      </c>
      <c r="CN1" s="85" t="s">
        <v>251</v>
      </c>
      <c r="CO1" s="85" t="s">
        <v>252</v>
      </c>
      <c r="CP1" s="85" t="s">
        <v>253</v>
      </c>
      <c r="CQ1" s="85" t="s">
        <v>254</v>
      </c>
      <c r="CR1" s="85" t="s">
        <v>255</v>
      </c>
      <c r="CS1" s="85" t="s">
        <v>256</v>
      </c>
      <c r="CT1" s="85" t="s">
        <v>257</v>
      </c>
      <c r="CU1" s="85" t="s">
        <v>258</v>
      </c>
      <c r="CV1" s="85" t="s">
        <v>259</v>
      </c>
      <c r="CW1" s="85" t="s">
        <v>260</v>
      </c>
      <c r="CX1" s="85" t="s">
        <v>261</v>
      </c>
      <c r="CY1" s="85" t="s">
        <v>262</v>
      </c>
      <c r="CZ1" s="85" t="s">
        <v>263</v>
      </c>
      <c r="DA1" s="85" t="s">
        <v>264</v>
      </c>
      <c r="DB1" s="85" t="s">
        <v>265</v>
      </c>
      <c r="DC1" s="85" t="s">
        <v>266</v>
      </c>
      <c r="DD1" s="85" t="s">
        <v>267</v>
      </c>
      <c r="DE1" s="85" t="s">
        <v>268</v>
      </c>
      <c r="DF1" s="85" t="s">
        <v>269</v>
      </c>
      <c r="DG1" s="85" t="s">
        <v>270</v>
      </c>
      <c r="DH1" s="85" t="s">
        <v>271</v>
      </c>
      <c r="DI1" s="85" t="s">
        <v>272</v>
      </c>
      <c r="DJ1" s="85" t="s">
        <v>273</v>
      </c>
      <c r="DK1" s="85" t="s">
        <v>274</v>
      </c>
      <c r="DL1" s="85" t="s">
        <v>275</v>
      </c>
      <c r="DM1" s="85" t="s">
        <v>276</v>
      </c>
      <c r="DN1" s="85" t="s">
        <v>277</v>
      </c>
      <c r="DO1" s="85" t="s">
        <v>278</v>
      </c>
      <c r="DP1" s="85" t="s">
        <v>279</v>
      </c>
      <c r="DQ1" s="85" t="s">
        <v>280</v>
      </c>
      <c r="DR1" s="85" t="s">
        <v>281</v>
      </c>
      <c r="DS1" s="85" t="s">
        <v>282</v>
      </c>
      <c r="DT1" s="85" t="s">
        <v>283</v>
      </c>
      <c r="DU1" s="85" t="s">
        <v>284</v>
      </c>
      <c r="DV1" s="85" t="s">
        <v>285</v>
      </c>
      <c r="DW1" s="85" t="s">
        <v>286</v>
      </c>
      <c r="DX1" s="85" t="s">
        <v>287</v>
      </c>
      <c r="DY1" s="85" t="s">
        <v>288</v>
      </c>
      <c r="DZ1" s="85" t="s">
        <v>289</v>
      </c>
      <c r="EA1" s="85" t="s">
        <v>290</v>
      </c>
      <c r="EB1" s="85" t="s">
        <v>291</v>
      </c>
      <c r="EC1" s="85" t="s">
        <v>292</v>
      </c>
      <c r="ED1" s="85" t="s">
        <v>293</v>
      </c>
      <c r="EE1" s="85" t="s">
        <v>294</v>
      </c>
      <c r="EF1" s="85" t="s">
        <v>295</v>
      </c>
      <c r="EG1" s="85" t="s">
        <v>296</v>
      </c>
      <c r="EH1" s="85" t="s">
        <v>297</v>
      </c>
      <c r="EI1" s="85" t="s">
        <v>298</v>
      </c>
      <c r="EJ1" s="85" t="s">
        <v>299</v>
      </c>
      <c r="EK1" s="85" t="s">
        <v>300</v>
      </c>
      <c r="EL1" s="85" t="s">
        <v>301</v>
      </c>
      <c r="EM1" s="85" t="s">
        <v>302</v>
      </c>
      <c r="EN1" s="85" t="s">
        <v>303</v>
      </c>
      <c r="EO1" s="85" t="s">
        <v>304</v>
      </c>
      <c r="EP1" s="85" t="s">
        <v>305</v>
      </c>
      <c r="EQ1" s="85" t="s">
        <v>306</v>
      </c>
      <c r="ER1" s="85" t="s">
        <v>307</v>
      </c>
      <c r="ES1" s="85" t="s">
        <v>308</v>
      </c>
      <c r="ET1" s="85" t="s">
        <v>309</v>
      </c>
      <c r="EU1" s="85" t="s">
        <v>310</v>
      </c>
      <c r="EV1" s="85" t="s">
        <v>311</v>
      </c>
      <c r="EW1" s="85" t="s">
        <v>312</v>
      </c>
      <c r="EX1" s="85" t="s">
        <v>313</v>
      </c>
      <c r="EY1" s="85" t="s">
        <v>314</v>
      </c>
      <c r="EZ1" s="85" t="s">
        <v>315</v>
      </c>
      <c r="FA1" s="85" t="s">
        <v>316</v>
      </c>
      <c r="FB1" s="85" t="s">
        <v>317</v>
      </c>
      <c r="FC1" s="85" t="s">
        <v>318</v>
      </c>
      <c r="FD1" s="85" t="s">
        <v>319</v>
      </c>
      <c r="FE1" s="85" t="s">
        <v>320</v>
      </c>
      <c r="FF1" s="85" t="s">
        <v>321</v>
      </c>
      <c r="FG1" s="85" t="s">
        <v>322</v>
      </c>
      <c r="FH1" s="85" t="s">
        <v>323</v>
      </c>
      <c r="FI1" s="85" t="s">
        <v>324</v>
      </c>
      <c r="FJ1" s="85" t="s">
        <v>325</v>
      </c>
      <c r="FK1" s="85" t="s">
        <v>326</v>
      </c>
      <c r="FL1" s="85" t="s">
        <v>327</v>
      </c>
      <c r="FM1" s="85" t="s">
        <v>328</v>
      </c>
      <c r="FN1" s="85" t="s">
        <v>329</v>
      </c>
      <c r="FO1" s="85" t="s">
        <v>330</v>
      </c>
      <c r="FP1" s="85" t="s">
        <v>331</v>
      </c>
      <c r="FQ1" s="85" t="s">
        <v>332</v>
      </c>
      <c r="FR1" s="85" t="s">
        <v>333</v>
      </c>
      <c r="FS1" s="85" t="s">
        <v>334</v>
      </c>
      <c r="FT1" s="85" t="s">
        <v>335</v>
      </c>
      <c r="FU1" s="85" t="s">
        <v>336</v>
      </c>
      <c r="FV1" s="85" t="s">
        <v>337</v>
      </c>
      <c r="FW1" s="85" t="s">
        <v>338</v>
      </c>
      <c r="FX1" s="85" t="s">
        <v>339</v>
      </c>
      <c r="FY1" s="85" t="s">
        <v>340</v>
      </c>
      <c r="FZ1" s="85" t="s">
        <v>341</v>
      </c>
      <c r="GA1" s="85" t="s">
        <v>342</v>
      </c>
      <c r="GB1" s="85" t="s">
        <v>343</v>
      </c>
      <c r="GC1" s="85" t="s">
        <v>344</v>
      </c>
      <c r="GD1" s="85" t="s">
        <v>345</v>
      </c>
      <c r="GE1" s="85" t="s">
        <v>346</v>
      </c>
      <c r="GF1" s="85" t="s">
        <v>347</v>
      </c>
      <c r="GG1" s="85" t="s">
        <v>348</v>
      </c>
      <c r="GH1" s="85" t="s">
        <v>349</v>
      </c>
      <c r="GI1" s="85" t="s">
        <v>350</v>
      </c>
      <c r="GJ1" s="85" t="s">
        <v>351</v>
      </c>
      <c r="GK1" s="85" t="s">
        <v>352</v>
      </c>
      <c r="GL1" s="85" t="s">
        <v>353</v>
      </c>
      <c r="GM1" s="85" t="s">
        <v>354</v>
      </c>
      <c r="GN1" s="85" t="s">
        <v>355</v>
      </c>
      <c r="GO1" s="85" t="s">
        <v>356</v>
      </c>
      <c r="GP1" s="85" t="s">
        <v>357</v>
      </c>
      <c r="GQ1" s="85" t="s">
        <v>358</v>
      </c>
      <c r="GR1" s="85" t="s">
        <v>359</v>
      </c>
      <c r="GS1" s="85" t="s">
        <v>360</v>
      </c>
      <c r="GT1" s="85" t="s">
        <v>361</v>
      </c>
      <c r="GU1" s="85" t="s">
        <v>362</v>
      </c>
      <c r="GV1" s="85" t="s">
        <v>363</v>
      </c>
      <c r="GW1" s="85" t="s">
        <v>364</v>
      </c>
      <c r="GX1" s="85" t="s">
        <v>365</v>
      </c>
    </row>
    <row r="2" spans="1:206" ht="15.75" x14ac:dyDescent="0.25">
      <c r="A2" s="6" t="s">
        <v>62</v>
      </c>
      <c r="B2" s="6" t="s">
        <v>63</v>
      </c>
      <c r="C2" s="87"/>
      <c r="D2" s="87"/>
      <c r="E2" s="87"/>
      <c r="F2" s="87"/>
      <c r="G2" s="87"/>
      <c r="H2" s="87"/>
      <c r="I2" s="87" t="s">
        <v>366</v>
      </c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87"/>
      <c r="Z2" s="87"/>
      <c r="AA2" s="87"/>
      <c r="AB2" s="87"/>
      <c r="AC2" s="87"/>
      <c r="AD2" s="87"/>
      <c r="AE2" s="87"/>
      <c r="AF2" s="87" t="s">
        <v>367</v>
      </c>
      <c r="AG2" s="87"/>
      <c r="AH2" s="87"/>
      <c r="AI2" s="87"/>
      <c r="AJ2" s="87"/>
      <c r="AK2" s="87"/>
      <c r="AL2" s="87"/>
      <c r="AM2" s="87"/>
      <c r="AN2" s="87"/>
      <c r="AO2" s="87"/>
      <c r="AP2" s="87"/>
      <c r="AQ2" s="87"/>
      <c r="AR2" s="87"/>
      <c r="AS2" s="87"/>
      <c r="AT2" s="87"/>
      <c r="AU2" s="87"/>
      <c r="AV2" s="87"/>
      <c r="AW2" s="87"/>
      <c r="AX2" s="87"/>
      <c r="AY2" s="87"/>
      <c r="AZ2" s="87"/>
      <c r="BA2" s="87"/>
      <c r="BB2" s="87"/>
      <c r="BC2" s="87"/>
      <c r="BD2" s="87"/>
      <c r="BE2" s="87" t="s">
        <v>368</v>
      </c>
      <c r="BF2" s="87"/>
      <c r="BG2" s="87"/>
      <c r="BH2" s="87"/>
      <c r="BI2" s="87"/>
      <c r="BJ2" s="87"/>
      <c r="BK2" s="87"/>
      <c r="BL2" s="87"/>
      <c r="BM2" s="87"/>
      <c r="BN2" s="87"/>
      <c r="BO2" s="87"/>
      <c r="BP2" s="87"/>
      <c r="BQ2" s="87"/>
      <c r="BR2" s="87"/>
      <c r="BS2" s="87"/>
      <c r="BT2" s="87"/>
      <c r="BU2" s="87"/>
      <c r="BV2" s="87"/>
      <c r="BW2" s="87"/>
      <c r="BX2" s="87"/>
      <c r="BY2" s="87"/>
      <c r="BZ2" s="87"/>
      <c r="CA2" s="87"/>
      <c r="CB2" s="87"/>
      <c r="CC2" s="87"/>
      <c r="CD2" s="87"/>
      <c r="CE2" s="87"/>
      <c r="CF2" s="87"/>
      <c r="CG2" s="87"/>
      <c r="CH2" s="87"/>
      <c r="CI2" s="87"/>
      <c r="CJ2" s="87"/>
      <c r="CK2" s="87"/>
      <c r="CL2" s="87"/>
      <c r="CM2" s="87"/>
      <c r="CN2" s="87" t="s">
        <v>366</v>
      </c>
      <c r="CO2" s="87"/>
      <c r="CP2" s="87"/>
      <c r="CQ2" s="87"/>
      <c r="CR2" s="87"/>
      <c r="CS2" s="87"/>
      <c r="CT2" s="87"/>
      <c r="CU2" s="87"/>
      <c r="CV2" s="87"/>
      <c r="CW2" s="87"/>
      <c r="CX2" s="87"/>
      <c r="CY2" s="87"/>
      <c r="CZ2" s="87"/>
      <c r="DA2" s="87"/>
      <c r="DB2" s="87"/>
      <c r="DC2" s="87"/>
      <c r="DD2" s="87"/>
      <c r="DE2" s="87"/>
      <c r="DF2" s="87"/>
      <c r="DG2" s="87"/>
      <c r="DH2" s="87"/>
      <c r="DI2" s="87"/>
      <c r="DJ2" s="87"/>
      <c r="DK2" s="87"/>
      <c r="DL2" s="87"/>
      <c r="DM2" s="87" t="s">
        <v>368</v>
      </c>
      <c r="DN2" s="87"/>
      <c r="DO2" s="87"/>
      <c r="DP2" s="87" t="s">
        <v>366</v>
      </c>
      <c r="DQ2" s="87"/>
      <c r="DR2" s="87" t="s">
        <v>366</v>
      </c>
      <c r="DS2" s="87"/>
      <c r="DT2" s="87"/>
      <c r="DU2" s="87"/>
      <c r="DV2" s="87"/>
      <c r="DW2" s="87"/>
      <c r="DX2" s="87"/>
      <c r="DY2" s="87" t="s">
        <v>367</v>
      </c>
      <c r="DZ2" s="87"/>
      <c r="EA2" s="87"/>
      <c r="EB2" s="87"/>
      <c r="EC2" s="87"/>
      <c r="ED2" s="87"/>
      <c r="EE2" s="87"/>
      <c r="EF2" s="87"/>
      <c r="EG2" s="87" t="s">
        <v>368</v>
      </c>
      <c r="EH2" s="87"/>
      <c r="EI2" s="87"/>
      <c r="EJ2" s="87"/>
      <c r="EK2" s="87"/>
      <c r="EL2" s="87"/>
      <c r="EM2" s="87"/>
      <c r="EN2" s="87"/>
      <c r="EO2" s="87"/>
      <c r="EP2" s="87"/>
      <c r="EQ2" s="87"/>
      <c r="ER2" s="87"/>
      <c r="ES2" s="87"/>
      <c r="ET2" s="87"/>
      <c r="EU2" s="87"/>
      <c r="EV2" s="87"/>
      <c r="EW2" s="87" t="s">
        <v>367</v>
      </c>
      <c r="EX2" s="87"/>
      <c r="EY2" s="87"/>
      <c r="EZ2" s="87" t="s">
        <v>366</v>
      </c>
      <c r="FA2" s="87"/>
      <c r="FB2" s="87"/>
      <c r="FC2" s="87"/>
      <c r="FD2" s="87"/>
      <c r="FE2" s="87"/>
      <c r="FF2" s="87"/>
      <c r="FG2" s="87"/>
      <c r="FH2" s="87"/>
      <c r="FI2" s="87"/>
      <c r="FJ2" s="87"/>
      <c r="FK2" s="87"/>
      <c r="FL2" s="87"/>
      <c r="FM2" s="87"/>
      <c r="FN2" s="87"/>
      <c r="FO2" s="87"/>
      <c r="FP2" s="87" t="s">
        <v>366</v>
      </c>
      <c r="FQ2" s="87"/>
      <c r="FR2" s="87"/>
      <c r="FS2" s="87"/>
      <c r="FT2" s="87"/>
      <c r="FU2" s="87"/>
      <c r="FV2" s="87"/>
      <c r="FW2" s="87" t="s">
        <v>366</v>
      </c>
      <c r="FX2" s="87"/>
      <c r="FY2" s="87"/>
      <c r="FZ2" s="87"/>
      <c r="GA2" s="87"/>
      <c r="GB2" s="87"/>
      <c r="GC2" s="87"/>
      <c r="GD2" s="87"/>
      <c r="GE2" s="87"/>
      <c r="GF2" s="87"/>
      <c r="GG2" s="87" t="s">
        <v>367</v>
      </c>
      <c r="GH2" s="87"/>
      <c r="GI2" s="87"/>
      <c r="GJ2" s="87"/>
      <c r="GK2" s="87"/>
      <c r="GL2" s="87"/>
      <c r="GM2" s="87"/>
      <c r="GN2" s="87"/>
      <c r="GO2" s="87"/>
      <c r="GP2" s="87"/>
      <c r="GQ2" s="87"/>
      <c r="GR2" s="87"/>
      <c r="GS2" s="87"/>
      <c r="GT2" s="87"/>
      <c r="GU2" s="87"/>
      <c r="GV2" s="87"/>
      <c r="GW2" s="87"/>
      <c r="GX2" s="87"/>
    </row>
    <row r="3" spans="1:206" ht="15.75" x14ac:dyDescent="0.25">
      <c r="A3" s="9" t="s">
        <v>104</v>
      </c>
      <c r="B3" s="9" t="s">
        <v>105</v>
      </c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9"/>
      <c r="AL3" s="89"/>
      <c r="AM3" s="89"/>
      <c r="AN3" s="89"/>
      <c r="AO3" s="89"/>
      <c r="AP3" s="89"/>
      <c r="AQ3" s="89"/>
      <c r="AR3" s="89"/>
      <c r="AS3" s="89"/>
      <c r="AT3" s="89"/>
      <c r="AU3" s="89"/>
      <c r="AV3" s="89"/>
      <c r="AW3" s="89"/>
      <c r="AX3" s="89"/>
      <c r="AY3" s="89"/>
      <c r="AZ3" s="89"/>
      <c r="BA3" s="89"/>
      <c r="BB3" s="89"/>
      <c r="BC3" s="89"/>
      <c r="BD3" s="89"/>
      <c r="BE3" s="89"/>
      <c r="BF3" s="89"/>
      <c r="BG3" s="89"/>
      <c r="BH3" s="89"/>
      <c r="BI3" s="89"/>
      <c r="BJ3" s="89"/>
      <c r="BK3" s="89"/>
      <c r="BL3" s="89"/>
      <c r="BM3" s="89"/>
      <c r="BN3" s="89"/>
      <c r="BO3" s="89"/>
      <c r="BP3" s="89"/>
      <c r="BQ3" s="89"/>
      <c r="BR3" s="89"/>
      <c r="BS3" s="89"/>
      <c r="BT3" s="89"/>
      <c r="BU3" s="89"/>
      <c r="BV3" s="89"/>
      <c r="BW3" s="89"/>
      <c r="BX3" s="89"/>
      <c r="BY3" s="89"/>
      <c r="BZ3" s="89"/>
      <c r="CA3" s="89"/>
      <c r="CB3" s="89"/>
      <c r="CC3" s="89"/>
      <c r="CD3" s="89"/>
      <c r="CE3" s="89"/>
      <c r="CF3" s="89"/>
      <c r="CG3" s="89"/>
      <c r="CH3" s="89"/>
      <c r="CI3" s="89"/>
      <c r="CJ3" s="89"/>
      <c r="CK3" s="89"/>
      <c r="CL3" s="89"/>
      <c r="CM3" s="89"/>
      <c r="CN3" s="89"/>
      <c r="CO3" s="89"/>
      <c r="CP3" s="89"/>
      <c r="CQ3" s="89"/>
      <c r="CR3" s="89"/>
      <c r="CS3" s="89"/>
      <c r="CT3" s="89"/>
      <c r="CU3" s="89"/>
      <c r="CV3" s="89"/>
      <c r="CW3" s="89"/>
      <c r="CX3" s="89"/>
      <c r="CY3" s="89"/>
      <c r="CZ3" s="89"/>
      <c r="DA3" s="89"/>
      <c r="DB3" s="89"/>
      <c r="DC3" s="89"/>
      <c r="DD3" s="89"/>
      <c r="DE3" s="89"/>
      <c r="DF3" s="89"/>
      <c r="DG3" s="89"/>
      <c r="DH3" s="89"/>
      <c r="DI3" s="89"/>
      <c r="DJ3" s="89"/>
      <c r="DK3" s="89"/>
      <c r="DL3" s="89"/>
      <c r="DM3" s="89"/>
      <c r="DN3" s="89"/>
      <c r="DO3" s="89"/>
      <c r="DP3" s="89"/>
      <c r="DQ3" s="89"/>
      <c r="DR3" s="89"/>
      <c r="DS3" s="89"/>
      <c r="DT3" s="89"/>
      <c r="DU3" s="89"/>
      <c r="DV3" s="89"/>
      <c r="DW3" s="89"/>
      <c r="DX3" s="89"/>
      <c r="DY3" s="89"/>
      <c r="DZ3" s="89"/>
      <c r="EA3" s="89"/>
      <c r="EB3" s="89"/>
      <c r="EC3" s="89"/>
      <c r="ED3" s="89"/>
      <c r="EE3" s="89"/>
      <c r="EF3" s="89"/>
      <c r="EG3" s="89"/>
      <c r="EH3" s="89"/>
      <c r="EI3" s="89"/>
      <c r="EJ3" s="89"/>
      <c r="EK3" s="89"/>
      <c r="EL3" s="89"/>
      <c r="EM3" s="89"/>
      <c r="EN3" s="89"/>
      <c r="EO3" s="89"/>
      <c r="EP3" s="89"/>
      <c r="EQ3" s="89"/>
      <c r="ER3" s="89" t="s">
        <v>369</v>
      </c>
      <c r="ES3" s="89"/>
      <c r="ET3" s="89"/>
      <c r="EU3" s="89"/>
      <c r="EV3" s="89"/>
      <c r="EW3" s="89"/>
      <c r="EX3" s="89"/>
      <c r="EY3" s="89"/>
      <c r="EZ3" s="89"/>
      <c r="FA3" s="89"/>
      <c r="FB3" s="89"/>
      <c r="FC3" s="89"/>
      <c r="FD3" s="89"/>
      <c r="FE3" s="89"/>
      <c r="FF3" s="89"/>
      <c r="FG3" s="89"/>
      <c r="FH3" s="89"/>
      <c r="FI3" s="89"/>
      <c r="FJ3" s="89"/>
      <c r="FK3" s="89"/>
      <c r="FL3" s="89"/>
      <c r="FM3" s="89"/>
      <c r="FN3" s="89"/>
      <c r="FO3" s="89"/>
      <c r="FP3" s="89"/>
      <c r="FQ3" s="89"/>
      <c r="FR3" s="89"/>
      <c r="FS3" s="89"/>
      <c r="FT3" s="89"/>
      <c r="FU3" s="89"/>
      <c r="FV3" s="89"/>
      <c r="FW3" s="89"/>
      <c r="FX3" s="89"/>
      <c r="FY3" s="89"/>
      <c r="FZ3" s="89"/>
      <c r="GA3" s="89"/>
      <c r="GB3" s="89"/>
      <c r="GC3" s="89"/>
      <c r="GD3" s="89"/>
      <c r="GE3" s="89"/>
      <c r="GF3" s="89"/>
      <c r="GG3" s="89"/>
      <c r="GH3" s="89"/>
      <c r="GI3" s="89"/>
      <c r="GJ3" s="89"/>
      <c r="GK3" s="89"/>
      <c r="GL3" s="89"/>
      <c r="GM3" s="89"/>
      <c r="GN3" s="89"/>
      <c r="GO3" s="89"/>
      <c r="GP3" s="89"/>
      <c r="GQ3" s="89"/>
      <c r="GR3" s="89"/>
      <c r="GS3" s="89"/>
      <c r="GT3" s="89"/>
      <c r="GU3" s="89"/>
      <c r="GV3" s="89"/>
      <c r="GW3" s="89"/>
      <c r="GX3" s="89"/>
    </row>
    <row r="4" spans="1:206" ht="15.75" x14ac:dyDescent="0.25">
      <c r="A4" s="6" t="s">
        <v>5</v>
      </c>
      <c r="B4" s="6" t="s">
        <v>6</v>
      </c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  <c r="N4" s="89"/>
      <c r="O4" s="89"/>
      <c r="P4" s="89"/>
      <c r="Q4" s="89"/>
      <c r="R4" s="89"/>
      <c r="S4" s="89"/>
      <c r="T4" s="89"/>
      <c r="U4" s="89"/>
      <c r="V4" s="89"/>
      <c r="W4" s="89" t="s">
        <v>370</v>
      </c>
      <c r="X4" s="89" t="s">
        <v>1058</v>
      </c>
      <c r="Y4" s="89"/>
      <c r="Z4" s="89"/>
      <c r="AA4" s="89"/>
      <c r="AB4" s="89"/>
      <c r="AC4" s="89"/>
      <c r="AD4" s="89"/>
      <c r="AE4" s="89"/>
      <c r="AF4" s="89" t="s">
        <v>371</v>
      </c>
      <c r="AG4" s="89"/>
      <c r="AH4" s="89"/>
      <c r="AI4" s="89"/>
      <c r="AJ4" s="89" t="s">
        <v>1059</v>
      </c>
      <c r="AK4" s="89"/>
      <c r="AL4" s="89"/>
      <c r="AM4" s="89"/>
      <c r="AN4" s="89"/>
      <c r="AO4" s="89"/>
      <c r="AP4" s="89"/>
      <c r="AQ4" s="89"/>
      <c r="AR4" s="89"/>
      <c r="AS4" s="89"/>
      <c r="AT4" s="89"/>
      <c r="AU4" s="89"/>
      <c r="AV4" s="89"/>
      <c r="AW4" s="89" t="s">
        <v>372</v>
      </c>
      <c r="AX4" s="89"/>
      <c r="AY4" s="89"/>
      <c r="AZ4" s="89"/>
      <c r="BA4" s="89"/>
      <c r="BB4" s="89"/>
      <c r="BC4" s="89"/>
      <c r="BD4" s="89"/>
      <c r="BE4" s="89"/>
      <c r="BF4" s="89"/>
      <c r="BG4" s="89"/>
      <c r="BH4" s="89"/>
      <c r="BI4" s="89" t="s">
        <v>373</v>
      </c>
      <c r="BJ4" s="89"/>
      <c r="BK4" s="89"/>
      <c r="BL4" s="89"/>
      <c r="BM4" s="89"/>
      <c r="BN4" s="89"/>
      <c r="BO4" s="89"/>
      <c r="BP4" s="89"/>
      <c r="BQ4" s="89"/>
      <c r="BR4" s="89"/>
      <c r="BS4" s="89"/>
      <c r="BT4" s="89"/>
      <c r="BU4" s="89"/>
      <c r="BV4" s="89" t="s">
        <v>374</v>
      </c>
      <c r="BW4" s="89"/>
      <c r="BX4" s="89"/>
      <c r="BY4" s="89"/>
      <c r="BZ4" s="89"/>
      <c r="CA4" s="89" t="s">
        <v>375</v>
      </c>
      <c r="CB4" s="89"/>
      <c r="CC4" s="89"/>
      <c r="CD4" s="89"/>
      <c r="CE4" s="89"/>
      <c r="CF4" s="89"/>
      <c r="CG4" s="89"/>
      <c r="CH4" s="89"/>
      <c r="CI4" s="89"/>
      <c r="CJ4" s="89"/>
      <c r="CK4" s="89"/>
      <c r="CL4" s="89"/>
      <c r="CM4" s="89"/>
      <c r="CN4" s="89" t="s">
        <v>372</v>
      </c>
      <c r="CO4" s="89"/>
      <c r="CP4" s="89"/>
      <c r="CQ4" s="89"/>
      <c r="CR4" s="89" t="s">
        <v>376</v>
      </c>
      <c r="CS4" s="89"/>
      <c r="CT4" s="89"/>
      <c r="CU4" s="89"/>
      <c r="CV4" s="89"/>
      <c r="CW4" s="89"/>
      <c r="CX4" s="89"/>
      <c r="CY4" s="89"/>
      <c r="CZ4" s="89"/>
      <c r="DA4" s="89" t="s">
        <v>377</v>
      </c>
      <c r="DB4" s="89"/>
      <c r="DC4" s="89"/>
      <c r="DD4" s="89"/>
      <c r="DE4" s="89"/>
      <c r="DF4" s="89"/>
      <c r="DG4" s="89"/>
      <c r="DH4" s="89"/>
      <c r="DI4" s="89"/>
      <c r="DJ4" s="89"/>
      <c r="DK4" s="89"/>
      <c r="DL4" s="89"/>
      <c r="DM4" s="89"/>
      <c r="DN4" s="89"/>
      <c r="DO4" s="89"/>
      <c r="DP4" s="89"/>
      <c r="DQ4" s="89"/>
      <c r="DR4" s="89"/>
      <c r="DS4" s="89"/>
      <c r="DT4" s="89"/>
      <c r="DU4" s="89"/>
      <c r="DV4" s="89"/>
      <c r="DW4" s="89"/>
      <c r="DX4" s="89"/>
      <c r="DY4" s="89"/>
      <c r="DZ4" s="89"/>
      <c r="EA4" s="89"/>
      <c r="EB4" s="89"/>
      <c r="EC4" s="89"/>
      <c r="ED4" s="89"/>
      <c r="EE4" s="89"/>
      <c r="EF4" s="89" t="s">
        <v>378</v>
      </c>
      <c r="EG4" s="89"/>
      <c r="EH4" s="89"/>
      <c r="EI4" s="89"/>
      <c r="EJ4" s="89"/>
      <c r="EK4" s="89"/>
      <c r="EL4" s="89"/>
      <c r="EM4" s="89"/>
      <c r="EN4" s="89"/>
      <c r="EO4" s="89"/>
      <c r="EP4" s="89"/>
      <c r="EQ4" s="89"/>
      <c r="ER4" s="89" t="s">
        <v>379</v>
      </c>
      <c r="ES4" s="89"/>
      <c r="ET4" s="89"/>
      <c r="EU4" s="89"/>
      <c r="EV4" s="89"/>
      <c r="EW4" s="89"/>
      <c r="EX4" s="89"/>
      <c r="EY4" s="89"/>
      <c r="EZ4" s="89"/>
      <c r="FA4" s="89"/>
      <c r="FB4" s="89"/>
      <c r="FC4" s="89"/>
      <c r="FD4" s="89"/>
      <c r="FE4" s="89"/>
      <c r="FF4" s="89"/>
      <c r="FG4" s="89"/>
      <c r="FH4" s="89"/>
      <c r="FI4" s="89"/>
      <c r="FJ4" s="89"/>
      <c r="FK4" s="89"/>
      <c r="FL4" s="89"/>
      <c r="FM4" s="89" t="s">
        <v>380</v>
      </c>
      <c r="FN4" s="89"/>
      <c r="FO4" s="89"/>
      <c r="FP4" s="89"/>
      <c r="FQ4" s="89"/>
      <c r="FR4" s="89" t="s">
        <v>1060</v>
      </c>
      <c r="FS4" s="89"/>
      <c r="FT4" s="89"/>
      <c r="FU4" s="89"/>
      <c r="FV4" s="89"/>
      <c r="FW4" s="89"/>
      <c r="FX4" s="89"/>
      <c r="FY4" s="89"/>
      <c r="FZ4" s="89"/>
      <c r="GA4" s="89"/>
      <c r="GB4" s="89"/>
      <c r="GC4" s="89"/>
      <c r="GD4" s="89"/>
      <c r="GE4" s="89"/>
      <c r="GF4" s="89"/>
      <c r="GG4" s="89"/>
      <c r="GH4" s="89"/>
      <c r="GI4" s="89"/>
      <c r="GJ4" s="89"/>
      <c r="GK4" s="89"/>
      <c r="GL4" s="89"/>
      <c r="GM4" s="89"/>
      <c r="GN4" s="89"/>
      <c r="GO4" s="89"/>
      <c r="GP4" s="89"/>
      <c r="GQ4" s="89"/>
      <c r="GR4" s="89"/>
      <c r="GS4" s="89"/>
      <c r="GT4" s="89"/>
      <c r="GU4" s="89"/>
      <c r="GV4" s="89"/>
      <c r="GW4" s="89" t="s">
        <v>381</v>
      </c>
      <c r="GX4" s="89"/>
    </row>
    <row r="5" spans="1:206" ht="15.75" x14ac:dyDescent="0.25">
      <c r="A5" s="6" t="s">
        <v>7</v>
      </c>
      <c r="B5" s="6" t="s">
        <v>8</v>
      </c>
      <c r="C5" s="89"/>
      <c r="D5" s="89"/>
      <c r="E5" s="89"/>
      <c r="F5" s="89"/>
      <c r="G5" s="89"/>
      <c r="H5" s="89"/>
      <c r="I5" s="89"/>
      <c r="J5" s="89"/>
      <c r="K5" s="89"/>
      <c r="L5" s="89"/>
      <c r="M5" s="89"/>
      <c r="N5" s="89"/>
      <c r="O5" s="89"/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  <c r="AA5" s="89"/>
      <c r="AB5" s="89"/>
      <c r="AC5" s="89"/>
      <c r="AD5" s="89"/>
      <c r="AE5" s="89"/>
      <c r="AF5" s="89"/>
      <c r="AG5" s="89"/>
      <c r="AH5" s="89"/>
      <c r="AI5" s="89"/>
      <c r="AJ5" s="89"/>
      <c r="AK5" s="89"/>
      <c r="AL5" s="89"/>
      <c r="AM5" s="89"/>
      <c r="AN5" s="89"/>
      <c r="AO5" s="89"/>
      <c r="AP5" s="89"/>
      <c r="AQ5" s="89"/>
      <c r="AR5" s="89"/>
      <c r="AS5" s="89" t="s">
        <v>383</v>
      </c>
      <c r="AT5" s="89"/>
      <c r="AU5" s="89"/>
      <c r="AV5" s="89"/>
      <c r="AW5" s="89"/>
      <c r="AX5" s="89"/>
      <c r="AY5" s="89"/>
      <c r="AZ5" s="89"/>
      <c r="BA5" s="89"/>
      <c r="BB5" s="89"/>
      <c r="BC5" s="89"/>
      <c r="BD5" s="89"/>
      <c r="BE5" s="89"/>
      <c r="BF5" s="89"/>
      <c r="BG5" s="89"/>
      <c r="BH5" s="89" t="s">
        <v>384</v>
      </c>
      <c r="BI5" s="89"/>
      <c r="BJ5" s="89"/>
      <c r="BK5" s="89"/>
      <c r="BL5" s="89"/>
      <c r="BM5" s="89"/>
      <c r="BN5" s="89"/>
      <c r="BO5" s="89"/>
      <c r="BP5" s="89"/>
      <c r="BQ5" s="89"/>
      <c r="BR5" s="89"/>
      <c r="BS5" s="89"/>
      <c r="BT5" s="89"/>
      <c r="BU5" s="89"/>
      <c r="BV5" s="89"/>
      <c r="BW5" s="89"/>
      <c r="BX5" s="89"/>
      <c r="BY5" s="89"/>
      <c r="BZ5" s="89"/>
      <c r="CA5" s="89"/>
      <c r="CB5" s="89"/>
      <c r="CC5" s="89"/>
      <c r="CD5" s="89"/>
      <c r="CE5" s="89"/>
      <c r="CF5" s="89"/>
      <c r="CG5" s="89"/>
      <c r="CH5" s="89"/>
      <c r="CI5" s="89" t="s">
        <v>385</v>
      </c>
      <c r="CJ5" s="89" t="s">
        <v>386</v>
      </c>
      <c r="CK5" s="89"/>
      <c r="CL5" s="89"/>
      <c r="CM5" s="89"/>
      <c r="CN5" s="89"/>
      <c r="CO5" s="89"/>
      <c r="CP5" s="89"/>
      <c r="CQ5" s="89"/>
      <c r="CR5" s="89"/>
      <c r="CS5" s="89" t="s">
        <v>387</v>
      </c>
      <c r="CT5" s="89"/>
      <c r="CU5" s="89"/>
      <c r="CV5" s="89"/>
      <c r="CW5" s="89"/>
      <c r="CX5" s="89"/>
      <c r="CY5" s="89"/>
      <c r="CZ5" s="89"/>
      <c r="DA5" s="89"/>
      <c r="DB5" s="89"/>
      <c r="DC5" s="89"/>
      <c r="DD5" s="89"/>
      <c r="DE5" s="89"/>
      <c r="DF5" s="89" t="s">
        <v>384</v>
      </c>
      <c r="DG5" s="89"/>
      <c r="DH5" s="89"/>
      <c r="DI5" s="89"/>
      <c r="DJ5" s="89"/>
      <c r="DK5" s="89"/>
      <c r="DL5" s="89" t="s">
        <v>388</v>
      </c>
      <c r="DM5" s="89"/>
      <c r="DN5" s="89"/>
      <c r="DO5" s="89"/>
      <c r="DP5" s="89" t="s">
        <v>389</v>
      </c>
      <c r="DQ5" s="89"/>
      <c r="DR5" s="89"/>
      <c r="DS5" s="89"/>
      <c r="DT5" s="89"/>
      <c r="DU5" s="89"/>
      <c r="DV5" s="89"/>
      <c r="DW5" s="89"/>
      <c r="DX5" s="89"/>
      <c r="DY5" s="89" t="s">
        <v>390</v>
      </c>
      <c r="DZ5" s="89"/>
      <c r="EA5" s="89" t="s">
        <v>391</v>
      </c>
      <c r="EB5" s="89" t="s">
        <v>392</v>
      </c>
      <c r="EC5" s="89"/>
      <c r="ED5" s="89"/>
      <c r="EE5" s="89"/>
      <c r="EF5" s="89"/>
      <c r="EG5" s="89"/>
      <c r="EH5" s="89"/>
      <c r="EI5" s="89"/>
      <c r="EJ5" s="89"/>
      <c r="EK5" s="89"/>
      <c r="EL5" s="89"/>
      <c r="EM5" s="89" t="s">
        <v>393</v>
      </c>
      <c r="EN5" s="89"/>
      <c r="EO5" s="89"/>
      <c r="EP5" s="89"/>
      <c r="EQ5" s="89" t="s">
        <v>384</v>
      </c>
      <c r="ER5" s="89"/>
      <c r="ES5" s="89"/>
      <c r="ET5" s="89"/>
      <c r="EU5" s="89"/>
      <c r="EV5" s="89"/>
      <c r="EW5" s="89"/>
      <c r="EX5" s="89"/>
      <c r="EY5" s="89"/>
      <c r="EZ5" s="89"/>
      <c r="FA5" s="89"/>
      <c r="FB5" s="89"/>
      <c r="FC5" s="89"/>
      <c r="FD5" s="89"/>
      <c r="FE5" s="89"/>
      <c r="FF5" s="89"/>
      <c r="FG5" s="89"/>
      <c r="FH5" s="89"/>
      <c r="FI5" s="89"/>
      <c r="FJ5" s="89"/>
      <c r="FK5" s="89"/>
      <c r="FL5" s="89"/>
      <c r="FM5" s="89"/>
      <c r="FN5" s="89"/>
      <c r="FO5" s="89"/>
      <c r="FP5" s="89"/>
      <c r="FQ5" s="89"/>
      <c r="FR5" s="89"/>
      <c r="FS5" s="89"/>
      <c r="FT5" s="89"/>
      <c r="FU5" s="89"/>
      <c r="FV5" s="89"/>
      <c r="FW5" s="89"/>
      <c r="FX5" s="89"/>
      <c r="FY5" s="89"/>
      <c r="FZ5" s="89"/>
      <c r="GA5" s="89"/>
      <c r="GB5" s="89"/>
      <c r="GC5" s="89"/>
      <c r="GD5" s="89"/>
      <c r="GE5" s="89"/>
      <c r="GF5" s="89"/>
      <c r="GG5" s="89"/>
      <c r="GH5" s="89"/>
      <c r="GI5" s="89"/>
      <c r="GJ5" s="89"/>
      <c r="GK5" s="89"/>
      <c r="GL5" s="89"/>
      <c r="GM5" s="89"/>
      <c r="GN5" s="89"/>
      <c r="GO5" s="89"/>
      <c r="GP5" s="89" t="s">
        <v>386</v>
      </c>
      <c r="GQ5" s="89"/>
      <c r="GR5" s="89"/>
      <c r="GS5" s="89"/>
      <c r="GT5" s="89"/>
      <c r="GU5" s="89"/>
      <c r="GV5" s="89"/>
      <c r="GW5" s="89"/>
      <c r="GX5" s="89"/>
    </row>
    <row r="6" spans="1:206" ht="15.75" x14ac:dyDescent="0.25">
      <c r="A6" s="6" t="s">
        <v>9</v>
      </c>
      <c r="B6" s="6" t="s">
        <v>10</v>
      </c>
      <c r="C6" s="89"/>
      <c r="D6" s="89"/>
      <c r="E6" s="89"/>
      <c r="F6" s="89"/>
      <c r="G6" s="89"/>
      <c r="H6" s="89"/>
      <c r="I6" s="89"/>
      <c r="J6" s="89"/>
      <c r="K6" s="89"/>
      <c r="L6" s="89"/>
      <c r="M6" s="89"/>
      <c r="N6" s="89"/>
      <c r="O6" s="89"/>
      <c r="P6" s="89"/>
      <c r="Q6" s="89"/>
      <c r="R6" s="89"/>
      <c r="S6" s="89"/>
      <c r="T6" s="89"/>
      <c r="U6" s="89"/>
      <c r="V6" s="89"/>
      <c r="W6" s="89"/>
      <c r="X6" s="89"/>
      <c r="Y6" s="89"/>
      <c r="Z6" s="89"/>
      <c r="AA6" s="89"/>
      <c r="AB6" s="89"/>
      <c r="AC6" s="89"/>
      <c r="AD6" s="89"/>
      <c r="AE6" s="89"/>
      <c r="AF6" s="89"/>
      <c r="AG6" s="89"/>
      <c r="AH6" s="89" t="s">
        <v>1061</v>
      </c>
      <c r="AI6" s="89"/>
      <c r="AJ6" s="89"/>
      <c r="AK6" s="89"/>
      <c r="AL6" s="89"/>
      <c r="AM6" s="89"/>
      <c r="AN6" s="89"/>
      <c r="AO6" s="89"/>
      <c r="AP6" s="89"/>
      <c r="AQ6" s="89"/>
      <c r="AR6" s="89"/>
      <c r="AS6" s="89"/>
      <c r="AT6" s="89"/>
      <c r="AU6" s="89"/>
      <c r="AV6" s="89"/>
      <c r="AW6" s="89"/>
      <c r="AX6" s="89"/>
      <c r="AY6" s="89"/>
      <c r="AZ6" s="89"/>
      <c r="BA6" s="89"/>
      <c r="BB6" s="89"/>
      <c r="BC6" s="89"/>
      <c r="BD6" s="89"/>
      <c r="BE6" s="89"/>
      <c r="BF6" s="89"/>
      <c r="BG6" s="89"/>
      <c r="BH6" s="89"/>
      <c r="BI6" s="89"/>
      <c r="BJ6" s="89" t="s">
        <v>396</v>
      </c>
      <c r="BK6" s="89"/>
      <c r="BL6" s="89" t="s">
        <v>397</v>
      </c>
      <c r="BM6" s="89"/>
      <c r="BN6" s="89"/>
      <c r="BO6" s="89"/>
      <c r="BP6" s="89"/>
      <c r="BQ6" s="89"/>
      <c r="BR6" s="89"/>
      <c r="BS6" s="89"/>
      <c r="BT6" s="89"/>
      <c r="BU6" s="89"/>
      <c r="BV6" s="89"/>
      <c r="BW6" s="89"/>
      <c r="BX6" s="89"/>
      <c r="BY6" s="89"/>
      <c r="BZ6" s="89"/>
      <c r="CA6" s="89"/>
      <c r="CB6" s="89"/>
      <c r="CC6" s="89"/>
      <c r="CD6" s="89"/>
      <c r="CE6" s="89"/>
      <c r="CF6" s="89" t="s">
        <v>1062</v>
      </c>
      <c r="CG6" s="89"/>
      <c r="CH6" s="89"/>
      <c r="CI6" s="89"/>
      <c r="CJ6" s="89"/>
      <c r="CK6" s="89"/>
      <c r="CL6" s="89" t="s">
        <v>398</v>
      </c>
      <c r="CM6" s="89"/>
      <c r="CN6" s="89"/>
      <c r="CO6" s="89"/>
      <c r="CP6" s="89"/>
      <c r="CQ6" s="89"/>
      <c r="CR6" s="89"/>
      <c r="CS6" s="89"/>
      <c r="CT6" s="89"/>
      <c r="CU6" s="89"/>
      <c r="CV6" s="89"/>
      <c r="CW6" s="89"/>
      <c r="CX6" s="89"/>
      <c r="CY6" s="89"/>
      <c r="CZ6" s="89"/>
      <c r="DA6" s="89"/>
      <c r="DB6" s="89"/>
      <c r="DC6" s="89"/>
      <c r="DD6" s="89"/>
      <c r="DE6" s="89"/>
      <c r="DF6" s="89"/>
      <c r="DG6" s="89"/>
      <c r="DH6" s="89"/>
      <c r="DI6" s="89"/>
      <c r="DJ6" s="89"/>
      <c r="DK6" s="89"/>
      <c r="DL6" s="89"/>
      <c r="DM6" s="89"/>
      <c r="DN6" s="89"/>
      <c r="DO6" s="89"/>
      <c r="DP6" s="89"/>
      <c r="DQ6" s="89"/>
      <c r="DR6" s="89"/>
      <c r="DS6" s="89"/>
      <c r="DT6" s="89"/>
      <c r="DU6" s="89"/>
      <c r="DV6" s="89" t="s">
        <v>399</v>
      </c>
      <c r="DW6" s="89"/>
      <c r="DX6" s="89"/>
      <c r="DY6" s="89"/>
      <c r="DZ6" s="89"/>
      <c r="EA6" s="89"/>
      <c r="EB6" s="89" t="s">
        <v>1063</v>
      </c>
      <c r="EC6" s="89"/>
      <c r="ED6" s="89"/>
      <c r="EE6" s="89"/>
      <c r="EF6" s="89"/>
      <c r="EG6" s="89"/>
      <c r="EH6" s="89"/>
      <c r="EI6" s="89"/>
      <c r="EJ6" s="89"/>
      <c r="EK6" s="89"/>
      <c r="EL6" s="89"/>
      <c r="EM6" s="89"/>
      <c r="EN6" s="89"/>
      <c r="EO6" s="89" t="s">
        <v>1064</v>
      </c>
      <c r="EP6" s="89"/>
      <c r="EQ6" s="89"/>
      <c r="ER6" s="89" t="s">
        <v>400</v>
      </c>
      <c r="ES6" s="89"/>
      <c r="ET6" s="89" t="s">
        <v>401</v>
      </c>
      <c r="EU6" s="89"/>
      <c r="EV6" s="89"/>
      <c r="EW6" s="89" t="s">
        <v>402</v>
      </c>
      <c r="EX6" s="89"/>
      <c r="EY6" s="89"/>
      <c r="EZ6" s="89"/>
      <c r="FA6" s="89"/>
      <c r="FB6" s="89"/>
      <c r="FC6" s="89"/>
      <c r="FD6" s="89"/>
      <c r="FE6" s="89"/>
      <c r="FF6" s="89"/>
      <c r="FG6" s="89"/>
      <c r="FH6" s="89"/>
      <c r="FI6" s="89"/>
      <c r="FJ6" s="89"/>
      <c r="FK6" s="89"/>
      <c r="FL6" s="89"/>
      <c r="FM6" s="89"/>
      <c r="FN6" s="89"/>
      <c r="FO6" s="89"/>
      <c r="FP6" s="89"/>
      <c r="FQ6" s="89"/>
      <c r="FR6" s="89"/>
      <c r="FS6" s="89"/>
      <c r="FT6" s="89"/>
      <c r="FU6" s="89"/>
      <c r="FV6" s="89"/>
      <c r="FW6" s="89"/>
      <c r="FX6" s="89"/>
      <c r="FY6" s="89"/>
      <c r="FZ6" s="89"/>
      <c r="GA6" s="89"/>
      <c r="GB6" s="89"/>
      <c r="GC6" s="89"/>
      <c r="GD6" s="89"/>
      <c r="GE6" s="89"/>
      <c r="GF6" s="89"/>
      <c r="GG6" s="89"/>
      <c r="GH6" s="89"/>
      <c r="GI6" s="89"/>
      <c r="GJ6" s="89"/>
      <c r="GK6" s="89"/>
      <c r="GL6" s="89" t="s">
        <v>403</v>
      </c>
      <c r="GM6" s="89"/>
      <c r="GN6" s="89"/>
      <c r="GO6" s="89"/>
      <c r="GP6" s="89"/>
      <c r="GQ6" s="89"/>
      <c r="GR6" s="89"/>
      <c r="GS6" s="89" t="s">
        <v>404</v>
      </c>
      <c r="GT6" s="89"/>
      <c r="GU6" s="89"/>
      <c r="GV6" s="89"/>
      <c r="GW6" s="89"/>
      <c r="GX6" s="89"/>
    </row>
    <row r="7" spans="1:206" ht="15.75" x14ac:dyDescent="0.25">
      <c r="A7" s="6" t="s">
        <v>11</v>
      </c>
      <c r="B7" s="6" t="s">
        <v>12</v>
      </c>
      <c r="C7" s="89"/>
      <c r="D7" s="89"/>
      <c r="E7" s="89"/>
      <c r="F7" s="89"/>
      <c r="G7" s="89"/>
      <c r="H7" s="89"/>
      <c r="I7" s="89"/>
      <c r="J7" s="89"/>
      <c r="K7" s="89"/>
      <c r="L7" s="89"/>
      <c r="M7" s="89"/>
      <c r="N7" s="89"/>
      <c r="O7" s="89"/>
      <c r="P7" s="89"/>
      <c r="Q7" s="89"/>
      <c r="R7" s="89"/>
      <c r="S7" s="89"/>
      <c r="T7" s="89"/>
      <c r="U7" s="89"/>
      <c r="V7" s="89"/>
      <c r="W7" s="89"/>
      <c r="X7" s="89"/>
      <c r="Y7" s="89"/>
      <c r="Z7" s="89"/>
      <c r="AA7" s="89"/>
      <c r="AB7" s="89"/>
      <c r="AC7" s="89"/>
      <c r="AD7" s="89"/>
      <c r="AE7" s="89"/>
      <c r="AF7" s="89"/>
      <c r="AG7" s="89"/>
      <c r="AH7" s="89"/>
      <c r="AI7" s="89"/>
      <c r="AJ7" s="89"/>
      <c r="AK7" s="89"/>
      <c r="AL7" s="89"/>
      <c r="AM7" s="89"/>
      <c r="AN7" s="89"/>
      <c r="AO7" s="89"/>
      <c r="AP7" s="89"/>
      <c r="AQ7" s="89"/>
      <c r="AR7" s="89"/>
      <c r="AS7" s="89"/>
      <c r="AT7" s="89"/>
      <c r="AU7" s="89"/>
      <c r="AV7" s="89"/>
      <c r="AW7" s="89"/>
      <c r="AX7" s="89"/>
      <c r="AY7" s="89"/>
      <c r="AZ7" s="89"/>
      <c r="BA7" s="89"/>
      <c r="BB7" s="89"/>
      <c r="BC7" s="89"/>
      <c r="BD7" s="89"/>
      <c r="BE7" s="89"/>
      <c r="BF7" s="89"/>
      <c r="BG7" s="89"/>
      <c r="BH7" s="89"/>
      <c r="BI7" s="89" t="s">
        <v>405</v>
      </c>
      <c r="BJ7" s="89"/>
      <c r="BK7" s="89"/>
      <c r="BL7" s="89"/>
      <c r="BM7" s="89"/>
      <c r="BN7" s="89"/>
      <c r="BO7" s="89"/>
      <c r="BP7" s="89"/>
      <c r="BQ7" s="89"/>
      <c r="BR7" s="89"/>
      <c r="BS7" s="89"/>
      <c r="BT7" s="89"/>
      <c r="BU7" s="89"/>
      <c r="BV7" s="89"/>
      <c r="BW7" s="89"/>
      <c r="BX7" s="89"/>
      <c r="BY7" s="89"/>
      <c r="BZ7" s="89"/>
      <c r="CA7" s="89"/>
      <c r="CB7" s="89"/>
      <c r="CC7" s="89"/>
      <c r="CD7" s="89"/>
      <c r="CE7" s="89"/>
      <c r="CF7" s="89"/>
      <c r="CG7" s="89"/>
      <c r="CH7" s="89"/>
      <c r="CI7" s="89"/>
      <c r="CJ7" s="89"/>
      <c r="CK7" s="89" t="s">
        <v>406</v>
      </c>
      <c r="CL7" s="89"/>
      <c r="CM7" s="89"/>
      <c r="CN7" s="89"/>
      <c r="CO7" s="89"/>
      <c r="CP7" s="89"/>
      <c r="CQ7" s="89" t="s">
        <v>407</v>
      </c>
      <c r="CR7" s="89"/>
      <c r="CS7" s="89"/>
      <c r="CT7" s="89"/>
      <c r="CU7" s="89"/>
      <c r="CV7" s="89"/>
      <c r="CW7" s="89"/>
      <c r="CX7" s="89"/>
      <c r="CY7" s="89"/>
      <c r="CZ7" s="89"/>
      <c r="DA7" s="89"/>
      <c r="DB7" s="89"/>
      <c r="DC7" s="89"/>
      <c r="DD7" s="89"/>
      <c r="DE7" s="89"/>
      <c r="DF7" s="89"/>
      <c r="DG7" s="89"/>
      <c r="DH7" s="89"/>
      <c r="DI7" s="89"/>
      <c r="DJ7" s="89"/>
      <c r="DK7" s="89"/>
      <c r="DL7" s="89"/>
      <c r="DM7" s="89" t="s">
        <v>1065</v>
      </c>
      <c r="DN7" s="89"/>
      <c r="DO7" s="89"/>
      <c r="DP7" s="89"/>
      <c r="DQ7" s="89"/>
      <c r="DR7" s="89"/>
      <c r="DS7" s="89"/>
      <c r="DT7" s="89"/>
      <c r="DU7" s="89"/>
      <c r="DV7" s="89"/>
      <c r="DW7" s="89"/>
      <c r="DX7" s="89"/>
      <c r="DY7" s="89"/>
      <c r="DZ7" s="89"/>
      <c r="EA7" s="89"/>
      <c r="EB7" s="89"/>
      <c r="EC7" s="89"/>
      <c r="ED7" s="89"/>
      <c r="EE7" s="89"/>
      <c r="EF7" s="89"/>
      <c r="EG7" s="89"/>
      <c r="EH7" s="89"/>
      <c r="EI7" s="89"/>
      <c r="EJ7" s="89"/>
      <c r="EK7" s="89"/>
      <c r="EL7" s="89"/>
      <c r="EM7" s="89"/>
      <c r="EN7" s="89"/>
      <c r="EO7" s="89"/>
      <c r="EP7" s="89"/>
      <c r="EQ7" s="89"/>
      <c r="ER7" s="89" t="s">
        <v>408</v>
      </c>
      <c r="ES7" s="89"/>
      <c r="ET7" s="89"/>
      <c r="EU7" s="89"/>
      <c r="EV7" s="89"/>
      <c r="EW7" s="89"/>
      <c r="EX7" s="89"/>
      <c r="EY7" s="89"/>
      <c r="EZ7" s="89"/>
      <c r="FA7" s="89"/>
      <c r="FB7" s="89"/>
      <c r="FC7" s="89"/>
      <c r="FD7" s="89"/>
      <c r="FE7" s="89"/>
      <c r="FF7" s="89"/>
      <c r="FG7" s="89"/>
      <c r="FH7" s="89"/>
      <c r="FI7" s="89"/>
      <c r="FJ7" s="89"/>
      <c r="FK7" s="89"/>
      <c r="FL7" s="89"/>
      <c r="FM7" s="89"/>
      <c r="FN7" s="89"/>
      <c r="FO7" s="89"/>
      <c r="FP7" s="89"/>
      <c r="FQ7" s="89"/>
      <c r="FR7" s="89"/>
      <c r="FS7" s="89"/>
      <c r="FT7" s="89"/>
      <c r="FU7" s="89"/>
      <c r="FV7" s="89"/>
      <c r="FW7" s="89"/>
      <c r="FX7" s="89"/>
      <c r="FY7" s="89"/>
      <c r="FZ7" s="89"/>
      <c r="GA7" s="89"/>
      <c r="GB7" s="89"/>
      <c r="GC7" s="89"/>
      <c r="GD7" s="89"/>
      <c r="GE7" s="89"/>
      <c r="GF7" s="89"/>
      <c r="GG7" s="89"/>
      <c r="GH7" s="89"/>
      <c r="GI7" s="89"/>
      <c r="GJ7" s="89"/>
      <c r="GK7" s="89"/>
      <c r="GL7" s="89"/>
      <c r="GM7" s="89"/>
      <c r="GN7" s="89"/>
      <c r="GO7" s="89"/>
      <c r="GP7" s="89"/>
      <c r="GQ7" s="89"/>
      <c r="GR7" s="89"/>
      <c r="GS7" s="89"/>
      <c r="GT7" s="89"/>
      <c r="GU7" s="89"/>
      <c r="GV7" s="89"/>
      <c r="GW7" s="89"/>
      <c r="GX7" s="89"/>
    </row>
    <row r="8" spans="1:206" ht="15.75" x14ac:dyDescent="0.25">
      <c r="A8" s="6" t="s">
        <v>13</v>
      </c>
      <c r="B8" s="6" t="s">
        <v>14</v>
      </c>
      <c r="C8" s="89"/>
      <c r="D8" s="89"/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  <c r="Z8" s="89"/>
      <c r="AA8" s="89"/>
      <c r="AB8" s="89"/>
      <c r="AC8" s="89"/>
      <c r="AD8" s="89"/>
      <c r="AE8" s="89"/>
      <c r="AF8" s="89"/>
      <c r="AG8" s="89"/>
      <c r="AH8" s="89"/>
      <c r="AI8" s="89"/>
      <c r="AJ8" s="89"/>
      <c r="AK8" s="89"/>
      <c r="AL8" s="89"/>
      <c r="AM8" s="89"/>
      <c r="AN8" s="89"/>
      <c r="AO8" s="89"/>
      <c r="AP8" s="89"/>
      <c r="AQ8" s="89"/>
      <c r="AR8" s="89"/>
      <c r="AS8" s="89"/>
      <c r="AT8" s="89"/>
      <c r="AU8" s="89"/>
      <c r="AV8" s="89"/>
      <c r="AW8" s="89"/>
      <c r="AX8" s="89"/>
      <c r="AY8" s="89"/>
      <c r="AZ8" s="89"/>
      <c r="BA8" s="89"/>
      <c r="BB8" s="89" t="s">
        <v>412</v>
      </c>
      <c r="BC8" s="89"/>
      <c r="BD8" s="89"/>
      <c r="BE8" s="89"/>
      <c r="BF8" s="89"/>
      <c r="BG8" s="89"/>
      <c r="BH8" s="89"/>
      <c r="BI8" s="89"/>
      <c r="BJ8" s="89"/>
      <c r="BK8" s="89"/>
      <c r="BL8" s="89"/>
      <c r="BM8" s="89"/>
      <c r="BN8" s="89"/>
      <c r="BO8" s="89"/>
      <c r="BP8" s="89"/>
      <c r="BQ8" s="89"/>
      <c r="BR8" s="89"/>
      <c r="BS8" s="89"/>
      <c r="BT8" s="89"/>
      <c r="BU8" s="89"/>
      <c r="BV8" s="89"/>
      <c r="BW8" s="89"/>
      <c r="BX8" s="89"/>
      <c r="BY8" s="89"/>
      <c r="BZ8" s="89"/>
      <c r="CA8" s="89"/>
      <c r="CB8" s="89"/>
      <c r="CC8" s="89"/>
      <c r="CD8" s="89"/>
      <c r="CE8" s="89"/>
      <c r="CF8" s="89"/>
      <c r="CG8" s="89"/>
      <c r="CH8" s="89"/>
      <c r="CI8" s="89"/>
      <c r="CJ8" s="89"/>
      <c r="CK8" s="89"/>
      <c r="CL8" s="89"/>
      <c r="CM8" s="89"/>
      <c r="CN8" s="89"/>
      <c r="CO8" s="89"/>
      <c r="CP8" s="89"/>
      <c r="CQ8" s="89"/>
      <c r="CR8" s="89"/>
      <c r="CS8" s="89"/>
      <c r="CT8" s="89"/>
      <c r="CU8" s="89"/>
      <c r="CV8" s="89"/>
      <c r="CW8" s="89"/>
      <c r="CX8" s="89"/>
      <c r="CY8" s="89"/>
      <c r="CZ8" s="89"/>
      <c r="DA8" s="89"/>
      <c r="DB8" s="89"/>
      <c r="DC8" s="89"/>
      <c r="DD8" s="89"/>
      <c r="DE8" s="89"/>
      <c r="DF8" s="89"/>
      <c r="DG8" s="89"/>
      <c r="DH8" s="89"/>
      <c r="DI8" s="89"/>
      <c r="DJ8" s="89"/>
      <c r="DK8" s="89"/>
      <c r="DL8" s="89"/>
      <c r="DM8" s="89"/>
      <c r="DN8" s="89"/>
      <c r="DO8" s="89"/>
      <c r="DP8" s="89" t="s">
        <v>413</v>
      </c>
      <c r="DQ8" s="89"/>
      <c r="DR8" s="89" t="s">
        <v>413</v>
      </c>
      <c r="DS8" s="89"/>
      <c r="DT8" s="89"/>
      <c r="DU8" s="89"/>
      <c r="DV8" s="89"/>
      <c r="DW8" s="89"/>
      <c r="DX8" s="89"/>
      <c r="DY8" s="89"/>
      <c r="DZ8" s="89"/>
      <c r="EA8" s="89"/>
      <c r="EB8" s="89"/>
      <c r="EC8" s="89"/>
      <c r="ED8" s="89" t="s">
        <v>414</v>
      </c>
      <c r="EE8" s="89"/>
      <c r="EF8" s="89"/>
      <c r="EG8" s="89"/>
      <c r="EH8" s="89"/>
      <c r="EI8" s="89"/>
      <c r="EJ8" s="89"/>
      <c r="EK8" s="89"/>
      <c r="EL8" s="89"/>
      <c r="EM8" s="89"/>
      <c r="EN8" s="89"/>
      <c r="EO8" s="89"/>
      <c r="EP8" s="89"/>
      <c r="EQ8" s="89"/>
      <c r="ER8" s="89"/>
      <c r="ES8" s="89"/>
      <c r="ET8" s="89"/>
      <c r="EU8" s="89"/>
      <c r="EV8" s="89"/>
      <c r="EW8" s="89"/>
      <c r="EX8" s="89"/>
      <c r="EY8" s="89"/>
      <c r="EZ8" s="89" t="s">
        <v>415</v>
      </c>
      <c r="FA8" s="89"/>
      <c r="FB8" s="89"/>
      <c r="FC8" s="89"/>
      <c r="FD8" s="89"/>
      <c r="FE8" s="89"/>
      <c r="FF8" s="89"/>
      <c r="FG8" s="89"/>
      <c r="FH8" s="89"/>
      <c r="FI8" s="89"/>
      <c r="FJ8" s="89"/>
      <c r="FK8" s="89"/>
      <c r="FL8" s="89"/>
      <c r="FM8" s="89"/>
      <c r="FN8" s="89"/>
      <c r="FO8" s="89"/>
      <c r="FP8" s="89"/>
      <c r="FQ8" s="89"/>
      <c r="FR8" s="89"/>
      <c r="FS8" s="89"/>
      <c r="FT8" s="89"/>
      <c r="FU8" s="89"/>
      <c r="FV8" s="89"/>
      <c r="FW8" s="89"/>
      <c r="FX8" s="89"/>
      <c r="FY8" s="89"/>
      <c r="FZ8" s="89"/>
      <c r="GA8" s="89"/>
      <c r="GB8" s="89"/>
      <c r="GC8" s="89"/>
      <c r="GD8" s="89"/>
      <c r="GE8" s="89"/>
      <c r="GF8" s="89"/>
      <c r="GG8" s="89"/>
      <c r="GH8" s="89"/>
      <c r="GI8" s="89"/>
      <c r="GJ8" s="89"/>
      <c r="GK8" s="89"/>
      <c r="GL8" s="89"/>
      <c r="GM8" s="89"/>
      <c r="GN8" s="89"/>
      <c r="GO8" s="89"/>
      <c r="GP8" s="89"/>
      <c r="GQ8" s="89"/>
      <c r="GR8" s="89"/>
      <c r="GS8" s="89"/>
      <c r="GT8" s="89"/>
      <c r="GU8" s="89"/>
      <c r="GV8" s="89"/>
      <c r="GW8" s="89"/>
      <c r="GX8" s="89"/>
    </row>
    <row r="9" spans="1:206" ht="15.75" x14ac:dyDescent="0.25">
      <c r="A9" s="6" t="s">
        <v>15</v>
      </c>
      <c r="B9" s="6" t="s">
        <v>106</v>
      </c>
      <c r="C9" s="89"/>
      <c r="D9" s="89"/>
      <c r="E9" s="89" t="s">
        <v>416</v>
      </c>
      <c r="F9" s="89"/>
      <c r="G9" s="89"/>
      <c r="H9" s="89" t="s">
        <v>417</v>
      </c>
      <c r="I9" s="89"/>
      <c r="J9" s="89"/>
      <c r="K9" s="89"/>
      <c r="L9" s="89"/>
      <c r="M9" s="89" t="s">
        <v>418</v>
      </c>
      <c r="N9" s="89"/>
      <c r="O9" s="89"/>
      <c r="P9" s="89"/>
      <c r="Q9" s="89"/>
      <c r="R9" s="89"/>
      <c r="S9" s="89"/>
      <c r="T9" s="89"/>
      <c r="U9" s="89"/>
      <c r="V9" s="89"/>
      <c r="W9" s="89"/>
      <c r="X9" s="89"/>
      <c r="Y9" s="89"/>
      <c r="Z9" s="89"/>
      <c r="AA9" s="89"/>
      <c r="AB9" s="89"/>
      <c r="AC9" s="89"/>
      <c r="AD9" s="89"/>
      <c r="AE9" s="89"/>
      <c r="AF9" s="89"/>
      <c r="AG9" s="89"/>
      <c r="AH9" s="89"/>
      <c r="AI9" s="89"/>
      <c r="AJ9" s="89"/>
      <c r="AK9" s="89"/>
      <c r="AL9" s="89"/>
      <c r="AM9" s="89"/>
      <c r="AN9" s="89"/>
      <c r="AO9" s="89"/>
      <c r="AP9" s="89"/>
      <c r="AQ9" s="89"/>
      <c r="AR9" s="89"/>
      <c r="AS9" s="89" t="s">
        <v>419</v>
      </c>
      <c r="AT9" s="89"/>
      <c r="AU9" s="89"/>
      <c r="AV9" s="89"/>
      <c r="AW9" s="89"/>
      <c r="AX9" s="89"/>
      <c r="AY9" s="89"/>
      <c r="AZ9" s="89"/>
      <c r="BA9" s="89"/>
      <c r="BB9" s="89"/>
      <c r="BC9" s="89"/>
      <c r="BD9" s="89"/>
      <c r="BE9" s="89"/>
      <c r="BF9" s="89"/>
      <c r="BG9" s="89"/>
      <c r="BH9" s="89"/>
      <c r="BI9" s="89" t="s">
        <v>420</v>
      </c>
      <c r="BJ9" s="89"/>
      <c r="BK9" s="89"/>
      <c r="BL9" s="89" t="s">
        <v>421</v>
      </c>
      <c r="BM9" s="89"/>
      <c r="BN9" s="89"/>
      <c r="BO9" s="89"/>
      <c r="BP9" s="89"/>
      <c r="BQ9" s="89"/>
      <c r="BR9" s="89"/>
      <c r="BS9" s="89"/>
      <c r="BT9" s="89"/>
      <c r="BU9" s="89"/>
      <c r="BV9" s="89"/>
      <c r="BW9" s="89"/>
      <c r="BX9" s="89"/>
      <c r="BY9" s="89"/>
      <c r="BZ9" s="89"/>
      <c r="CA9" s="89"/>
      <c r="CB9" s="89"/>
      <c r="CC9" s="89"/>
      <c r="CD9" s="89"/>
      <c r="CE9" s="89"/>
      <c r="CF9" s="89"/>
      <c r="CG9" s="89"/>
      <c r="CH9" s="89"/>
      <c r="CI9" s="89"/>
      <c r="CJ9" s="89"/>
      <c r="CK9" s="89"/>
      <c r="CL9" s="89"/>
      <c r="CM9" s="89"/>
      <c r="CN9" s="89"/>
      <c r="CO9" s="89"/>
      <c r="CP9" s="89"/>
      <c r="CQ9" s="89"/>
      <c r="CR9" s="89"/>
      <c r="CS9" s="89" t="s">
        <v>422</v>
      </c>
      <c r="CT9" s="89"/>
      <c r="CU9" s="89"/>
      <c r="CV9" s="89"/>
      <c r="CW9" s="89" t="s">
        <v>423</v>
      </c>
      <c r="CX9" s="89"/>
      <c r="CY9" s="89"/>
      <c r="CZ9" s="89"/>
      <c r="DA9" s="89"/>
      <c r="DB9" s="89"/>
      <c r="DC9" s="89"/>
      <c r="DD9" s="89"/>
      <c r="DE9" s="89"/>
      <c r="DF9" s="89"/>
      <c r="DG9" s="89"/>
      <c r="DH9" s="89"/>
      <c r="DI9" s="89"/>
      <c r="DJ9" s="89"/>
      <c r="DK9" s="89"/>
      <c r="DL9" s="89"/>
      <c r="DM9" s="89"/>
      <c r="DN9" s="89"/>
      <c r="DO9" s="89"/>
      <c r="DP9" s="89"/>
      <c r="DQ9" s="89"/>
      <c r="DR9" s="89"/>
      <c r="DS9" s="89"/>
      <c r="DT9" s="89"/>
      <c r="DU9" s="89"/>
      <c r="DV9" s="89"/>
      <c r="DW9" s="89"/>
      <c r="DX9" s="89"/>
      <c r="DY9" s="89"/>
      <c r="DZ9" s="89"/>
      <c r="EA9" s="89"/>
      <c r="EB9" s="89"/>
      <c r="EC9" s="89"/>
      <c r="ED9" s="89"/>
      <c r="EE9" s="89"/>
      <c r="EF9" s="89"/>
      <c r="EG9" s="89"/>
      <c r="EH9" s="89"/>
      <c r="EI9" s="89"/>
      <c r="EJ9" s="89"/>
      <c r="EK9" s="89"/>
      <c r="EL9" s="89"/>
      <c r="EM9" s="89"/>
      <c r="EN9" s="89"/>
      <c r="EO9" s="89"/>
      <c r="EP9" s="89"/>
      <c r="EQ9" s="89"/>
      <c r="ER9" s="89" t="s">
        <v>424</v>
      </c>
      <c r="ES9" s="89"/>
      <c r="ET9" s="89"/>
      <c r="EU9" s="89"/>
      <c r="EV9" s="89"/>
      <c r="EW9" s="89"/>
      <c r="EX9" s="89"/>
      <c r="EY9" s="89"/>
      <c r="EZ9" s="89"/>
      <c r="FA9" s="89"/>
      <c r="FB9" s="89"/>
      <c r="FC9" s="89"/>
      <c r="FD9" s="89"/>
      <c r="FE9" s="89"/>
      <c r="FF9" s="89" t="s">
        <v>425</v>
      </c>
      <c r="FG9" s="89"/>
      <c r="FH9" s="89"/>
      <c r="FI9" s="89"/>
      <c r="FJ9" s="89"/>
      <c r="FK9" s="89"/>
      <c r="FL9" s="89"/>
      <c r="FM9" s="89"/>
      <c r="FN9" s="89"/>
      <c r="FO9" s="89"/>
      <c r="FP9" s="89"/>
      <c r="FQ9" s="89"/>
      <c r="FR9" s="89"/>
      <c r="FS9" s="89"/>
      <c r="FT9" s="89"/>
      <c r="FU9" s="89"/>
      <c r="FV9" s="89"/>
      <c r="FW9" s="89"/>
      <c r="FX9" s="89"/>
      <c r="FY9" s="89"/>
      <c r="FZ9" s="89"/>
      <c r="GA9" s="89"/>
      <c r="GB9" s="89"/>
      <c r="GC9" s="89"/>
      <c r="GD9" s="89"/>
      <c r="GE9" s="89"/>
      <c r="GF9" s="89"/>
      <c r="GG9" s="89"/>
      <c r="GH9" s="89"/>
      <c r="GI9" s="89"/>
      <c r="GJ9" s="89"/>
      <c r="GK9" s="89"/>
      <c r="GL9" s="89"/>
      <c r="GM9" s="89"/>
      <c r="GN9" s="89" t="s">
        <v>426</v>
      </c>
      <c r="GO9" s="89"/>
      <c r="GP9" s="89"/>
      <c r="GQ9" s="89" t="s">
        <v>427</v>
      </c>
      <c r="GR9" s="89"/>
      <c r="GS9" s="89" t="s">
        <v>417</v>
      </c>
      <c r="GT9" s="89"/>
      <c r="GU9" s="89"/>
      <c r="GV9" s="89"/>
      <c r="GW9" s="89"/>
      <c r="GX9" s="89"/>
    </row>
    <row r="10" spans="1:206" ht="15.75" x14ac:dyDescent="0.25">
      <c r="A10" s="6" t="s">
        <v>107</v>
      </c>
      <c r="B10" s="6" t="s">
        <v>42</v>
      </c>
      <c r="C10" t="s">
        <v>428</v>
      </c>
      <c r="G10" t="s">
        <v>429</v>
      </c>
      <c r="I10" t="s">
        <v>430</v>
      </c>
      <c r="V10" t="s">
        <v>431</v>
      </c>
      <c r="Z10" t="s">
        <v>432</v>
      </c>
      <c r="AG10" t="s">
        <v>433</v>
      </c>
      <c r="AH10" t="s">
        <v>434</v>
      </c>
      <c r="AN10" t="s">
        <v>433</v>
      </c>
      <c r="AO10" t="s">
        <v>435</v>
      </c>
      <c r="AQ10" t="s">
        <v>436</v>
      </c>
      <c r="AV10" t="s">
        <v>437</v>
      </c>
      <c r="AW10" t="s">
        <v>433</v>
      </c>
      <c r="AX10" t="s">
        <v>437</v>
      </c>
      <c r="BI10" t="s">
        <v>438</v>
      </c>
      <c r="BJ10" t="s">
        <v>439</v>
      </c>
      <c r="BL10" t="s">
        <v>997</v>
      </c>
      <c r="BM10" t="s">
        <v>440</v>
      </c>
      <c r="BN10" t="s">
        <v>441</v>
      </c>
      <c r="BY10" t="s">
        <v>437</v>
      </c>
      <c r="CA10" t="s">
        <v>433</v>
      </c>
      <c r="CE10" t="s">
        <v>437</v>
      </c>
      <c r="CF10" t="s">
        <v>437</v>
      </c>
      <c r="CH10" t="s">
        <v>442</v>
      </c>
      <c r="CK10" t="s">
        <v>437</v>
      </c>
      <c r="CL10" t="s">
        <v>437</v>
      </c>
      <c r="DE10" t="s">
        <v>443</v>
      </c>
      <c r="DP10" t="s">
        <v>444</v>
      </c>
      <c r="DR10" t="s">
        <v>444</v>
      </c>
      <c r="DS10" t="s">
        <v>445</v>
      </c>
      <c r="DV10" t="s">
        <v>446</v>
      </c>
      <c r="DW10" t="s">
        <v>447</v>
      </c>
      <c r="DZ10" t="s">
        <v>446</v>
      </c>
      <c r="EC10" t="s">
        <v>433</v>
      </c>
      <c r="EE10" t="s">
        <v>448</v>
      </c>
      <c r="EO10" t="s">
        <v>449</v>
      </c>
      <c r="EP10" t="s">
        <v>450</v>
      </c>
      <c r="EV10" t="s">
        <v>451</v>
      </c>
      <c r="EZ10" t="s">
        <v>452</v>
      </c>
      <c r="FF10" t="s">
        <v>453</v>
      </c>
      <c r="FI10" t="s">
        <v>454</v>
      </c>
      <c r="FJ10" t="s">
        <v>436</v>
      </c>
      <c r="FV10" t="s">
        <v>442</v>
      </c>
      <c r="GG10" t="s">
        <v>455</v>
      </c>
      <c r="GL10" t="s">
        <v>436</v>
      </c>
      <c r="GS10" t="s">
        <v>456</v>
      </c>
      <c r="GT10" t="s">
        <v>457</v>
      </c>
      <c r="GW10" t="s">
        <v>437</v>
      </c>
    </row>
    <row r="11" spans="1:206" ht="15.75" x14ac:dyDescent="0.25">
      <c r="A11" s="9" t="s">
        <v>108</v>
      </c>
      <c r="B11" s="9" t="s">
        <v>109</v>
      </c>
      <c r="C11" s="89"/>
      <c r="D11" s="89"/>
      <c r="E11" s="89"/>
      <c r="F11" s="89"/>
      <c r="G11" s="89"/>
      <c r="H11" s="89"/>
      <c r="I11" s="89"/>
      <c r="J11" s="89"/>
      <c r="K11" s="89"/>
      <c r="L11" s="89"/>
      <c r="M11" s="89"/>
      <c r="N11" s="89"/>
      <c r="O11" s="89"/>
      <c r="P11" s="89"/>
      <c r="Q11" s="89"/>
      <c r="R11" s="89"/>
      <c r="S11" s="89"/>
      <c r="T11" s="89"/>
      <c r="U11" s="89"/>
      <c r="V11" s="89"/>
      <c r="W11" s="89"/>
      <c r="X11" s="89"/>
      <c r="Y11" s="89"/>
      <c r="Z11" s="89"/>
      <c r="AA11" s="89"/>
      <c r="AB11" s="89"/>
      <c r="AC11" s="89"/>
      <c r="AD11" s="89"/>
      <c r="AE11" s="89"/>
      <c r="AF11" s="89"/>
      <c r="AG11" s="89"/>
      <c r="AH11" s="89"/>
      <c r="AI11" s="89"/>
      <c r="AJ11" s="89"/>
      <c r="AK11" s="89"/>
      <c r="AL11" s="89"/>
      <c r="AM11" s="89"/>
      <c r="AN11" s="89"/>
      <c r="AO11" s="89"/>
      <c r="AP11" s="89"/>
      <c r="AQ11" s="89"/>
      <c r="AR11" s="89"/>
      <c r="AS11" s="89"/>
      <c r="AT11" s="89"/>
      <c r="AU11" s="89"/>
      <c r="AV11" s="89"/>
      <c r="AW11" s="89"/>
      <c r="AX11" s="89"/>
      <c r="AY11" s="89"/>
      <c r="AZ11" s="89"/>
      <c r="BA11" s="89"/>
      <c r="BB11" s="89"/>
      <c r="BC11" s="89"/>
      <c r="BD11" s="89"/>
      <c r="BE11" s="89"/>
      <c r="BF11" s="89"/>
      <c r="BG11" s="89"/>
      <c r="BH11" s="89"/>
      <c r="BI11" s="89"/>
      <c r="BJ11" s="89"/>
      <c r="BK11" s="89" t="s">
        <v>458</v>
      </c>
      <c r="BL11" s="89"/>
      <c r="BM11" s="89"/>
      <c r="BN11" s="89"/>
      <c r="BO11" s="89"/>
      <c r="BP11" s="89"/>
      <c r="BQ11" s="89"/>
      <c r="BR11" s="89"/>
      <c r="BS11" s="89"/>
      <c r="BT11" s="89"/>
      <c r="BU11" s="89"/>
      <c r="BV11" s="89"/>
      <c r="BW11" s="89"/>
      <c r="BX11" s="89"/>
      <c r="BY11" s="89"/>
      <c r="BZ11" s="89"/>
      <c r="CA11" s="89"/>
      <c r="CB11" s="89"/>
      <c r="CC11" s="89"/>
      <c r="CD11" s="89"/>
      <c r="CE11" s="89"/>
      <c r="CF11" s="89"/>
      <c r="CG11" s="89"/>
      <c r="CH11" s="89"/>
      <c r="CI11" s="89"/>
      <c r="CJ11" s="89"/>
      <c r="CK11" s="89"/>
      <c r="CL11" s="89"/>
      <c r="CM11" s="89"/>
      <c r="CN11" s="89"/>
      <c r="CO11" s="89"/>
      <c r="CP11" s="89"/>
      <c r="CQ11" s="89"/>
      <c r="CR11" s="89"/>
      <c r="CS11" s="89"/>
      <c r="CT11" s="89"/>
      <c r="CU11" s="89"/>
      <c r="CV11" s="89"/>
      <c r="CW11" s="89"/>
      <c r="CX11" s="89"/>
      <c r="CY11" s="89"/>
      <c r="CZ11" s="89"/>
      <c r="DA11" s="89"/>
      <c r="DB11" s="89"/>
      <c r="DC11" s="89"/>
      <c r="DD11" s="89"/>
      <c r="DE11" s="89"/>
      <c r="DF11" s="89"/>
      <c r="DG11" s="89"/>
      <c r="DH11" s="89"/>
      <c r="DI11" s="89"/>
      <c r="DJ11" s="89"/>
      <c r="DK11" s="89"/>
      <c r="DL11" s="89"/>
      <c r="DM11" s="89"/>
      <c r="DN11" s="89"/>
      <c r="DO11" s="89"/>
      <c r="DP11" s="89"/>
      <c r="DQ11" s="89"/>
      <c r="DR11" s="89"/>
      <c r="DS11" s="89"/>
      <c r="DT11" s="89"/>
      <c r="DU11" s="89"/>
      <c r="DV11" s="89"/>
      <c r="DW11" s="89"/>
      <c r="DX11" s="89"/>
      <c r="DY11" s="89"/>
      <c r="DZ11" s="89"/>
      <c r="EA11" s="89"/>
      <c r="EB11" s="89"/>
      <c r="EC11" s="89"/>
      <c r="ED11" s="89"/>
      <c r="EE11" s="89"/>
      <c r="EF11" s="89"/>
      <c r="EG11" s="89"/>
      <c r="EH11" s="89"/>
      <c r="EI11" s="89"/>
      <c r="EJ11" s="89"/>
      <c r="EK11" s="89"/>
      <c r="EL11" s="89"/>
      <c r="EM11" s="89"/>
      <c r="EN11" s="89" t="s">
        <v>459</v>
      </c>
      <c r="EO11" s="89"/>
      <c r="EP11" s="89"/>
      <c r="EQ11" s="89"/>
      <c r="ER11" s="89"/>
      <c r="ES11" s="89"/>
      <c r="ET11" s="89"/>
      <c r="EU11" s="89"/>
      <c r="EV11" s="89"/>
      <c r="EW11" s="89"/>
      <c r="EX11" s="89"/>
      <c r="EY11" s="89"/>
      <c r="EZ11" s="89"/>
      <c r="FA11" s="89"/>
      <c r="FB11" s="89"/>
      <c r="FC11" s="89"/>
      <c r="FD11" s="89"/>
      <c r="FE11" s="89"/>
      <c r="FF11" s="89"/>
      <c r="FG11" s="89"/>
      <c r="FH11" s="89"/>
      <c r="FI11" s="89"/>
      <c r="FJ11" s="89"/>
      <c r="FK11" s="89"/>
      <c r="FL11" s="89"/>
      <c r="FM11" s="89"/>
      <c r="FN11" s="89"/>
      <c r="FO11" s="89"/>
      <c r="FP11" s="89"/>
      <c r="FQ11" s="89"/>
      <c r="FR11" s="89"/>
      <c r="FS11" s="89"/>
      <c r="FT11" s="89"/>
      <c r="FU11" s="89"/>
      <c r="FV11" s="89"/>
      <c r="FW11" s="89"/>
      <c r="FX11" s="89"/>
      <c r="FY11" s="89"/>
      <c r="FZ11" s="89"/>
      <c r="GA11" s="89"/>
      <c r="GB11" s="89"/>
      <c r="GC11" s="89"/>
      <c r="GD11" s="89"/>
      <c r="GE11" s="89"/>
      <c r="GF11" s="89"/>
      <c r="GG11" s="89"/>
      <c r="GH11" s="89"/>
      <c r="GI11" s="89"/>
      <c r="GJ11" s="89"/>
      <c r="GK11" s="89"/>
      <c r="GL11" s="89"/>
      <c r="GM11" s="89"/>
      <c r="GN11" s="89"/>
      <c r="GO11" s="89"/>
      <c r="GP11" s="89"/>
      <c r="GQ11" s="89"/>
      <c r="GR11" s="89"/>
      <c r="GS11" s="89"/>
      <c r="GT11" s="89"/>
      <c r="GU11" s="89"/>
      <c r="GV11" s="89"/>
      <c r="GW11" s="89"/>
      <c r="GX11" s="89"/>
    </row>
    <row r="12" spans="1:206" ht="15.75" x14ac:dyDescent="0.25">
      <c r="A12" s="9" t="s">
        <v>110</v>
      </c>
      <c r="B12" s="9" t="s">
        <v>111</v>
      </c>
      <c r="C12" s="89"/>
      <c r="D12" s="89"/>
      <c r="E12" s="89"/>
      <c r="F12" s="89"/>
      <c r="G12" s="89"/>
      <c r="H12" s="89"/>
      <c r="I12" s="89"/>
      <c r="J12" s="89"/>
      <c r="K12" s="89"/>
      <c r="L12" s="89"/>
      <c r="M12" s="89"/>
      <c r="N12" s="89"/>
      <c r="O12" s="89"/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  <c r="AA12" s="89"/>
      <c r="AB12" s="89"/>
      <c r="AC12" s="89"/>
      <c r="AD12" s="89"/>
      <c r="AE12" s="89"/>
      <c r="AF12" s="89"/>
      <c r="AG12" s="89"/>
      <c r="AH12" s="89"/>
      <c r="AI12" s="89"/>
      <c r="AJ12" s="89"/>
      <c r="AK12" s="89"/>
      <c r="AL12" s="89"/>
      <c r="AM12" s="89"/>
      <c r="AN12" s="89"/>
      <c r="AO12" s="89"/>
      <c r="AP12" s="89"/>
      <c r="AQ12" s="89"/>
      <c r="AR12" s="89"/>
      <c r="AS12" s="89"/>
      <c r="AT12" s="89"/>
      <c r="AU12" s="89"/>
      <c r="AV12" s="89"/>
      <c r="AW12" s="89"/>
      <c r="AX12" s="89"/>
      <c r="AY12" s="89" t="s">
        <v>460</v>
      </c>
      <c r="AZ12" s="89"/>
      <c r="BA12" s="89"/>
      <c r="BB12" s="89"/>
      <c r="BC12" s="89"/>
      <c r="BD12" s="89"/>
      <c r="BE12" s="89"/>
      <c r="BF12" s="89"/>
      <c r="BG12" s="89"/>
      <c r="BH12" s="89"/>
      <c r="BI12" s="89"/>
      <c r="BJ12" s="89"/>
      <c r="BK12" s="89" t="s">
        <v>461</v>
      </c>
      <c r="BL12" s="89"/>
      <c r="BM12" s="89"/>
      <c r="BN12" s="89"/>
      <c r="BO12" s="89"/>
      <c r="BP12" s="89"/>
      <c r="BQ12" s="89"/>
      <c r="BR12" s="89"/>
      <c r="BS12" s="89"/>
      <c r="BT12" s="89"/>
      <c r="BU12" s="89"/>
      <c r="BV12" s="89"/>
      <c r="BW12" s="89"/>
      <c r="BX12" s="89" t="s">
        <v>461</v>
      </c>
      <c r="BY12" s="89"/>
      <c r="BZ12" s="89"/>
      <c r="CA12" s="89"/>
      <c r="CB12" s="89"/>
      <c r="CC12" s="89"/>
      <c r="CD12" s="89"/>
      <c r="CE12" s="89"/>
      <c r="CF12" s="89"/>
      <c r="CG12" s="89"/>
      <c r="CH12" s="89"/>
      <c r="CI12" s="89"/>
      <c r="CJ12" s="89"/>
      <c r="CK12" s="89"/>
      <c r="CL12" s="89"/>
      <c r="CM12" s="89"/>
      <c r="CN12" s="89" t="s">
        <v>462</v>
      </c>
      <c r="CO12" s="89"/>
      <c r="CP12" s="89" t="s">
        <v>463</v>
      </c>
      <c r="CQ12" s="89"/>
      <c r="CR12" s="89"/>
      <c r="CS12" s="89"/>
      <c r="CT12" s="89" t="s">
        <v>461</v>
      </c>
      <c r="CU12" s="89"/>
      <c r="CV12" s="89"/>
      <c r="CW12" s="89"/>
      <c r="CX12" s="89"/>
      <c r="CY12" s="89"/>
      <c r="CZ12" s="89"/>
      <c r="DA12" s="89"/>
      <c r="DB12" s="89"/>
      <c r="DC12" s="89"/>
      <c r="DD12" s="89"/>
      <c r="DE12" s="89"/>
      <c r="DF12" s="89"/>
      <c r="DG12" s="89"/>
      <c r="DH12" s="89"/>
      <c r="DI12" s="89"/>
      <c r="DJ12" s="89"/>
      <c r="DK12" s="89"/>
      <c r="DL12" s="89"/>
      <c r="DM12" s="89"/>
      <c r="DN12" s="89"/>
      <c r="DO12" s="89"/>
      <c r="DP12" s="89"/>
      <c r="DQ12" s="89"/>
      <c r="DR12" s="89"/>
      <c r="DS12" s="89"/>
      <c r="DT12" s="89"/>
      <c r="DU12" s="89"/>
      <c r="DV12" s="89"/>
      <c r="DW12" s="89"/>
      <c r="DX12" s="89"/>
      <c r="DY12" s="89" t="s">
        <v>464</v>
      </c>
      <c r="DZ12" s="89"/>
      <c r="EA12" s="89"/>
      <c r="EB12" s="89"/>
      <c r="EC12" s="89"/>
      <c r="ED12" s="89"/>
      <c r="EE12" s="89"/>
      <c r="EF12" s="89"/>
      <c r="EG12" s="89"/>
      <c r="EH12" s="89" t="s">
        <v>461</v>
      </c>
      <c r="EI12" s="89"/>
      <c r="EJ12" s="89" t="s">
        <v>465</v>
      </c>
      <c r="EK12" s="89"/>
      <c r="EL12" s="89"/>
      <c r="EM12" s="89"/>
      <c r="EN12" s="89"/>
      <c r="EO12" s="89"/>
      <c r="EP12" s="89"/>
      <c r="EQ12" s="89"/>
      <c r="ER12" s="89" t="s">
        <v>466</v>
      </c>
      <c r="ES12" s="89"/>
      <c r="ET12" s="89"/>
      <c r="EU12" s="89"/>
      <c r="EV12" s="89"/>
      <c r="EW12" s="89" t="s">
        <v>461</v>
      </c>
      <c r="EX12" s="89" t="s">
        <v>467</v>
      </c>
      <c r="EY12" s="89"/>
      <c r="EZ12" s="89"/>
      <c r="FA12" s="89"/>
      <c r="FB12" s="89"/>
      <c r="FC12" s="89"/>
      <c r="FD12" s="89"/>
      <c r="FE12" s="89"/>
      <c r="FF12" s="89"/>
      <c r="FG12" s="89"/>
      <c r="FH12" s="89"/>
      <c r="FI12" s="89"/>
      <c r="FJ12" s="89"/>
      <c r="FK12" s="89"/>
      <c r="FL12" s="89"/>
      <c r="FM12" s="89"/>
      <c r="FN12" s="89"/>
      <c r="FO12" s="89"/>
      <c r="FP12" s="89"/>
      <c r="FQ12" s="89"/>
      <c r="FR12" s="89"/>
      <c r="FS12" s="89"/>
      <c r="FT12" s="89"/>
      <c r="FU12" s="89"/>
      <c r="FV12" s="89"/>
      <c r="FW12" s="89"/>
      <c r="FX12" s="89"/>
      <c r="FY12" s="89"/>
      <c r="FZ12" s="89"/>
      <c r="GA12" s="89"/>
      <c r="GB12" s="89"/>
      <c r="GC12" s="89"/>
      <c r="GD12" s="89"/>
      <c r="GE12" s="89"/>
      <c r="GF12" s="89"/>
      <c r="GG12" s="89"/>
      <c r="GH12" s="89"/>
      <c r="GI12" s="89"/>
      <c r="GJ12" s="89"/>
      <c r="GK12" s="89"/>
      <c r="GL12" s="89"/>
      <c r="GM12" s="89"/>
      <c r="GN12" s="89"/>
      <c r="GO12" s="89"/>
      <c r="GP12" s="89"/>
      <c r="GQ12" s="89"/>
      <c r="GR12" s="89"/>
      <c r="GS12" s="89"/>
      <c r="GT12" s="89"/>
      <c r="GU12" s="89"/>
      <c r="GV12" s="89"/>
      <c r="GW12" s="89"/>
      <c r="GX12" s="89"/>
    </row>
    <row r="13" spans="1:206" ht="15.75" x14ac:dyDescent="0.25">
      <c r="A13" s="6" t="s">
        <v>43</v>
      </c>
      <c r="B13" s="6" t="s">
        <v>44</v>
      </c>
      <c r="C13" s="89"/>
      <c r="D13" s="89"/>
      <c r="E13" s="89"/>
      <c r="F13" s="89"/>
      <c r="G13" s="89"/>
      <c r="H13" s="89"/>
      <c r="I13" s="89"/>
      <c r="J13" s="89"/>
      <c r="K13" s="89"/>
      <c r="L13" s="89"/>
      <c r="M13" s="89"/>
      <c r="N13" s="89"/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89"/>
      <c r="Z13" s="89"/>
      <c r="AA13" s="89"/>
      <c r="AB13" s="89"/>
      <c r="AC13" s="89"/>
      <c r="AD13" s="89"/>
      <c r="AE13" s="89"/>
      <c r="AF13" s="89"/>
      <c r="AG13" s="89"/>
      <c r="AH13" s="89"/>
      <c r="AI13" s="89"/>
      <c r="AJ13" s="89"/>
      <c r="AK13" s="89"/>
      <c r="AL13" s="89"/>
      <c r="AM13" s="89"/>
      <c r="AN13" s="89"/>
      <c r="AO13" s="89"/>
      <c r="AP13" s="89"/>
      <c r="AQ13" s="89"/>
      <c r="AR13" s="89"/>
      <c r="AS13" s="89"/>
      <c r="AT13" s="89"/>
      <c r="AU13" s="89"/>
      <c r="AV13" s="89"/>
      <c r="AW13" s="89"/>
      <c r="AX13" s="89"/>
      <c r="AY13" s="89"/>
      <c r="AZ13" s="89"/>
      <c r="BA13" s="89"/>
      <c r="BB13" s="89"/>
      <c r="BC13" s="89"/>
      <c r="BD13" s="89"/>
      <c r="BE13" s="89"/>
      <c r="BF13" s="89"/>
      <c r="BG13" s="89"/>
      <c r="BH13" s="89"/>
      <c r="BI13" s="89"/>
      <c r="BJ13" s="89"/>
      <c r="BK13" s="89"/>
      <c r="BL13" s="89"/>
      <c r="BM13" s="89"/>
      <c r="BN13" s="89"/>
      <c r="BO13" s="89"/>
      <c r="BP13" s="89"/>
      <c r="BQ13" s="89"/>
      <c r="BR13" s="89"/>
      <c r="BS13" s="89"/>
      <c r="BT13" s="89"/>
      <c r="BU13" s="89"/>
      <c r="BV13" s="89"/>
      <c r="BW13" s="89"/>
      <c r="BX13" s="89"/>
      <c r="BY13" s="89"/>
      <c r="BZ13" s="89"/>
      <c r="CA13" s="89"/>
      <c r="CB13" s="89"/>
      <c r="CC13" s="89"/>
      <c r="CD13" s="89"/>
      <c r="CE13" s="89"/>
      <c r="CF13" s="89"/>
      <c r="CG13" s="89"/>
      <c r="CH13" s="89"/>
      <c r="CI13" s="89"/>
      <c r="CJ13" s="89"/>
      <c r="CK13" s="89"/>
      <c r="CL13" s="89"/>
      <c r="CM13" s="89"/>
      <c r="CN13" s="89"/>
      <c r="CO13" s="89"/>
      <c r="CP13" s="89"/>
      <c r="CQ13" s="89"/>
      <c r="CR13" s="89"/>
      <c r="CS13" s="89"/>
      <c r="CT13" s="89"/>
      <c r="CU13" s="89"/>
      <c r="CV13" s="89"/>
      <c r="CW13" s="89"/>
      <c r="CX13" s="89"/>
      <c r="CY13" s="89"/>
      <c r="CZ13" s="89"/>
      <c r="DA13" s="89"/>
      <c r="DB13" s="89" t="s">
        <v>468</v>
      </c>
      <c r="DC13" s="89"/>
      <c r="DD13" s="89"/>
      <c r="DE13" s="89"/>
      <c r="DF13" s="89"/>
      <c r="DG13" s="89"/>
      <c r="DH13" s="89"/>
      <c r="DI13" s="89"/>
      <c r="DJ13" s="89"/>
      <c r="DK13" s="89"/>
      <c r="DL13" s="89"/>
      <c r="DM13" s="89" t="s">
        <v>1066</v>
      </c>
      <c r="DN13" s="89"/>
      <c r="DO13" s="89"/>
      <c r="DP13" s="89"/>
      <c r="DQ13" s="89"/>
      <c r="DR13" s="89"/>
      <c r="DS13" s="89"/>
      <c r="DT13" s="89"/>
      <c r="DU13" s="89"/>
      <c r="DV13" s="89"/>
      <c r="DW13" s="89"/>
      <c r="DX13" s="89"/>
      <c r="DY13" s="89"/>
      <c r="DZ13" s="89"/>
      <c r="EA13" s="89"/>
      <c r="EB13" s="89"/>
      <c r="EC13" s="89"/>
      <c r="ED13" s="89"/>
      <c r="EE13" s="89"/>
      <c r="EF13" s="89"/>
      <c r="EG13" s="89"/>
      <c r="EH13" s="89"/>
      <c r="EI13" s="89"/>
      <c r="EJ13" s="89"/>
      <c r="EK13" s="89"/>
      <c r="EL13" s="89"/>
      <c r="EM13" s="89"/>
      <c r="EN13" s="89"/>
      <c r="EO13" s="89"/>
      <c r="EP13" s="89"/>
      <c r="EQ13" s="89"/>
      <c r="ER13" s="89"/>
      <c r="ES13" s="89"/>
      <c r="ET13" s="89"/>
      <c r="EU13" s="89"/>
      <c r="EV13" s="89"/>
      <c r="EW13" s="89"/>
      <c r="EX13" s="89"/>
      <c r="EY13" s="89"/>
      <c r="EZ13" s="89"/>
      <c r="FA13" s="89"/>
      <c r="FB13" s="89"/>
      <c r="FC13" s="89"/>
      <c r="FD13" s="89"/>
      <c r="FE13" s="89"/>
      <c r="FF13" s="89"/>
      <c r="FG13" s="89"/>
      <c r="FH13" s="89"/>
      <c r="FI13" s="89"/>
      <c r="FJ13" s="89"/>
      <c r="FK13" s="89"/>
      <c r="FL13" s="89"/>
      <c r="FM13" s="89"/>
      <c r="FN13" s="89"/>
      <c r="FO13" s="89"/>
      <c r="FP13" s="89"/>
      <c r="FQ13" s="89"/>
      <c r="FR13" s="89"/>
      <c r="FS13" s="89"/>
      <c r="FT13" s="89"/>
      <c r="FU13" s="89"/>
      <c r="FV13" s="89"/>
      <c r="FW13" s="89"/>
      <c r="FX13" s="89"/>
      <c r="FY13" s="89"/>
      <c r="FZ13" s="89"/>
      <c r="GA13" s="89"/>
      <c r="GB13" s="89"/>
      <c r="GC13" s="89"/>
      <c r="GD13" s="89"/>
      <c r="GE13" s="89"/>
      <c r="GF13" s="89"/>
      <c r="GG13" s="89"/>
      <c r="GH13" s="89"/>
      <c r="GI13" s="89"/>
      <c r="GJ13" s="89"/>
      <c r="GK13" s="89"/>
      <c r="GL13" s="89"/>
      <c r="GM13" s="89"/>
      <c r="GN13" s="89"/>
      <c r="GO13" s="89"/>
      <c r="GP13" s="89"/>
      <c r="GQ13" s="89"/>
      <c r="GR13" s="89"/>
      <c r="GS13" s="89"/>
      <c r="GT13" s="89"/>
      <c r="GU13" s="89"/>
      <c r="GV13" s="89"/>
      <c r="GW13" s="89"/>
      <c r="GX13" s="89"/>
    </row>
    <row r="14" spans="1:206" ht="15.75" x14ac:dyDescent="0.25">
      <c r="A14" s="6" t="s">
        <v>45</v>
      </c>
      <c r="B14" s="6" t="s">
        <v>46</v>
      </c>
      <c r="C14" s="89" t="s">
        <v>469</v>
      </c>
      <c r="D14" s="89"/>
      <c r="E14" s="89" t="s">
        <v>470</v>
      </c>
      <c r="F14" s="89"/>
      <c r="G14" s="89"/>
      <c r="H14" s="89"/>
      <c r="I14" s="89" t="s">
        <v>471</v>
      </c>
      <c r="J14" s="89"/>
      <c r="K14" s="89"/>
      <c r="L14" s="89"/>
      <c r="M14" s="89" t="s">
        <v>472</v>
      </c>
      <c r="N14" s="89"/>
      <c r="O14" s="89"/>
      <c r="P14" s="89"/>
      <c r="Q14" s="89"/>
      <c r="R14" s="89"/>
      <c r="S14" s="89"/>
      <c r="T14" s="89"/>
      <c r="U14" s="89"/>
      <c r="V14" s="89"/>
      <c r="W14" s="89"/>
      <c r="X14" s="89"/>
      <c r="Y14" s="89"/>
      <c r="Z14" s="89" t="s">
        <v>474</v>
      </c>
      <c r="AA14" s="89"/>
      <c r="AB14" s="89"/>
      <c r="AC14" s="89"/>
      <c r="AD14" s="89"/>
      <c r="AE14" s="89"/>
      <c r="AF14" s="89"/>
      <c r="AG14" s="89"/>
      <c r="AH14" s="89"/>
      <c r="AI14" s="89"/>
      <c r="AJ14" s="89" t="s">
        <v>475</v>
      </c>
      <c r="AK14" s="89"/>
      <c r="AL14" s="89"/>
      <c r="AM14" s="89"/>
      <c r="AN14" s="89"/>
      <c r="AO14" s="89"/>
      <c r="AP14" s="89"/>
      <c r="AQ14" s="89"/>
      <c r="AR14" s="89"/>
      <c r="AS14" s="89"/>
      <c r="AT14" s="89"/>
      <c r="AU14" s="89"/>
      <c r="AV14" s="89"/>
      <c r="AW14" s="89"/>
      <c r="AX14" s="89"/>
      <c r="AY14" s="89"/>
      <c r="AZ14" s="89"/>
      <c r="BA14" s="89"/>
      <c r="BB14" s="89"/>
      <c r="BC14" s="89"/>
      <c r="BD14" s="89"/>
      <c r="BE14" s="89" t="s">
        <v>477</v>
      </c>
      <c r="BF14" s="89"/>
      <c r="BG14" s="89"/>
      <c r="BH14" s="89"/>
      <c r="BI14" s="89"/>
      <c r="BJ14" s="89"/>
      <c r="BK14" s="89" t="s">
        <v>478</v>
      </c>
      <c r="BL14" s="89"/>
      <c r="BM14" s="89" t="s">
        <v>479</v>
      </c>
      <c r="BN14" s="89"/>
      <c r="BO14" s="89"/>
      <c r="BP14" s="89"/>
      <c r="BQ14" s="89"/>
      <c r="BR14" s="89"/>
      <c r="BS14" s="89" t="s">
        <v>480</v>
      </c>
      <c r="BT14" s="89"/>
      <c r="BU14" s="89"/>
      <c r="BV14" s="89"/>
      <c r="BW14" s="89"/>
      <c r="BX14" s="89"/>
      <c r="BY14" s="89"/>
      <c r="BZ14" s="89"/>
      <c r="CA14" s="89"/>
      <c r="CB14" s="89"/>
      <c r="CC14" s="89"/>
      <c r="CD14" s="89"/>
      <c r="CE14" s="89"/>
      <c r="CF14" s="89"/>
      <c r="CG14" s="89"/>
      <c r="CH14" s="89"/>
      <c r="CI14" s="89"/>
      <c r="CJ14" s="89"/>
      <c r="CK14" s="89"/>
      <c r="CL14" s="89"/>
      <c r="CM14" s="89" t="s">
        <v>472</v>
      </c>
      <c r="CN14" s="89"/>
      <c r="CO14" s="89"/>
      <c r="CP14" s="89"/>
      <c r="CQ14" s="89"/>
      <c r="CR14" s="89"/>
      <c r="CS14" s="89"/>
      <c r="CT14" s="89"/>
      <c r="CU14" s="89"/>
      <c r="CV14" s="89"/>
      <c r="CW14" s="89"/>
      <c r="CX14" s="89"/>
      <c r="CY14" s="89"/>
      <c r="CZ14" s="89"/>
      <c r="DA14" s="89"/>
      <c r="DB14" s="89"/>
      <c r="DC14" s="89"/>
      <c r="DD14" s="89"/>
      <c r="DE14" s="89"/>
      <c r="DF14" s="89"/>
      <c r="DG14" s="89"/>
      <c r="DH14" s="89"/>
      <c r="DI14" s="89"/>
      <c r="DJ14" s="89"/>
      <c r="DK14" s="89"/>
      <c r="DL14" s="89"/>
      <c r="DM14" s="89"/>
      <c r="DN14" s="89"/>
      <c r="DO14" s="89"/>
      <c r="DP14" s="89"/>
      <c r="DQ14" s="89"/>
      <c r="DR14" s="89"/>
      <c r="DS14" s="89" t="s">
        <v>470</v>
      </c>
      <c r="DT14" s="89" t="s">
        <v>481</v>
      </c>
      <c r="DU14" s="89"/>
      <c r="DV14" s="89"/>
      <c r="DW14" s="89"/>
      <c r="DX14" s="89"/>
      <c r="DY14" s="89" t="s">
        <v>482</v>
      </c>
      <c r="DZ14" s="89"/>
      <c r="EA14" s="89"/>
      <c r="EB14" s="89"/>
      <c r="EC14" s="89"/>
      <c r="ED14" s="89" t="s">
        <v>483</v>
      </c>
      <c r="EE14" s="89"/>
      <c r="EF14" s="89"/>
      <c r="EG14" s="89"/>
      <c r="EH14" s="89"/>
      <c r="EI14" s="89"/>
      <c r="EJ14" s="89"/>
      <c r="EK14" s="89"/>
      <c r="EL14" s="89"/>
      <c r="EM14" s="89" t="s">
        <v>1144</v>
      </c>
      <c r="EN14" s="89"/>
      <c r="EO14" s="89"/>
      <c r="EP14" s="89"/>
      <c r="EQ14" s="89"/>
      <c r="ER14" s="89"/>
      <c r="ES14" s="89"/>
      <c r="ET14" s="89"/>
      <c r="EU14" s="89"/>
      <c r="EV14" s="89"/>
      <c r="EW14" s="89"/>
      <c r="EX14" s="89"/>
      <c r="EY14" s="89"/>
      <c r="EZ14" s="89" t="s">
        <v>485</v>
      </c>
      <c r="FA14" s="89"/>
      <c r="FB14" s="89"/>
      <c r="FC14" s="89"/>
      <c r="FD14" s="89" t="s">
        <v>486</v>
      </c>
      <c r="FE14" s="89"/>
      <c r="FF14" s="89"/>
      <c r="FG14" s="89" t="s">
        <v>487</v>
      </c>
      <c r="FH14" s="89"/>
      <c r="FI14" s="89"/>
      <c r="FJ14" s="89"/>
      <c r="FK14" s="89"/>
      <c r="FL14" s="89"/>
      <c r="FM14" s="89"/>
      <c r="FN14" s="89"/>
      <c r="FO14" s="89"/>
      <c r="FP14" s="89"/>
      <c r="FQ14" s="89"/>
      <c r="FR14" s="89"/>
      <c r="FS14" s="89" t="s">
        <v>488</v>
      </c>
      <c r="FT14" s="89"/>
      <c r="FU14" s="89"/>
      <c r="FV14" s="89"/>
      <c r="FW14" s="89"/>
      <c r="FX14" s="89" t="s">
        <v>489</v>
      </c>
      <c r="FY14" s="89"/>
      <c r="FZ14" s="89" t="s">
        <v>470</v>
      </c>
      <c r="GA14" s="89"/>
      <c r="GB14" s="89"/>
      <c r="GC14" s="89" t="s">
        <v>490</v>
      </c>
      <c r="GD14" s="89"/>
      <c r="GE14" s="89" t="s">
        <v>491</v>
      </c>
      <c r="GF14" s="89" t="s">
        <v>492</v>
      </c>
      <c r="GG14" s="89"/>
      <c r="GH14" s="89"/>
      <c r="GI14" s="89"/>
      <c r="GJ14" s="89"/>
      <c r="GK14" s="89"/>
      <c r="GL14" s="89"/>
      <c r="GM14" s="89"/>
      <c r="GN14" s="89"/>
      <c r="GO14" s="89"/>
      <c r="GP14" s="89" t="s">
        <v>493</v>
      </c>
      <c r="GQ14" s="89"/>
      <c r="GR14" s="89"/>
      <c r="GS14" s="89"/>
      <c r="GT14" s="89" t="s">
        <v>494</v>
      </c>
      <c r="GU14" s="89"/>
      <c r="GV14" s="89"/>
      <c r="GW14" s="89"/>
      <c r="GX14" s="89"/>
    </row>
    <row r="15" spans="1:206" ht="15.75" x14ac:dyDescent="0.25">
      <c r="A15" s="6" t="s">
        <v>47</v>
      </c>
      <c r="B15" s="6" t="s">
        <v>48</v>
      </c>
      <c r="C15" s="89"/>
      <c r="D15" s="89"/>
      <c r="E15" s="89"/>
      <c r="F15" s="89"/>
      <c r="G15" s="89"/>
      <c r="H15" s="89"/>
      <c r="I15" s="89"/>
      <c r="J15" s="89"/>
      <c r="K15" s="89"/>
      <c r="L15" s="89"/>
      <c r="M15" s="89"/>
      <c r="N15" s="89"/>
      <c r="O15" s="89"/>
      <c r="P15" s="89"/>
      <c r="Q15" s="89"/>
      <c r="R15" s="89"/>
      <c r="S15" s="89"/>
      <c r="T15" s="89"/>
      <c r="U15" s="89"/>
      <c r="V15" s="89"/>
      <c r="W15" s="89"/>
      <c r="X15" s="89"/>
      <c r="Y15" s="89"/>
      <c r="Z15" s="89"/>
      <c r="AA15" s="89"/>
      <c r="AB15" s="89"/>
      <c r="AC15" s="89"/>
      <c r="AD15" s="89"/>
      <c r="AE15" s="89"/>
      <c r="AF15" s="89"/>
      <c r="AG15" s="89"/>
      <c r="AH15" s="89"/>
      <c r="AI15" s="89"/>
      <c r="AJ15" s="89"/>
      <c r="AK15" s="89"/>
      <c r="AL15" s="89"/>
      <c r="AM15" s="89"/>
      <c r="AN15" s="89"/>
      <c r="AO15" s="89"/>
      <c r="AP15" s="89"/>
      <c r="AQ15" s="89"/>
      <c r="AR15" s="89"/>
      <c r="AS15" s="89"/>
      <c r="AT15" s="89"/>
      <c r="AU15" s="89"/>
      <c r="AV15" s="89"/>
      <c r="AW15" s="89"/>
      <c r="AX15" s="89"/>
      <c r="AY15" s="89"/>
      <c r="AZ15" s="89"/>
      <c r="BA15" s="89"/>
      <c r="BB15" s="89"/>
      <c r="BC15" s="89"/>
      <c r="BD15" s="89"/>
      <c r="BE15" s="89"/>
      <c r="BF15" s="89"/>
      <c r="BG15" s="89"/>
      <c r="BH15" s="89"/>
      <c r="BI15" s="89"/>
      <c r="BJ15" s="89"/>
      <c r="BK15" s="89"/>
      <c r="BL15" s="89"/>
      <c r="BM15" s="89"/>
      <c r="BN15" s="89"/>
      <c r="BO15" s="89" t="s">
        <v>495</v>
      </c>
      <c r="BP15" s="89"/>
      <c r="BQ15" s="89"/>
      <c r="BR15" s="89"/>
      <c r="BS15" s="89"/>
      <c r="BT15" s="89"/>
      <c r="BU15" s="89"/>
      <c r="BV15" s="89"/>
      <c r="BW15" s="89"/>
      <c r="BX15" s="89"/>
      <c r="BY15" s="89"/>
      <c r="BZ15" s="89"/>
      <c r="CA15" s="89"/>
      <c r="CB15" s="89"/>
      <c r="CC15" s="89"/>
      <c r="CD15" s="89"/>
      <c r="CE15" s="89"/>
      <c r="CF15" s="89"/>
      <c r="CG15" s="89"/>
      <c r="CH15" s="89"/>
      <c r="CI15" s="89"/>
      <c r="CJ15" s="89"/>
      <c r="CK15" s="89"/>
      <c r="CL15" s="89"/>
      <c r="CM15" s="89"/>
      <c r="CN15" s="89"/>
      <c r="CO15" s="89"/>
      <c r="CP15" s="89"/>
      <c r="CQ15" s="89"/>
      <c r="CR15" s="89"/>
      <c r="CS15" s="89"/>
      <c r="CT15" s="89"/>
      <c r="CU15" s="89"/>
      <c r="CV15" s="89"/>
      <c r="CW15" s="89"/>
      <c r="CX15" s="89"/>
      <c r="CY15" s="89"/>
      <c r="CZ15" s="89"/>
      <c r="DA15" s="89"/>
      <c r="DB15" s="89"/>
      <c r="DC15" s="89"/>
      <c r="DD15" s="89"/>
      <c r="DE15" s="89"/>
      <c r="DF15" s="89"/>
      <c r="DG15" s="89"/>
      <c r="DH15" s="89"/>
      <c r="DI15" s="89"/>
      <c r="DJ15" s="89" t="s">
        <v>1067</v>
      </c>
      <c r="DK15" s="89"/>
      <c r="DL15" s="89"/>
      <c r="DM15" s="89"/>
      <c r="DN15" s="89"/>
      <c r="DO15" s="89"/>
      <c r="DP15" s="89"/>
      <c r="DQ15" s="89"/>
      <c r="DR15" s="89"/>
      <c r="DS15" s="89"/>
      <c r="DT15" s="89"/>
      <c r="DU15" s="89"/>
      <c r="DV15" s="89"/>
      <c r="DW15" s="89"/>
      <c r="DX15" s="89"/>
      <c r="DY15" s="89"/>
      <c r="DZ15" s="89"/>
      <c r="EA15" s="89"/>
      <c r="EB15" s="89"/>
      <c r="EC15" s="89"/>
      <c r="ED15" s="89"/>
      <c r="EE15" s="89"/>
      <c r="EF15" s="89"/>
      <c r="EG15" s="89"/>
      <c r="EH15" s="89"/>
      <c r="EI15" s="89"/>
      <c r="EJ15" s="89"/>
      <c r="EK15" s="89"/>
      <c r="EL15" s="89"/>
      <c r="EM15" s="89"/>
      <c r="EN15" s="89"/>
      <c r="EO15" s="89"/>
      <c r="EP15" s="89"/>
      <c r="EQ15" s="89"/>
      <c r="ER15" s="89"/>
      <c r="ES15" s="89"/>
      <c r="ET15" s="89"/>
      <c r="EU15" s="89"/>
      <c r="EV15" s="89"/>
      <c r="EW15" s="89"/>
      <c r="EX15" s="89"/>
      <c r="EY15" s="89"/>
      <c r="EZ15" s="89"/>
      <c r="FA15" s="89"/>
      <c r="FB15" s="89"/>
      <c r="FC15" s="89"/>
      <c r="FD15" s="89"/>
      <c r="FE15" s="89"/>
      <c r="FF15" s="89"/>
      <c r="FG15" s="89"/>
      <c r="FH15" s="89"/>
      <c r="FI15" s="89"/>
      <c r="FJ15" s="89"/>
      <c r="FK15" s="89"/>
      <c r="FL15" s="89"/>
      <c r="FM15" s="89"/>
      <c r="FN15" s="89" t="s">
        <v>496</v>
      </c>
      <c r="FO15" s="89"/>
      <c r="FP15" s="89"/>
      <c r="FQ15" s="89"/>
      <c r="FR15" s="89"/>
      <c r="FS15" s="89"/>
      <c r="FT15" s="89"/>
      <c r="FU15" s="89"/>
      <c r="FV15" s="89"/>
      <c r="FW15" s="89"/>
      <c r="FX15" s="89"/>
      <c r="FY15" s="89"/>
      <c r="FZ15" s="89"/>
      <c r="GA15" s="89"/>
      <c r="GB15" s="89"/>
      <c r="GC15" s="89"/>
      <c r="GD15" s="89"/>
      <c r="GE15" s="89"/>
      <c r="GF15" s="89"/>
      <c r="GG15" s="89"/>
      <c r="GH15" s="89"/>
      <c r="GI15" s="89" t="s">
        <v>497</v>
      </c>
      <c r="GJ15" s="89"/>
      <c r="GK15" s="89"/>
      <c r="GL15" s="89"/>
      <c r="GM15" s="89"/>
      <c r="GN15" s="89"/>
      <c r="GO15" s="89"/>
      <c r="GP15" s="89"/>
      <c r="GQ15" s="89"/>
      <c r="GR15" s="89"/>
      <c r="GS15" s="89"/>
      <c r="GT15" s="89"/>
      <c r="GU15" s="89"/>
      <c r="GV15" s="89"/>
      <c r="GW15" s="89"/>
      <c r="GX15" s="89" t="s">
        <v>498</v>
      </c>
    </row>
    <row r="16" spans="1:206" ht="15.75" x14ac:dyDescent="0.25">
      <c r="A16" s="6" t="s">
        <v>49</v>
      </c>
      <c r="B16" s="6" t="s">
        <v>50</v>
      </c>
      <c r="C16" s="89" t="s">
        <v>499</v>
      </c>
      <c r="D16" s="89"/>
      <c r="E16" s="89"/>
      <c r="F16" s="89" t="s">
        <v>500</v>
      </c>
      <c r="G16" s="89" t="s">
        <v>499</v>
      </c>
      <c r="H16" s="89" t="s">
        <v>501</v>
      </c>
      <c r="I16" s="89"/>
      <c r="J16" s="89"/>
      <c r="K16" s="89" t="s">
        <v>503</v>
      </c>
      <c r="L16" s="89"/>
      <c r="M16" s="89"/>
      <c r="N16" s="89"/>
      <c r="O16" s="89" t="s">
        <v>504</v>
      </c>
      <c r="P16" s="89"/>
      <c r="Q16" s="89"/>
      <c r="R16" s="89"/>
      <c r="S16" s="89"/>
      <c r="T16" s="89"/>
      <c r="U16" s="89" t="s">
        <v>505</v>
      </c>
      <c r="V16" s="89"/>
      <c r="W16" s="89"/>
      <c r="X16" s="89"/>
      <c r="Y16" s="89"/>
      <c r="Z16" s="89" t="s">
        <v>506</v>
      </c>
      <c r="AA16" s="89"/>
      <c r="AB16" s="89"/>
      <c r="AC16" s="89" t="s">
        <v>507</v>
      </c>
      <c r="AD16" s="89"/>
      <c r="AE16" s="89"/>
      <c r="AF16" s="89"/>
      <c r="AG16" s="89"/>
      <c r="AH16" s="89" t="s">
        <v>508</v>
      </c>
      <c r="AI16" s="89"/>
      <c r="AJ16" s="89"/>
      <c r="AK16" s="89"/>
      <c r="AL16" s="89"/>
      <c r="AM16" s="89"/>
      <c r="AN16" s="89"/>
      <c r="AO16" s="89"/>
      <c r="AP16" s="89"/>
      <c r="AQ16" s="89"/>
      <c r="AR16" s="89"/>
      <c r="AS16" s="89" t="s">
        <v>509</v>
      </c>
      <c r="AT16" s="89"/>
      <c r="AU16" s="89"/>
      <c r="AV16" s="89"/>
      <c r="AW16" s="89"/>
      <c r="AX16" s="89"/>
      <c r="AY16" s="89"/>
      <c r="AZ16" s="89"/>
      <c r="BA16" s="89"/>
      <c r="BB16" s="89" t="s">
        <v>1068</v>
      </c>
      <c r="BC16" s="89"/>
      <c r="BD16" s="89"/>
      <c r="BE16" s="89"/>
      <c r="BF16" s="89"/>
      <c r="BG16" s="89"/>
      <c r="BH16" s="89" t="s">
        <v>511</v>
      </c>
      <c r="BI16" s="89"/>
      <c r="BJ16" s="89"/>
      <c r="BK16" s="89"/>
      <c r="BL16" s="89" t="s">
        <v>512</v>
      </c>
      <c r="BM16" s="89" t="s">
        <v>512</v>
      </c>
      <c r="BN16" s="89"/>
      <c r="BO16" s="89"/>
      <c r="BP16" s="89"/>
      <c r="BQ16" s="89"/>
      <c r="BR16" s="89"/>
      <c r="BS16" s="89"/>
      <c r="BT16" s="89"/>
      <c r="BU16" s="89"/>
      <c r="BV16" s="89"/>
      <c r="BW16" s="89"/>
      <c r="BX16" s="89"/>
      <c r="BY16" s="89"/>
      <c r="BZ16" s="89"/>
      <c r="CA16" s="89"/>
      <c r="CB16" s="89"/>
      <c r="CC16" s="89"/>
      <c r="CD16" s="89"/>
      <c r="CE16" s="89"/>
      <c r="CF16" s="89"/>
      <c r="CG16" s="89"/>
      <c r="CH16" s="89"/>
      <c r="CI16" s="89"/>
      <c r="CJ16" s="89"/>
      <c r="CK16" s="89"/>
      <c r="CL16" s="89"/>
      <c r="CM16" s="89"/>
      <c r="CN16" s="89"/>
      <c r="CO16" s="89"/>
      <c r="CP16" s="89"/>
      <c r="CQ16" s="89"/>
      <c r="CR16" s="89"/>
      <c r="CS16" s="89"/>
      <c r="CT16" s="89"/>
      <c r="CU16" s="89"/>
      <c r="CV16" s="89"/>
      <c r="CW16" s="89"/>
      <c r="CX16" s="89"/>
      <c r="CY16" s="89" t="s">
        <v>513</v>
      </c>
      <c r="CZ16" s="89"/>
      <c r="DA16" s="89"/>
      <c r="DB16" s="89"/>
      <c r="DC16" s="89"/>
      <c r="DD16" s="89"/>
      <c r="DE16" s="89"/>
      <c r="DF16" s="89" t="s">
        <v>511</v>
      </c>
      <c r="DG16" s="89"/>
      <c r="DH16" s="89"/>
      <c r="DI16" s="89" t="s">
        <v>514</v>
      </c>
      <c r="DJ16" s="89"/>
      <c r="DK16" s="89"/>
      <c r="DL16" s="89"/>
      <c r="DM16" s="89"/>
      <c r="DN16" s="89" t="s">
        <v>515</v>
      </c>
      <c r="DO16" s="89"/>
      <c r="DP16" s="89"/>
      <c r="DQ16" s="89"/>
      <c r="DR16" s="89"/>
      <c r="DS16" s="89"/>
      <c r="DT16" s="89"/>
      <c r="DU16" s="89" t="s">
        <v>516</v>
      </c>
      <c r="DV16" s="89"/>
      <c r="DW16" s="89" t="s">
        <v>508</v>
      </c>
      <c r="DX16" s="89"/>
      <c r="DY16" s="89" t="s">
        <v>517</v>
      </c>
      <c r="DZ16" s="89"/>
      <c r="EA16" s="89"/>
      <c r="EB16" s="89"/>
      <c r="EC16" s="89"/>
      <c r="ED16" s="89" t="s">
        <v>518</v>
      </c>
      <c r="EE16" s="89"/>
      <c r="EF16" s="89"/>
      <c r="EG16" s="89" t="s">
        <v>519</v>
      </c>
      <c r="EH16" s="89"/>
      <c r="EI16" s="89"/>
      <c r="EJ16" s="89"/>
      <c r="EK16" s="89"/>
      <c r="EL16" s="89"/>
      <c r="EM16" s="89"/>
      <c r="EN16" s="89"/>
      <c r="EO16" s="89"/>
      <c r="EP16" s="89"/>
      <c r="EQ16" s="89" t="s">
        <v>511</v>
      </c>
      <c r="ER16" s="89" t="s">
        <v>520</v>
      </c>
      <c r="ES16" s="89"/>
      <c r="ET16" s="89"/>
      <c r="EU16" s="89"/>
      <c r="EV16" s="89"/>
      <c r="EW16" s="89"/>
      <c r="EX16" s="89"/>
      <c r="EY16" s="89"/>
      <c r="EZ16" s="89"/>
      <c r="FA16" s="89"/>
      <c r="FB16" s="89"/>
      <c r="FC16" s="89"/>
      <c r="FD16" s="89"/>
      <c r="FE16" s="89"/>
      <c r="FF16" s="89" t="s">
        <v>509</v>
      </c>
      <c r="FG16" s="89"/>
      <c r="FH16" s="89"/>
      <c r="FI16" s="89" t="s">
        <v>508</v>
      </c>
      <c r="FJ16" s="89" t="s">
        <v>499</v>
      </c>
      <c r="FK16" s="89"/>
      <c r="FL16" s="89"/>
      <c r="FM16" s="89"/>
      <c r="FN16" s="89" t="s">
        <v>521</v>
      </c>
      <c r="FO16" s="89"/>
      <c r="FP16" s="89"/>
      <c r="FQ16" s="89"/>
      <c r="FR16" s="89" t="s">
        <v>509</v>
      </c>
      <c r="FS16" s="89"/>
      <c r="FT16" s="89"/>
      <c r="FU16" s="89"/>
      <c r="FV16" s="89"/>
      <c r="FW16" s="89"/>
      <c r="FX16" s="89"/>
      <c r="FY16" s="89"/>
      <c r="FZ16" s="89"/>
      <c r="GA16" s="89"/>
      <c r="GB16" s="89"/>
      <c r="GC16" s="89"/>
      <c r="GD16" s="89"/>
      <c r="GE16" s="89"/>
      <c r="GF16" s="89" t="s">
        <v>522</v>
      </c>
      <c r="GG16" s="89"/>
      <c r="GH16" s="89"/>
      <c r="GI16" s="89" t="s">
        <v>523</v>
      </c>
      <c r="GJ16" s="89"/>
      <c r="GK16" s="89"/>
      <c r="GL16" s="89" t="s">
        <v>524</v>
      </c>
      <c r="GM16" s="89"/>
      <c r="GN16" s="89"/>
      <c r="GO16" s="89" t="s">
        <v>1069</v>
      </c>
      <c r="GP16" s="89"/>
      <c r="GQ16" s="89"/>
      <c r="GR16" s="89"/>
      <c r="GS16" s="89"/>
      <c r="GT16" s="89" t="s">
        <v>512</v>
      </c>
      <c r="GU16" s="89"/>
      <c r="GV16" s="89" t="s">
        <v>512</v>
      </c>
      <c r="GW16" s="89"/>
      <c r="GX16" s="89"/>
    </row>
    <row r="17" spans="1:206" ht="15.75" x14ac:dyDescent="0.25">
      <c r="A17" s="6" t="s">
        <v>51</v>
      </c>
      <c r="B17" s="6" t="s">
        <v>52</v>
      </c>
      <c r="C17" s="89"/>
      <c r="D17" s="89"/>
      <c r="E17" s="89"/>
      <c r="F17" s="89"/>
      <c r="G17" s="89"/>
      <c r="H17" s="89"/>
      <c r="I17" s="89"/>
      <c r="J17" s="89"/>
      <c r="K17" s="89" t="s">
        <v>526</v>
      </c>
      <c r="L17" s="89"/>
      <c r="M17" s="89" t="s">
        <v>527</v>
      </c>
      <c r="N17" s="89"/>
      <c r="O17" s="89"/>
      <c r="P17" s="89"/>
      <c r="Q17" s="89"/>
      <c r="R17" s="89"/>
      <c r="S17" s="89"/>
      <c r="T17" s="89"/>
      <c r="U17" s="89"/>
      <c r="V17" s="89"/>
      <c r="W17" s="89" t="s">
        <v>530</v>
      </c>
      <c r="X17" s="89"/>
      <c r="Y17" s="89"/>
      <c r="Z17" s="89"/>
      <c r="AA17" s="89"/>
      <c r="AB17" s="89"/>
      <c r="AC17" s="89" t="s">
        <v>530</v>
      </c>
      <c r="AD17" s="89"/>
      <c r="AE17" s="89"/>
      <c r="AF17" s="89"/>
      <c r="AG17" s="89"/>
      <c r="AH17" s="89"/>
      <c r="AI17" s="89"/>
      <c r="AJ17" s="89"/>
      <c r="AK17" s="89"/>
      <c r="AL17" s="89"/>
      <c r="AM17" s="89"/>
      <c r="AN17" s="89"/>
      <c r="AO17" s="89"/>
      <c r="AP17" s="89"/>
      <c r="AQ17" s="89"/>
      <c r="AR17" s="89"/>
      <c r="AS17" s="89"/>
      <c r="AT17" s="89"/>
      <c r="AU17" s="89"/>
      <c r="AV17" s="89"/>
      <c r="AW17" s="89"/>
      <c r="AX17" s="89"/>
      <c r="AY17" s="89"/>
      <c r="AZ17" s="89"/>
      <c r="BA17" s="89"/>
      <c r="BB17" s="89" t="s">
        <v>531</v>
      </c>
      <c r="BC17" s="89" t="s">
        <v>530</v>
      </c>
      <c r="BD17" s="89"/>
      <c r="BE17" s="89"/>
      <c r="BF17" s="89"/>
      <c r="BG17" s="89"/>
      <c r="BH17" s="89"/>
      <c r="BI17" s="89" t="s">
        <v>532</v>
      </c>
      <c r="BJ17" s="89"/>
      <c r="BK17" s="89"/>
      <c r="BL17" s="89"/>
      <c r="BM17" s="89"/>
      <c r="BN17" s="89"/>
      <c r="BO17" s="89"/>
      <c r="BP17" s="89"/>
      <c r="BQ17" s="89"/>
      <c r="BR17" s="89"/>
      <c r="BS17" s="89"/>
      <c r="BT17" s="89"/>
      <c r="BU17" s="89"/>
      <c r="BV17" s="89"/>
      <c r="BW17" s="89"/>
      <c r="BX17" s="89"/>
      <c r="BY17" s="89"/>
      <c r="BZ17" s="89"/>
      <c r="CA17" s="89"/>
      <c r="CB17" s="89"/>
      <c r="CC17" s="89"/>
      <c r="CD17" s="89"/>
      <c r="CE17" s="89"/>
      <c r="CF17" s="89"/>
      <c r="CG17" s="89"/>
      <c r="CH17" s="89"/>
      <c r="CI17" s="89"/>
      <c r="CJ17" s="89" t="s">
        <v>533</v>
      </c>
      <c r="CK17" s="89"/>
      <c r="CL17" s="89"/>
      <c r="CM17" s="89"/>
      <c r="CN17" s="89"/>
      <c r="CO17" s="89"/>
      <c r="CP17" s="89"/>
      <c r="CQ17" s="89"/>
      <c r="CR17" s="89"/>
      <c r="CS17" s="89"/>
      <c r="CT17" s="89"/>
      <c r="CU17" s="89"/>
      <c r="CV17" s="89"/>
      <c r="CW17" s="89"/>
      <c r="CX17" s="89"/>
      <c r="CY17" s="89"/>
      <c r="CZ17" s="89"/>
      <c r="DA17" s="89"/>
      <c r="DB17" s="89"/>
      <c r="DC17" s="89"/>
      <c r="DD17" s="89"/>
      <c r="DE17" s="89"/>
      <c r="DF17" s="89"/>
      <c r="DG17" s="89"/>
      <c r="DH17" s="89"/>
      <c r="DI17" s="89" t="s">
        <v>514</v>
      </c>
      <c r="DJ17" s="89"/>
      <c r="DK17" s="89"/>
      <c r="DL17" s="89"/>
      <c r="DM17" s="89"/>
      <c r="DN17" s="89"/>
      <c r="DO17" s="89"/>
      <c r="DP17" s="89"/>
      <c r="DQ17" s="89"/>
      <c r="DR17" s="89"/>
      <c r="DS17" s="89"/>
      <c r="DT17" s="89"/>
      <c r="DU17" s="89" t="s">
        <v>534</v>
      </c>
      <c r="DV17" s="89"/>
      <c r="DW17" s="89"/>
      <c r="DX17" s="89"/>
      <c r="DY17" s="89"/>
      <c r="DZ17" s="89"/>
      <c r="EA17" s="89"/>
      <c r="EB17" s="89"/>
      <c r="EC17" s="89"/>
      <c r="ED17" s="89" t="s">
        <v>535</v>
      </c>
      <c r="EE17" s="89"/>
      <c r="EF17" s="89"/>
      <c r="EG17" s="89"/>
      <c r="EH17" s="89"/>
      <c r="EI17" s="89"/>
      <c r="EJ17" s="89"/>
      <c r="EK17" s="89"/>
      <c r="EL17" s="89" t="s">
        <v>536</v>
      </c>
      <c r="EM17" s="89"/>
      <c r="EN17" s="89"/>
      <c r="EO17" s="89"/>
      <c r="EP17" s="89"/>
      <c r="EQ17" s="89"/>
      <c r="ER17" s="89" t="s">
        <v>537</v>
      </c>
      <c r="ES17" s="89"/>
      <c r="ET17" s="89"/>
      <c r="EU17" s="89"/>
      <c r="EV17" s="89"/>
      <c r="EW17" s="89"/>
      <c r="EX17" s="89"/>
      <c r="EY17" s="89"/>
      <c r="EZ17" s="89"/>
      <c r="FA17" s="89"/>
      <c r="FB17" s="89"/>
      <c r="FC17" s="89"/>
      <c r="FD17" s="89"/>
      <c r="FE17" s="89"/>
      <c r="FF17" s="89"/>
      <c r="FG17" s="89"/>
      <c r="FH17" s="89"/>
      <c r="FI17" s="89"/>
      <c r="FJ17" s="89"/>
      <c r="FK17" s="89"/>
      <c r="FL17" s="89"/>
      <c r="FM17" s="89"/>
      <c r="FN17" s="89" t="s">
        <v>539</v>
      </c>
      <c r="FO17" s="89"/>
      <c r="FP17" s="89"/>
      <c r="FQ17" s="89"/>
      <c r="FR17" s="89"/>
      <c r="FS17" s="89"/>
      <c r="FT17" s="89"/>
      <c r="FU17" s="89"/>
      <c r="FV17" s="89"/>
      <c r="FW17" s="89"/>
      <c r="FX17" s="89" t="s">
        <v>540</v>
      </c>
      <c r="FY17" s="89" t="s">
        <v>541</v>
      </c>
      <c r="FZ17" s="89"/>
      <c r="GA17" s="89"/>
      <c r="GB17" s="89"/>
      <c r="GC17" s="89"/>
      <c r="GD17" s="89"/>
      <c r="GE17" s="89"/>
      <c r="GF17" s="89"/>
      <c r="GG17" s="89" t="s">
        <v>540</v>
      </c>
      <c r="GH17" s="89"/>
      <c r="GI17" s="89"/>
      <c r="GJ17" s="89"/>
      <c r="GK17" s="89"/>
      <c r="GL17" s="89"/>
      <c r="GM17" s="89"/>
      <c r="GN17" s="89"/>
      <c r="GO17" s="89"/>
      <c r="GP17" s="89" t="s">
        <v>542</v>
      </c>
      <c r="GQ17" s="89"/>
      <c r="GR17" s="89"/>
      <c r="GS17" s="89"/>
      <c r="GT17" s="89"/>
      <c r="GU17" s="89"/>
      <c r="GV17" s="89"/>
      <c r="GW17" s="89"/>
      <c r="GX17" s="89"/>
    </row>
    <row r="18" spans="1:206" ht="15.75" x14ac:dyDescent="0.25">
      <c r="A18" s="6" t="s">
        <v>53</v>
      </c>
      <c r="B18" s="6" t="s">
        <v>54</v>
      </c>
      <c r="C18" s="89"/>
      <c r="D18" s="89" t="s">
        <v>543</v>
      </c>
      <c r="E18" s="89"/>
      <c r="F18" s="89"/>
      <c r="G18" s="89" t="s">
        <v>1070</v>
      </c>
      <c r="H18" s="89"/>
      <c r="I18" s="89" t="s">
        <v>544</v>
      </c>
      <c r="J18" s="89"/>
      <c r="K18" s="89"/>
      <c r="L18" s="89"/>
      <c r="M18" s="89"/>
      <c r="N18" s="89"/>
      <c r="O18" s="89"/>
      <c r="P18" s="89"/>
      <c r="Q18" s="89"/>
      <c r="R18" s="89"/>
      <c r="S18" s="89"/>
      <c r="T18" s="89"/>
      <c r="U18" s="89"/>
      <c r="V18" s="89"/>
      <c r="W18" s="89"/>
      <c r="X18" s="89" t="s">
        <v>545</v>
      </c>
      <c r="Y18" s="89"/>
      <c r="Z18" s="89"/>
      <c r="AA18" s="89"/>
      <c r="AB18" s="89"/>
      <c r="AC18" s="89"/>
      <c r="AD18" s="89"/>
      <c r="AE18" s="89"/>
      <c r="AF18" s="89"/>
      <c r="AG18" s="89" t="s">
        <v>546</v>
      </c>
      <c r="AH18" s="89"/>
      <c r="AI18" s="89"/>
      <c r="AJ18" s="89"/>
      <c r="AK18" s="89"/>
      <c r="AL18" s="89" t="s">
        <v>547</v>
      </c>
      <c r="AM18" s="89"/>
      <c r="AN18" s="89"/>
      <c r="AO18" s="89"/>
      <c r="AP18" s="89"/>
      <c r="AQ18" s="89"/>
      <c r="AR18" s="89"/>
      <c r="AS18" s="89"/>
      <c r="AT18" s="89"/>
      <c r="AU18" s="89"/>
      <c r="AV18" s="89" t="s">
        <v>548</v>
      </c>
      <c r="AW18" s="89"/>
      <c r="AX18" s="89" t="s">
        <v>548</v>
      </c>
      <c r="AY18" s="89"/>
      <c r="AZ18" s="89" t="s">
        <v>1071</v>
      </c>
      <c r="BA18" s="89"/>
      <c r="BB18" s="89" t="s">
        <v>549</v>
      </c>
      <c r="BC18" s="89"/>
      <c r="BD18" s="89" t="s">
        <v>548</v>
      </c>
      <c r="BE18" s="89"/>
      <c r="BF18" s="89"/>
      <c r="BG18" s="89"/>
      <c r="BH18" s="89"/>
      <c r="BI18" s="89"/>
      <c r="BJ18" s="89"/>
      <c r="BK18" s="89"/>
      <c r="BL18" s="89" t="s">
        <v>550</v>
      </c>
      <c r="BM18" s="89"/>
      <c r="BN18" s="89" t="s">
        <v>548</v>
      </c>
      <c r="BO18" s="89" t="s">
        <v>1072</v>
      </c>
      <c r="BP18" s="89"/>
      <c r="BQ18" s="89"/>
      <c r="BR18" s="89" t="s">
        <v>551</v>
      </c>
      <c r="BS18" s="89"/>
      <c r="BT18" s="89"/>
      <c r="BU18" s="89"/>
      <c r="BV18" s="89"/>
      <c r="BW18" s="89"/>
      <c r="BX18" s="89"/>
      <c r="BY18" s="89" t="s">
        <v>548</v>
      </c>
      <c r="BZ18" s="89"/>
      <c r="CA18" s="89"/>
      <c r="CB18" s="89"/>
      <c r="CC18" s="89"/>
      <c r="CD18" s="89"/>
      <c r="CE18" s="89" t="s">
        <v>548</v>
      </c>
      <c r="CF18" s="89" t="s">
        <v>548</v>
      </c>
      <c r="CG18" s="89"/>
      <c r="CH18" s="89" t="s">
        <v>551</v>
      </c>
      <c r="CI18" s="89"/>
      <c r="CJ18" s="89"/>
      <c r="CK18" s="89" t="s">
        <v>548</v>
      </c>
      <c r="CL18" s="89" t="s">
        <v>548</v>
      </c>
      <c r="CM18" s="89"/>
      <c r="CN18" s="89"/>
      <c r="CO18" s="89"/>
      <c r="CP18" s="89"/>
      <c r="CQ18" s="89"/>
      <c r="CR18" s="89"/>
      <c r="CS18" s="89"/>
      <c r="CT18" s="89"/>
      <c r="CU18" s="89" t="s">
        <v>1073</v>
      </c>
      <c r="CV18" s="89"/>
      <c r="CW18" s="89" t="s">
        <v>552</v>
      </c>
      <c r="CX18" s="89"/>
      <c r="CY18" s="89"/>
      <c r="CZ18" s="89"/>
      <c r="DA18" s="89"/>
      <c r="DB18" s="89"/>
      <c r="DC18" s="89"/>
      <c r="DD18" s="89"/>
      <c r="DE18" s="89"/>
      <c r="DF18" s="89"/>
      <c r="DG18" s="89" t="s">
        <v>554</v>
      </c>
      <c r="DH18" s="89" t="s">
        <v>1074</v>
      </c>
      <c r="DI18" s="89" t="s">
        <v>514</v>
      </c>
      <c r="DJ18" s="89"/>
      <c r="DK18" s="89"/>
      <c r="DL18" s="89" t="s">
        <v>543</v>
      </c>
      <c r="DM18" s="89"/>
      <c r="DN18" s="89"/>
      <c r="DO18" s="89"/>
      <c r="DP18" s="89"/>
      <c r="DQ18" s="89"/>
      <c r="DR18" s="89" t="s">
        <v>548</v>
      </c>
      <c r="DS18" s="89"/>
      <c r="DT18" s="89"/>
      <c r="DU18" s="89"/>
      <c r="DV18" s="89" t="s">
        <v>548</v>
      </c>
      <c r="DW18" s="89"/>
      <c r="DX18" s="89" t="s">
        <v>555</v>
      </c>
      <c r="DY18" s="89" t="s">
        <v>1075</v>
      </c>
      <c r="DZ18" s="89" t="s">
        <v>548</v>
      </c>
      <c r="EA18" s="89"/>
      <c r="EB18" s="89" t="s">
        <v>556</v>
      </c>
      <c r="EC18" s="89" t="s">
        <v>1076</v>
      </c>
      <c r="ED18" s="89"/>
      <c r="EE18" s="89"/>
      <c r="EF18" s="89"/>
      <c r="EG18" s="89"/>
      <c r="EH18" s="89"/>
      <c r="EI18" s="89"/>
      <c r="EJ18" s="89"/>
      <c r="EK18" s="89"/>
      <c r="EL18" s="89"/>
      <c r="EM18" s="89"/>
      <c r="EN18" s="89" t="s">
        <v>557</v>
      </c>
      <c r="EO18" s="89"/>
      <c r="EP18" s="89"/>
      <c r="EQ18" s="89"/>
      <c r="ER18" s="89" t="s">
        <v>558</v>
      </c>
      <c r="ES18" s="89"/>
      <c r="ET18" s="89"/>
      <c r="EU18" s="89" t="s">
        <v>1077</v>
      </c>
      <c r="EV18" s="89" t="s">
        <v>559</v>
      </c>
      <c r="EW18" s="89"/>
      <c r="EX18" s="89"/>
      <c r="EY18" s="89"/>
      <c r="EZ18" s="89" t="s">
        <v>544</v>
      </c>
      <c r="FA18" s="89"/>
      <c r="FB18" s="89"/>
      <c r="FC18" s="89"/>
      <c r="FD18" s="89" t="s">
        <v>560</v>
      </c>
      <c r="FE18" s="89"/>
      <c r="FF18" s="89"/>
      <c r="FG18" s="89"/>
      <c r="FH18" s="89"/>
      <c r="FI18" s="89"/>
      <c r="FJ18" s="89"/>
      <c r="FK18" s="89"/>
      <c r="FL18" s="89" t="s">
        <v>548</v>
      </c>
      <c r="FM18" s="89"/>
      <c r="FN18" s="89" t="s">
        <v>561</v>
      </c>
      <c r="FO18" s="89"/>
      <c r="FP18" s="89" t="s">
        <v>562</v>
      </c>
      <c r="FQ18" s="89"/>
      <c r="FR18" s="89"/>
      <c r="FS18" s="89"/>
      <c r="FT18" s="89"/>
      <c r="FU18" s="89"/>
      <c r="FV18" s="89" t="s">
        <v>548</v>
      </c>
      <c r="FW18" s="89"/>
      <c r="FX18" s="89"/>
      <c r="FY18" s="89"/>
      <c r="FZ18" s="89"/>
      <c r="GA18" s="89"/>
      <c r="GB18" s="89"/>
      <c r="GC18" s="89"/>
      <c r="GD18" s="89"/>
      <c r="GE18" s="89"/>
      <c r="GF18" s="89"/>
      <c r="GG18" s="89" t="s">
        <v>563</v>
      </c>
      <c r="GH18" s="89" t="s">
        <v>548</v>
      </c>
      <c r="GI18" s="89" t="s">
        <v>564</v>
      </c>
      <c r="GJ18" s="89"/>
      <c r="GK18" s="89"/>
      <c r="GL18" s="89"/>
      <c r="GM18" s="89"/>
      <c r="GN18" s="89"/>
      <c r="GO18" s="89"/>
      <c r="GP18" s="89"/>
      <c r="GQ18" s="89"/>
      <c r="GR18" s="89"/>
      <c r="GS18" s="89" t="s">
        <v>565</v>
      </c>
      <c r="GT18" s="89"/>
      <c r="GU18" s="89"/>
      <c r="GV18" s="89"/>
      <c r="GW18" s="89" t="s">
        <v>548</v>
      </c>
      <c r="GX18" s="89"/>
    </row>
    <row r="19" spans="1:206" ht="15.75" x14ac:dyDescent="0.25">
      <c r="A19" s="6" t="s">
        <v>16</v>
      </c>
      <c r="B19" s="6" t="s">
        <v>17</v>
      </c>
      <c r="C19" s="89"/>
      <c r="D19" s="89"/>
      <c r="E19" s="89"/>
      <c r="F19" s="89"/>
      <c r="G19" s="89"/>
      <c r="H19" s="89"/>
      <c r="I19" s="89"/>
      <c r="J19" s="89"/>
      <c r="K19" s="89"/>
      <c r="L19" s="89"/>
      <c r="M19" s="89"/>
      <c r="N19" s="89"/>
      <c r="O19" s="89"/>
      <c r="P19" s="89"/>
      <c r="Q19" s="89"/>
      <c r="R19" s="89"/>
      <c r="S19" s="89"/>
      <c r="T19" s="89"/>
      <c r="U19" s="89"/>
      <c r="V19" s="89"/>
      <c r="W19" s="89"/>
      <c r="X19" s="89"/>
      <c r="Y19" s="89"/>
      <c r="Z19" s="89"/>
      <c r="AA19" s="89"/>
      <c r="AB19" s="89"/>
      <c r="AC19" s="89"/>
      <c r="AD19" s="89"/>
      <c r="AE19" s="89"/>
      <c r="AF19" s="89"/>
      <c r="AG19" s="89"/>
      <c r="AH19" s="89"/>
      <c r="AI19" s="89"/>
      <c r="AJ19" s="89"/>
      <c r="AK19" s="89"/>
      <c r="AL19" s="89"/>
      <c r="AM19" s="89"/>
      <c r="AN19" s="89"/>
      <c r="AO19" s="89"/>
      <c r="AP19" s="89"/>
      <c r="AQ19" s="89"/>
      <c r="AR19" s="89"/>
      <c r="AS19" s="89"/>
      <c r="AT19" s="89"/>
      <c r="AU19" s="89"/>
      <c r="AV19" s="89"/>
      <c r="AW19" s="89"/>
      <c r="AX19" s="89"/>
      <c r="AY19" s="89"/>
      <c r="AZ19" s="89"/>
      <c r="BA19" s="89"/>
      <c r="BB19" s="89"/>
      <c r="BC19" s="89"/>
      <c r="BD19" s="89"/>
      <c r="BE19" s="89"/>
      <c r="BF19" s="89"/>
      <c r="BG19" s="89"/>
      <c r="BH19" s="89"/>
      <c r="BI19" s="89"/>
      <c r="BJ19" s="89"/>
      <c r="BK19" s="89"/>
      <c r="BL19" s="89"/>
      <c r="BM19" s="89"/>
      <c r="BN19" s="89"/>
      <c r="BO19" s="89"/>
      <c r="BP19" s="89"/>
      <c r="BQ19" s="89"/>
      <c r="BR19" s="89"/>
      <c r="BS19" s="89"/>
      <c r="BT19" s="89"/>
      <c r="BU19" s="89"/>
      <c r="BV19" s="89"/>
      <c r="BW19" s="89"/>
      <c r="BX19" s="89"/>
      <c r="BY19" s="89"/>
      <c r="BZ19" s="89"/>
      <c r="CA19" s="89"/>
      <c r="CB19" s="89"/>
      <c r="CC19" s="89"/>
      <c r="CD19" s="89"/>
      <c r="CE19" s="89"/>
      <c r="CF19" s="89" t="s">
        <v>1078</v>
      </c>
      <c r="CG19" s="89"/>
      <c r="CH19" s="89"/>
      <c r="CI19" s="89"/>
      <c r="CJ19" s="89"/>
      <c r="CK19" s="89"/>
      <c r="CL19" s="89"/>
      <c r="CM19" s="89"/>
      <c r="CN19" s="89"/>
      <c r="CO19" s="89"/>
      <c r="CP19" s="89"/>
      <c r="CQ19" s="89"/>
      <c r="CR19" s="89"/>
      <c r="CS19" s="89"/>
      <c r="CT19" s="89"/>
      <c r="CU19" s="89"/>
      <c r="CV19" s="89"/>
      <c r="CW19" s="89"/>
      <c r="CX19" s="89"/>
      <c r="CY19" s="89"/>
      <c r="CZ19" s="89"/>
      <c r="DA19" s="89"/>
      <c r="DB19" s="89"/>
      <c r="DC19" s="89"/>
      <c r="DD19" s="89" t="s">
        <v>1140</v>
      </c>
      <c r="DE19" s="89"/>
      <c r="DF19" s="89"/>
      <c r="DG19" s="89"/>
      <c r="DH19" s="89"/>
      <c r="DI19" s="89" t="s">
        <v>514</v>
      </c>
      <c r="DJ19" s="89"/>
      <c r="DK19" s="89"/>
      <c r="DL19" s="89"/>
      <c r="DM19" s="89"/>
      <c r="DN19" s="89"/>
      <c r="DO19" s="89"/>
      <c r="DP19" s="89"/>
      <c r="DQ19" s="89"/>
      <c r="DR19" s="89"/>
      <c r="DS19" s="89"/>
      <c r="DT19" s="89"/>
      <c r="DU19" s="89"/>
      <c r="DV19" s="89"/>
      <c r="DW19" s="89"/>
      <c r="DX19" s="89" t="s">
        <v>566</v>
      </c>
      <c r="DY19" s="89"/>
      <c r="DZ19" s="89"/>
      <c r="EA19" s="89" t="s">
        <v>1079</v>
      </c>
      <c r="EB19" s="89" t="s">
        <v>567</v>
      </c>
      <c r="EC19" s="89"/>
      <c r="ED19" s="89"/>
      <c r="EE19" s="89"/>
      <c r="EF19" s="89"/>
      <c r="EG19" s="89"/>
      <c r="EH19" s="89"/>
      <c r="EI19" s="89"/>
      <c r="EJ19" s="89"/>
      <c r="EK19" s="89"/>
      <c r="EL19" s="89"/>
      <c r="EM19" s="89"/>
      <c r="EN19" s="89" t="s">
        <v>568</v>
      </c>
      <c r="EO19" s="89"/>
      <c r="EP19" s="89"/>
      <c r="EQ19" s="89"/>
      <c r="ER19" s="89"/>
      <c r="ES19" s="89"/>
      <c r="ET19" s="89"/>
      <c r="EU19" s="89"/>
      <c r="EV19" s="89"/>
      <c r="EW19" s="89"/>
      <c r="EX19" s="89"/>
      <c r="EY19" s="89"/>
      <c r="EZ19" s="89"/>
      <c r="FA19" s="89"/>
      <c r="FB19" s="89"/>
      <c r="FC19" s="89"/>
      <c r="FD19" s="89"/>
      <c r="FE19" s="89" t="s">
        <v>1080</v>
      </c>
      <c r="FF19" s="89"/>
      <c r="FG19" s="89"/>
      <c r="FH19" s="89"/>
      <c r="FI19" s="89"/>
      <c r="FJ19" s="89"/>
      <c r="FK19" s="89"/>
      <c r="FL19" s="89"/>
      <c r="FM19" s="89"/>
      <c r="FN19" s="89"/>
      <c r="FO19" s="89"/>
      <c r="FP19" s="89"/>
      <c r="FQ19" s="89"/>
      <c r="FR19" s="89"/>
      <c r="FS19" s="89"/>
      <c r="FT19" s="89"/>
      <c r="FU19" s="89"/>
      <c r="FV19" s="89"/>
      <c r="FW19" s="89"/>
      <c r="FX19" s="89"/>
      <c r="FY19" s="89"/>
      <c r="FZ19" s="89"/>
      <c r="GA19" s="89"/>
      <c r="GB19" s="89"/>
      <c r="GC19" s="89"/>
      <c r="GD19" s="89"/>
      <c r="GE19" s="89"/>
      <c r="GF19" s="89"/>
      <c r="GG19" s="89"/>
      <c r="GH19" s="89"/>
      <c r="GI19" s="89"/>
      <c r="GJ19" s="89"/>
      <c r="GK19" s="89"/>
      <c r="GL19" s="89"/>
      <c r="GM19" s="89"/>
      <c r="GN19" s="89"/>
      <c r="GO19" s="89"/>
      <c r="GP19" s="89"/>
      <c r="GQ19" s="89"/>
      <c r="GR19" s="89"/>
      <c r="GS19" s="89" t="s">
        <v>569</v>
      </c>
      <c r="GT19" s="89"/>
      <c r="GU19" s="89"/>
      <c r="GV19" s="89"/>
      <c r="GW19" s="89"/>
      <c r="GX19" s="89"/>
    </row>
    <row r="20" spans="1:206" ht="15.75" x14ac:dyDescent="0.25">
      <c r="A20" s="6" t="s">
        <v>18</v>
      </c>
      <c r="B20" s="6" t="s">
        <v>112</v>
      </c>
      <c r="C20" s="89"/>
      <c r="D20" s="89"/>
      <c r="E20" s="89"/>
      <c r="F20" s="89"/>
      <c r="G20" s="89"/>
      <c r="H20" s="89" t="s">
        <v>570</v>
      </c>
      <c r="I20" s="89"/>
      <c r="J20" s="89"/>
      <c r="K20" s="89"/>
      <c r="L20" s="89"/>
      <c r="M20" s="89" t="s">
        <v>571</v>
      </c>
      <c r="N20" s="89"/>
      <c r="O20" s="89"/>
      <c r="P20" s="89"/>
      <c r="Q20" s="89"/>
      <c r="R20" s="89"/>
      <c r="S20" s="89"/>
      <c r="T20" s="89"/>
      <c r="U20" s="89"/>
      <c r="V20" s="89"/>
      <c r="W20" s="89"/>
      <c r="X20" s="89"/>
      <c r="Y20" s="89"/>
      <c r="Z20" s="89"/>
      <c r="AA20" s="89"/>
      <c r="AB20" s="89"/>
      <c r="AC20" s="89"/>
      <c r="AD20" s="89"/>
      <c r="AE20" s="89"/>
      <c r="AF20" s="89"/>
      <c r="AG20" s="89"/>
      <c r="AH20" s="89"/>
      <c r="AI20" s="89"/>
      <c r="AJ20" s="89"/>
      <c r="AK20" s="89"/>
      <c r="AL20" s="89"/>
      <c r="AM20" s="89"/>
      <c r="AN20" s="89"/>
      <c r="AO20" s="89"/>
      <c r="AP20" s="89"/>
      <c r="AQ20" s="89" t="s">
        <v>573</v>
      </c>
      <c r="AR20" s="89"/>
      <c r="AS20" s="89" t="s">
        <v>574</v>
      </c>
      <c r="AT20" s="89"/>
      <c r="AU20" s="89"/>
      <c r="AV20" s="89" t="s">
        <v>575</v>
      </c>
      <c r="AW20" s="89"/>
      <c r="AX20" s="89" t="s">
        <v>575</v>
      </c>
      <c r="AY20" s="89"/>
      <c r="AZ20" s="89"/>
      <c r="BA20" s="89"/>
      <c r="BB20" s="89"/>
      <c r="BC20" s="89"/>
      <c r="BD20" s="89" t="s">
        <v>575</v>
      </c>
      <c r="BE20" s="89"/>
      <c r="BF20" s="89"/>
      <c r="BG20" s="89"/>
      <c r="BH20" s="89" t="s">
        <v>576</v>
      </c>
      <c r="BI20" s="89"/>
      <c r="BJ20" s="89"/>
      <c r="BK20" s="89" t="s">
        <v>577</v>
      </c>
      <c r="BL20" s="89"/>
      <c r="BM20" s="89"/>
      <c r="BN20" s="89" t="s">
        <v>575</v>
      </c>
      <c r="BO20" s="89"/>
      <c r="BP20" s="89"/>
      <c r="BQ20" s="89"/>
      <c r="BR20" s="89"/>
      <c r="BS20" s="89"/>
      <c r="BT20" s="89"/>
      <c r="BU20" s="89"/>
      <c r="BV20" s="89"/>
      <c r="BW20" s="89"/>
      <c r="BX20" s="89" t="s">
        <v>577</v>
      </c>
      <c r="BY20" s="89" t="s">
        <v>575</v>
      </c>
      <c r="BZ20" s="89"/>
      <c r="CA20" s="89"/>
      <c r="CB20" s="89"/>
      <c r="CC20" s="89"/>
      <c r="CD20" s="89"/>
      <c r="CE20" s="89" t="s">
        <v>575</v>
      </c>
      <c r="CF20" s="89" t="s">
        <v>575</v>
      </c>
      <c r="CG20" s="89"/>
      <c r="CH20" s="89"/>
      <c r="CI20" s="89"/>
      <c r="CJ20" s="89"/>
      <c r="CK20" s="89" t="s">
        <v>575</v>
      </c>
      <c r="CL20" s="89" t="s">
        <v>575</v>
      </c>
      <c r="CM20" s="89"/>
      <c r="CN20" s="89"/>
      <c r="CO20" s="89"/>
      <c r="CP20" s="89"/>
      <c r="CQ20" s="89"/>
      <c r="CR20" s="89"/>
      <c r="CS20" s="89"/>
      <c r="CT20" s="89"/>
      <c r="CU20" s="89"/>
      <c r="CV20" s="89"/>
      <c r="CW20" s="89"/>
      <c r="CX20" s="89"/>
      <c r="CY20" s="89"/>
      <c r="CZ20" s="89"/>
      <c r="DA20" s="89"/>
      <c r="DB20" s="89"/>
      <c r="DC20" s="89" t="s">
        <v>578</v>
      </c>
      <c r="DD20" s="89"/>
      <c r="DE20" s="89"/>
      <c r="DF20" s="89"/>
      <c r="DG20" s="89"/>
      <c r="DH20" s="89"/>
      <c r="DI20" s="89"/>
      <c r="DJ20" s="89"/>
      <c r="DK20" s="89"/>
      <c r="DL20" s="89" t="s">
        <v>579</v>
      </c>
      <c r="DM20" s="89"/>
      <c r="DN20" s="89"/>
      <c r="DO20" s="89"/>
      <c r="DP20" s="89" t="s">
        <v>575</v>
      </c>
      <c r="DQ20" s="89"/>
      <c r="DR20" s="89" t="s">
        <v>575</v>
      </c>
      <c r="DS20" s="89"/>
      <c r="DT20" s="89"/>
      <c r="DU20" s="89"/>
      <c r="DV20" s="89" t="s">
        <v>575</v>
      </c>
      <c r="DW20" s="89"/>
      <c r="DX20" s="89" t="s">
        <v>580</v>
      </c>
      <c r="DY20" s="89"/>
      <c r="DZ20" s="89" t="s">
        <v>575</v>
      </c>
      <c r="EA20" s="89"/>
      <c r="EB20" s="89"/>
      <c r="EC20" s="89"/>
      <c r="ED20" s="89"/>
      <c r="EE20" s="89"/>
      <c r="EF20" s="89" t="s">
        <v>578</v>
      </c>
      <c r="EG20" s="89" t="s">
        <v>581</v>
      </c>
      <c r="EH20" s="89" t="s">
        <v>577</v>
      </c>
      <c r="EI20" s="89"/>
      <c r="EJ20" s="89"/>
      <c r="EK20" s="89"/>
      <c r="EL20" s="89"/>
      <c r="EM20" s="89"/>
      <c r="EN20" s="89"/>
      <c r="EO20" s="89"/>
      <c r="EP20" s="89"/>
      <c r="EQ20" s="89"/>
      <c r="ER20" s="89" t="s">
        <v>582</v>
      </c>
      <c r="ES20" s="89"/>
      <c r="ET20" s="89"/>
      <c r="EU20" s="89"/>
      <c r="EV20" s="89"/>
      <c r="EW20" s="89" t="s">
        <v>577</v>
      </c>
      <c r="EX20" s="89"/>
      <c r="EY20" s="89"/>
      <c r="EZ20" s="89"/>
      <c r="FA20" s="89"/>
      <c r="FB20" s="89"/>
      <c r="FC20" s="89" t="s">
        <v>583</v>
      </c>
      <c r="FD20" s="89"/>
      <c r="FE20" s="89"/>
      <c r="FF20" s="89"/>
      <c r="FG20" s="89"/>
      <c r="FH20" s="89"/>
      <c r="FI20" s="89"/>
      <c r="FJ20" s="89"/>
      <c r="FK20" s="89"/>
      <c r="FL20" s="89" t="s">
        <v>575</v>
      </c>
      <c r="FM20" s="89"/>
      <c r="FN20" s="89"/>
      <c r="FO20" s="89"/>
      <c r="FP20" s="89"/>
      <c r="FQ20" s="89"/>
      <c r="FR20" s="89"/>
      <c r="FS20" s="89"/>
      <c r="FT20" s="89"/>
      <c r="FU20" s="89"/>
      <c r="FV20" s="89" t="s">
        <v>575</v>
      </c>
      <c r="FW20" s="89"/>
      <c r="FX20" s="89"/>
      <c r="FY20" s="89"/>
      <c r="FZ20" s="89"/>
      <c r="GA20" s="89"/>
      <c r="GB20" s="89"/>
      <c r="GC20" s="89" t="s">
        <v>578</v>
      </c>
      <c r="GD20" s="89"/>
      <c r="GE20" s="89" t="s">
        <v>584</v>
      </c>
      <c r="GF20" s="89"/>
      <c r="GG20" s="89"/>
      <c r="GH20" s="89" t="s">
        <v>575</v>
      </c>
      <c r="GI20" s="89"/>
      <c r="GJ20" s="89"/>
      <c r="GK20" s="89"/>
      <c r="GL20" s="89"/>
      <c r="GM20" s="89"/>
      <c r="GN20" s="89"/>
      <c r="GO20" s="89"/>
      <c r="GP20" s="89"/>
      <c r="GQ20" s="89"/>
      <c r="GR20" s="89"/>
      <c r="GS20" s="89"/>
      <c r="GT20" s="89"/>
      <c r="GU20" s="89"/>
      <c r="GV20" s="89"/>
      <c r="GW20" s="89" t="s">
        <v>575</v>
      </c>
      <c r="GX20" s="89"/>
    </row>
    <row r="21" spans="1:206" ht="15.75" x14ac:dyDescent="0.25">
      <c r="A21" s="6" t="s">
        <v>55</v>
      </c>
      <c r="B21" s="6" t="s">
        <v>56</v>
      </c>
      <c r="C21" s="89"/>
      <c r="D21" s="89"/>
      <c r="E21" s="89"/>
      <c r="F21" s="89"/>
      <c r="G21" s="89"/>
      <c r="H21" s="89"/>
      <c r="I21" s="89"/>
      <c r="J21" s="89"/>
      <c r="K21" s="89"/>
      <c r="L21" s="89"/>
      <c r="M21" s="89"/>
      <c r="N21" s="89"/>
      <c r="O21" s="89"/>
      <c r="P21" s="89"/>
      <c r="Q21" s="89" t="s">
        <v>585</v>
      </c>
      <c r="R21" s="89"/>
      <c r="S21" s="89"/>
      <c r="T21" s="89"/>
      <c r="U21" s="89"/>
      <c r="V21" s="89"/>
      <c r="W21" s="89"/>
      <c r="X21" s="89"/>
      <c r="Y21" s="89"/>
      <c r="Z21" s="89"/>
      <c r="AA21" s="89"/>
      <c r="AB21" s="89"/>
      <c r="AC21" s="89" t="s">
        <v>1081</v>
      </c>
      <c r="AD21" s="89"/>
      <c r="AE21" s="89"/>
      <c r="AF21" s="89"/>
      <c r="AG21" s="89"/>
      <c r="AH21" s="89"/>
      <c r="AI21" s="89"/>
      <c r="AJ21" s="89"/>
      <c r="AK21" s="89"/>
      <c r="AL21" s="89"/>
      <c r="AM21" s="89"/>
      <c r="AN21" s="89"/>
      <c r="AO21" s="89"/>
      <c r="AP21" s="89"/>
      <c r="AQ21" s="89"/>
      <c r="AR21" s="89" t="s">
        <v>587</v>
      </c>
      <c r="AS21" s="89"/>
      <c r="AT21" s="89"/>
      <c r="AU21" s="89"/>
      <c r="AV21" s="89"/>
      <c r="AW21" s="89"/>
      <c r="AX21" s="89"/>
      <c r="AY21" s="89"/>
      <c r="AZ21" s="89" t="s">
        <v>735</v>
      </c>
      <c r="BA21" s="89"/>
      <c r="BB21" s="89" t="s">
        <v>589</v>
      </c>
      <c r="BC21" s="89"/>
      <c r="BD21" s="89"/>
      <c r="BE21" s="89"/>
      <c r="BF21" s="89"/>
      <c r="BG21" s="89"/>
      <c r="BH21" s="89"/>
      <c r="BI21" s="89"/>
      <c r="BJ21" s="89"/>
      <c r="BK21" s="89"/>
      <c r="BL21" s="89" t="s">
        <v>1141</v>
      </c>
      <c r="BM21" s="89"/>
      <c r="BN21" s="89"/>
      <c r="BO21" s="89"/>
      <c r="BP21" s="89"/>
      <c r="BQ21" s="89"/>
      <c r="BR21" s="89"/>
      <c r="BS21" s="89"/>
      <c r="BT21" s="89"/>
      <c r="BU21" s="89"/>
      <c r="BV21" s="89"/>
      <c r="BW21" s="89"/>
      <c r="BX21" s="89" t="s">
        <v>590</v>
      </c>
      <c r="BY21" s="89"/>
      <c r="BZ21" s="89"/>
      <c r="CA21" s="89"/>
      <c r="CB21" s="89" t="s">
        <v>591</v>
      </c>
      <c r="CC21" s="89"/>
      <c r="CD21" s="89" t="s">
        <v>591</v>
      </c>
      <c r="CE21" s="89"/>
      <c r="CF21" s="89"/>
      <c r="CG21" s="89"/>
      <c r="CH21" s="89"/>
      <c r="CI21" s="89"/>
      <c r="CJ21" s="89" t="s">
        <v>592</v>
      </c>
      <c r="CK21" s="89"/>
      <c r="CL21" s="89"/>
      <c r="CM21" s="89"/>
      <c r="CN21" s="89"/>
      <c r="CO21" s="89"/>
      <c r="CP21" s="89" t="s">
        <v>593</v>
      </c>
      <c r="CQ21" s="89"/>
      <c r="CR21" s="89"/>
      <c r="CS21" s="89"/>
      <c r="CT21" s="89"/>
      <c r="CU21" s="89" t="s">
        <v>594</v>
      </c>
      <c r="CV21" s="89" t="s">
        <v>595</v>
      </c>
      <c r="CW21" s="89"/>
      <c r="CX21" s="89"/>
      <c r="CY21" s="89"/>
      <c r="CZ21" s="89"/>
      <c r="DA21" s="89"/>
      <c r="DB21" s="89"/>
      <c r="DC21" s="89"/>
      <c r="DD21" s="89"/>
      <c r="DE21" s="89"/>
      <c r="DF21" s="89"/>
      <c r="DG21" s="89"/>
      <c r="DH21" s="89"/>
      <c r="DI21" s="89"/>
      <c r="DJ21" s="89"/>
      <c r="DK21" s="89" t="s">
        <v>596</v>
      </c>
      <c r="DL21" s="89"/>
      <c r="DM21" s="89"/>
      <c r="DN21" s="89"/>
      <c r="DO21" s="89"/>
      <c r="DP21" s="89"/>
      <c r="DQ21" s="89" t="s">
        <v>597</v>
      </c>
      <c r="DR21" s="89"/>
      <c r="DS21" s="89"/>
      <c r="DT21" s="89"/>
      <c r="DU21" s="89" t="s">
        <v>598</v>
      </c>
      <c r="DV21" s="89"/>
      <c r="DW21" s="89"/>
      <c r="DX21" s="89"/>
      <c r="DY21" s="89"/>
      <c r="DZ21" s="89"/>
      <c r="EA21" s="89"/>
      <c r="EB21" s="89"/>
      <c r="EC21" s="89" t="s">
        <v>599</v>
      </c>
      <c r="ED21" s="89"/>
      <c r="EE21" s="89" t="s">
        <v>600</v>
      </c>
      <c r="EF21" s="89" t="s">
        <v>601</v>
      </c>
      <c r="EG21" s="89" t="s">
        <v>1082</v>
      </c>
      <c r="EH21" s="89"/>
      <c r="EI21" s="89"/>
      <c r="EJ21" s="89"/>
      <c r="EK21" s="89"/>
      <c r="EL21" s="89" t="s">
        <v>603</v>
      </c>
      <c r="EM21" s="89"/>
      <c r="EN21" s="89" t="s">
        <v>604</v>
      </c>
      <c r="EO21" s="89" t="s">
        <v>605</v>
      </c>
      <c r="EP21" s="89" t="s">
        <v>603</v>
      </c>
      <c r="EQ21" s="89" t="s">
        <v>514</v>
      </c>
      <c r="ER21" s="89" t="s">
        <v>1083</v>
      </c>
      <c r="ES21" s="89"/>
      <c r="ET21" s="89"/>
      <c r="EU21" s="89"/>
      <c r="EV21" s="89"/>
      <c r="EW21" s="89" t="s">
        <v>607</v>
      </c>
      <c r="EX21" s="89"/>
      <c r="EY21" s="89"/>
      <c r="EZ21" s="89"/>
      <c r="FA21" s="89"/>
      <c r="FB21" s="89"/>
      <c r="FC21" s="89" t="s">
        <v>1082</v>
      </c>
      <c r="FD21" s="89"/>
      <c r="FE21" s="89"/>
      <c r="FF21" s="89"/>
      <c r="FG21" s="89"/>
      <c r="FH21" s="89"/>
      <c r="FI21" s="89"/>
      <c r="FJ21" s="89"/>
      <c r="FK21" s="89" t="s">
        <v>608</v>
      </c>
      <c r="FL21" s="89"/>
      <c r="FM21" s="89"/>
      <c r="FN21" s="89"/>
      <c r="FO21" s="89"/>
      <c r="FP21" s="89"/>
      <c r="FQ21" s="89"/>
      <c r="FR21" s="89"/>
      <c r="FS21" s="89"/>
      <c r="FT21" s="89"/>
      <c r="FU21" s="89"/>
      <c r="FV21" s="89"/>
      <c r="FW21" s="89"/>
      <c r="FX21" s="89"/>
      <c r="FY21" s="89"/>
      <c r="FZ21" s="89"/>
      <c r="GA21" s="89"/>
      <c r="GB21" s="89"/>
      <c r="GC21" s="89"/>
      <c r="GD21" s="89"/>
      <c r="GE21" s="89"/>
      <c r="GF21" s="89"/>
      <c r="GG21" s="89"/>
      <c r="GH21" s="89"/>
      <c r="GI21" s="89" t="s">
        <v>609</v>
      </c>
      <c r="GJ21" s="89"/>
      <c r="GK21" s="89"/>
      <c r="GL21" s="89"/>
      <c r="GM21" s="89"/>
      <c r="GN21" s="89"/>
      <c r="GO21" s="89"/>
      <c r="GP21" s="89"/>
      <c r="GQ21" s="89" t="s">
        <v>610</v>
      </c>
      <c r="GR21" s="89"/>
      <c r="GS21" s="89"/>
      <c r="GT21" s="89"/>
      <c r="GU21" s="89"/>
      <c r="GV21" s="89" t="s">
        <v>611</v>
      </c>
      <c r="GW21" s="89"/>
      <c r="GX21" s="89" t="s">
        <v>612</v>
      </c>
    </row>
    <row r="22" spans="1:206" ht="15.75" x14ac:dyDescent="0.25">
      <c r="A22" s="6" t="s">
        <v>57</v>
      </c>
      <c r="B22" s="6" t="s">
        <v>58</v>
      </c>
      <c r="C22" s="89" t="s">
        <v>613</v>
      </c>
      <c r="D22" s="89" t="s">
        <v>613</v>
      </c>
      <c r="E22" s="89" t="s">
        <v>613</v>
      </c>
      <c r="F22" s="89" t="s">
        <v>613</v>
      </c>
      <c r="G22" s="89" t="s">
        <v>613</v>
      </c>
      <c r="H22" s="89" t="s">
        <v>613</v>
      </c>
      <c r="I22" s="89" t="s">
        <v>613</v>
      </c>
      <c r="J22" s="89" t="s">
        <v>613</v>
      </c>
      <c r="K22" s="89" t="s">
        <v>613</v>
      </c>
      <c r="L22" s="89" t="s">
        <v>613</v>
      </c>
      <c r="M22" s="89" t="s">
        <v>613</v>
      </c>
      <c r="N22" s="89" t="s">
        <v>613</v>
      </c>
      <c r="O22" s="89" t="s">
        <v>613</v>
      </c>
      <c r="P22" s="89" t="s">
        <v>613</v>
      </c>
      <c r="Q22" s="89" t="s">
        <v>614</v>
      </c>
      <c r="R22" s="89" t="s">
        <v>613</v>
      </c>
      <c r="S22" s="89" t="s">
        <v>613</v>
      </c>
      <c r="T22" s="89" t="s">
        <v>613</v>
      </c>
      <c r="U22" s="89" t="s">
        <v>613</v>
      </c>
      <c r="V22" s="89" t="s">
        <v>613</v>
      </c>
      <c r="W22" s="89" t="s">
        <v>613</v>
      </c>
      <c r="X22" s="89" t="s">
        <v>613</v>
      </c>
      <c r="Y22" s="89" t="s">
        <v>613</v>
      </c>
      <c r="Z22" s="89" t="s">
        <v>613</v>
      </c>
      <c r="AA22" s="89"/>
      <c r="AB22" s="89" t="s">
        <v>613</v>
      </c>
      <c r="AC22" s="89" t="s">
        <v>613</v>
      </c>
      <c r="AD22" s="89" t="s">
        <v>613</v>
      </c>
      <c r="AE22" s="89" t="s">
        <v>613</v>
      </c>
      <c r="AF22" s="89" t="s">
        <v>613</v>
      </c>
      <c r="AG22" s="89" t="s">
        <v>613</v>
      </c>
      <c r="AH22" s="89" t="s">
        <v>613</v>
      </c>
      <c r="AI22" s="89" t="s">
        <v>613</v>
      </c>
      <c r="AJ22" s="89" t="s">
        <v>613</v>
      </c>
      <c r="AK22" s="89" t="s">
        <v>613</v>
      </c>
      <c r="AL22" s="89" t="s">
        <v>613</v>
      </c>
      <c r="AM22" s="89" t="s">
        <v>613</v>
      </c>
      <c r="AN22" s="89" t="s">
        <v>613</v>
      </c>
      <c r="AO22" s="89" t="s">
        <v>613</v>
      </c>
      <c r="AP22" s="89" t="s">
        <v>613</v>
      </c>
      <c r="AQ22" s="89" t="s">
        <v>613</v>
      </c>
      <c r="AR22" s="89" t="s">
        <v>613</v>
      </c>
      <c r="AS22" s="89" t="s">
        <v>613</v>
      </c>
      <c r="AT22" s="89" t="s">
        <v>613</v>
      </c>
      <c r="AU22" s="89" t="s">
        <v>613</v>
      </c>
      <c r="AV22" s="89" t="s">
        <v>613</v>
      </c>
      <c r="AW22" s="89" t="s">
        <v>613</v>
      </c>
      <c r="AX22" s="89" t="s">
        <v>613</v>
      </c>
      <c r="AY22" s="89" t="s">
        <v>613</v>
      </c>
      <c r="AZ22" s="89" t="s">
        <v>613</v>
      </c>
      <c r="BA22" s="89" t="s">
        <v>613</v>
      </c>
      <c r="BB22" s="89" t="s">
        <v>613</v>
      </c>
      <c r="BC22" s="89" t="s">
        <v>613</v>
      </c>
      <c r="BD22" s="89" t="s">
        <v>613</v>
      </c>
      <c r="BE22" s="89" t="s">
        <v>613</v>
      </c>
      <c r="BF22" s="89" t="s">
        <v>613</v>
      </c>
      <c r="BG22" s="89" t="s">
        <v>613</v>
      </c>
      <c r="BH22" s="89" t="s">
        <v>613</v>
      </c>
      <c r="BI22" s="89" t="s">
        <v>613</v>
      </c>
      <c r="BJ22" s="89" t="s">
        <v>613</v>
      </c>
      <c r="BK22" s="89" t="s">
        <v>613</v>
      </c>
      <c r="BL22" s="89" t="s">
        <v>615</v>
      </c>
      <c r="BM22" s="89" t="s">
        <v>613</v>
      </c>
      <c r="BN22" s="89" t="s">
        <v>613</v>
      </c>
      <c r="BO22" s="89" t="s">
        <v>613</v>
      </c>
      <c r="BP22" s="89" t="s">
        <v>613</v>
      </c>
      <c r="BQ22" s="89" t="s">
        <v>613</v>
      </c>
      <c r="BR22" s="89" t="s">
        <v>613</v>
      </c>
      <c r="BS22" s="89" t="s">
        <v>613</v>
      </c>
      <c r="BT22" s="89" t="s">
        <v>613</v>
      </c>
      <c r="BU22" s="89" t="s">
        <v>613</v>
      </c>
      <c r="BV22" s="89" t="s">
        <v>613</v>
      </c>
      <c r="BW22" s="89" t="s">
        <v>613</v>
      </c>
      <c r="BX22" s="89" t="s">
        <v>613</v>
      </c>
      <c r="BY22" s="89" t="s">
        <v>613</v>
      </c>
      <c r="BZ22" s="89" t="s">
        <v>613</v>
      </c>
      <c r="CA22" s="89" t="s">
        <v>613</v>
      </c>
      <c r="CB22" s="89" t="s">
        <v>613</v>
      </c>
      <c r="CC22" s="89" t="s">
        <v>613</v>
      </c>
      <c r="CD22" s="89" t="s">
        <v>613</v>
      </c>
      <c r="CE22" s="89" t="s">
        <v>613</v>
      </c>
      <c r="CF22" s="89" t="s">
        <v>613</v>
      </c>
      <c r="CG22" s="89" t="s">
        <v>613</v>
      </c>
      <c r="CH22" s="89" t="s">
        <v>613</v>
      </c>
      <c r="CI22" s="89" t="s">
        <v>613</v>
      </c>
      <c r="CJ22" s="89" t="s">
        <v>613</v>
      </c>
      <c r="CK22" s="89" t="s">
        <v>613</v>
      </c>
      <c r="CL22" s="89" t="s">
        <v>613</v>
      </c>
      <c r="CM22" s="89" t="s">
        <v>613</v>
      </c>
      <c r="CN22" s="89" t="s">
        <v>1152</v>
      </c>
      <c r="CO22" s="89" t="s">
        <v>613</v>
      </c>
      <c r="CP22" s="89" t="s">
        <v>613</v>
      </c>
      <c r="CQ22" s="89" t="s">
        <v>613</v>
      </c>
      <c r="CR22" s="89" t="s">
        <v>613</v>
      </c>
      <c r="CS22" s="89" t="s">
        <v>613</v>
      </c>
      <c r="CT22" s="89" t="s">
        <v>613</v>
      </c>
      <c r="CU22" s="89" t="s">
        <v>618</v>
      </c>
      <c r="CV22" s="89" t="s">
        <v>613</v>
      </c>
      <c r="CW22" s="89" t="s">
        <v>613</v>
      </c>
      <c r="CX22" s="89" t="s">
        <v>613</v>
      </c>
      <c r="CY22" s="89" t="s">
        <v>613</v>
      </c>
      <c r="CZ22" s="89" t="s">
        <v>613</v>
      </c>
      <c r="DA22" s="89" t="s">
        <v>613</v>
      </c>
      <c r="DB22" s="89" t="s">
        <v>613</v>
      </c>
      <c r="DC22" s="89" t="s">
        <v>613</v>
      </c>
      <c r="DD22" s="89"/>
      <c r="DE22" s="89" t="s">
        <v>613</v>
      </c>
      <c r="DF22" s="89" t="s">
        <v>613</v>
      </c>
      <c r="DG22" s="89" t="s">
        <v>613</v>
      </c>
      <c r="DH22" s="89" t="s">
        <v>613</v>
      </c>
      <c r="DI22" s="89" t="s">
        <v>613</v>
      </c>
      <c r="DJ22" s="89" t="s">
        <v>613</v>
      </c>
      <c r="DK22" s="89" t="s">
        <v>613</v>
      </c>
      <c r="DL22" s="89" t="s">
        <v>613</v>
      </c>
      <c r="DM22" s="89" t="s">
        <v>613</v>
      </c>
      <c r="DN22" s="89" t="s">
        <v>613</v>
      </c>
      <c r="DO22" s="89" t="s">
        <v>613</v>
      </c>
      <c r="DP22" s="89" t="s">
        <v>613</v>
      </c>
      <c r="DQ22" s="89" t="s">
        <v>613</v>
      </c>
      <c r="DR22" s="89" t="s">
        <v>613</v>
      </c>
      <c r="DS22" s="89" t="s">
        <v>613</v>
      </c>
      <c r="DT22" s="89" t="s">
        <v>613</v>
      </c>
      <c r="DU22" s="89" t="s">
        <v>613</v>
      </c>
      <c r="DV22" s="89" t="s">
        <v>613</v>
      </c>
      <c r="DW22" s="89" t="s">
        <v>613</v>
      </c>
      <c r="DX22" s="89" t="s">
        <v>613</v>
      </c>
      <c r="DY22" s="89" t="s">
        <v>613</v>
      </c>
      <c r="DZ22" s="89" t="s">
        <v>613</v>
      </c>
      <c r="EA22" s="89" t="s">
        <v>613</v>
      </c>
      <c r="EB22" s="89" t="s">
        <v>613</v>
      </c>
      <c r="EC22" s="89" t="s">
        <v>619</v>
      </c>
      <c r="ED22" s="89" t="s">
        <v>613</v>
      </c>
      <c r="EE22" s="89" t="s">
        <v>620</v>
      </c>
      <c r="EF22" s="89" t="s">
        <v>621</v>
      </c>
      <c r="EG22" s="89" t="s">
        <v>613</v>
      </c>
      <c r="EH22" s="89" t="s">
        <v>613</v>
      </c>
      <c r="EI22" s="89" t="s">
        <v>613</v>
      </c>
      <c r="EJ22" s="89" t="s">
        <v>613</v>
      </c>
      <c r="EK22" s="89" t="s">
        <v>613</v>
      </c>
      <c r="EL22" s="89" t="s">
        <v>613</v>
      </c>
      <c r="EM22" s="89" t="s">
        <v>613</v>
      </c>
      <c r="EN22" s="89" t="s">
        <v>613</v>
      </c>
      <c r="EO22" s="89" t="s">
        <v>613</v>
      </c>
      <c r="EP22" s="89" t="s">
        <v>613</v>
      </c>
      <c r="EQ22" s="89" t="s">
        <v>514</v>
      </c>
      <c r="ER22" s="89" t="s">
        <v>613</v>
      </c>
      <c r="ES22" s="89" t="s">
        <v>613</v>
      </c>
      <c r="ET22" s="89" t="s">
        <v>613</v>
      </c>
      <c r="EU22" s="89" t="s">
        <v>613</v>
      </c>
      <c r="EV22" s="89" t="s">
        <v>613</v>
      </c>
      <c r="EW22" s="89" t="s">
        <v>613</v>
      </c>
      <c r="EX22" s="89" t="s">
        <v>613</v>
      </c>
      <c r="EY22" s="89" t="s">
        <v>613</v>
      </c>
      <c r="EZ22" s="89" t="s">
        <v>613</v>
      </c>
      <c r="FA22" s="89" t="s">
        <v>613</v>
      </c>
      <c r="FB22" s="89" t="s">
        <v>613</v>
      </c>
      <c r="FC22" s="89" t="s">
        <v>613</v>
      </c>
      <c r="FD22" s="89" t="s">
        <v>613</v>
      </c>
      <c r="FE22" s="89" t="s">
        <v>613</v>
      </c>
      <c r="FF22" s="89" t="s">
        <v>613</v>
      </c>
      <c r="FG22" s="89" t="s">
        <v>613</v>
      </c>
      <c r="FH22" s="89" t="s">
        <v>613</v>
      </c>
      <c r="FI22" s="89" t="s">
        <v>613</v>
      </c>
      <c r="FJ22" s="89" t="s">
        <v>613</v>
      </c>
      <c r="FK22" s="89" t="s">
        <v>613</v>
      </c>
      <c r="FL22" s="89" t="s">
        <v>613</v>
      </c>
      <c r="FM22" s="89" t="s">
        <v>613</v>
      </c>
      <c r="FN22" s="89" t="s">
        <v>613</v>
      </c>
      <c r="FO22" s="89" t="s">
        <v>613</v>
      </c>
      <c r="FP22" s="89" t="s">
        <v>613</v>
      </c>
      <c r="FQ22" s="89" t="s">
        <v>613</v>
      </c>
      <c r="FR22" s="89" t="s">
        <v>613</v>
      </c>
      <c r="FS22" s="89" t="s">
        <v>613</v>
      </c>
      <c r="FT22" s="89" t="s">
        <v>613</v>
      </c>
      <c r="FU22" s="89" t="s">
        <v>613</v>
      </c>
      <c r="FV22" s="89" t="s">
        <v>613</v>
      </c>
      <c r="FW22" s="89" t="s">
        <v>622</v>
      </c>
      <c r="FX22" s="89" t="s">
        <v>613</v>
      </c>
      <c r="FY22" s="89" t="s">
        <v>613</v>
      </c>
      <c r="FZ22" s="89" t="s">
        <v>613</v>
      </c>
      <c r="GA22" s="89" t="s">
        <v>613</v>
      </c>
      <c r="GB22" s="89" t="s">
        <v>613</v>
      </c>
      <c r="GC22" s="89" t="s">
        <v>613</v>
      </c>
      <c r="GD22" s="89" t="s">
        <v>613</v>
      </c>
      <c r="GE22" s="89" t="s">
        <v>613</v>
      </c>
      <c r="GF22" s="89" t="s">
        <v>613</v>
      </c>
      <c r="GG22" s="89" t="s">
        <v>613</v>
      </c>
      <c r="GH22" s="89" t="s">
        <v>613</v>
      </c>
      <c r="GI22" s="89" t="s">
        <v>613</v>
      </c>
      <c r="GJ22" s="89" t="s">
        <v>613</v>
      </c>
      <c r="GK22" s="89" t="s">
        <v>613</v>
      </c>
      <c r="GL22" s="89" t="s">
        <v>613</v>
      </c>
      <c r="GM22" s="89" t="s">
        <v>613</v>
      </c>
      <c r="GN22" s="89" t="s">
        <v>613</v>
      </c>
      <c r="GO22" s="89" t="s">
        <v>613</v>
      </c>
      <c r="GP22" s="89" t="s">
        <v>613</v>
      </c>
      <c r="GQ22" s="89" t="s">
        <v>613</v>
      </c>
      <c r="GR22" s="89" t="s">
        <v>613</v>
      </c>
      <c r="GS22" s="89" t="s">
        <v>613</v>
      </c>
      <c r="GT22" s="89" t="s">
        <v>613</v>
      </c>
      <c r="GU22" s="89" t="s">
        <v>613</v>
      </c>
      <c r="GV22" s="89" t="s">
        <v>613</v>
      </c>
      <c r="GW22" s="89" t="s">
        <v>613</v>
      </c>
      <c r="GX22" s="89" t="s">
        <v>613</v>
      </c>
    </row>
    <row r="23" spans="1:206" ht="15.75" x14ac:dyDescent="0.25">
      <c r="A23" s="6" t="s">
        <v>82</v>
      </c>
      <c r="B23" s="6" t="s">
        <v>85</v>
      </c>
      <c r="C23" s="89"/>
      <c r="D23" s="89"/>
      <c r="E23" s="89"/>
      <c r="F23" s="89" t="s">
        <v>623</v>
      </c>
      <c r="G23" s="89"/>
      <c r="H23" s="89"/>
      <c r="I23" s="89"/>
      <c r="J23" s="89"/>
      <c r="K23" s="89"/>
      <c r="L23" s="89"/>
      <c r="M23" s="89"/>
      <c r="N23" s="89"/>
      <c r="O23" s="89"/>
      <c r="P23" s="89"/>
      <c r="Q23" s="89"/>
      <c r="R23" s="89"/>
      <c r="S23" s="89"/>
      <c r="T23" s="89" t="s">
        <v>624</v>
      </c>
      <c r="U23" s="89"/>
      <c r="V23" s="89"/>
      <c r="W23" s="89" t="s">
        <v>625</v>
      </c>
      <c r="X23" s="89"/>
      <c r="Y23" s="89"/>
      <c r="Z23" s="89"/>
      <c r="AA23" s="89"/>
      <c r="AB23" s="89"/>
      <c r="AC23" s="89"/>
      <c r="AD23" s="89"/>
      <c r="AE23" s="89"/>
      <c r="AF23" s="89"/>
      <c r="AG23" s="89"/>
      <c r="AH23" s="89"/>
      <c r="AI23" s="89"/>
      <c r="AJ23" s="89"/>
      <c r="AK23" s="89"/>
      <c r="AL23" s="89"/>
      <c r="AM23" s="89"/>
      <c r="AN23" s="89"/>
      <c r="AO23" s="89"/>
      <c r="AP23" s="89"/>
      <c r="AQ23" s="89"/>
      <c r="AR23" s="89"/>
      <c r="AS23" s="89"/>
      <c r="AT23" s="89"/>
      <c r="AU23" s="89"/>
      <c r="AV23" s="89"/>
      <c r="AW23" s="89"/>
      <c r="AX23" s="89"/>
      <c r="AY23" s="89"/>
      <c r="AZ23" s="89"/>
      <c r="BA23" s="89"/>
      <c r="BB23" s="89"/>
      <c r="BC23" s="89" t="s">
        <v>625</v>
      </c>
      <c r="BD23" s="89"/>
      <c r="BE23" s="89"/>
      <c r="BF23" s="89"/>
      <c r="BG23" s="89"/>
      <c r="BH23" s="89"/>
      <c r="BI23" s="89"/>
      <c r="BJ23" s="89"/>
      <c r="BK23" s="89"/>
      <c r="BL23" s="89"/>
      <c r="BM23" s="89"/>
      <c r="BN23" s="89"/>
      <c r="BO23" s="89"/>
      <c r="BP23" s="89"/>
      <c r="BQ23" s="89"/>
      <c r="BR23" s="89"/>
      <c r="BS23" s="89" t="s">
        <v>626</v>
      </c>
      <c r="BT23" s="89"/>
      <c r="BU23" s="89"/>
      <c r="BV23" s="89"/>
      <c r="BW23" s="89"/>
      <c r="BX23" s="89"/>
      <c r="BY23" s="89"/>
      <c r="BZ23" s="89"/>
      <c r="CA23" s="89"/>
      <c r="CB23" s="89"/>
      <c r="CC23" s="89"/>
      <c r="CD23" s="89"/>
      <c r="CE23" s="89"/>
      <c r="CF23" s="89"/>
      <c r="CG23" s="89"/>
      <c r="CH23" s="89"/>
      <c r="CI23" s="89"/>
      <c r="CJ23" s="89" t="s">
        <v>627</v>
      </c>
      <c r="CK23" s="89"/>
      <c r="CL23" s="89"/>
      <c r="CM23" s="89"/>
      <c r="CN23" s="89" t="s">
        <v>628</v>
      </c>
      <c r="CO23" s="89"/>
      <c r="CP23" s="89"/>
      <c r="CQ23" s="89"/>
      <c r="CR23" s="89"/>
      <c r="CS23" s="89"/>
      <c r="CT23" s="89"/>
      <c r="CU23" s="89" t="s">
        <v>1084</v>
      </c>
      <c r="CV23" s="89"/>
      <c r="CW23" s="89"/>
      <c r="CX23" s="89"/>
      <c r="CY23" s="89"/>
      <c r="CZ23" s="89"/>
      <c r="DA23" s="89"/>
      <c r="DB23" s="89"/>
      <c r="DC23" s="89"/>
      <c r="DD23" s="89"/>
      <c r="DE23" s="89" t="s">
        <v>1084</v>
      </c>
      <c r="DF23" s="89"/>
      <c r="DG23" s="89"/>
      <c r="DH23" s="89"/>
      <c r="DI23" s="89"/>
      <c r="DJ23" s="89"/>
      <c r="DK23" s="89"/>
      <c r="DL23" s="89"/>
      <c r="DM23" s="89"/>
      <c r="DN23" s="89"/>
      <c r="DO23" s="89"/>
      <c r="DP23" s="89"/>
      <c r="DQ23" s="89"/>
      <c r="DR23" s="89"/>
      <c r="DS23" s="89"/>
      <c r="DT23" s="89"/>
      <c r="DU23" s="89"/>
      <c r="DV23" s="89"/>
      <c r="DW23" s="89"/>
      <c r="DX23" s="89"/>
      <c r="DY23" s="89"/>
      <c r="DZ23" s="89"/>
      <c r="EA23" s="89"/>
      <c r="EB23" s="89"/>
      <c r="EC23" s="89"/>
      <c r="ED23" s="89"/>
      <c r="EE23" s="89"/>
      <c r="EF23" s="89"/>
      <c r="EG23" s="89"/>
      <c r="EH23" s="89"/>
      <c r="EI23" s="89"/>
      <c r="EJ23" s="89"/>
      <c r="EK23" s="89"/>
      <c r="EL23" s="89"/>
      <c r="EM23" s="89"/>
      <c r="EN23" s="89"/>
      <c r="EO23" s="89"/>
      <c r="EP23" s="89"/>
      <c r="EQ23" s="89" t="s">
        <v>514</v>
      </c>
      <c r="ER23" s="89"/>
      <c r="ES23" s="89"/>
      <c r="ET23" s="89"/>
      <c r="EU23" s="89"/>
      <c r="EV23" s="89" t="s">
        <v>1084</v>
      </c>
      <c r="EW23" s="89"/>
      <c r="EX23" s="89"/>
      <c r="EY23" s="89" t="s">
        <v>1084</v>
      </c>
      <c r="EZ23" s="89"/>
      <c r="FA23" s="89"/>
      <c r="FB23" s="89"/>
      <c r="FC23" s="89"/>
      <c r="FD23" s="89"/>
      <c r="FE23" s="89"/>
      <c r="FF23" s="89"/>
      <c r="FG23" s="89"/>
      <c r="FH23" s="89"/>
      <c r="FI23" s="89"/>
      <c r="FJ23" s="89" t="s">
        <v>624</v>
      </c>
      <c r="FK23" s="89"/>
      <c r="FL23" s="89"/>
      <c r="FM23" s="89"/>
      <c r="FN23" s="89"/>
      <c r="FO23" s="89"/>
      <c r="FP23" s="89"/>
      <c r="FQ23" s="89"/>
      <c r="FR23" s="89"/>
      <c r="FS23" s="89"/>
      <c r="FT23" s="89"/>
      <c r="FU23" s="89"/>
      <c r="FV23" s="89"/>
      <c r="FW23" s="89"/>
      <c r="FX23" s="89"/>
      <c r="FY23" s="89"/>
      <c r="FZ23" s="89"/>
      <c r="GA23" s="89"/>
      <c r="GB23" s="89"/>
      <c r="GC23" s="89"/>
      <c r="GD23" s="89"/>
      <c r="GE23" s="89"/>
      <c r="GF23" s="89"/>
      <c r="GG23" s="89"/>
      <c r="GH23" s="89"/>
      <c r="GI23" s="89"/>
      <c r="GJ23" s="89"/>
      <c r="GK23" s="89"/>
      <c r="GL23" s="89"/>
      <c r="GM23" s="89"/>
      <c r="GN23" s="89"/>
      <c r="GO23" s="89"/>
      <c r="GP23" s="89"/>
      <c r="GQ23" s="89"/>
      <c r="GR23" s="89"/>
      <c r="GS23" s="89"/>
      <c r="GT23" s="89"/>
      <c r="GU23" s="89"/>
      <c r="GV23" s="89"/>
      <c r="GW23" s="89"/>
      <c r="GX23" s="89"/>
    </row>
    <row r="24" spans="1:206" ht="15.75" x14ac:dyDescent="0.25">
      <c r="A24" s="6" t="s">
        <v>83</v>
      </c>
      <c r="B24" s="6" t="s">
        <v>86</v>
      </c>
      <c r="C24" s="89"/>
      <c r="D24" s="89"/>
      <c r="E24" s="89"/>
      <c r="F24" s="89"/>
      <c r="G24" s="89"/>
      <c r="H24" s="89"/>
      <c r="I24" s="89"/>
      <c r="J24" s="89"/>
      <c r="K24" s="89"/>
      <c r="L24" s="89"/>
      <c r="M24" s="89"/>
      <c r="N24" s="89"/>
      <c r="O24" s="89"/>
      <c r="P24" s="89"/>
      <c r="Q24" s="89"/>
      <c r="R24" s="89"/>
      <c r="S24" s="89"/>
      <c r="T24" s="89"/>
      <c r="U24" s="89"/>
      <c r="V24" s="89"/>
      <c r="W24" s="89"/>
      <c r="X24" s="89"/>
      <c r="Y24" s="89"/>
      <c r="Z24" s="89"/>
      <c r="AA24" s="89"/>
      <c r="AB24" s="89"/>
      <c r="AC24" s="89"/>
      <c r="AD24" s="89"/>
      <c r="AE24" s="89"/>
      <c r="AF24" s="89"/>
      <c r="AG24" s="89" t="s">
        <v>631</v>
      </c>
      <c r="AH24" s="89"/>
      <c r="AI24" s="89"/>
      <c r="AJ24" s="89"/>
      <c r="AK24" s="89"/>
      <c r="AL24" s="89"/>
      <c r="AM24" s="89"/>
      <c r="AN24" s="89"/>
      <c r="AO24" s="89"/>
      <c r="AP24" s="89"/>
      <c r="AQ24" s="89"/>
      <c r="AR24" s="89"/>
      <c r="AS24" s="89" t="s">
        <v>632</v>
      </c>
      <c r="AT24" s="89"/>
      <c r="AU24" s="89"/>
      <c r="AV24" s="89"/>
      <c r="AW24" s="89"/>
      <c r="AX24" s="89"/>
      <c r="AY24" s="89"/>
      <c r="AZ24" s="89"/>
      <c r="BA24" s="89"/>
      <c r="BB24" s="89"/>
      <c r="BC24" s="89"/>
      <c r="BD24" s="89"/>
      <c r="BE24" s="89"/>
      <c r="BF24" s="89"/>
      <c r="BG24" s="89" t="s">
        <v>633</v>
      </c>
      <c r="BH24" s="89"/>
      <c r="BI24" s="89"/>
      <c r="BJ24" s="89"/>
      <c r="BK24" s="89"/>
      <c r="BL24" s="89"/>
      <c r="BM24" s="89"/>
      <c r="BN24" s="89"/>
      <c r="BO24" s="89"/>
      <c r="BP24" s="89"/>
      <c r="BQ24" s="89"/>
      <c r="BR24" s="89"/>
      <c r="BS24" s="89"/>
      <c r="BT24" s="89"/>
      <c r="BU24" s="89"/>
      <c r="BV24" s="89"/>
      <c r="BW24" s="89"/>
      <c r="BX24" s="89"/>
      <c r="BY24" s="89"/>
      <c r="BZ24" s="89"/>
      <c r="CA24" s="89"/>
      <c r="CB24" s="89"/>
      <c r="CC24" s="89"/>
      <c r="CD24" s="89"/>
      <c r="CE24" s="89"/>
      <c r="CF24" s="89"/>
      <c r="CG24" s="89"/>
      <c r="CH24" s="89"/>
      <c r="CI24" s="89"/>
      <c r="CJ24" s="89"/>
      <c r="CK24" s="89"/>
      <c r="CL24" s="89"/>
      <c r="CM24" s="89"/>
      <c r="CN24" s="89"/>
      <c r="CO24" s="89"/>
      <c r="CP24" s="89"/>
      <c r="CQ24" s="89"/>
      <c r="CR24" s="89"/>
      <c r="CS24" s="89"/>
      <c r="CT24" s="89"/>
      <c r="CU24" s="89"/>
      <c r="CV24" s="89"/>
      <c r="CW24" s="89"/>
      <c r="CX24" s="89"/>
      <c r="CY24" s="89"/>
      <c r="CZ24" s="89"/>
      <c r="DA24" s="89"/>
      <c r="DB24" s="89"/>
      <c r="DC24" s="89" t="s">
        <v>634</v>
      </c>
      <c r="DD24" s="89"/>
      <c r="DE24" s="89"/>
      <c r="DF24" s="89"/>
      <c r="DG24" s="89"/>
      <c r="DH24" s="89"/>
      <c r="DI24" s="89"/>
      <c r="DJ24" s="89"/>
      <c r="DK24" s="89"/>
      <c r="DL24" s="89"/>
      <c r="DM24" s="89"/>
      <c r="DN24" s="89"/>
      <c r="DO24" s="89"/>
      <c r="DP24" s="89"/>
      <c r="DQ24" s="89"/>
      <c r="DR24" s="89"/>
      <c r="DS24" s="89"/>
      <c r="DT24" s="89"/>
      <c r="DU24" s="89"/>
      <c r="DV24" s="89"/>
      <c r="DW24" s="89"/>
      <c r="DX24" s="89" t="s">
        <v>635</v>
      </c>
      <c r="DY24" s="89" t="s">
        <v>636</v>
      </c>
      <c r="DZ24" s="89"/>
      <c r="EA24" s="89"/>
      <c r="EB24" s="89" t="s">
        <v>637</v>
      </c>
      <c r="EC24" s="89" t="s">
        <v>638</v>
      </c>
      <c r="ED24" s="89"/>
      <c r="EE24" s="89"/>
      <c r="EF24" s="89"/>
      <c r="EG24" s="89"/>
      <c r="EH24" s="89"/>
      <c r="EI24" s="89"/>
      <c r="EJ24" s="89"/>
      <c r="EK24" s="89"/>
      <c r="EL24" s="89"/>
      <c r="EM24" s="89"/>
      <c r="EN24" s="89"/>
      <c r="EO24" s="89"/>
      <c r="EP24" s="89"/>
      <c r="EQ24" s="89" t="s">
        <v>514</v>
      </c>
      <c r="ER24" s="89" t="s">
        <v>639</v>
      </c>
      <c r="ES24" s="89"/>
      <c r="ET24" s="89"/>
      <c r="EU24" s="89"/>
      <c r="EV24" s="89"/>
      <c r="EW24" s="89"/>
      <c r="EX24" s="89"/>
      <c r="EY24" s="89"/>
      <c r="EZ24" s="89"/>
      <c r="FA24" s="89"/>
      <c r="FB24" s="89"/>
      <c r="FC24" s="89"/>
      <c r="FD24" s="89"/>
      <c r="FE24" s="89"/>
      <c r="FF24" s="89"/>
      <c r="FG24" s="89"/>
      <c r="FH24" s="89"/>
      <c r="FI24" s="89"/>
      <c r="FJ24" s="89"/>
      <c r="FK24" s="89"/>
      <c r="FL24" s="89"/>
      <c r="FM24" s="89"/>
      <c r="FN24" s="89"/>
      <c r="FO24" s="89"/>
      <c r="FP24" s="89"/>
      <c r="FQ24" s="89"/>
      <c r="FR24" s="89" t="s">
        <v>640</v>
      </c>
      <c r="FS24" s="89"/>
      <c r="FT24" s="89"/>
      <c r="FU24" s="89"/>
      <c r="FV24" s="89"/>
      <c r="FW24" s="89"/>
      <c r="FX24" s="89"/>
      <c r="FY24" s="89"/>
      <c r="FZ24" s="89"/>
      <c r="GA24" s="89" t="s">
        <v>641</v>
      </c>
      <c r="GB24" s="89"/>
      <c r="GC24" s="89"/>
      <c r="GD24" s="89" t="s">
        <v>641</v>
      </c>
      <c r="GE24" s="89"/>
      <c r="GF24" s="89"/>
      <c r="GG24" s="89"/>
      <c r="GH24" s="89"/>
      <c r="GI24" s="89"/>
      <c r="GJ24" s="89"/>
      <c r="GK24" s="89"/>
      <c r="GL24" s="89"/>
      <c r="GM24" s="89"/>
      <c r="GN24" s="89"/>
      <c r="GO24" s="89"/>
      <c r="GP24" s="89"/>
      <c r="GQ24" s="89"/>
      <c r="GR24" s="89"/>
      <c r="GS24" s="89"/>
      <c r="GT24" s="89"/>
      <c r="GU24" s="89"/>
      <c r="GV24" s="89"/>
      <c r="GW24" s="89"/>
      <c r="GX24" s="89"/>
    </row>
    <row r="25" spans="1:206" ht="15.75" x14ac:dyDescent="0.25">
      <c r="A25" s="6" t="s">
        <v>84</v>
      </c>
      <c r="B25" s="6" t="s">
        <v>87</v>
      </c>
      <c r="C25" s="89"/>
      <c r="D25" s="89" t="s">
        <v>642</v>
      </c>
      <c r="E25" s="89"/>
      <c r="F25" s="89"/>
      <c r="G25" s="89"/>
      <c r="H25" s="89"/>
      <c r="I25" s="89"/>
      <c r="J25" s="89"/>
      <c r="K25" s="89"/>
      <c r="L25" s="89" t="s">
        <v>643</v>
      </c>
      <c r="M25" s="89"/>
      <c r="N25" s="89"/>
      <c r="O25" s="89"/>
      <c r="P25" s="89"/>
      <c r="Q25" s="89"/>
      <c r="R25" s="89"/>
      <c r="S25" s="89"/>
      <c r="T25" s="89"/>
      <c r="U25" s="89"/>
      <c r="V25" s="89"/>
      <c r="W25" s="89"/>
      <c r="X25" s="89"/>
      <c r="Y25" s="89"/>
      <c r="Z25" s="89"/>
      <c r="AA25" s="89"/>
      <c r="AB25" s="89"/>
      <c r="AC25" s="89" t="s">
        <v>644</v>
      </c>
      <c r="AD25" s="89"/>
      <c r="AE25" s="89"/>
      <c r="AF25" s="89"/>
      <c r="AG25" s="89"/>
      <c r="AH25" s="89"/>
      <c r="AI25" s="89"/>
      <c r="AJ25" s="89"/>
      <c r="AK25" s="89" t="s">
        <v>645</v>
      </c>
      <c r="AL25" s="89"/>
      <c r="AM25" s="89"/>
      <c r="AN25" s="89"/>
      <c r="AO25" s="89"/>
      <c r="AP25" s="89"/>
      <c r="AQ25" s="89"/>
      <c r="AR25" s="89"/>
      <c r="AS25" s="89" t="s">
        <v>646</v>
      </c>
      <c r="AT25" s="89"/>
      <c r="AU25" s="89"/>
      <c r="AV25" s="89"/>
      <c r="AW25" s="89"/>
      <c r="AX25" s="89"/>
      <c r="AY25" s="89"/>
      <c r="AZ25" s="89"/>
      <c r="BA25" s="89" t="s">
        <v>647</v>
      </c>
      <c r="BB25" s="89"/>
      <c r="BC25" s="89" t="s">
        <v>648</v>
      </c>
      <c r="BD25" s="89"/>
      <c r="BE25" s="89"/>
      <c r="BF25" s="89"/>
      <c r="BG25" s="89"/>
      <c r="BH25" s="89"/>
      <c r="BI25" s="89"/>
      <c r="BJ25" s="89"/>
      <c r="BK25" s="89"/>
      <c r="BL25" s="89"/>
      <c r="BM25" s="89"/>
      <c r="BN25" s="89"/>
      <c r="BO25" s="89"/>
      <c r="BP25" s="89"/>
      <c r="BQ25" s="89"/>
      <c r="BR25" s="89"/>
      <c r="BS25" s="89"/>
      <c r="BT25" s="89"/>
      <c r="BU25" s="89"/>
      <c r="BV25" s="89"/>
      <c r="BW25" s="89"/>
      <c r="BX25" s="89"/>
      <c r="BY25" s="89"/>
      <c r="BZ25" s="89"/>
      <c r="CA25" s="89"/>
      <c r="CB25" s="89"/>
      <c r="CC25" s="89"/>
      <c r="CD25" s="89"/>
      <c r="CE25" s="89"/>
      <c r="CF25" s="89"/>
      <c r="CG25" s="89"/>
      <c r="CH25" s="89"/>
      <c r="CI25" s="89"/>
      <c r="CJ25" s="89" t="s">
        <v>649</v>
      </c>
      <c r="CK25" s="89"/>
      <c r="CL25" s="89"/>
      <c r="CM25" s="89" t="s">
        <v>650</v>
      </c>
      <c r="CN25" s="89"/>
      <c r="CO25" s="89"/>
      <c r="CP25" s="89"/>
      <c r="CQ25" s="89"/>
      <c r="CR25" s="89"/>
      <c r="CS25" s="89"/>
      <c r="CT25" s="89"/>
      <c r="CU25" s="89"/>
      <c r="CV25" s="89"/>
      <c r="CW25" s="89"/>
      <c r="CX25" s="89"/>
      <c r="CY25" s="89"/>
      <c r="CZ25" s="89"/>
      <c r="DA25" s="89"/>
      <c r="DB25" s="89"/>
      <c r="DC25" s="89" t="s">
        <v>642</v>
      </c>
      <c r="DD25" s="89"/>
      <c r="DE25" s="89"/>
      <c r="DF25" s="89"/>
      <c r="DG25" s="89"/>
      <c r="DH25" s="89"/>
      <c r="DI25" s="89"/>
      <c r="DJ25" s="89"/>
      <c r="DK25" s="89" t="s">
        <v>645</v>
      </c>
      <c r="DL25" s="89"/>
      <c r="DM25" s="89"/>
      <c r="DN25" s="89" t="s">
        <v>651</v>
      </c>
      <c r="DO25" s="89"/>
      <c r="DP25" s="89" t="s">
        <v>652</v>
      </c>
      <c r="DQ25" s="89"/>
      <c r="DR25" s="89"/>
      <c r="DS25" s="89"/>
      <c r="DT25" s="89"/>
      <c r="DU25" s="89"/>
      <c r="DV25" s="89"/>
      <c r="DW25" s="89"/>
      <c r="DX25" s="89"/>
      <c r="DY25" s="89"/>
      <c r="DZ25" s="89"/>
      <c r="EA25" s="89"/>
      <c r="EB25" s="89"/>
      <c r="EC25" s="89"/>
      <c r="ED25" s="89"/>
      <c r="EE25" s="89"/>
      <c r="EF25" s="89" t="s">
        <v>642</v>
      </c>
      <c r="EG25" s="89"/>
      <c r="EH25" s="89"/>
      <c r="EI25" s="89"/>
      <c r="EJ25" s="89"/>
      <c r="EK25" s="89"/>
      <c r="EL25" s="89"/>
      <c r="EM25" s="89"/>
      <c r="EN25" s="89"/>
      <c r="EO25" s="89"/>
      <c r="EP25" s="89"/>
      <c r="EQ25" s="89" t="s">
        <v>514</v>
      </c>
      <c r="ER25" s="89" t="s">
        <v>1085</v>
      </c>
      <c r="ES25" s="89"/>
      <c r="ET25" s="89"/>
      <c r="EU25" s="89"/>
      <c r="EV25" s="89"/>
      <c r="EW25" s="89"/>
      <c r="EX25" s="89"/>
      <c r="EY25" s="89"/>
      <c r="EZ25" s="89"/>
      <c r="FA25" s="89"/>
      <c r="FB25" s="89"/>
      <c r="FC25" s="89"/>
      <c r="FD25" s="89"/>
      <c r="FE25" s="89"/>
      <c r="FF25" s="89"/>
      <c r="FG25" s="89"/>
      <c r="FH25" s="89"/>
      <c r="FI25" s="89"/>
      <c r="FJ25" s="89"/>
      <c r="FK25" s="89"/>
      <c r="FL25" s="89"/>
      <c r="FM25" s="89"/>
      <c r="FN25" s="89"/>
      <c r="FO25" s="89"/>
      <c r="FP25" s="89"/>
      <c r="FQ25" s="89"/>
      <c r="FR25" s="89"/>
      <c r="FS25" s="89"/>
      <c r="FT25" s="89"/>
      <c r="FU25" s="89"/>
      <c r="FV25" s="89"/>
      <c r="FW25" s="89"/>
      <c r="FX25" s="89"/>
      <c r="FY25" s="89"/>
      <c r="FZ25" s="89" t="s">
        <v>657</v>
      </c>
      <c r="GA25" s="89"/>
      <c r="GB25" s="89"/>
      <c r="GC25" s="89" t="s">
        <v>658</v>
      </c>
      <c r="GD25" s="89"/>
      <c r="GE25" s="89"/>
      <c r="GF25" s="89"/>
      <c r="GG25" s="89"/>
      <c r="GH25" s="89"/>
      <c r="GI25" s="89"/>
      <c r="GJ25" s="89"/>
      <c r="GK25" s="89"/>
      <c r="GL25" s="89"/>
      <c r="GM25" s="89" t="s">
        <v>651</v>
      </c>
      <c r="GN25" s="89"/>
      <c r="GO25" s="89"/>
      <c r="GP25" s="89"/>
      <c r="GQ25" s="89"/>
      <c r="GR25" s="89" t="s">
        <v>659</v>
      </c>
      <c r="GS25" s="89"/>
      <c r="GT25" s="89"/>
      <c r="GU25" s="89"/>
      <c r="GV25" s="89"/>
      <c r="GW25" s="89"/>
      <c r="GX25" s="89"/>
    </row>
    <row r="26" spans="1:206" ht="15.75" x14ac:dyDescent="0.25">
      <c r="A26" s="6" t="s">
        <v>19</v>
      </c>
      <c r="B26" s="6" t="s">
        <v>113</v>
      </c>
      <c r="C26" s="89" t="s">
        <v>660</v>
      </c>
      <c r="D26" s="89"/>
      <c r="E26" s="89"/>
      <c r="F26" s="89"/>
      <c r="G26" s="89"/>
      <c r="H26" s="89"/>
      <c r="I26" s="89"/>
      <c r="J26" s="89"/>
      <c r="K26" s="89"/>
      <c r="L26" s="89"/>
      <c r="M26" s="89"/>
      <c r="N26" s="89"/>
      <c r="O26" s="89"/>
      <c r="P26" s="89"/>
      <c r="Q26" s="89"/>
      <c r="R26" s="89"/>
      <c r="S26" s="89"/>
      <c r="T26" s="89"/>
      <c r="U26" s="89"/>
      <c r="V26" s="89"/>
      <c r="W26" s="89"/>
      <c r="X26" s="89"/>
      <c r="Y26" s="89"/>
      <c r="Z26" s="89"/>
      <c r="AA26" s="89"/>
      <c r="AB26" s="89"/>
      <c r="AC26" s="89"/>
      <c r="AD26" s="89"/>
      <c r="AE26" s="89"/>
      <c r="AF26" s="89"/>
      <c r="AG26" s="89"/>
      <c r="AH26" s="89"/>
      <c r="AI26" s="89"/>
      <c r="AJ26" s="89" t="s">
        <v>661</v>
      </c>
      <c r="AK26" s="89"/>
      <c r="AL26" s="89"/>
      <c r="AM26" s="89"/>
      <c r="AN26" s="89"/>
      <c r="AO26" s="89"/>
      <c r="AP26" s="89"/>
      <c r="AQ26" s="89"/>
      <c r="AR26" s="89"/>
      <c r="AS26" s="89"/>
      <c r="AT26" s="89"/>
      <c r="AU26" s="89"/>
      <c r="AV26" s="89"/>
      <c r="AW26" s="89"/>
      <c r="AX26" s="89"/>
      <c r="AY26" s="89"/>
      <c r="AZ26" s="89"/>
      <c r="BA26" s="89"/>
      <c r="BB26" s="89"/>
      <c r="BC26" s="89"/>
      <c r="BD26" s="89"/>
      <c r="BE26" s="89"/>
      <c r="BF26" s="89"/>
      <c r="BG26" s="89"/>
      <c r="BH26" s="89"/>
      <c r="BI26" s="89"/>
      <c r="BJ26" s="89"/>
      <c r="BK26" s="89"/>
      <c r="BL26" s="89"/>
      <c r="BM26" s="89"/>
      <c r="BN26" s="89"/>
      <c r="BO26" s="89"/>
      <c r="BP26" s="89"/>
      <c r="BQ26" s="89" t="s">
        <v>662</v>
      </c>
      <c r="BR26" s="89"/>
      <c r="BS26" s="89" t="s">
        <v>663</v>
      </c>
      <c r="BT26" s="89"/>
      <c r="BU26" s="89"/>
      <c r="BV26" s="89" t="s">
        <v>664</v>
      </c>
      <c r="BW26" s="89"/>
      <c r="BX26" s="89"/>
      <c r="BY26" s="89"/>
      <c r="BZ26" s="89"/>
      <c r="CA26" s="89"/>
      <c r="CB26" s="89"/>
      <c r="CC26" s="89"/>
      <c r="CD26" s="89"/>
      <c r="CE26" s="89"/>
      <c r="CF26" s="89"/>
      <c r="CG26" s="89"/>
      <c r="CH26" s="89"/>
      <c r="CI26" s="89"/>
      <c r="CJ26" s="89"/>
      <c r="CK26" s="89"/>
      <c r="CL26" s="89" t="s">
        <v>665</v>
      </c>
      <c r="CM26" s="89"/>
      <c r="CN26" s="89"/>
      <c r="CO26" s="89"/>
      <c r="CP26" s="89"/>
      <c r="CQ26" s="89"/>
      <c r="CR26" s="89"/>
      <c r="CS26" s="89"/>
      <c r="CT26" s="89"/>
      <c r="CU26" s="89"/>
      <c r="CV26" s="89"/>
      <c r="CW26" s="89"/>
      <c r="CX26" s="89"/>
      <c r="CY26" s="89"/>
      <c r="CZ26" s="89"/>
      <c r="DA26" s="89"/>
      <c r="DB26" s="89"/>
      <c r="DC26" s="89"/>
      <c r="DD26" s="89"/>
      <c r="DE26" s="89"/>
      <c r="DF26" s="89"/>
      <c r="DG26" s="89"/>
      <c r="DH26" s="89"/>
      <c r="DI26" s="89"/>
      <c r="DJ26" s="89"/>
      <c r="DK26" s="89"/>
      <c r="DL26" s="89"/>
      <c r="DM26" s="89"/>
      <c r="DN26" s="89"/>
      <c r="DO26" s="89"/>
      <c r="DP26" s="89"/>
      <c r="DQ26" s="89"/>
      <c r="DR26" s="89"/>
      <c r="DS26" s="89"/>
      <c r="DT26" s="89"/>
      <c r="DU26" s="89"/>
      <c r="DV26" s="89"/>
      <c r="DW26" s="89"/>
      <c r="DX26" s="89"/>
      <c r="DY26" s="89"/>
      <c r="DZ26" s="89"/>
      <c r="EA26" s="89"/>
      <c r="EB26" s="89"/>
      <c r="EC26" s="89" t="s">
        <v>666</v>
      </c>
      <c r="ED26" s="89"/>
      <c r="EE26" s="89"/>
      <c r="EF26" s="89"/>
      <c r="EG26" s="89"/>
      <c r="EH26" s="89"/>
      <c r="EI26" s="89"/>
      <c r="EJ26" s="89"/>
      <c r="EK26" s="89"/>
      <c r="EL26" s="89"/>
      <c r="EM26" s="89"/>
      <c r="EN26" s="89"/>
      <c r="EO26" s="89"/>
      <c r="EP26" s="89"/>
      <c r="EQ26" s="89"/>
      <c r="ER26" s="89" t="s">
        <v>667</v>
      </c>
      <c r="ES26" s="89"/>
      <c r="ET26" s="89"/>
      <c r="EU26" s="89"/>
      <c r="EV26" s="89"/>
      <c r="EW26" s="89"/>
      <c r="EX26" s="89"/>
      <c r="EY26" s="89"/>
      <c r="EZ26" s="89"/>
      <c r="FA26" s="89"/>
      <c r="FB26" s="89"/>
      <c r="FC26" s="89"/>
      <c r="FD26" s="89" t="s">
        <v>668</v>
      </c>
      <c r="FE26" s="89"/>
      <c r="FF26" s="89"/>
      <c r="FG26" s="89" t="s">
        <v>1049</v>
      </c>
      <c r="FH26" s="89"/>
      <c r="FI26" s="89"/>
      <c r="FJ26" s="89"/>
      <c r="FK26" s="89"/>
      <c r="FL26" s="89"/>
      <c r="FM26" s="89"/>
      <c r="FN26" s="89"/>
      <c r="FO26" s="89"/>
      <c r="FP26" s="89"/>
      <c r="FQ26" s="89"/>
      <c r="FR26" s="89"/>
      <c r="FS26" s="89"/>
      <c r="FT26" s="89"/>
      <c r="FU26" s="89"/>
      <c r="FV26" s="89"/>
      <c r="FW26" s="89"/>
      <c r="FX26" s="89"/>
      <c r="FY26" s="89"/>
      <c r="FZ26" s="89"/>
      <c r="GA26" s="89"/>
      <c r="GB26" s="89"/>
      <c r="GC26" s="89"/>
      <c r="GD26" s="89"/>
      <c r="GE26" s="89"/>
      <c r="GF26" s="89"/>
      <c r="GG26" s="89"/>
      <c r="GH26" s="89"/>
      <c r="GI26" s="89"/>
      <c r="GJ26" s="89"/>
      <c r="GK26" s="89"/>
      <c r="GL26" s="89"/>
      <c r="GM26" s="89"/>
      <c r="GN26" s="89" t="s">
        <v>669</v>
      </c>
      <c r="GO26" s="89"/>
      <c r="GP26" s="89"/>
      <c r="GQ26" s="89"/>
      <c r="GR26" s="89"/>
      <c r="GS26" s="89"/>
      <c r="GT26" s="89" t="s">
        <v>670</v>
      </c>
      <c r="GU26" s="89"/>
      <c r="GV26" s="89"/>
      <c r="GW26" s="89"/>
      <c r="GX26" s="89"/>
    </row>
    <row r="27" spans="1:206" ht="15.75" x14ac:dyDescent="0.25">
      <c r="A27" s="6" t="s">
        <v>64</v>
      </c>
      <c r="B27" s="6" t="s">
        <v>65</v>
      </c>
      <c r="C27" s="89" t="s">
        <v>671</v>
      </c>
      <c r="D27" s="89"/>
      <c r="E27" s="89"/>
      <c r="F27" s="89"/>
      <c r="G27" s="89" t="s">
        <v>671</v>
      </c>
      <c r="H27" s="89"/>
      <c r="I27" s="89" t="s">
        <v>671</v>
      </c>
      <c r="J27" s="89"/>
      <c r="K27" s="89"/>
      <c r="L27" s="89"/>
      <c r="M27" s="89"/>
      <c r="N27" s="89"/>
      <c r="O27" s="89"/>
      <c r="P27" s="89"/>
      <c r="Q27" s="89" t="s">
        <v>671</v>
      </c>
      <c r="R27" s="89"/>
      <c r="S27" s="89"/>
      <c r="T27" s="89"/>
      <c r="U27" s="89"/>
      <c r="V27" s="89"/>
      <c r="W27" s="89"/>
      <c r="X27" s="89" t="s">
        <v>672</v>
      </c>
      <c r="Y27" s="89"/>
      <c r="Z27" s="89"/>
      <c r="AA27" s="89"/>
      <c r="AB27" s="89"/>
      <c r="AC27" s="89"/>
      <c r="AD27" s="89"/>
      <c r="AE27" s="89"/>
      <c r="AF27" s="89"/>
      <c r="AG27" s="89"/>
      <c r="AH27" s="89"/>
      <c r="AI27" s="89"/>
      <c r="AJ27" s="89"/>
      <c r="AK27" s="89"/>
      <c r="AL27" s="89"/>
      <c r="AM27" s="89"/>
      <c r="AN27" s="89"/>
      <c r="AO27" s="89"/>
      <c r="AP27" s="89" t="s">
        <v>672</v>
      </c>
      <c r="AQ27" s="89"/>
      <c r="AR27" s="89"/>
      <c r="AS27" s="89"/>
      <c r="AT27" s="89"/>
      <c r="AU27" s="89"/>
      <c r="AV27" s="89" t="s">
        <v>673</v>
      </c>
      <c r="AW27" s="89"/>
      <c r="AX27" s="89" t="s">
        <v>673</v>
      </c>
      <c r="AY27" s="89"/>
      <c r="AZ27" s="89"/>
      <c r="BA27" s="89"/>
      <c r="BB27" s="89"/>
      <c r="BC27" s="89"/>
      <c r="BD27" s="89" t="s">
        <v>673</v>
      </c>
      <c r="BE27" s="89"/>
      <c r="BF27" s="89" t="s">
        <v>674</v>
      </c>
      <c r="BG27" s="89"/>
      <c r="BH27" s="89"/>
      <c r="BI27" s="89" t="s">
        <v>671</v>
      </c>
      <c r="BJ27" s="89"/>
      <c r="BK27" s="89"/>
      <c r="BL27" s="89"/>
      <c r="BM27" s="89" t="s">
        <v>1086</v>
      </c>
      <c r="BN27" s="89" t="s">
        <v>673</v>
      </c>
      <c r="BO27" s="89" t="s">
        <v>671</v>
      </c>
      <c r="BP27" s="89"/>
      <c r="BQ27" s="89"/>
      <c r="BR27" s="89" t="s">
        <v>673</v>
      </c>
      <c r="BS27" s="89"/>
      <c r="BT27" s="89"/>
      <c r="BU27" s="89"/>
      <c r="BV27" s="89"/>
      <c r="BW27" s="89"/>
      <c r="BX27" s="89"/>
      <c r="BY27" s="89" t="s">
        <v>673</v>
      </c>
      <c r="BZ27" s="89"/>
      <c r="CA27" s="89" t="s">
        <v>675</v>
      </c>
      <c r="CB27" s="89"/>
      <c r="CC27" s="89"/>
      <c r="CD27" s="89"/>
      <c r="CE27" s="89" t="s">
        <v>673</v>
      </c>
      <c r="CF27" s="89" t="s">
        <v>673</v>
      </c>
      <c r="CG27" s="89"/>
      <c r="CH27" s="89" t="s">
        <v>1086</v>
      </c>
      <c r="CI27" s="89"/>
      <c r="CJ27" s="89"/>
      <c r="CK27" s="89" t="s">
        <v>673</v>
      </c>
      <c r="CL27" s="89" t="s">
        <v>673</v>
      </c>
      <c r="CM27" s="89"/>
      <c r="CN27" s="89"/>
      <c r="CO27" s="89"/>
      <c r="CP27" s="89"/>
      <c r="CQ27" s="89"/>
      <c r="CR27" s="89" t="s">
        <v>671</v>
      </c>
      <c r="CS27" s="89"/>
      <c r="CT27" s="89"/>
      <c r="CU27" s="89" t="s">
        <v>671</v>
      </c>
      <c r="CV27" s="89"/>
      <c r="CW27" s="89"/>
      <c r="CX27" s="89"/>
      <c r="CY27" s="89"/>
      <c r="CZ27" s="89"/>
      <c r="DA27" s="89"/>
      <c r="DB27" s="89"/>
      <c r="DC27" s="89"/>
      <c r="DD27" s="89"/>
      <c r="DE27" s="89" t="s">
        <v>671</v>
      </c>
      <c r="DF27" s="89" t="s">
        <v>671</v>
      </c>
      <c r="DG27" s="89" t="s">
        <v>671</v>
      </c>
      <c r="DH27" s="89"/>
      <c r="DI27" s="89"/>
      <c r="DJ27" s="89" t="s">
        <v>672</v>
      </c>
      <c r="DK27" s="89" t="s">
        <v>671</v>
      </c>
      <c r="DL27" s="89"/>
      <c r="DM27" s="89"/>
      <c r="DN27" s="89"/>
      <c r="DO27" s="89"/>
      <c r="DP27" s="89" t="s">
        <v>671</v>
      </c>
      <c r="DQ27" s="89" t="s">
        <v>671</v>
      </c>
      <c r="DR27" s="89" t="s">
        <v>671</v>
      </c>
      <c r="DS27" s="89"/>
      <c r="DT27" s="89" t="s">
        <v>672</v>
      </c>
      <c r="DU27" s="89"/>
      <c r="DV27" s="89" t="s">
        <v>673</v>
      </c>
      <c r="DW27" s="89"/>
      <c r="DX27" s="89"/>
      <c r="DY27" s="89"/>
      <c r="DZ27" s="89" t="s">
        <v>673</v>
      </c>
      <c r="EA27" s="89"/>
      <c r="EB27" s="89" t="s">
        <v>676</v>
      </c>
      <c r="EC27" s="89" t="s">
        <v>671</v>
      </c>
      <c r="ED27" s="89"/>
      <c r="EE27" s="89" t="s">
        <v>671</v>
      </c>
      <c r="EF27" s="89" t="s">
        <v>671</v>
      </c>
      <c r="EG27" s="89"/>
      <c r="EH27" s="89"/>
      <c r="EI27" s="89" t="s">
        <v>671</v>
      </c>
      <c r="EJ27" s="89"/>
      <c r="EK27" s="89"/>
      <c r="EL27" s="89" t="s">
        <v>671</v>
      </c>
      <c r="EM27" s="89"/>
      <c r="EN27" s="89"/>
      <c r="EO27" s="89"/>
      <c r="EP27" s="89" t="s">
        <v>671</v>
      </c>
      <c r="EQ27" s="89" t="s">
        <v>672</v>
      </c>
      <c r="ER27" s="89"/>
      <c r="ES27" s="89"/>
      <c r="ET27" s="89"/>
      <c r="EU27" s="89"/>
      <c r="EV27" s="89" t="s">
        <v>671</v>
      </c>
      <c r="EW27" s="89"/>
      <c r="EX27" s="89" t="s">
        <v>671</v>
      </c>
      <c r="EY27" s="89"/>
      <c r="EZ27" s="89" t="s">
        <v>671</v>
      </c>
      <c r="FA27" s="89"/>
      <c r="FB27" s="89"/>
      <c r="FC27" s="89"/>
      <c r="FD27" s="89" t="s">
        <v>673</v>
      </c>
      <c r="FE27" s="89"/>
      <c r="FF27" s="89"/>
      <c r="FG27" s="89" t="s">
        <v>671</v>
      </c>
      <c r="FH27" s="89"/>
      <c r="FI27" s="89"/>
      <c r="FJ27" s="89"/>
      <c r="FK27" s="89"/>
      <c r="FL27" s="89" t="s">
        <v>673</v>
      </c>
      <c r="FM27" s="89"/>
      <c r="FN27" s="89"/>
      <c r="FO27" s="89"/>
      <c r="FP27" s="89"/>
      <c r="FQ27" s="89"/>
      <c r="FR27" s="89" t="s">
        <v>1086</v>
      </c>
      <c r="FS27" s="89"/>
      <c r="FT27" s="89"/>
      <c r="FU27" s="89"/>
      <c r="FV27" s="89" t="s">
        <v>673</v>
      </c>
      <c r="FW27" s="89" t="s">
        <v>671</v>
      </c>
      <c r="FX27" s="89" t="s">
        <v>672</v>
      </c>
      <c r="FY27" s="89"/>
      <c r="FZ27" s="89"/>
      <c r="GA27" s="89"/>
      <c r="GB27" s="89"/>
      <c r="GC27" s="89"/>
      <c r="GD27" s="89"/>
      <c r="GE27" s="89"/>
      <c r="GF27" s="89"/>
      <c r="GG27" s="89"/>
      <c r="GH27" s="89" t="s">
        <v>673</v>
      </c>
      <c r="GI27" s="89"/>
      <c r="GJ27" s="89"/>
      <c r="GK27" s="89"/>
      <c r="GL27" s="89"/>
      <c r="GM27" s="89"/>
      <c r="GN27" s="89"/>
      <c r="GO27" s="89"/>
      <c r="GP27" s="89"/>
      <c r="GQ27" s="89"/>
      <c r="GR27" s="89"/>
      <c r="GS27" s="89"/>
      <c r="GT27" s="89" t="s">
        <v>671</v>
      </c>
      <c r="GU27" s="89"/>
      <c r="GV27" s="89" t="s">
        <v>671</v>
      </c>
      <c r="GW27" s="89" t="s">
        <v>673</v>
      </c>
      <c r="GX27" s="89"/>
    </row>
    <row r="28" spans="1:206" ht="15.75" x14ac:dyDescent="0.25">
      <c r="A28" s="6" t="s">
        <v>20</v>
      </c>
      <c r="B28" s="6" t="s">
        <v>21</v>
      </c>
      <c r="C28" s="89"/>
      <c r="D28" s="89"/>
      <c r="E28" s="89"/>
      <c r="F28" s="89"/>
      <c r="G28" s="89"/>
      <c r="H28" s="89"/>
      <c r="I28" s="89"/>
      <c r="J28" s="89"/>
      <c r="K28" s="89"/>
      <c r="L28" s="89"/>
      <c r="M28" s="89"/>
      <c r="N28" s="89"/>
      <c r="O28" s="89"/>
      <c r="P28" s="89"/>
      <c r="Q28" s="89" t="s">
        <v>677</v>
      </c>
      <c r="R28" s="89"/>
      <c r="S28" s="89"/>
      <c r="T28" s="89"/>
      <c r="U28" s="89"/>
      <c r="V28" s="89"/>
      <c r="W28" s="89"/>
      <c r="X28" s="89"/>
      <c r="Y28" s="89"/>
      <c r="Z28" s="89"/>
      <c r="AA28" s="89"/>
      <c r="AB28" s="89"/>
      <c r="AC28" s="89"/>
      <c r="AD28" s="89"/>
      <c r="AE28" s="89"/>
      <c r="AF28" s="89"/>
      <c r="AG28" s="89"/>
      <c r="AH28" s="89"/>
      <c r="AI28" s="89"/>
      <c r="AJ28" s="89"/>
      <c r="AK28" s="89"/>
      <c r="AL28" s="89"/>
      <c r="AM28" s="89"/>
      <c r="AN28" s="89"/>
      <c r="AO28" s="89"/>
      <c r="AP28" s="89"/>
      <c r="AQ28" s="89"/>
      <c r="AR28" s="89"/>
      <c r="AS28" s="89"/>
      <c r="AT28" s="89"/>
      <c r="AU28" s="89"/>
      <c r="AV28" s="89"/>
      <c r="AW28" s="89"/>
      <c r="AX28" s="89"/>
      <c r="AY28" s="89"/>
      <c r="AZ28" s="89"/>
      <c r="BA28" s="89"/>
      <c r="BB28" s="89"/>
      <c r="BC28" s="89"/>
      <c r="BD28" s="89"/>
      <c r="BE28" s="89" t="s">
        <v>1087</v>
      </c>
      <c r="BF28" s="89"/>
      <c r="BG28" s="89"/>
      <c r="BH28" s="89"/>
      <c r="BI28" s="89"/>
      <c r="BJ28" s="89"/>
      <c r="BK28" s="89"/>
      <c r="BL28" s="89"/>
      <c r="BM28" s="89"/>
      <c r="BN28" s="89"/>
      <c r="BO28" s="89" t="s">
        <v>678</v>
      </c>
      <c r="BP28" s="89"/>
      <c r="BQ28" s="89"/>
      <c r="BR28" s="89" t="s">
        <v>1142</v>
      </c>
      <c r="BS28" s="89"/>
      <c r="BT28" s="89"/>
      <c r="BU28" s="89"/>
      <c r="BV28" s="89"/>
      <c r="BW28" s="89"/>
      <c r="BX28" s="89"/>
      <c r="BY28" s="89"/>
      <c r="BZ28" s="89"/>
      <c r="CA28" s="89"/>
      <c r="CB28" s="89"/>
      <c r="CC28" s="89"/>
      <c r="CD28" s="89"/>
      <c r="CE28" s="89"/>
      <c r="CF28" s="89"/>
      <c r="CG28" s="89"/>
      <c r="CH28" s="89"/>
      <c r="CI28" s="89"/>
      <c r="CJ28" s="89"/>
      <c r="CK28" s="89"/>
      <c r="CL28" s="89"/>
      <c r="CM28" s="89"/>
      <c r="CN28" s="89"/>
      <c r="CO28" s="89"/>
      <c r="CP28" s="89"/>
      <c r="CQ28" s="89"/>
      <c r="CR28" s="89"/>
      <c r="CS28" s="89" t="s">
        <v>679</v>
      </c>
      <c r="CT28" s="89"/>
      <c r="CU28" s="89" t="s">
        <v>1088</v>
      </c>
      <c r="CV28" s="89"/>
      <c r="CW28" s="89"/>
      <c r="CX28" s="89"/>
      <c r="CY28" s="89"/>
      <c r="CZ28" s="89"/>
      <c r="DA28" s="89"/>
      <c r="DB28" s="89"/>
      <c r="DC28" s="89"/>
      <c r="DD28" s="89"/>
      <c r="DE28" s="89"/>
      <c r="DF28" s="89" t="s">
        <v>1089</v>
      </c>
      <c r="DG28" s="89"/>
      <c r="DH28" s="89"/>
      <c r="DI28" s="89"/>
      <c r="DJ28" s="89"/>
      <c r="DK28" s="89" t="s">
        <v>680</v>
      </c>
      <c r="DL28" s="89"/>
      <c r="DM28" s="89"/>
      <c r="DN28" s="89"/>
      <c r="DO28" s="89"/>
      <c r="DP28" s="89"/>
      <c r="DQ28" s="89"/>
      <c r="DR28" s="89"/>
      <c r="DS28" s="89"/>
      <c r="DT28" s="89"/>
      <c r="DU28" s="89"/>
      <c r="DV28" s="89"/>
      <c r="DW28" s="89"/>
      <c r="DX28" s="89"/>
      <c r="DY28" s="89"/>
      <c r="DZ28" s="89"/>
      <c r="EA28" s="89"/>
      <c r="EB28" s="89"/>
      <c r="EC28" s="89" t="s">
        <v>1090</v>
      </c>
      <c r="ED28" s="89"/>
      <c r="EE28" s="89"/>
      <c r="EF28" s="89"/>
      <c r="EG28" s="89"/>
      <c r="EH28" s="89"/>
      <c r="EI28" s="89"/>
      <c r="EJ28" s="89"/>
      <c r="EK28" s="89"/>
      <c r="EL28" s="89" t="s">
        <v>681</v>
      </c>
      <c r="EM28" s="89"/>
      <c r="EN28" s="89"/>
      <c r="EO28" s="89"/>
      <c r="EP28" s="89" t="s">
        <v>681</v>
      </c>
      <c r="EQ28" s="89"/>
      <c r="ER28" s="89" t="s">
        <v>682</v>
      </c>
      <c r="ES28" s="89"/>
      <c r="ET28" s="89"/>
      <c r="EU28" s="89"/>
      <c r="EV28" s="89" t="s">
        <v>1091</v>
      </c>
      <c r="EW28" s="89"/>
      <c r="EX28" s="89" t="s">
        <v>679</v>
      </c>
      <c r="EY28" s="89"/>
      <c r="EZ28" s="89"/>
      <c r="FA28" s="89"/>
      <c r="FB28" s="89"/>
      <c r="FC28" s="89"/>
      <c r="FD28" s="89" t="s">
        <v>1143</v>
      </c>
      <c r="FE28" s="89"/>
      <c r="FF28" s="89"/>
      <c r="FG28" s="89"/>
      <c r="FH28" s="89"/>
      <c r="FI28" s="89"/>
      <c r="FJ28" s="89"/>
      <c r="FK28" s="89"/>
      <c r="FL28" s="89"/>
      <c r="FM28" s="89"/>
      <c r="FN28" s="89"/>
      <c r="FO28" s="89"/>
      <c r="FP28" s="89"/>
      <c r="FQ28" s="89"/>
      <c r="FR28" s="89"/>
      <c r="FS28" s="89"/>
      <c r="FT28" s="89"/>
      <c r="FU28" s="89"/>
      <c r="FV28" s="89"/>
      <c r="FW28" s="89" t="s">
        <v>1092</v>
      </c>
      <c r="FX28" s="89"/>
      <c r="FY28" s="89"/>
      <c r="FZ28" s="89"/>
      <c r="GA28" s="89" t="s">
        <v>679</v>
      </c>
      <c r="GB28" s="89"/>
      <c r="GC28" s="89"/>
      <c r="GD28" s="89" t="s">
        <v>679</v>
      </c>
      <c r="GE28" s="89"/>
      <c r="GF28" s="89"/>
      <c r="GG28" s="89"/>
      <c r="GH28" s="89"/>
      <c r="GI28" s="89"/>
      <c r="GJ28" s="89" t="s">
        <v>679</v>
      </c>
      <c r="GK28" s="89"/>
      <c r="GL28" s="89"/>
      <c r="GM28" s="89"/>
      <c r="GN28" s="89"/>
      <c r="GO28" s="89"/>
      <c r="GP28" s="89"/>
      <c r="GQ28" s="89" t="s">
        <v>683</v>
      </c>
      <c r="GR28" s="89"/>
      <c r="GS28" s="89"/>
      <c r="GT28" s="89"/>
      <c r="GU28" s="89"/>
      <c r="GV28" s="89"/>
      <c r="GW28" s="89"/>
      <c r="GX28" s="89"/>
    </row>
    <row r="29" spans="1:206" ht="15.75" x14ac:dyDescent="0.25">
      <c r="A29" s="6" t="s">
        <v>22</v>
      </c>
      <c r="B29" s="6" t="s">
        <v>23</v>
      </c>
      <c r="C29" s="89"/>
      <c r="D29" s="89" t="s">
        <v>684</v>
      </c>
      <c r="E29" s="89"/>
      <c r="F29" s="89"/>
      <c r="G29" s="89"/>
      <c r="H29" s="89"/>
      <c r="I29" s="89"/>
      <c r="J29" s="89"/>
      <c r="K29" s="89"/>
      <c r="L29" s="89"/>
      <c r="M29" s="89" t="s">
        <v>686</v>
      </c>
      <c r="N29" s="89"/>
      <c r="O29" s="89"/>
      <c r="P29" s="89"/>
      <c r="Q29" s="89"/>
      <c r="R29" s="89"/>
      <c r="S29" s="89"/>
      <c r="T29" s="89"/>
      <c r="U29" s="89"/>
      <c r="V29" s="89"/>
      <c r="W29" s="89"/>
      <c r="X29" s="89"/>
      <c r="Y29" s="89"/>
      <c r="Z29" s="89"/>
      <c r="AA29" s="89"/>
      <c r="AB29" s="89"/>
      <c r="AC29" s="89"/>
      <c r="AD29" s="89"/>
      <c r="AE29" s="89"/>
      <c r="AF29" s="89"/>
      <c r="AG29" s="89"/>
      <c r="AH29" s="89"/>
      <c r="AI29" s="89"/>
      <c r="AJ29" s="89"/>
      <c r="AK29" s="89"/>
      <c r="AL29" s="89"/>
      <c r="AM29" s="89"/>
      <c r="AN29" s="89"/>
      <c r="AO29" s="89"/>
      <c r="AP29" s="89"/>
      <c r="AQ29" s="89"/>
      <c r="AR29" s="89"/>
      <c r="AS29" s="89"/>
      <c r="AT29" s="89"/>
      <c r="AU29" s="89"/>
      <c r="AV29" s="89"/>
      <c r="AW29" s="89"/>
      <c r="AX29" s="89"/>
      <c r="AY29" s="89"/>
      <c r="AZ29" s="89"/>
      <c r="BA29" s="89"/>
      <c r="BB29" s="89"/>
      <c r="BC29" s="89"/>
      <c r="BD29" s="89"/>
      <c r="BE29" s="89"/>
      <c r="BF29" s="89"/>
      <c r="BG29" s="89"/>
      <c r="BH29" s="89"/>
      <c r="BI29" s="89"/>
      <c r="BJ29" s="89"/>
      <c r="BK29" s="89"/>
      <c r="BL29" s="89"/>
      <c r="BM29" s="89"/>
      <c r="BN29" s="89"/>
      <c r="BO29" s="89"/>
      <c r="BP29" s="89"/>
      <c r="BQ29" s="89"/>
      <c r="BR29" s="89"/>
      <c r="BS29" s="89"/>
      <c r="BT29" s="89"/>
      <c r="BU29" s="89"/>
      <c r="BV29" s="89"/>
      <c r="BW29" s="89"/>
      <c r="BX29" s="89"/>
      <c r="BY29" s="89"/>
      <c r="BZ29" s="89"/>
      <c r="CA29" s="89"/>
      <c r="CB29" s="89"/>
      <c r="CC29" s="89"/>
      <c r="CD29" s="89"/>
      <c r="CE29" s="89"/>
      <c r="CF29" s="89"/>
      <c r="CG29" s="89"/>
      <c r="CH29" s="89"/>
      <c r="CI29" s="89"/>
      <c r="CJ29" s="89"/>
      <c r="CK29" s="89"/>
      <c r="CL29" s="89"/>
      <c r="CM29" s="89"/>
      <c r="CN29" s="89"/>
      <c r="CO29" s="89"/>
      <c r="CP29" s="89"/>
      <c r="CQ29" s="89"/>
      <c r="CR29" s="89"/>
      <c r="CS29" s="89"/>
      <c r="CT29" s="89"/>
      <c r="CU29" s="89"/>
      <c r="CV29" s="89"/>
      <c r="CW29" s="89"/>
      <c r="CX29" s="89"/>
      <c r="CY29" s="89"/>
      <c r="CZ29" s="89"/>
      <c r="DA29" s="89"/>
      <c r="DB29" s="89"/>
      <c r="DC29" s="89"/>
      <c r="DD29" s="89" t="s">
        <v>687</v>
      </c>
      <c r="DE29" s="89" t="s">
        <v>1093</v>
      </c>
      <c r="DF29" s="89"/>
      <c r="DG29" s="89"/>
      <c r="DH29" s="89"/>
      <c r="DI29" s="89"/>
      <c r="DJ29" s="89"/>
      <c r="DK29" s="89"/>
      <c r="DL29" s="89"/>
      <c r="DM29" s="89"/>
      <c r="DN29" s="89"/>
      <c r="DO29" s="89"/>
      <c r="DP29" s="89"/>
      <c r="DQ29" s="89"/>
      <c r="DR29" s="89"/>
      <c r="DS29" s="89"/>
      <c r="DT29" s="89"/>
      <c r="DU29" s="89"/>
      <c r="DV29" s="89"/>
      <c r="DW29" s="89" t="s">
        <v>689</v>
      </c>
      <c r="DX29" s="89"/>
      <c r="DY29" s="89"/>
      <c r="DZ29" s="89"/>
      <c r="EA29" s="89"/>
      <c r="EB29" s="89"/>
      <c r="EC29" s="89"/>
      <c r="ED29" s="89"/>
      <c r="EE29" s="89"/>
      <c r="EF29" s="89"/>
      <c r="EG29" s="89"/>
      <c r="EH29" s="89"/>
      <c r="EI29" s="89"/>
      <c r="EJ29" s="89"/>
      <c r="EK29" s="89"/>
      <c r="EL29" s="89"/>
      <c r="EM29" s="89"/>
      <c r="EN29" s="89"/>
      <c r="EO29" s="89"/>
      <c r="EP29" s="89"/>
      <c r="EQ29" s="89"/>
      <c r="ER29" s="89" t="s">
        <v>690</v>
      </c>
      <c r="ES29" s="89"/>
      <c r="ET29" s="89"/>
      <c r="EU29" s="89"/>
      <c r="EV29" s="89"/>
      <c r="EW29" s="89"/>
      <c r="EX29" s="89" t="s">
        <v>689</v>
      </c>
      <c r="EY29" s="89"/>
      <c r="EZ29" s="89"/>
      <c r="FA29" s="89"/>
      <c r="FB29" s="89"/>
      <c r="FC29" s="89"/>
      <c r="FD29" s="89"/>
      <c r="FE29" s="89"/>
      <c r="FF29" s="89"/>
      <c r="FG29" s="89"/>
      <c r="FH29" s="89"/>
      <c r="FI29" s="89"/>
      <c r="FJ29" s="89"/>
      <c r="FK29" s="89"/>
      <c r="FL29" s="89"/>
      <c r="FM29" s="89"/>
      <c r="FN29" s="89"/>
      <c r="FO29" s="89"/>
      <c r="FP29" s="89"/>
      <c r="FQ29" s="89"/>
      <c r="FR29" s="89"/>
      <c r="FS29" s="89"/>
      <c r="FT29" s="89"/>
      <c r="FU29" s="89"/>
      <c r="FV29" s="89"/>
      <c r="FW29" s="89"/>
      <c r="FX29" s="89"/>
      <c r="FY29" s="89"/>
      <c r="FZ29" s="89"/>
      <c r="GA29" s="89"/>
      <c r="GB29" s="89"/>
      <c r="GC29" s="89"/>
      <c r="GD29" s="89"/>
      <c r="GE29" s="89"/>
      <c r="GF29" s="89"/>
      <c r="GG29" s="89"/>
      <c r="GH29" s="89"/>
      <c r="GI29" s="89"/>
      <c r="GJ29" s="89"/>
      <c r="GK29" s="89"/>
      <c r="GL29" s="89"/>
      <c r="GM29" s="89"/>
      <c r="GN29" s="89"/>
      <c r="GO29" s="89" t="s">
        <v>691</v>
      </c>
      <c r="GP29" s="89"/>
      <c r="GQ29" s="89"/>
      <c r="GR29" s="89"/>
      <c r="GS29" s="89"/>
      <c r="GT29" s="89"/>
      <c r="GU29" s="89"/>
      <c r="GV29" s="89"/>
      <c r="GW29" s="89"/>
      <c r="GX29" s="89"/>
    </row>
    <row r="30" spans="1:206" ht="15.75" x14ac:dyDescent="0.25">
      <c r="A30" s="6" t="s">
        <v>24</v>
      </c>
      <c r="B30" s="6" t="s">
        <v>114</v>
      </c>
      <c r="C30" s="89"/>
      <c r="D30" s="89"/>
      <c r="E30" s="89"/>
      <c r="F30" s="89"/>
      <c r="G30" s="89"/>
      <c r="H30" s="89"/>
      <c r="I30" s="89"/>
      <c r="J30" s="89"/>
      <c r="K30" s="89"/>
      <c r="L30" s="89"/>
      <c r="M30" s="89"/>
      <c r="N30" s="89"/>
      <c r="O30" s="89"/>
      <c r="P30" s="89"/>
      <c r="Q30" s="89"/>
      <c r="R30" s="89"/>
      <c r="S30" s="89"/>
      <c r="T30" s="89"/>
      <c r="U30" s="89"/>
      <c r="V30" s="89"/>
      <c r="W30" s="89"/>
      <c r="X30" s="89"/>
      <c r="Y30" s="89"/>
      <c r="Z30" s="89"/>
      <c r="AA30" s="89"/>
      <c r="AB30" s="89"/>
      <c r="AC30" s="89"/>
      <c r="AD30" s="89"/>
      <c r="AE30" s="89"/>
      <c r="AF30" s="89"/>
      <c r="AG30" s="89"/>
      <c r="AH30" s="89"/>
      <c r="AI30" s="89"/>
      <c r="AJ30" s="89"/>
      <c r="AK30" s="89"/>
      <c r="AL30" s="89"/>
      <c r="AM30" s="89"/>
      <c r="AN30" s="89"/>
      <c r="AO30" s="89"/>
      <c r="AP30" s="89"/>
      <c r="AQ30" s="89"/>
      <c r="AR30" s="89"/>
      <c r="AS30" s="89"/>
      <c r="AT30" s="89"/>
      <c r="AU30" s="89"/>
      <c r="AV30" s="89"/>
      <c r="AW30" s="89"/>
      <c r="AX30" s="89"/>
      <c r="AY30" s="89"/>
      <c r="AZ30" s="89"/>
      <c r="BA30" s="89"/>
      <c r="BB30" s="89"/>
      <c r="BC30" s="89"/>
      <c r="BD30" s="89"/>
      <c r="BE30" s="89"/>
      <c r="BF30" s="89"/>
      <c r="BG30" s="89"/>
      <c r="BH30" s="89"/>
      <c r="BI30" s="89"/>
      <c r="BJ30" s="89"/>
      <c r="BK30" s="89"/>
      <c r="BL30" s="89"/>
      <c r="BM30" s="89"/>
      <c r="BN30" s="89"/>
      <c r="BO30" s="89"/>
      <c r="BP30" s="89"/>
      <c r="BQ30" s="89"/>
      <c r="BR30" s="89"/>
      <c r="BS30" s="89"/>
      <c r="BT30" s="89"/>
      <c r="BU30" s="89"/>
      <c r="BV30" s="89"/>
      <c r="BW30" s="89"/>
      <c r="BX30" s="89"/>
      <c r="BY30" s="89"/>
      <c r="BZ30" s="89"/>
      <c r="CA30" s="89"/>
      <c r="CB30" s="89"/>
      <c r="CC30" s="89"/>
      <c r="CD30" s="89"/>
      <c r="CE30" s="89"/>
      <c r="CF30" s="89"/>
      <c r="CG30" s="89"/>
      <c r="CH30" s="89"/>
      <c r="CI30" s="89"/>
      <c r="CJ30" s="89"/>
      <c r="CK30" s="89"/>
      <c r="CL30" s="89"/>
      <c r="CM30" s="89"/>
      <c r="CN30" s="89"/>
      <c r="CO30" s="89"/>
      <c r="CP30" s="89"/>
      <c r="CQ30" s="89"/>
      <c r="CR30" s="89"/>
      <c r="CS30" s="89"/>
      <c r="CT30" s="89"/>
      <c r="CU30" s="89"/>
      <c r="CV30" s="89"/>
      <c r="CW30" s="89"/>
      <c r="CX30" s="89"/>
      <c r="CY30" s="89"/>
      <c r="CZ30" s="89"/>
      <c r="DA30" s="89"/>
      <c r="DB30" s="89"/>
      <c r="DC30" s="89"/>
      <c r="DD30" s="89"/>
      <c r="DE30" s="89"/>
      <c r="DF30" s="89"/>
      <c r="DG30" s="89"/>
      <c r="DH30" s="89"/>
      <c r="DI30" s="89"/>
      <c r="DJ30" s="89"/>
      <c r="DK30" s="89"/>
      <c r="DL30" s="89"/>
      <c r="DM30" s="89"/>
      <c r="DN30" s="89"/>
      <c r="DO30" s="89"/>
      <c r="DP30" s="89"/>
      <c r="DQ30" s="89"/>
      <c r="DR30" s="89"/>
      <c r="DS30" s="89"/>
      <c r="DT30" s="89"/>
      <c r="DU30" s="89"/>
      <c r="DV30" s="89"/>
      <c r="DW30" s="89"/>
      <c r="DX30" s="89"/>
      <c r="DY30" s="89"/>
      <c r="DZ30" s="89"/>
      <c r="EA30" s="89"/>
      <c r="EB30" s="89" t="s">
        <v>693</v>
      </c>
      <c r="EC30" s="89"/>
      <c r="ED30" s="89"/>
      <c r="EE30" s="89"/>
      <c r="EF30" s="89"/>
      <c r="EG30" s="89"/>
      <c r="EH30" s="89"/>
      <c r="EI30" s="89"/>
      <c r="EJ30" s="89"/>
      <c r="EK30" s="89"/>
      <c r="EL30" s="89"/>
      <c r="EM30" s="89"/>
      <c r="EN30" s="89"/>
      <c r="EO30" s="89"/>
      <c r="EP30" s="89"/>
      <c r="EQ30" s="89"/>
      <c r="ER30" s="89" t="s">
        <v>694</v>
      </c>
      <c r="ES30" s="89"/>
      <c r="ET30" s="89"/>
      <c r="EU30" s="89"/>
      <c r="EV30" s="89"/>
      <c r="EW30" s="89"/>
      <c r="EX30" s="89"/>
      <c r="EY30" s="89"/>
      <c r="EZ30" s="89"/>
      <c r="FA30" s="89"/>
      <c r="FB30" s="89"/>
      <c r="FC30" s="89"/>
      <c r="FD30" s="89"/>
      <c r="FE30" s="89"/>
      <c r="FF30" s="89"/>
      <c r="FG30" s="89"/>
      <c r="FH30" s="89"/>
      <c r="FI30" s="89"/>
      <c r="FJ30" s="89"/>
      <c r="FK30" s="89"/>
      <c r="FL30" s="89"/>
      <c r="FM30" s="89"/>
      <c r="FN30" s="89"/>
      <c r="FO30" s="89"/>
      <c r="FP30" s="89"/>
      <c r="FQ30" s="89"/>
      <c r="FR30" s="89"/>
      <c r="FS30" s="89"/>
      <c r="FT30" s="89" t="s">
        <v>695</v>
      </c>
      <c r="FU30" s="89"/>
      <c r="FV30" s="89"/>
      <c r="FW30" s="89"/>
      <c r="FX30" s="89"/>
      <c r="FY30" s="89"/>
      <c r="FZ30" s="89"/>
      <c r="GA30" s="89"/>
      <c r="GB30" s="89"/>
      <c r="GC30" s="89"/>
      <c r="GD30" s="89"/>
      <c r="GE30" s="89"/>
      <c r="GF30" s="89"/>
      <c r="GG30" s="89"/>
      <c r="GH30" s="89"/>
      <c r="GI30" s="89"/>
      <c r="GJ30" s="89"/>
      <c r="GK30" s="89"/>
      <c r="GL30" s="89"/>
      <c r="GM30" s="89"/>
      <c r="GN30" s="89"/>
      <c r="GO30" s="89"/>
      <c r="GP30" s="89"/>
      <c r="GQ30" s="89"/>
      <c r="GR30" s="89"/>
      <c r="GS30" s="89"/>
      <c r="GT30" s="89"/>
      <c r="GU30" s="89"/>
      <c r="GV30" s="89"/>
      <c r="GW30" s="89"/>
      <c r="GX30" s="89"/>
    </row>
    <row r="31" spans="1:206" ht="15.75" x14ac:dyDescent="0.25">
      <c r="A31" s="6" t="s">
        <v>25</v>
      </c>
      <c r="B31" s="6" t="s">
        <v>115</v>
      </c>
      <c r="C31" s="89"/>
      <c r="D31" s="89"/>
      <c r="E31" s="89"/>
      <c r="F31" s="89"/>
      <c r="G31" s="89"/>
      <c r="H31" s="89"/>
      <c r="I31" s="89"/>
      <c r="J31" s="89"/>
      <c r="K31" s="89"/>
      <c r="L31" s="89"/>
      <c r="M31" s="89"/>
      <c r="N31" s="89"/>
      <c r="O31" s="89"/>
      <c r="P31" s="89"/>
      <c r="Q31" s="89"/>
      <c r="R31" s="89"/>
      <c r="S31" s="89"/>
      <c r="T31" s="89"/>
      <c r="U31" s="89"/>
      <c r="V31" s="89"/>
      <c r="W31" s="89"/>
      <c r="X31" s="89"/>
      <c r="Y31" s="89"/>
      <c r="Z31" s="89"/>
      <c r="AA31" s="89"/>
      <c r="AB31" s="89"/>
      <c r="AC31" s="89"/>
      <c r="AD31" s="89"/>
      <c r="AE31" s="89"/>
      <c r="AF31" s="89" t="s">
        <v>696</v>
      </c>
      <c r="AG31" s="89"/>
      <c r="AH31" s="89"/>
      <c r="AI31" s="89"/>
      <c r="AJ31" s="89"/>
      <c r="AK31" s="89"/>
      <c r="AL31" s="89"/>
      <c r="AM31" s="89"/>
      <c r="AN31" s="89"/>
      <c r="AO31" s="89"/>
      <c r="AP31" s="89"/>
      <c r="AQ31" s="89"/>
      <c r="AR31" s="89"/>
      <c r="AS31" s="89"/>
      <c r="AT31" s="89"/>
      <c r="AU31" s="89"/>
      <c r="AV31" s="89"/>
      <c r="AW31" s="89"/>
      <c r="AX31" s="89"/>
      <c r="AY31" s="89"/>
      <c r="AZ31" s="89"/>
      <c r="BA31" s="89"/>
      <c r="BB31" s="89"/>
      <c r="BC31" s="89"/>
      <c r="BD31" s="89"/>
      <c r="BE31" s="89"/>
      <c r="BF31" s="89"/>
      <c r="BG31" s="89"/>
      <c r="BH31" s="89"/>
      <c r="BI31" s="89"/>
      <c r="BJ31" s="89"/>
      <c r="BK31" s="89"/>
      <c r="BL31" s="89"/>
      <c r="BM31" s="89"/>
      <c r="BN31" s="89"/>
      <c r="BO31" s="89" t="s">
        <v>697</v>
      </c>
      <c r="BP31" s="89"/>
      <c r="BQ31" s="89"/>
      <c r="BR31" s="89" t="s">
        <v>696</v>
      </c>
      <c r="BS31" s="89"/>
      <c r="BT31" s="89"/>
      <c r="BU31" s="89"/>
      <c r="BV31" s="89"/>
      <c r="BW31" s="89"/>
      <c r="BX31" s="89"/>
      <c r="BY31" s="89"/>
      <c r="BZ31" s="89"/>
      <c r="CA31" s="89" t="s">
        <v>696</v>
      </c>
      <c r="CB31" s="89"/>
      <c r="CC31" s="89"/>
      <c r="CD31" s="89"/>
      <c r="CE31" s="89"/>
      <c r="CF31" s="89"/>
      <c r="CG31" s="89" t="s">
        <v>698</v>
      </c>
      <c r="CH31" s="89" t="s">
        <v>696</v>
      </c>
      <c r="CI31" s="89"/>
      <c r="CJ31" s="89"/>
      <c r="CK31" s="89"/>
      <c r="CL31" s="89"/>
      <c r="CM31" s="89"/>
      <c r="CN31" s="89"/>
      <c r="CO31" s="89"/>
      <c r="CP31" s="89"/>
      <c r="CQ31" s="89"/>
      <c r="CR31" s="89"/>
      <c r="CS31" s="89"/>
      <c r="CT31" s="89"/>
      <c r="CU31" s="89"/>
      <c r="CV31" s="89"/>
      <c r="CW31" s="89"/>
      <c r="CX31" s="89"/>
      <c r="CY31" s="89"/>
      <c r="CZ31" s="89"/>
      <c r="DA31" s="89"/>
      <c r="DB31" s="89"/>
      <c r="DC31" s="89"/>
      <c r="DD31" s="89"/>
      <c r="DE31" s="89"/>
      <c r="DF31" s="89"/>
      <c r="DG31" s="89"/>
      <c r="DH31" s="89"/>
      <c r="DI31" s="89"/>
      <c r="DJ31" s="89"/>
      <c r="DK31" s="89"/>
      <c r="DL31" s="89"/>
      <c r="DM31" s="89"/>
      <c r="DN31" s="89"/>
      <c r="DO31" s="89"/>
      <c r="DP31" s="89"/>
      <c r="DQ31" s="89"/>
      <c r="DR31" s="89"/>
      <c r="DS31" s="89"/>
      <c r="DT31" s="89"/>
      <c r="DU31" s="89"/>
      <c r="DV31" s="89"/>
      <c r="DW31" s="89"/>
      <c r="DX31" s="89"/>
      <c r="DY31" s="89"/>
      <c r="DZ31" s="89"/>
      <c r="EA31" s="89"/>
      <c r="EB31" s="89" t="s">
        <v>699</v>
      </c>
      <c r="EC31" s="89"/>
      <c r="ED31" s="89" t="s">
        <v>692</v>
      </c>
      <c r="EE31" s="89"/>
      <c r="EF31" s="89"/>
      <c r="EG31" s="89"/>
      <c r="EH31" s="89"/>
      <c r="EI31" s="89"/>
      <c r="EJ31" s="89"/>
      <c r="EK31" s="89"/>
      <c r="EL31" s="89"/>
      <c r="EM31" s="89"/>
      <c r="EN31" s="89"/>
      <c r="EO31" s="89"/>
      <c r="EP31" s="89"/>
      <c r="EQ31" s="89"/>
      <c r="ER31" s="89" t="s">
        <v>700</v>
      </c>
      <c r="ES31" s="89"/>
      <c r="ET31" s="89" t="s">
        <v>701</v>
      </c>
      <c r="EU31" s="89"/>
      <c r="EV31" s="89"/>
      <c r="EW31" s="89"/>
      <c r="EX31" s="89"/>
      <c r="EY31" s="89"/>
      <c r="EZ31" s="89"/>
      <c r="FA31" s="89"/>
      <c r="FB31" s="89"/>
      <c r="FC31" s="89"/>
      <c r="FD31" s="89"/>
      <c r="FE31" s="89"/>
      <c r="FF31" s="89"/>
      <c r="FG31" s="89"/>
      <c r="FH31" s="89"/>
      <c r="FI31" s="89"/>
      <c r="FJ31" s="89"/>
      <c r="FK31" s="89"/>
      <c r="FL31" s="89"/>
      <c r="FM31" s="89"/>
      <c r="FN31" s="89"/>
      <c r="FO31" s="89"/>
      <c r="FP31" s="89"/>
      <c r="FQ31" s="89"/>
      <c r="FR31" s="89"/>
      <c r="FS31" s="89"/>
      <c r="FT31" s="89"/>
      <c r="FU31" s="89"/>
      <c r="FV31" s="89"/>
      <c r="FW31" s="89"/>
      <c r="FX31" s="89"/>
      <c r="FY31" s="89"/>
      <c r="FZ31" s="89"/>
      <c r="GA31" s="89"/>
      <c r="GB31" s="89"/>
      <c r="GC31" s="89"/>
      <c r="GD31" s="89"/>
      <c r="GE31" s="89"/>
      <c r="GF31" s="89"/>
      <c r="GG31" s="89"/>
      <c r="GH31" s="89"/>
      <c r="GI31" s="89"/>
      <c r="GJ31" s="89"/>
      <c r="GK31" s="89"/>
      <c r="GL31" s="89"/>
      <c r="GM31" s="89"/>
      <c r="GN31" s="89" t="s">
        <v>702</v>
      </c>
      <c r="GO31" s="89"/>
      <c r="GP31" s="89"/>
      <c r="GQ31" s="89"/>
      <c r="GR31" s="89"/>
      <c r="GS31" s="89"/>
      <c r="GT31" s="89"/>
      <c r="GU31" s="89"/>
      <c r="GV31" s="89"/>
      <c r="GW31" s="89"/>
      <c r="GX31" s="89"/>
    </row>
    <row r="32" spans="1:206" ht="15.75" x14ac:dyDescent="0.25">
      <c r="A32" s="6" t="s">
        <v>26</v>
      </c>
      <c r="B32" s="6" t="s">
        <v>27</v>
      </c>
      <c r="C32" s="89"/>
      <c r="D32" s="89"/>
      <c r="E32" s="89" t="s">
        <v>703</v>
      </c>
      <c r="F32" s="89"/>
      <c r="G32" s="89"/>
      <c r="H32" s="89"/>
      <c r="I32" s="89"/>
      <c r="J32" s="89"/>
      <c r="K32" s="89" t="s">
        <v>1145</v>
      </c>
      <c r="L32" s="89"/>
      <c r="M32" s="89"/>
      <c r="N32" s="89"/>
      <c r="O32" s="89"/>
      <c r="P32" s="89"/>
      <c r="Q32" s="89"/>
      <c r="R32" s="89"/>
      <c r="S32" s="89"/>
      <c r="T32" s="89"/>
      <c r="U32" s="89"/>
      <c r="V32" s="89"/>
      <c r="W32" s="89"/>
      <c r="X32" s="89"/>
      <c r="Y32" s="89"/>
      <c r="Z32" s="89"/>
      <c r="AA32" s="89"/>
      <c r="AB32" s="89"/>
      <c r="AC32" s="89" t="s">
        <v>706</v>
      </c>
      <c r="AD32" s="89"/>
      <c r="AE32" s="89"/>
      <c r="AF32" s="89"/>
      <c r="AG32" s="89"/>
      <c r="AH32" s="89"/>
      <c r="AI32" s="89"/>
      <c r="AJ32" s="89" t="s">
        <v>707</v>
      </c>
      <c r="AK32" s="89"/>
      <c r="AL32" s="89"/>
      <c r="AM32" s="89"/>
      <c r="AN32" s="89"/>
      <c r="AO32" s="89" t="s">
        <v>708</v>
      </c>
      <c r="AP32" s="89" t="s">
        <v>709</v>
      </c>
      <c r="AQ32" s="89"/>
      <c r="AR32" s="89"/>
      <c r="AS32" s="89"/>
      <c r="AT32" s="89"/>
      <c r="AU32" s="89" t="s">
        <v>709</v>
      </c>
      <c r="AV32" s="89"/>
      <c r="AW32" s="89"/>
      <c r="AX32" s="89"/>
      <c r="AY32" s="89"/>
      <c r="AZ32" s="89"/>
      <c r="BA32" s="89"/>
      <c r="BB32" s="89"/>
      <c r="BC32" s="89"/>
      <c r="BD32" s="89"/>
      <c r="BE32" s="89"/>
      <c r="BF32" s="89"/>
      <c r="BG32" s="89"/>
      <c r="BH32" s="89"/>
      <c r="BI32" s="89"/>
      <c r="BJ32" s="89"/>
      <c r="BK32" s="89"/>
      <c r="BL32" s="89"/>
      <c r="BM32" s="89" t="s">
        <v>1094</v>
      </c>
      <c r="BN32" s="89"/>
      <c r="BO32" s="89"/>
      <c r="BP32" s="89"/>
      <c r="BQ32" s="89"/>
      <c r="BR32" s="89"/>
      <c r="BS32" s="89"/>
      <c r="BT32" s="89"/>
      <c r="BU32" s="89"/>
      <c r="BV32" s="89"/>
      <c r="BW32" s="89"/>
      <c r="BX32" s="89"/>
      <c r="BY32" s="89"/>
      <c r="BZ32" s="89"/>
      <c r="CA32" s="89" t="s">
        <v>711</v>
      </c>
      <c r="CB32" s="89"/>
      <c r="CC32" s="89"/>
      <c r="CD32" s="89"/>
      <c r="CE32" s="89"/>
      <c r="CF32" s="89"/>
      <c r="CG32" s="89"/>
      <c r="CH32" s="89"/>
      <c r="CI32" s="89"/>
      <c r="CJ32" s="89"/>
      <c r="CK32" s="89"/>
      <c r="CL32" s="89"/>
      <c r="CM32" s="89"/>
      <c r="CN32" s="89" t="s">
        <v>712</v>
      </c>
      <c r="CO32" s="89"/>
      <c r="CP32" s="89" t="s">
        <v>713</v>
      </c>
      <c r="CQ32" s="89"/>
      <c r="CR32" s="89"/>
      <c r="CS32" s="89"/>
      <c r="CT32" s="89"/>
      <c r="CU32" s="89"/>
      <c r="CV32" s="89"/>
      <c r="CW32" s="89"/>
      <c r="CX32" s="89"/>
      <c r="CY32" s="89"/>
      <c r="CZ32" s="89"/>
      <c r="DA32" s="89"/>
      <c r="DB32" s="89"/>
      <c r="DC32" s="89" t="s">
        <v>714</v>
      </c>
      <c r="DD32" s="89"/>
      <c r="DE32" s="89"/>
      <c r="DF32" s="89"/>
      <c r="DG32" s="89" t="s">
        <v>715</v>
      </c>
      <c r="DH32" s="89"/>
      <c r="DI32" s="89"/>
      <c r="DJ32" s="89"/>
      <c r="DK32" s="89"/>
      <c r="DL32" s="89"/>
      <c r="DM32" s="89"/>
      <c r="DN32" s="89" t="s">
        <v>713</v>
      </c>
      <c r="DO32" s="89"/>
      <c r="DP32" s="89"/>
      <c r="DQ32" s="89"/>
      <c r="DR32" s="89"/>
      <c r="DS32" s="89"/>
      <c r="DT32" s="89"/>
      <c r="DU32" s="89"/>
      <c r="DV32" s="89"/>
      <c r="DW32" s="89"/>
      <c r="DX32" s="89" t="s">
        <v>716</v>
      </c>
      <c r="DY32" s="89"/>
      <c r="DZ32" s="89"/>
      <c r="EA32" s="89"/>
      <c r="EB32" s="89"/>
      <c r="EC32" s="89"/>
      <c r="ED32" s="89"/>
      <c r="EE32" s="89" t="s">
        <v>717</v>
      </c>
      <c r="EF32" s="89" t="s">
        <v>714</v>
      </c>
      <c r="EG32" s="89" t="s">
        <v>1095</v>
      </c>
      <c r="EH32" s="89"/>
      <c r="EI32" s="89" t="s">
        <v>719</v>
      </c>
      <c r="EJ32" s="89"/>
      <c r="EK32" s="89"/>
      <c r="EL32" s="89"/>
      <c r="EM32" s="89"/>
      <c r="EN32" s="89"/>
      <c r="EO32" s="89" t="s">
        <v>720</v>
      </c>
      <c r="EP32" s="89" t="s">
        <v>719</v>
      </c>
      <c r="EQ32" s="89"/>
      <c r="ER32" s="89" t="s">
        <v>721</v>
      </c>
      <c r="ES32" s="89"/>
      <c r="ET32" s="89"/>
      <c r="EU32" s="89"/>
      <c r="EV32" s="89"/>
      <c r="EW32" s="89"/>
      <c r="EX32" s="89"/>
      <c r="EY32" s="89"/>
      <c r="EZ32" s="89"/>
      <c r="FA32" s="89" t="s">
        <v>709</v>
      </c>
      <c r="FB32" s="89"/>
      <c r="FC32" s="89"/>
      <c r="FD32" s="89" t="s">
        <v>722</v>
      </c>
      <c r="FE32" s="89"/>
      <c r="FF32" s="89"/>
      <c r="FG32" s="89" t="s">
        <v>723</v>
      </c>
      <c r="FH32" s="89"/>
      <c r="FI32" s="89"/>
      <c r="FJ32" s="89"/>
      <c r="FK32" s="89"/>
      <c r="FL32" s="89" t="s">
        <v>724</v>
      </c>
      <c r="FM32" s="89"/>
      <c r="FN32" s="89"/>
      <c r="FO32" s="89"/>
      <c r="FP32" s="89"/>
      <c r="FQ32" s="89"/>
      <c r="FR32" s="89"/>
      <c r="FS32" s="89"/>
      <c r="FT32" s="89"/>
      <c r="FU32" s="89"/>
      <c r="FV32" s="89"/>
      <c r="FW32" s="89" t="s">
        <v>725</v>
      </c>
      <c r="FX32" s="89"/>
      <c r="FY32" s="89"/>
      <c r="FZ32" s="89"/>
      <c r="GA32" s="89"/>
      <c r="GB32" s="89"/>
      <c r="GC32" s="89"/>
      <c r="GD32" s="89"/>
      <c r="GE32" s="89"/>
      <c r="GF32" s="89"/>
      <c r="GG32" s="89"/>
      <c r="GH32" s="89"/>
      <c r="GI32" s="89"/>
      <c r="GJ32" s="89"/>
      <c r="GK32" s="89"/>
      <c r="GL32" s="89"/>
      <c r="GM32" s="89"/>
      <c r="GN32" s="89"/>
      <c r="GO32" s="89"/>
      <c r="GP32" s="89"/>
      <c r="GQ32" s="89"/>
      <c r="GR32" s="89"/>
      <c r="GS32" s="89"/>
      <c r="GT32" s="89"/>
      <c r="GU32" s="89"/>
      <c r="GV32" s="89"/>
      <c r="GW32" s="89"/>
      <c r="GX32" s="89"/>
    </row>
    <row r="33" spans="1:206" ht="15.75" x14ac:dyDescent="0.25">
      <c r="A33" s="6" t="s">
        <v>28</v>
      </c>
      <c r="B33" s="6" t="s">
        <v>29</v>
      </c>
      <c r="C33" s="89"/>
      <c r="D33" s="89"/>
      <c r="E33" s="89"/>
      <c r="F33" s="89"/>
      <c r="G33" s="89"/>
      <c r="H33" s="89"/>
      <c r="I33" s="89"/>
      <c r="J33" s="89"/>
      <c r="K33" s="89"/>
      <c r="L33" s="89"/>
      <c r="M33" s="89"/>
      <c r="N33" s="89"/>
      <c r="O33" s="89"/>
      <c r="P33" s="89"/>
      <c r="Q33" s="89"/>
      <c r="R33" s="89"/>
      <c r="S33" s="89"/>
      <c r="T33" s="89"/>
      <c r="U33" s="89"/>
      <c r="V33" s="89"/>
      <c r="W33" s="89"/>
      <c r="X33" s="89"/>
      <c r="Y33" s="89"/>
      <c r="Z33" s="89"/>
      <c r="AA33" s="89"/>
      <c r="AB33" s="89"/>
      <c r="AC33" s="89"/>
      <c r="AD33" s="89"/>
      <c r="AE33" s="89"/>
      <c r="AF33" s="89"/>
      <c r="AG33" s="89"/>
      <c r="AH33" s="89"/>
      <c r="AI33" s="89"/>
      <c r="AJ33" s="89"/>
      <c r="AK33" s="89"/>
      <c r="AL33" s="89"/>
      <c r="AM33" s="89"/>
      <c r="AN33" s="89"/>
      <c r="AO33" s="89"/>
      <c r="AP33" s="89"/>
      <c r="AQ33" s="89"/>
      <c r="AR33" s="89"/>
      <c r="AS33" s="89"/>
      <c r="AT33" s="89"/>
      <c r="AU33" s="89"/>
      <c r="AV33" s="89" t="s">
        <v>727</v>
      </c>
      <c r="AW33" s="89"/>
      <c r="AX33" s="89" t="s">
        <v>727</v>
      </c>
      <c r="AY33" s="89"/>
      <c r="AZ33" s="89"/>
      <c r="BA33" s="89"/>
      <c r="BB33" s="89" t="s">
        <v>728</v>
      </c>
      <c r="BC33" s="89"/>
      <c r="BD33" s="89" t="s">
        <v>727</v>
      </c>
      <c r="BE33" s="89"/>
      <c r="BF33" s="89" t="s">
        <v>1096</v>
      </c>
      <c r="BG33" s="89"/>
      <c r="BH33" s="89" t="s">
        <v>729</v>
      </c>
      <c r="BI33" s="89" t="s">
        <v>730</v>
      </c>
      <c r="BJ33" s="89"/>
      <c r="BK33" s="89"/>
      <c r="BL33" s="89"/>
      <c r="BM33" s="89"/>
      <c r="BN33" s="89"/>
      <c r="BO33" s="89"/>
      <c r="BP33" s="89"/>
      <c r="BQ33" s="89"/>
      <c r="BR33" s="89"/>
      <c r="BS33" s="89" t="s">
        <v>731</v>
      </c>
      <c r="BT33" s="89"/>
      <c r="BU33" s="89"/>
      <c r="BV33" s="89"/>
      <c r="BW33" s="89"/>
      <c r="BX33" s="89"/>
      <c r="BY33" s="89" t="s">
        <v>727</v>
      </c>
      <c r="BZ33" s="89"/>
      <c r="CA33" s="89"/>
      <c r="CB33" s="89"/>
      <c r="CC33" s="89"/>
      <c r="CD33" s="89"/>
      <c r="CE33" s="89" t="s">
        <v>727</v>
      </c>
      <c r="CF33" s="89" t="s">
        <v>727</v>
      </c>
      <c r="CG33" s="89"/>
      <c r="CH33" s="89"/>
      <c r="CI33" s="89"/>
      <c r="CJ33" s="89" t="s">
        <v>732</v>
      </c>
      <c r="CK33" s="89" t="s">
        <v>727</v>
      </c>
      <c r="CL33" s="89" t="s">
        <v>727</v>
      </c>
      <c r="CM33" s="89"/>
      <c r="CN33" s="89"/>
      <c r="CO33" s="89"/>
      <c r="CP33" s="89"/>
      <c r="CQ33" s="89"/>
      <c r="CR33" s="89"/>
      <c r="CS33" s="89"/>
      <c r="CT33" s="89"/>
      <c r="CU33" s="89"/>
      <c r="CV33" s="89"/>
      <c r="CW33" s="89"/>
      <c r="CX33" s="89"/>
      <c r="CY33" s="89"/>
      <c r="CZ33" s="89"/>
      <c r="DA33" s="89"/>
      <c r="DB33" s="89"/>
      <c r="DC33" s="89"/>
      <c r="DD33" s="89"/>
      <c r="DE33" s="89" t="s">
        <v>733</v>
      </c>
      <c r="DF33" s="89"/>
      <c r="DG33" s="89"/>
      <c r="DH33" s="89"/>
      <c r="DI33" s="89"/>
      <c r="DJ33" s="89"/>
      <c r="DK33" s="89"/>
      <c r="DL33" s="89"/>
      <c r="DM33" s="89" t="s">
        <v>733</v>
      </c>
      <c r="DN33" s="89"/>
      <c r="DO33" s="89"/>
      <c r="DP33" s="89"/>
      <c r="DQ33" s="89"/>
      <c r="DR33" s="89"/>
      <c r="DS33" s="89"/>
      <c r="DU33" s="89"/>
      <c r="DV33" s="89"/>
      <c r="DW33" s="89"/>
      <c r="DX33" s="89" t="s">
        <v>729</v>
      </c>
      <c r="DY33" s="89"/>
      <c r="DZ33" s="89"/>
      <c r="EA33" s="89"/>
      <c r="EB33" s="89"/>
      <c r="EC33" s="89"/>
      <c r="ED33" s="89" t="s">
        <v>735</v>
      </c>
      <c r="EE33" s="89"/>
      <c r="EF33" s="89"/>
      <c r="EG33" s="89"/>
      <c r="EH33" s="89"/>
      <c r="EI33" s="89"/>
      <c r="EJ33" s="89"/>
      <c r="EK33" s="89"/>
      <c r="EL33" s="89"/>
      <c r="EM33" s="89"/>
      <c r="EN33" s="89"/>
      <c r="EO33" s="89"/>
      <c r="EP33" s="89"/>
      <c r="EQ33" s="89"/>
      <c r="ER33" s="89"/>
      <c r="ES33" s="89"/>
      <c r="ET33" s="89"/>
      <c r="EU33" s="89"/>
      <c r="EV33" s="89"/>
      <c r="EW33" s="89"/>
      <c r="EX33" s="89"/>
      <c r="EY33" s="89"/>
      <c r="EZ33" s="89"/>
      <c r="FA33" s="89"/>
      <c r="FB33" s="89"/>
      <c r="FC33" s="89"/>
      <c r="FD33" s="89" t="s">
        <v>1097</v>
      </c>
      <c r="FE33" s="89"/>
      <c r="FF33" s="89"/>
      <c r="FG33" s="89"/>
      <c r="FH33" s="89"/>
      <c r="FI33" s="89"/>
      <c r="FJ33" s="89" t="s">
        <v>736</v>
      </c>
      <c r="FK33" s="89"/>
      <c r="FL33" s="89"/>
      <c r="FM33" s="89"/>
      <c r="FN33" s="89"/>
      <c r="FO33" s="89"/>
      <c r="FP33" s="89"/>
      <c r="FQ33" s="89"/>
      <c r="FR33" s="89"/>
      <c r="FS33" s="89"/>
      <c r="FT33" s="89"/>
      <c r="FU33" s="89"/>
      <c r="FV33" s="89"/>
      <c r="FW33" s="89"/>
      <c r="FX33" s="89"/>
      <c r="FY33" s="89"/>
      <c r="FZ33" s="89"/>
      <c r="GA33" s="89"/>
      <c r="GB33" s="89"/>
      <c r="GC33" s="89"/>
      <c r="GD33" s="89"/>
      <c r="GE33" s="89"/>
      <c r="GF33" s="89"/>
      <c r="GG33" s="89"/>
      <c r="GH33" s="89"/>
      <c r="GI33" s="89"/>
      <c r="GJ33" s="89"/>
      <c r="GK33" s="89"/>
      <c r="GL33" s="89"/>
      <c r="GM33" s="89"/>
      <c r="GN33" s="89"/>
      <c r="GO33" s="89"/>
      <c r="GP33" s="89"/>
      <c r="GQ33" s="89" t="s">
        <v>737</v>
      </c>
      <c r="GR33" s="89"/>
      <c r="GS33" s="89"/>
      <c r="GT33" s="89"/>
      <c r="GU33" s="89"/>
      <c r="GV33" s="89"/>
      <c r="GW33" s="89" t="s">
        <v>727</v>
      </c>
      <c r="GX33" s="89"/>
    </row>
    <row r="34" spans="1:206" ht="15.75" x14ac:dyDescent="0.25">
      <c r="A34" s="6" t="s">
        <v>30</v>
      </c>
      <c r="B34" s="6" t="s">
        <v>31</v>
      </c>
      <c r="C34" s="89"/>
      <c r="D34" s="89"/>
      <c r="E34" s="89"/>
      <c r="F34" s="89" t="s">
        <v>1098</v>
      </c>
      <c r="G34" s="89"/>
      <c r="H34" s="89" t="s">
        <v>1099</v>
      </c>
      <c r="I34" s="89"/>
      <c r="J34" s="89" t="s">
        <v>1100</v>
      </c>
      <c r="K34" s="89"/>
      <c r="L34" s="89"/>
      <c r="M34" s="89"/>
      <c r="N34" s="89"/>
      <c r="O34" s="89"/>
      <c r="P34" s="89"/>
      <c r="Q34" s="89"/>
      <c r="R34" s="89"/>
      <c r="S34" s="89"/>
      <c r="T34" s="89"/>
      <c r="U34" s="89"/>
      <c r="V34" s="89"/>
      <c r="W34" s="89"/>
      <c r="X34" s="89"/>
      <c r="Y34" s="89"/>
      <c r="Z34" s="89"/>
      <c r="AA34" s="89"/>
      <c r="AB34" s="89"/>
      <c r="AC34" s="89"/>
      <c r="AD34" s="89"/>
      <c r="AE34" s="89"/>
      <c r="AF34" s="89"/>
      <c r="AG34" s="89"/>
      <c r="AH34" s="89" t="s">
        <v>1101</v>
      </c>
      <c r="AI34" s="89"/>
      <c r="AJ34" s="89" t="s">
        <v>1100</v>
      </c>
      <c r="AK34" s="89"/>
      <c r="AL34" s="89"/>
      <c r="AM34" s="89"/>
      <c r="AN34" s="89"/>
      <c r="AO34" s="89"/>
      <c r="AP34" s="89"/>
      <c r="AQ34" s="89"/>
      <c r="AR34" s="89"/>
      <c r="AS34" s="89"/>
      <c r="AT34" s="89" t="s">
        <v>738</v>
      </c>
      <c r="AU34" s="89"/>
      <c r="AV34" s="89"/>
      <c r="AW34" s="89"/>
      <c r="AX34" s="89"/>
      <c r="AY34" s="89"/>
      <c r="AZ34" s="89"/>
      <c r="BA34" s="89" t="s">
        <v>1100</v>
      </c>
      <c r="BB34" s="89"/>
      <c r="BC34" s="89"/>
      <c r="BD34" s="89" t="s">
        <v>739</v>
      </c>
      <c r="BE34" s="89"/>
      <c r="BF34" s="89"/>
      <c r="BG34" s="89"/>
      <c r="BH34" s="89" t="s">
        <v>1102</v>
      </c>
      <c r="BI34" s="89" t="s">
        <v>740</v>
      </c>
      <c r="BJ34" s="89"/>
      <c r="BK34" s="89"/>
      <c r="BL34" s="89"/>
      <c r="BM34" s="89"/>
      <c r="BN34" s="89"/>
      <c r="BO34" s="89"/>
      <c r="BP34" s="89"/>
      <c r="BQ34" s="89"/>
      <c r="BR34" s="89"/>
      <c r="BS34" s="89"/>
      <c r="BT34" s="89" t="s">
        <v>738</v>
      </c>
      <c r="BU34" s="89"/>
      <c r="BV34" s="89"/>
      <c r="BW34" s="89"/>
      <c r="BX34" s="89"/>
      <c r="BY34" s="89"/>
      <c r="BZ34" s="89"/>
      <c r="CA34" s="89"/>
      <c r="CB34" s="89"/>
      <c r="CC34" s="89"/>
      <c r="CD34" s="89"/>
      <c r="CE34" s="89"/>
      <c r="CF34" s="89"/>
      <c r="CG34" s="89"/>
      <c r="CH34" s="89"/>
      <c r="CI34" s="89"/>
      <c r="CJ34" s="89"/>
      <c r="CK34" s="89"/>
      <c r="CL34" s="89"/>
      <c r="CM34" s="89"/>
      <c r="CN34" s="89"/>
      <c r="CO34" s="89"/>
      <c r="CP34" s="89"/>
      <c r="CQ34" s="89"/>
      <c r="CR34" s="89"/>
      <c r="CS34" s="89"/>
      <c r="CT34" s="89"/>
      <c r="CU34" s="89" t="s">
        <v>1103</v>
      </c>
      <c r="CV34" s="89" t="s">
        <v>738</v>
      </c>
      <c r="CW34" s="89"/>
      <c r="CX34" s="89"/>
      <c r="CY34" s="89"/>
      <c r="CZ34" s="89"/>
      <c r="DA34" s="89"/>
      <c r="DB34" s="89" t="s">
        <v>738</v>
      </c>
      <c r="DC34" s="89"/>
      <c r="DD34" s="89"/>
      <c r="DE34" s="89"/>
      <c r="DF34" s="89"/>
      <c r="DG34" s="89"/>
      <c r="DH34" s="89" t="s">
        <v>1104</v>
      </c>
      <c r="DI34" s="89"/>
      <c r="DJ34" s="89"/>
      <c r="DK34" s="89"/>
      <c r="DL34" s="89"/>
      <c r="DM34" s="89" t="s">
        <v>1100</v>
      </c>
      <c r="DN34" s="89"/>
      <c r="DO34" s="89"/>
      <c r="DP34" s="89"/>
      <c r="DQ34" s="89"/>
      <c r="DR34" s="89"/>
      <c r="DS34" s="89"/>
      <c r="DT34" s="89"/>
      <c r="DU34" s="89"/>
      <c r="DV34" s="89"/>
      <c r="DW34" s="89" t="s">
        <v>1101</v>
      </c>
      <c r="DX34" s="89"/>
      <c r="DY34" s="89"/>
      <c r="DZ34" s="89"/>
      <c r="EA34" s="89"/>
      <c r="EB34" s="89"/>
      <c r="EC34" s="89"/>
      <c r="ED34" s="89" t="s">
        <v>1105</v>
      </c>
      <c r="EE34" s="89"/>
      <c r="EF34" s="89"/>
      <c r="EG34" s="89" t="s">
        <v>1106</v>
      </c>
      <c r="EH34" s="89"/>
      <c r="EI34" s="89"/>
      <c r="EJ34" s="89" t="s">
        <v>1146</v>
      </c>
      <c r="EK34" s="89"/>
      <c r="EL34" s="89" t="s">
        <v>738</v>
      </c>
      <c r="EM34" s="89"/>
      <c r="EN34" s="89"/>
      <c r="EO34" s="89"/>
      <c r="EP34" s="89"/>
      <c r="EQ34" s="89"/>
      <c r="ER34" s="89" t="s">
        <v>1107</v>
      </c>
      <c r="ES34" s="89"/>
      <c r="ET34" s="89"/>
      <c r="EU34" s="89"/>
      <c r="EV34" s="89" t="s">
        <v>1103</v>
      </c>
      <c r="EW34" s="89"/>
      <c r="EX34" s="89" t="s">
        <v>742</v>
      </c>
      <c r="EY34" s="89" t="s">
        <v>1103</v>
      </c>
      <c r="EZ34" s="89"/>
      <c r="FA34" s="89"/>
      <c r="FB34" s="89"/>
      <c r="FC34" s="89" t="s">
        <v>1108</v>
      </c>
      <c r="FD34" s="89"/>
      <c r="FE34" s="89"/>
      <c r="FF34" s="89"/>
      <c r="FG34" s="89"/>
      <c r="FH34" s="89"/>
      <c r="FI34" s="89" t="s">
        <v>1101</v>
      </c>
      <c r="FJ34" s="89"/>
      <c r="FK34" s="89"/>
      <c r="FL34" s="89"/>
      <c r="FM34" s="89"/>
      <c r="FN34" s="89" t="s">
        <v>1109</v>
      </c>
      <c r="FO34" s="89"/>
      <c r="FP34" s="89" t="s">
        <v>1095</v>
      </c>
      <c r="FQ34" s="89"/>
      <c r="FR34" s="89"/>
      <c r="FS34" s="89"/>
      <c r="FT34" s="89"/>
      <c r="FU34" s="89"/>
      <c r="FV34" s="89"/>
      <c r="FW34" s="89"/>
      <c r="FX34" s="89" t="s">
        <v>1110</v>
      </c>
      <c r="FY34" s="89"/>
      <c r="FZ34" s="89"/>
      <c r="GA34" s="89"/>
      <c r="GB34" s="89"/>
      <c r="GC34" s="89"/>
      <c r="GD34" s="89"/>
      <c r="GE34" s="89"/>
      <c r="GF34" s="89"/>
      <c r="GG34" s="89" t="s">
        <v>1095</v>
      </c>
      <c r="GH34" s="89"/>
      <c r="GI34" s="89"/>
      <c r="GJ34" s="89"/>
      <c r="GK34" s="89"/>
      <c r="GL34" s="89"/>
      <c r="GM34" s="89" t="s">
        <v>1100</v>
      </c>
      <c r="GN34" s="89"/>
      <c r="GO34" s="89"/>
      <c r="GP34" s="89" t="s">
        <v>1111</v>
      </c>
      <c r="GQ34" s="89"/>
      <c r="GR34" s="89"/>
      <c r="GS34" s="89"/>
      <c r="GT34" s="89"/>
      <c r="GU34" s="89"/>
      <c r="GV34" s="89"/>
      <c r="GW34" s="89"/>
      <c r="GX34" s="89"/>
    </row>
    <row r="35" spans="1:206" ht="15.75" x14ac:dyDescent="0.25">
      <c r="A35" s="6" t="s">
        <v>60</v>
      </c>
      <c r="B35" s="6" t="s">
        <v>61</v>
      </c>
      <c r="C35" s="89"/>
      <c r="D35" s="89"/>
      <c r="E35" s="89"/>
      <c r="F35" s="89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89"/>
      <c r="S35" s="89"/>
      <c r="T35" s="89"/>
      <c r="U35" s="89"/>
      <c r="V35" s="89"/>
      <c r="W35" s="89"/>
      <c r="X35" s="89"/>
      <c r="Y35" s="89"/>
      <c r="Z35" s="89"/>
      <c r="AA35" s="89"/>
      <c r="AB35" s="89"/>
      <c r="AC35" s="89"/>
      <c r="AD35" s="89"/>
      <c r="AE35" s="89"/>
      <c r="AF35" s="89"/>
      <c r="AG35" s="89"/>
      <c r="AH35" s="89"/>
      <c r="AI35" s="89"/>
      <c r="AJ35" s="89"/>
      <c r="AK35" s="89"/>
      <c r="AL35" s="89"/>
      <c r="AM35" s="89"/>
      <c r="AN35" s="89"/>
      <c r="AO35" s="89"/>
      <c r="AP35" s="89"/>
      <c r="AQ35" s="89"/>
      <c r="AR35" s="89"/>
      <c r="AS35" s="89"/>
      <c r="AT35" s="89"/>
      <c r="AU35" s="89"/>
      <c r="AV35" s="89"/>
      <c r="AW35" s="89"/>
      <c r="AX35" s="89"/>
      <c r="AY35" s="89"/>
      <c r="AZ35" s="89"/>
      <c r="BA35" s="89"/>
      <c r="BB35" s="89"/>
      <c r="BC35" s="89"/>
      <c r="BD35" s="89"/>
      <c r="BE35" s="89"/>
      <c r="BF35" s="89"/>
      <c r="BG35" s="89"/>
      <c r="BH35" s="89"/>
      <c r="BI35" s="89"/>
      <c r="BJ35" s="89"/>
      <c r="BK35" s="89"/>
      <c r="BL35" s="89"/>
      <c r="BM35" s="89"/>
      <c r="BN35" s="89"/>
      <c r="BO35" s="89"/>
      <c r="BP35" s="89"/>
      <c r="BQ35" s="89"/>
      <c r="BR35" s="89"/>
      <c r="BS35" s="89"/>
      <c r="BT35" s="89"/>
      <c r="BU35" s="89"/>
      <c r="BV35" s="89"/>
      <c r="BW35" s="89"/>
      <c r="BX35" s="89"/>
      <c r="BY35" s="89"/>
      <c r="BZ35" s="89"/>
      <c r="CA35" s="89"/>
      <c r="CB35" s="89"/>
      <c r="CC35" s="89"/>
      <c r="CD35" s="89"/>
      <c r="CE35" s="89"/>
      <c r="CF35" s="89"/>
      <c r="CG35" s="89"/>
      <c r="CH35" s="89"/>
      <c r="CI35" s="89"/>
      <c r="CJ35" s="89"/>
      <c r="CK35" s="89"/>
      <c r="CL35" s="89"/>
      <c r="CM35" s="89"/>
      <c r="CN35" s="89"/>
      <c r="CO35" s="89"/>
      <c r="CP35" s="89"/>
      <c r="CQ35" s="89"/>
      <c r="CR35" s="89"/>
      <c r="CS35" s="89"/>
      <c r="CT35" s="89"/>
      <c r="CU35" s="89"/>
      <c r="CV35" s="89"/>
      <c r="CW35" s="89"/>
      <c r="CX35" s="89"/>
      <c r="CY35" s="89"/>
      <c r="CZ35" s="89"/>
      <c r="DA35" s="89"/>
      <c r="DB35" s="89"/>
      <c r="DC35" s="89"/>
      <c r="DD35" s="89"/>
      <c r="DE35" s="89"/>
      <c r="DF35" s="89"/>
      <c r="DG35" s="89"/>
      <c r="DH35" s="89"/>
      <c r="DI35" s="89"/>
      <c r="DJ35" s="89"/>
      <c r="DK35" s="89"/>
      <c r="DL35" s="89"/>
      <c r="DM35" s="89" t="s">
        <v>743</v>
      </c>
      <c r="DN35" s="89"/>
      <c r="DO35" s="89"/>
      <c r="DP35" s="89"/>
      <c r="DQ35" s="89" t="s">
        <v>744</v>
      </c>
      <c r="DR35" s="89"/>
      <c r="DS35" s="89"/>
      <c r="DT35" s="89"/>
      <c r="DU35" s="89"/>
      <c r="DV35" s="89"/>
      <c r="DW35" s="89"/>
      <c r="DX35" s="89"/>
      <c r="DY35" s="89" t="s">
        <v>745</v>
      </c>
      <c r="DZ35" s="89"/>
      <c r="EA35" s="89"/>
      <c r="EB35" s="89"/>
      <c r="EC35" s="89"/>
      <c r="ED35" s="89" t="s">
        <v>746</v>
      </c>
      <c r="EE35" s="89"/>
      <c r="EF35" s="89"/>
      <c r="EG35" s="89"/>
      <c r="EH35" s="89"/>
      <c r="EI35" s="89"/>
      <c r="EJ35" s="89"/>
      <c r="EK35" s="89"/>
      <c r="EL35" s="89"/>
      <c r="EM35" s="89"/>
      <c r="EN35" s="89"/>
      <c r="EO35" s="89" t="s">
        <v>747</v>
      </c>
      <c r="EP35" s="89"/>
      <c r="EQ35" s="89"/>
      <c r="ER35" s="89"/>
      <c r="ES35" s="89"/>
      <c r="ET35" s="89"/>
      <c r="EU35" s="89"/>
      <c r="EV35" s="89"/>
      <c r="EW35" s="89"/>
      <c r="EX35" s="89"/>
      <c r="EY35" s="89"/>
      <c r="EZ35" s="89"/>
      <c r="FA35" s="89"/>
      <c r="FB35" s="89"/>
      <c r="FC35" s="89"/>
      <c r="FD35" s="89"/>
      <c r="FE35" s="89"/>
      <c r="FF35" s="89"/>
      <c r="FG35" s="89"/>
      <c r="FH35" s="89"/>
      <c r="FI35" s="89"/>
      <c r="FJ35" s="89"/>
      <c r="FK35" s="89"/>
      <c r="FL35" s="89"/>
      <c r="FM35" s="89"/>
      <c r="FN35" s="89"/>
      <c r="FO35" s="89"/>
      <c r="FP35" s="89"/>
      <c r="FQ35" s="89"/>
      <c r="FR35" s="89"/>
      <c r="FS35" s="89"/>
      <c r="FT35" s="89"/>
      <c r="FU35" s="89"/>
      <c r="FV35" s="89"/>
      <c r="FW35" s="89"/>
      <c r="FX35" s="89"/>
      <c r="FY35" s="89"/>
      <c r="FZ35" s="89"/>
      <c r="GA35" s="89"/>
      <c r="GB35" s="89"/>
      <c r="GC35" s="89"/>
      <c r="GD35" s="89"/>
      <c r="GE35" s="89" t="s">
        <v>748</v>
      </c>
      <c r="GF35" s="89"/>
      <c r="GG35" s="89"/>
      <c r="GH35" s="89"/>
      <c r="GI35" s="89"/>
      <c r="GJ35" s="89"/>
      <c r="GK35" s="89"/>
      <c r="GL35" s="89"/>
      <c r="GM35" s="89"/>
      <c r="GN35" s="89"/>
      <c r="GO35" s="89"/>
      <c r="GP35" s="89"/>
      <c r="GQ35" s="89"/>
      <c r="GR35" s="89"/>
      <c r="GS35" s="89" t="s">
        <v>749</v>
      </c>
      <c r="GT35" s="89"/>
      <c r="GU35" s="89"/>
      <c r="GV35" s="89"/>
      <c r="GW35" s="89"/>
      <c r="GX35" s="89"/>
    </row>
    <row r="36" spans="1:206" ht="15.75" x14ac:dyDescent="0.25">
      <c r="A36" s="6" t="s">
        <v>32</v>
      </c>
      <c r="B36" s="6" t="s">
        <v>116</v>
      </c>
      <c r="C36" s="89"/>
      <c r="D36" s="89"/>
      <c r="E36" s="89"/>
      <c r="F36" s="89"/>
      <c r="G36" s="89"/>
      <c r="H36" s="89"/>
      <c r="I36" s="89"/>
      <c r="J36" s="89"/>
      <c r="K36" s="89"/>
      <c r="L36" s="89"/>
      <c r="M36" s="89"/>
      <c r="N36" s="89"/>
      <c r="O36" s="89"/>
      <c r="P36" s="89"/>
      <c r="Q36" s="89"/>
      <c r="R36" s="89"/>
      <c r="S36" s="89"/>
      <c r="T36" s="89"/>
      <c r="U36" s="89"/>
      <c r="V36" s="89"/>
      <c r="W36" s="89"/>
      <c r="X36" s="89"/>
      <c r="Y36" s="89"/>
      <c r="Z36" s="89"/>
      <c r="AA36" s="89"/>
      <c r="AB36" s="89"/>
      <c r="AC36" s="89"/>
      <c r="AD36" s="89"/>
      <c r="AE36" s="89"/>
      <c r="AF36" s="89"/>
      <c r="AG36" s="89"/>
      <c r="AH36" s="89"/>
      <c r="AI36" s="89"/>
      <c r="AJ36" s="89"/>
      <c r="AK36" s="89"/>
      <c r="AL36" s="89"/>
      <c r="AM36" s="89"/>
      <c r="AN36" s="89"/>
      <c r="AO36" s="89"/>
      <c r="AP36" s="89"/>
      <c r="AQ36" s="89"/>
      <c r="AR36" s="89"/>
      <c r="AS36" s="89"/>
      <c r="AT36" s="89"/>
      <c r="AU36" s="89"/>
      <c r="AV36" s="89"/>
      <c r="AW36" s="89" t="s">
        <v>750</v>
      </c>
      <c r="AX36" s="89"/>
      <c r="AY36" s="89"/>
      <c r="AZ36" s="89"/>
      <c r="BA36" s="89"/>
      <c r="BB36" s="89"/>
      <c r="BC36" s="89"/>
      <c r="BD36" s="89"/>
      <c r="BE36" s="89"/>
      <c r="BF36" s="89"/>
      <c r="BG36" s="89"/>
      <c r="BH36" s="89"/>
      <c r="BI36" s="89" t="s">
        <v>751</v>
      </c>
      <c r="BJ36" s="89"/>
      <c r="BK36" s="89" t="s">
        <v>752</v>
      </c>
      <c r="BL36" s="89"/>
      <c r="BM36" s="89"/>
      <c r="BN36" s="89"/>
      <c r="BO36" s="89" t="s">
        <v>753</v>
      </c>
      <c r="BP36" s="89"/>
      <c r="BQ36" s="89"/>
      <c r="BR36" s="89"/>
      <c r="BS36" s="89"/>
      <c r="BT36" s="89"/>
      <c r="BU36" s="89"/>
      <c r="BV36" s="89"/>
      <c r="BW36" s="89"/>
      <c r="BX36" s="89"/>
      <c r="BY36" s="89"/>
      <c r="BZ36" s="89"/>
      <c r="CA36" s="89"/>
      <c r="CB36" s="89"/>
      <c r="CC36" s="89"/>
      <c r="CD36" s="89"/>
      <c r="CE36" s="89"/>
      <c r="CF36" s="89"/>
      <c r="CG36" s="89"/>
      <c r="CH36" s="89"/>
      <c r="CI36" s="89"/>
      <c r="CJ36" s="89"/>
      <c r="CK36" s="89"/>
      <c r="CL36" s="89"/>
      <c r="CM36" s="89"/>
      <c r="CN36" s="89"/>
      <c r="CO36" s="89"/>
      <c r="CP36" s="89"/>
      <c r="CQ36" s="89"/>
      <c r="CR36" s="89"/>
      <c r="CS36" s="89"/>
      <c r="CT36" s="89"/>
      <c r="CU36" s="89"/>
      <c r="CV36" s="89"/>
      <c r="CW36" s="89"/>
      <c r="CX36" s="89"/>
      <c r="CY36" s="89"/>
      <c r="CZ36" s="89"/>
      <c r="DA36" s="89"/>
      <c r="DB36" s="89"/>
      <c r="DC36" s="89"/>
      <c r="DD36" s="89"/>
      <c r="DE36" s="89"/>
      <c r="DF36" s="89"/>
      <c r="DG36" s="89"/>
      <c r="DH36" s="89"/>
      <c r="DI36" s="89"/>
      <c r="DJ36" s="89"/>
      <c r="DK36" s="89"/>
      <c r="DL36" s="89"/>
      <c r="DM36" s="89"/>
      <c r="DN36" s="89"/>
      <c r="DO36" s="89"/>
      <c r="DP36" s="89"/>
      <c r="DQ36" s="89"/>
      <c r="DR36" s="89"/>
      <c r="DS36" s="89"/>
      <c r="DT36" s="89"/>
      <c r="DU36" s="89"/>
      <c r="DV36" s="89"/>
      <c r="DW36" s="89"/>
      <c r="DX36" s="89"/>
      <c r="DY36" s="89"/>
      <c r="DZ36" s="89"/>
      <c r="EA36" s="89"/>
      <c r="EB36" s="89"/>
      <c r="EC36" s="89"/>
      <c r="ED36" s="89"/>
      <c r="EE36" s="89"/>
      <c r="EF36" s="89"/>
      <c r="EG36" s="89" t="s">
        <v>755</v>
      </c>
      <c r="EH36" s="89"/>
      <c r="EI36" s="89"/>
      <c r="EJ36" s="89"/>
      <c r="EK36" s="89"/>
      <c r="EL36" s="89"/>
      <c r="EM36" s="89"/>
      <c r="EN36" s="89"/>
      <c r="EO36" s="89"/>
      <c r="EP36" s="89"/>
      <c r="EQ36" s="89"/>
      <c r="ER36" s="89" t="s">
        <v>756</v>
      </c>
      <c r="ES36" s="89"/>
      <c r="ET36" s="89"/>
      <c r="EU36" s="89"/>
      <c r="EV36" s="89"/>
      <c r="EW36" s="89"/>
      <c r="EX36" s="89"/>
      <c r="EY36" s="89"/>
      <c r="EZ36" s="89"/>
      <c r="FA36" s="89"/>
      <c r="FB36" s="89"/>
      <c r="FC36" s="89"/>
      <c r="FD36" s="89"/>
      <c r="FE36" s="89"/>
      <c r="FF36" s="89"/>
      <c r="FG36" s="89"/>
      <c r="FH36" s="89"/>
      <c r="FI36" s="89"/>
      <c r="FJ36" s="89"/>
      <c r="FK36" s="89"/>
      <c r="FL36" s="89"/>
      <c r="FM36" s="89"/>
      <c r="FN36" s="89"/>
      <c r="FO36" s="89"/>
      <c r="FP36" s="89"/>
      <c r="FQ36" s="89"/>
      <c r="FR36" s="89"/>
      <c r="FS36" s="89" t="s">
        <v>757</v>
      </c>
      <c r="FT36" s="89"/>
      <c r="FU36" s="89"/>
      <c r="FV36" s="89"/>
      <c r="FW36" s="89" t="s">
        <v>758</v>
      </c>
      <c r="FX36" s="89"/>
      <c r="FY36" s="89"/>
      <c r="FZ36" s="89"/>
      <c r="GA36" s="89"/>
      <c r="GB36" s="89"/>
      <c r="GC36" s="89"/>
      <c r="GD36" s="89"/>
      <c r="GE36" s="89"/>
      <c r="GF36" s="89"/>
      <c r="GG36" s="89"/>
      <c r="GH36" s="89"/>
      <c r="GI36" s="89"/>
      <c r="GJ36" s="89"/>
      <c r="GK36" s="89"/>
      <c r="GL36" s="89"/>
      <c r="GM36" s="89" t="s">
        <v>759</v>
      </c>
      <c r="GN36" s="89"/>
      <c r="GO36" s="89"/>
      <c r="GP36" s="89"/>
      <c r="GQ36" s="89"/>
      <c r="GR36" s="89"/>
      <c r="GS36" s="89"/>
      <c r="GT36" s="89"/>
      <c r="GU36" s="89"/>
      <c r="GV36" s="89"/>
      <c r="GW36" s="89"/>
      <c r="GX36" s="89"/>
    </row>
    <row r="37" spans="1:206" ht="15.75" x14ac:dyDescent="0.25">
      <c r="A37" s="6" t="s">
        <v>33</v>
      </c>
      <c r="B37" s="6" t="s">
        <v>34</v>
      </c>
      <c r="C37" s="89"/>
      <c r="D37" s="89"/>
      <c r="E37" s="89"/>
      <c r="F37" s="89"/>
      <c r="G37" s="89" t="s">
        <v>760</v>
      </c>
      <c r="H37" s="89" t="s">
        <v>761</v>
      </c>
      <c r="I37" s="89" t="s">
        <v>762</v>
      </c>
      <c r="J37" s="89"/>
      <c r="K37" s="89"/>
      <c r="L37" s="89"/>
      <c r="M37" s="89"/>
      <c r="N37" s="89"/>
      <c r="O37" s="89"/>
      <c r="P37" s="89"/>
      <c r="Q37" s="89" t="s">
        <v>764</v>
      </c>
      <c r="R37" s="89"/>
      <c r="S37" s="89"/>
      <c r="T37" s="89"/>
      <c r="U37" s="89"/>
      <c r="V37" s="89"/>
      <c r="W37" s="89"/>
      <c r="X37" s="89"/>
      <c r="Y37" s="89"/>
      <c r="Z37" s="89"/>
      <c r="AA37" s="89"/>
      <c r="AB37" s="89"/>
      <c r="AC37" s="89"/>
      <c r="AD37" s="89"/>
      <c r="AE37" s="89"/>
      <c r="AF37" s="89"/>
      <c r="AG37" s="89"/>
      <c r="AH37" s="89"/>
      <c r="AI37" s="89"/>
      <c r="AJ37" s="89"/>
      <c r="AK37" s="89"/>
      <c r="AL37" s="89"/>
      <c r="AM37" s="89"/>
      <c r="AN37" s="89"/>
      <c r="AO37" s="89"/>
      <c r="AP37" s="89" t="s">
        <v>767</v>
      </c>
      <c r="AQ37" s="89"/>
      <c r="AR37" s="89"/>
      <c r="AS37" s="89"/>
      <c r="AT37" s="89"/>
      <c r="AU37" s="89"/>
      <c r="AV37" s="89"/>
      <c r="AW37" s="89"/>
      <c r="AX37" s="89"/>
      <c r="AY37" s="89"/>
      <c r="AZ37" s="89"/>
      <c r="BA37" s="89"/>
      <c r="BB37" s="89" t="s">
        <v>768</v>
      </c>
      <c r="BC37" s="89"/>
      <c r="BD37" s="89"/>
      <c r="BE37" s="89"/>
      <c r="BF37" s="89"/>
      <c r="BG37" s="89"/>
      <c r="BH37" s="89"/>
      <c r="BI37" s="89"/>
      <c r="BJ37" s="89"/>
      <c r="BK37" s="89"/>
      <c r="BL37" s="89"/>
      <c r="BM37" s="89"/>
      <c r="BN37" s="89" t="s">
        <v>769</v>
      </c>
      <c r="BO37" s="89" t="s">
        <v>770</v>
      </c>
      <c r="BP37" s="89"/>
      <c r="BQ37" s="89"/>
      <c r="BR37" s="89"/>
      <c r="BS37" s="89"/>
      <c r="BT37" s="89"/>
      <c r="BU37" s="89"/>
      <c r="BV37" s="89"/>
      <c r="BW37" s="89"/>
      <c r="BX37" s="89"/>
      <c r="BY37" s="89"/>
      <c r="BZ37" s="89"/>
      <c r="CA37" s="89" t="s">
        <v>771</v>
      </c>
      <c r="CB37" s="89"/>
      <c r="CC37" s="89"/>
      <c r="CD37" s="89"/>
      <c r="CE37" s="89"/>
      <c r="CF37" s="89"/>
      <c r="CG37" s="89"/>
      <c r="CH37" s="89"/>
      <c r="CI37" s="89"/>
      <c r="CJ37" s="89" t="s">
        <v>772</v>
      </c>
      <c r="CK37" s="89"/>
      <c r="CL37" s="89"/>
      <c r="CM37" s="89"/>
      <c r="CN37" s="89"/>
      <c r="CO37" s="89" t="s">
        <v>773</v>
      </c>
      <c r="CP37" s="89"/>
      <c r="CQ37" s="89"/>
      <c r="CR37" s="89"/>
      <c r="CS37" s="89"/>
      <c r="CT37" s="89"/>
      <c r="CU37" s="89"/>
      <c r="CV37" s="89"/>
      <c r="CW37" s="89"/>
      <c r="CX37" s="89"/>
      <c r="CY37" s="89" t="s">
        <v>774</v>
      </c>
      <c r="CZ37" s="89"/>
      <c r="DA37" s="89"/>
      <c r="DB37" s="89"/>
      <c r="DC37" s="89"/>
      <c r="DD37" s="89"/>
      <c r="DE37" s="89"/>
      <c r="DF37" s="89" t="s">
        <v>775</v>
      </c>
      <c r="DG37" s="89"/>
      <c r="DH37" s="89"/>
      <c r="DI37" s="89"/>
      <c r="DJ37" s="89" t="s">
        <v>776</v>
      </c>
      <c r="DK37" s="89"/>
      <c r="DL37" s="89"/>
      <c r="DM37" s="89"/>
      <c r="DN37" s="89"/>
      <c r="DO37" s="89"/>
      <c r="DP37" s="89" t="s">
        <v>777</v>
      </c>
      <c r="DQ37" s="89"/>
      <c r="DR37" s="89" t="s">
        <v>777</v>
      </c>
      <c r="DS37" s="89"/>
      <c r="DT37" s="89"/>
      <c r="DU37" s="89"/>
      <c r="DV37" s="89"/>
      <c r="DW37" s="89"/>
      <c r="DX37" s="89"/>
      <c r="DY37" s="89"/>
      <c r="DZ37" s="89" t="s">
        <v>778</v>
      </c>
      <c r="EA37" s="89"/>
      <c r="EB37" s="89"/>
      <c r="EC37" s="89" t="s">
        <v>779</v>
      </c>
      <c r="ED37" s="89"/>
      <c r="EE37" s="89"/>
      <c r="EF37" s="89"/>
      <c r="EG37" s="89" t="s">
        <v>780</v>
      </c>
      <c r="EH37" s="89"/>
      <c r="EI37" s="89"/>
      <c r="EJ37" s="89"/>
      <c r="EK37" s="89"/>
      <c r="EL37" s="89"/>
      <c r="EM37" s="89"/>
      <c r="EN37" s="89"/>
      <c r="EO37" s="89"/>
      <c r="EP37" s="89"/>
      <c r="EQ37" s="89"/>
      <c r="ER37" s="89" t="s">
        <v>781</v>
      </c>
      <c r="ES37" s="89"/>
      <c r="ET37" s="89"/>
      <c r="EU37" s="89"/>
      <c r="EV37" s="89"/>
      <c r="EW37" s="89"/>
      <c r="EX37" s="89"/>
      <c r="EY37" s="89"/>
      <c r="EZ37" s="89" t="s">
        <v>762</v>
      </c>
      <c r="FA37" s="89"/>
      <c r="FB37" s="89"/>
      <c r="FC37" s="89"/>
      <c r="FD37" s="89" t="s">
        <v>782</v>
      </c>
      <c r="FE37" s="89"/>
      <c r="FF37" s="89" t="s">
        <v>783</v>
      </c>
      <c r="FG37" s="89"/>
      <c r="FH37" s="89"/>
      <c r="FI37" s="89"/>
      <c r="FJ37" s="89"/>
      <c r="FK37" s="89"/>
      <c r="FL37" s="89"/>
      <c r="FM37" s="89"/>
      <c r="FN37" s="89"/>
      <c r="FO37" s="89"/>
      <c r="FP37" s="89"/>
      <c r="FQ37" s="89"/>
      <c r="FR37" s="89"/>
      <c r="FS37" s="89"/>
      <c r="FT37" s="89"/>
      <c r="FU37" s="89"/>
      <c r="FV37" s="89"/>
      <c r="FW37" s="89"/>
      <c r="FX37" s="89"/>
      <c r="FY37" s="89"/>
      <c r="FZ37" s="89"/>
      <c r="GA37" s="89"/>
      <c r="GB37" s="89"/>
      <c r="GC37" s="89"/>
      <c r="GD37" s="89"/>
      <c r="GE37" s="89"/>
      <c r="GF37" s="89"/>
      <c r="GG37" s="89"/>
      <c r="GH37" s="89"/>
      <c r="GI37" s="89" t="s">
        <v>784</v>
      </c>
      <c r="GJ37" s="89" t="s">
        <v>782</v>
      </c>
      <c r="GK37" s="89"/>
      <c r="GL37" s="89"/>
      <c r="GM37" s="89"/>
      <c r="GN37" s="89"/>
      <c r="GO37" s="89" t="s">
        <v>498</v>
      </c>
      <c r="GP37" s="89"/>
      <c r="GQ37" s="89"/>
      <c r="GR37" s="89"/>
      <c r="GS37" s="89" t="s">
        <v>761</v>
      </c>
      <c r="GT37" s="89"/>
      <c r="GU37" s="89"/>
      <c r="GV37" s="89"/>
      <c r="GW37" s="89"/>
      <c r="GX37" s="89"/>
    </row>
    <row r="38" spans="1:206" ht="15.75" x14ac:dyDescent="0.25">
      <c r="A38" s="6" t="s">
        <v>90</v>
      </c>
      <c r="B38" s="6" t="s">
        <v>93</v>
      </c>
      <c r="C38" s="89"/>
      <c r="D38" s="89"/>
      <c r="E38" s="89"/>
      <c r="F38" s="89"/>
      <c r="G38" s="89"/>
      <c r="H38" s="89"/>
      <c r="I38" s="89"/>
      <c r="J38" s="89"/>
      <c r="K38" s="89"/>
      <c r="L38" s="89"/>
      <c r="M38" s="89"/>
      <c r="N38" s="89"/>
      <c r="O38" s="89" t="s">
        <v>785</v>
      </c>
      <c r="P38" s="89"/>
      <c r="Q38" s="89"/>
      <c r="R38" s="89"/>
      <c r="S38" s="89"/>
      <c r="T38" s="89" t="s">
        <v>786</v>
      </c>
      <c r="U38" s="89"/>
      <c r="V38" s="89"/>
      <c r="W38" s="89"/>
      <c r="X38" s="89"/>
      <c r="Y38" s="89"/>
      <c r="Z38" s="89"/>
      <c r="AA38" s="89"/>
      <c r="AB38" s="89"/>
      <c r="AC38" s="89"/>
      <c r="AD38" s="89"/>
      <c r="AE38" s="89"/>
      <c r="AF38" s="89"/>
      <c r="AG38" s="89"/>
      <c r="AH38" s="89"/>
      <c r="AI38" s="89"/>
      <c r="AJ38" s="89"/>
      <c r="AK38" s="89"/>
      <c r="AL38" s="89"/>
      <c r="AM38" s="89"/>
      <c r="AN38" s="89"/>
      <c r="AO38" s="89"/>
      <c r="AP38" s="89"/>
      <c r="AQ38" s="89"/>
      <c r="AR38" s="89"/>
      <c r="AS38" s="89"/>
      <c r="AT38" s="89"/>
      <c r="AU38" s="89"/>
      <c r="AV38" s="89"/>
      <c r="AW38" s="89"/>
      <c r="AX38" s="89"/>
      <c r="AY38" s="89"/>
      <c r="AZ38" s="89"/>
      <c r="BA38" s="89"/>
      <c r="BB38" s="89"/>
      <c r="BC38" s="89"/>
      <c r="BD38" s="89"/>
      <c r="BE38" s="89"/>
      <c r="BF38" s="89"/>
      <c r="BG38" s="89"/>
      <c r="BH38" s="89"/>
      <c r="BI38" s="89"/>
      <c r="BJ38" s="89"/>
      <c r="BK38" s="89"/>
      <c r="BL38" s="89"/>
      <c r="BM38" s="89"/>
      <c r="BN38" s="89"/>
      <c r="BO38" s="89"/>
      <c r="BP38" s="89"/>
      <c r="BQ38" s="89"/>
      <c r="BR38" s="89"/>
      <c r="BS38" s="89"/>
      <c r="BT38" s="89"/>
      <c r="BU38" s="89"/>
      <c r="BV38" s="89"/>
      <c r="BW38" s="89"/>
      <c r="BX38" s="89"/>
      <c r="BY38" s="89"/>
      <c r="BZ38" s="89"/>
      <c r="CA38" s="89"/>
      <c r="CB38" s="89"/>
      <c r="CC38" s="89"/>
      <c r="CD38" s="89"/>
      <c r="CE38" s="89"/>
      <c r="CF38" s="89"/>
      <c r="CG38" s="89" t="s">
        <v>787</v>
      </c>
      <c r="CH38" s="89"/>
      <c r="CI38" s="89"/>
      <c r="CJ38" s="89"/>
      <c r="CK38" s="89"/>
      <c r="CL38" s="89"/>
      <c r="CM38" s="89"/>
      <c r="CN38" s="89"/>
      <c r="CO38" s="89"/>
      <c r="CP38" s="89"/>
      <c r="CQ38" s="89" t="s">
        <v>788</v>
      </c>
      <c r="CR38" s="89"/>
      <c r="CS38" s="89"/>
      <c r="CT38" s="89"/>
      <c r="CU38" s="89"/>
      <c r="CV38" s="89"/>
      <c r="CW38" s="89"/>
      <c r="CX38" s="89"/>
      <c r="CY38" s="89"/>
      <c r="CZ38" s="89"/>
      <c r="DA38" s="89"/>
      <c r="DB38" s="89"/>
      <c r="DC38" s="89"/>
      <c r="DD38" s="89"/>
      <c r="DE38" s="89"/>
      <c r="DF38" s="89"/>
      <c r="DG38" s="89"/>
      <c r="DH38" s="89"/>
      <c r="DI38" s="89"/>
      <c r="DJ38" s="89"/>
      <c r="DK38" s="89"/>
      <c r="DL38" s="89"/>
      <c r="DM38" s="89"/>
      <c r="DN38" s="89" t="s">
        <v>789</v>
      </c>
      <c r="DO38" s="89"/>
      <c r="DP38" s="89"/>
      <c r="DQ38" s="89"/>
      <c r="DR38" s="89"/>
      <c r="DS38" s="89" t="s">
        <v>790</v>
      </c>
      <c r="DT38" s="89"/>
      <c r="DU38" s="89"/>
      <c r="DV38" s="89"/>
      <c r="DW38" s="89"/>
      <c r="DX38" s="89" t="s">
        <v>791</v>
      </c>
      <c r="DY38" s="89"/>
      <c r="DZ38" s="89"/>
      <c r="EA38" s="89"/>
      <c r="EB38" s="89"/>
      <c r="EC38" s="89"/>
      <c r="ED38" s="89"/>
      <c r="EE38" s="89"/>
      <c r="EF38" s="89"/>
      <c r="EG38" s="89" t="s">
        <v>792</v>
      </c>
      <c r="EH38" s="89"/>
      <c r="EI38" s="89"/>
      <c r="EJ38" s="89"/>
      <c r="EK38" s="89"/>
      <c r="EL38" s="89"/>
      <c r="EM38" s="89"/>
      <c r="EN38" s="89" t="s">
        <v>793</v>
      </c>
      <c r="EO38" s="89"/>
      <c r="EP38" s="89"/>
      <c r="EQ38" s="89"/>
      <c r="ER38" s="89" t="s">
        <v>794</v>
      </c>
      <c r="ES38" s="89" t="s">
        <v>795</v>
      </c>
      <c r="ET38" s="89"/>
      <c r="EU38" s="89"/>
      <c r="EV38" s="89"/>
      <c r="EW38" s="89"/>
      <c r="EX38" s="89"/>
      <c r="EY38" s="89"/>
      <c r="EZ38" s="89"/>
      <c r="FA38" s="89"/>
      <c r="FB38" s="89"/>
      <c r="FC38" s="89"/>
      <c r="FD38" s="89"/>
      <c r="FE38" s="89"/>
      <c r="FF38" s="89"/>
      <c r="FG38" s="89"/>
      <c r="FH38" s="89"/>
      <c r="FI38" s="89"/>
      <c r="FJ38" s="89"/>
      <c r="FK38" s="89"/>
      <c r="FL38" s="89"/>
      <c r="FM38" s="89"/>
      <c r="FN38" s="89" t="s">
        <v>796</v>
      </c>
      <c r="FO38" s="89"/>
      <c r="FP38" s="89"/>
      <c r="FQ38" s="89"/>
      <c r="FR38" s="89"/>
      <c r="FS38" s="89"/>
      <c r="FT38" s="89"/>
      <c r="FU38" s="89"/>
      <c r="FV38" s="89"/>
      <c r="FW38" s="89"/>
      <c r="FX38" s="89"/>
      <c r="FY38" s="89"/>
      <c r="FZ38" s="89"/>
      <c r="GA38" s="89"/>
      <c r="GB38" s="89"/>
      <c r="GC38" s="89"/>
      <c r="GD38" s="89"/>
      <c r="GE38" s="89"/>
      <c r="GF38" s="89"/>
      <c r="GG38" s="89"/>
      <c r="GH38" s="89"/>
      <c r="GI38" s="89"/>
      <c r="GJ38" s="89"/>
      <c r="GK38" s="89"/>
      <c r="GL38" s="89" t="s">
        <v>797</v>
      </c>
      <c r="GM38" s="89"/>
      <c r="GN38" s="89"/>
      <c r="GO38" s="89"/>
      <c r="GP38" s="89"/>
      <c r="GQ38" s="89"/>
      <c r="GR38" s="89"/>
      <c r="GS38" s="89"/>
      <c r="GT38" s="89"/>
      <c r="GU38" s="89"/>
      <c r="GV38" s="89"/>
      <c r="GW38" s="89"/>
      <c r="GX38" s="89"/>
    </row>
    <row r="39" spans="1:206" ht="15.75" x14ac:dyDescent="0.25">
      <c r="A39" s="6" t="s">
        <v>89</v>
      </c>
      <c r="B39" s="6" t="s">
        <v>92</v>
      </c>
      <c r="C39" s="89" t="s">
        <v>798</v>
      </c>
      <c r="D39" s="89"/>
      <c r="E39" s="89"/>
      <c r="F39" s="89"/>
      <c r="G39" s="89" t="s">
        <v>798</v>
      </c>
      <c r="H39" s="89" t="s">
        <v>799</v>
      </c>
      <c r="I39" s="89"/>
      <c r="J39" s="89"/>
      <c r="K39" s="89"/>
      <c r="L39" s="89"/>
      <c r="M39" s="89"/>
      <c r="N39" s="89"/>
      <c r="O39" s="89"/>
      <c r="P39" s="89"/>
      <c r="Q39" s="89"/>
      <c r="R39" s="89"/>
      <c r="S39" s="89"/>
      <c r="T39" s="89"/>
      <c r="U39" s="89"/>
      <c r="V39" s="89"/>
      <c r="W39" s="89" t="s">
        <v>800</v>
      </c>
      <c r="X39" s="89"/>
      <c r="Y39" s="89"/>
      <c r="Z39" s="89"/>
      <c r="AA39" s="89"/>
      <c r="AB39" s="89"/>
      <c r="AC39" s="89"/>
      <c r="AD39" s="89"/>
      <c r="AE39" s="89"/>
      <c r="AF39" s="89"/>
      <c r="AG39" s="89"/>
      <c r="AH39" s="89"/>
      <c r="AI39" s="89"/>
      <c r="AJ39" s="89"/>
      <c r="AK39" s="89"/>
      <c r="AL39" s="89" t="s">
        <v>801</v>
      </c>
      <c r="AM39" s="89"/>
      <c r="AN39" s="89"/>
      <c r="AO39" s="89"/>
      <c r="AP39" s="89"/>
      <c r="AQ39" s="89"/>
      <c r="AR39" s="89"/>
      <c r="AS39" s="89"/>
      <c r="AT39" s="89"/>
      <c r="AU39" s="89"/>
      <c r="AV39" s="89"/>
      <c r="AW39" s="89"/>
      <c r="AX39" s="89"/>
      <c r="AY39" s="89"/>
      <c r="AZ39" s="89"/>
      <c r="BA39" s="89"/>
      <c r="BB39" s="89"/>
      <c r="BC39" s="89" t="s">
        <v>800</v>
      </c>
      <c r="BD39" s="89"/>
      <c r="BE39" s="89"/>
      <c r="BF39" s="89"/>
      <c r="BG39" s="89"/>
      <c r="BH39" s="89"/>
      <c r="BI39" s="89" t="s">
        <v>802</v>
      </c>
      <c r="BJ39" s="89"/>
      <c r="BK39" s="89" t="s">
        <v>798</v>
      </c>
      <c r="BL39" s="89"/>
      <c r="BM39" s="89"/>
      <c r="BN39" s="89"/>
      <c r="BO39" s="89"/>
      <c r="BP39" s="89"/>
      <c r="BQ39" s="89"/>
      <c r="BR39" s="89"/>
      <c r="BS39" s="89"/>
      <c r="BT39" s="89"/>
      <c r="BU39" s="89"/>
      <c r="BV39" s="89"/>
      <c r="BW39" s="89"/>
      <c r="BX39" s="89" t="s">
        <v>798</v>
      </c>
      <c r="BY39" s="89"/>
      <c r="BZ39" s="89"/>
      <c r="CA39" s="89"/>
      <c r="CB39" s="89"/>
      <c r="CC39" s="89"/>
      <c r="CD39" s="89"/>
      <c r="CE39" s="89"/>
      <c r="CF39" s="89"/>
      <c r="CG39" s="89" t="s">
        <v>803</v>
      </c>
      <c r="CH39" s="89"/>
      <c r="CI39" s="89"/>
      <c r="CJ39" s="89"/>
      <c r="CK39" s="89"/>
      <c r="CL39" s="89"/>
      <c r="CM39" s="89"/>
      <c r="CN39" s="89"/>
      <c r="CO39" s="89"/>
      <c r="CP39" s="89"/>
      <c r="CQ39" s="89"/>
      <c r="CR39" s="89"/>
      <c r="CS39" s="89"/>
      <c r="CT39" s="89" t="s">
        <v>798</v>
      </c>
      <c r="CU39" s="89"/>
      <c r="CV39" s="89"/>
      <c r="CW39" s="89"/>
      <c r="CX39" s="89"/>
      <c r="CY39" s="89" t="s">
        <v>804</v>
      </c>
      <c r="CZ39" s="89"/>
      <c r="DA39" s="89"/>
      <c r="DB39" s="89" t="s">
        <v>805</v>
      </c>
      <c r="DC39" s="89"/>
      <c r="DD39" s="89"/>
      <c r="DE39" s="89"/>
      <c r="DF39" s="89"/>
      <c r="DG39" s="89"/>
      <c r="DH39" s="89"/>
      <c r="DI39" s="89"/>
      <c r="DJ39" s="89"/>
      <c r="DK39" s="89"/>
      <c r="DL39" s="89"/>
      <c r="DM39" s="89"/>
      <c r="DN39" s="89"/>
      <c r="DO39" s="89"/>
      <c r="DP39" s="89"/>
      <c r="DQ39" s="89"/>
      <c r="DR39" s="89"/>
      <c r="DS39" s="89"/>
      <c r="DT39" s="89" t="s">
        <v>806</v>
      </c>
      <c r="DU39" s="89" t="s">
        <v>807</v>
      </c>
      <c r="DV39" s="89"/>
      <c r="DW39" s="89"/>
      <c r="DX39" s="89"/>
      <c r="DY39" s="89"/>
      <c r="DZ39" s="89"/>
      <c r="EA39" s="89"/>
      <c r="EB39" s="89"/>
      <c r="EC39" s="89"/>
      <c r="ED39" s="89"/>
      <c r="EE39" s="89"/>
      <c r="EF39" s="89"/>
      <c r="EG39" s="89" t="s">
        <v>1112</v>
      </c>
      <c r="EH39" s="89" t="s">
        <v>798</v>
      </c>
      <c r="EI39" s="89"/>
      <c r="EJ39" s="89" t="s">
        <v>810</v>
      </c>
      <c r="EK39" s="89"/>
      <c r="EL39" s="89"/>
      <c r="EM39" s="89"/>
      <c r="EN39" s="89" t="s">
        <v>810</v>
      </c>
      <c r="EO39" s="89"/>
      <c r="EP39" s="89"/>
      <c r="EQ39" s="89"/>
      <c r="ER39" s="89" t="s">
        <v>1113</v>
      </c>
      <c r="ES39" s="89" t="s">
        <v>812</v>
      </c>
      <c r="ET39" s="89"/>
      <c r="EU39" s="89"/>
      <c r="EV39" s="89"/>
      <c r="EW39" s="89" t="s">
        <v>798</v>
      </c>
      <c r="EX39" s="89" t="s">
        <v>813</v>
      </c>
      <c r="EY39" s="89"/>
      <c r="EZ39" s="89"/>
      <c r="FA39" s="89"/>
      <c r="FB39" s="89"/>
      <c r="FC39" s="89" t="s">
        <v>1114</v>
      </c>
      <c r="FD39" s="89" t="s">
        <v>814</v>
      </c>
      <c r="FE39" s="89"/>
      <c r="FF39" s="89"/>
      <c r="FG39" s="89"/>
      <c r="FH39" s="89"/>
      <c r="FI39" s="89"/>
      <c r="FJ39" s="89"/>
      <c r="FK39" s="89"/>
      <c r="FL39" s="89"/>
      <c r="FM39" s="89"/>
      <c r="FN39" s="89"/>
      <c r="FO39" s="89" t="s">
        <v>815</v>
      </c>
      <c r="FP39" s="89"/>
      <c r="FQ39" s="89"/>
      <c r="FR39" s="89"/>
      <c r="FS39" s="89"/>
      <c r="FT39" s="89"/>
      <c r="FU39" s="89"/>
      <c r="FV39" s="89"/>
      <c r="FW39" s="89"/>
      <c r="FX39" s="89" t="s">
        <v>816</v>
      </c>
      <c r="FY39" s="89"/>
      <c r="FZ39" s="89"/>
      <c r="GA39" s="89"/>
      <c r="GB39" s="89"/>
      <c r="GC39" s="89"/>
      <c r="GD39" s="89"/>
      <c r="GE39" s="89"/>
      <c r="GF39" s="89"/>
      <c r="GG39" s="89"/>
      <c r="GH39" s="89"/>
      <c r="GI39" s="89"/>
      <c r="GJ39" s="89"/>
      <c r="GK39" s="89"/>
      <c r="GL39" s="89" t="s">
        <v>817</v>
      </c>
      <c r="GM39" s="89"/>
      <c r="GN39" s="89"/>
      <c r="GO39" s="89"/>
      <c r="GP39" s="89"/>
      <c r="GQ39" s="89"/>
      <c r="GR39" s="89"/>
      <c r="GS39" s="89" t="s">
        <v>818</v>
      </c>
      <c r="GT39" s="89"/>
      <c r="GU39" s="89" t="s">
        <v>819</v>
      </c>
      <c r="GV39" s="89"/>
      <c r="GW39" s="89"/>
      <c r="GX39" s="89"/>
    </row>
    <row r="40" spans="1:206" ht="15.75" x14ac:dyDescent="0.25">
      <c r="A40" s="6" t="s">
        <v>88</v>
      </c>
      <c r="B40" s="6" t="s">
        <v>91</v>
      </c>
      <c r="C40" s="89"/>
      <c r="D40" s="89"/>
      <c r="E40" s="89" t="s">
        <v>820</v>
      </c>
      <c r="F40" s="89"/>
      <c r="G40" s="89"/>
      <c r="H40" s="89" t="s">
        <v>821</v>
      </c>
      <c r="I40" s="89"/>
      <c r="J40" s="89"/>
      <c r="K40" s="89"/>
      <c r="L40" s="89"/>
      <c r="M40" s="89"/>
      <c r="N40" s="89"/>
      <c r="O40" s="89"/>
      <c r="P40" s="89"/>
      <c r="Q40" s="89"/>
      <c r="R40" s="89"/>
      <c r="S40" s="89"/>
      <c r="T40" s="89"/>
      <c r="U40" s="89"/>
      <c r="V40" s="89"/>
      <c r="W40" s="89"/>
      <c r="X40" s="89"/>
      <c r="Y40" s="89"/>
      <c r="Z40" s="89"/>
      <c r="AA40" s="89"/>
      <c r="AB40" s="89"/>
      <c r="AC40" s="89"/>
      <c r="AD40" s="89"/>
      <c r="AE40" s="89" t="s">
        <v>823</v>
      </c>
      <c r="AF40" s="89"/>
      <c r="AG40" s="89"/>
      <c r="AH40" s="89"/>
      <c r="AI40" s="89"/>
      <c r="AJ40" s="89"/>
      <c r="AK40" s="89"/>
      <c r="AL40" s="89"/>
      <c r="AM40" s="89"/>
      <c r="AN40" s="89"/>
      <c r="AO40" s="89"/>
      <c r="AP40" s="89"/>
      <c r="AQ40" s="89"/>
      <c r="AR40" s="89"/>
      <c r="AS40" s="89"/>
      <c r="AT40" s="89"/>
      <c r="AU40" s="89"/>
      <c r="AV40" s="89" t="s">
        <v>824</v>
      </c>
      <c r="AW40" s="89"/>
      <c r="AX40" s="89" t="s">
        <v>824</v>
      </c>
      <c r="AY40" s="89"/>
      <c r="AZ40" s="89"/>
      <c r="BA40" s="89"/>
      <c r="BB40" s="89"/>
      <c r="BC40" s="89"/>
      <c r="BD40" s="89" t="s">
        <v>824</v>
      </c>
      <c r="BE40" s="89"/>
      <c r="BF40" s="89" t="s">
        <v>825</v>
      </c>
      <c r="BG40" s="89"/>
      <c r="BH40" s="89"/>
      <c r="BI40" s="89"/>
      <c r="BJ40" s="89"/>
      <c r="BK40" s="89"/>
      <c r="BL40" s="89"/>
      <c r="BM40" s="89"/>
      <c r="BN40" s="89" t="s">
        <v>824</v>
      </c>
      <c r="BO40" s="89"/>
      <c r="BP40" s="89"/>
      <c r="BQ40" s="89"/>
      <c r="BR40" s="89"/>
      <c r="BS40" s="89"/>
      <c r="BT40" s="89"/>
      <c r="BU40" s="89"/>
      <c r="BV40" s="89"/>
      <c r="BW40" s="89"/>
      <c r="BX40" s="89"/>
      <c r="BY40" s="89" t="s">
        <v>824</v>
      </c>
      <c r="BZ40" s="89"/>
      <c r="CA40" s="89"/>
      <c r="CB40" s="89"/>
      <c r="CC40" s="89"/>
      <c r="CD40" s="89"/>
      <c r="CE40" s="89" t="s">
        <v>824</v>
      </c>
      <c r="CF40" s="89" t="s">
        <v>824</v>
      </c>
      <c r="CG40" s="89"/>
      <c r="CH40" s="89"/>
      <c r="CI40" s="89"/>
      <c r="CJ40" s="89"/>
      <c r="CK40" s="89" t="s">
        <v>824</v>
      </c>
      <c r="CL40" s="89" t="s">
        <v>824</v>
      </c>
      <c r="CM40" s="89" t="s">
        <v>826</v>
      </c>
      <c r="CN40" s="89"/>
      <c r="CO40" s="89"/>
      <c r="CP40" s="89"/>
      <c r="CQ40" s="89"/>
      <c r="CR40" s="89"/>
      <c r="CS40" s="89"/>
      <c r="CT40" s="89"/>
      <c r="CU40" s="89"/>
      <c r="CV40" s="89"/>
      <c r="CW40" s="89"/>
      <c r="CX40" s="89"/>
      <c r="CY40" s="89"/>
      <c r="CZ40" s="89"/>
      <c r="DA40" s="89"/>
      <c r="DB40" s="89"/>
      <c r="DC40" s="89"/>
      <c r="DD40" s="89"/>
      <c r="DE40" s="89"/>
      <c r="DF40" s="89"/>
      <c r="DG40" s="89"/>
      <c r="DH40" s="89"/>
      <c r="DI40" s="89"/>
      <c r="DJ40" s="89"/>
      <c r="DK40" s="89"/>
      <c r="DL40" s="89"/>
      <c r="DM40" s="89"/>
      <c r="DN40" s="89" t="s">
        <v>827</v>
      </c>
      <c r="DO40" s="89"/>
      <c r="DP40" s="89" t="s">
        <v>824</v>
      </c>
      <c r="DQ40" s="89"/>
      <c r="DR40" s="89" t="s">
        <v>824</v>
      </c>
      <c r="DS40" s="89"/>
      <c r="DT40" s="89" t="s">
        <v>828</v>
      </c>
      <c r="DU40" s="89"/>
      <c r="DV40" s="89" t="s">
        <v>824</v>
      </c>
      <c r="DW40" s="89"/>
      <c r="DX40" s="89" t="s">
        <v>829</v>
      </c>
      <c r="DY40" s="89"/>
      <c r="DZ40" s="89" t="s">
        <v>824</v>
      </c>
      <c r="EA40" s="89"/>
      <c r="EB40" s="89" t="s">
        <v>830</v>
      </c>
      <c r="EC40" s="89"/>
      <c r="ED40" s="89"/>
      <c r="EE40" s="89"/>
      <c r="EF40" s="89"/>
      <c r="EG40" s="89"/>
      <c r="EH40" s="89"/>
      <c r="EI40" s="89"/>
      <c r="EJ40" s="89"/>
      <c r="EK40" s="89"/>
      <c r="EL40" s="89"/>
      <c r="EM40" s="89"/>
      <c r="EN40" s="89"/>
      <c r="EO40" s="89"/>
      <c r="EP40" s="89"/>
      <c r="EQ40" s="89"/>
      <c r="ER40" s="89" t="s">
        <v>831</v>
      </c>
      <c r="ES40" s="89"/>
      <c r="ET40" s="89"/>
      <c r="EU40" s="89"/>
      <c r="EV40" s="89"/>
      <c r="EW40" s="89"/>
      <c r="EX40" s="89"/>
      <c r="EY40" s="89"/>
      <c r="EZ40" s="89"/>
      <c r="FA40" s="89"/>
      <c r="FB40" s="89"/>
      <c r="FC40" s="89"/>
      <c r="FD40" s="89"/>
      <c r="FE40" s="89"/>
      <c r="FF40" s="89"/>
      <c r="FG40" s="89"/>
      <c r="FH40" s="89"/>
      <c r="FI40" s="89"/>
      <c r="FJ40" s="89"/>
      <c r="FK40" s="89"/>
      <c r="FL40" s="89" t="s">
        <v>824</v>
      </c>
      <c r="FM40" s="89" t="s">
        <v>823</v>
      </c>
      <c r="FN40" s="89"/>
      <c r="FO40" s="89"/>
      <c r="FP40" s="89"/>
      <c r="FQ40" s="89"/>
      <c r="FR40" s="89"/>
      <c r="FS40" s="89"/>
      <c r="FT40" s="89"/>
      <c r="FU40" s="89"/>
      <c r="FV40" s="89" t="s">
        <v>824</v>
      </c>
      <c r="FW40" s="89"/>
      <c r="FX40" s="89"/>
      <c r="FY40" s="89" t="s">
        <v>824</v>
      </c>
      <c r="FZ40" s="89"/>
      <c r="GA40" s="89"/>
      <c r="GB40" s="89"/>
      <c r="GC40" s="89"/>
      <c r="GD40" s="89"/>
      <c r="GE40" s="89" t="s">
        <v>832</v>
      </c>
      <c r="GF40" s="89"/>
      <c r="GG40" s="89"/>
      <c r="GH40" s="89" t="s">
        <v>824</v>
      </c>
      <c r="GI40" s="89"/>
      <c r="GJ40" s="89"/>
      <c r="GK40" s="89"/>
      <c r="GL40" s="89"/>
      <c r="GM40" s="89"/>
      <c r="GN40" s="89"/>
      <c r="GO40" s="89"/>
      <c r="GP40" s="89"/>
      <c r="GQ40" s="89"/>
      <c r="GR40" s="89"/>
      <c r="GS40" s="89" t="s">
        <v>821</v>
      </c>
      <c r="GT40" s="89"/>
      <c r="GU40" s="89" t="s">
        <v>821</v>
      </c>
      <c r="GV40" s="89"/>
      <c r="GW40" s="89"/>
      <c r="GX40" s="89" t="s">
        <v>824</v>
      </c>
    </row>
    <row r="41" spans="1:206" ht="15.75" x14ac:dyDescent="0.25">
      <c r="A41" s="6" t="s">
        <v>66</v>
      </c>
      <c r="B41" s="6" t="s">
        <v>67</v>
      </c>
      <c r="C41" s="89"/>
      <c r="D41" s="89"/>
      <c r="E41" s="89"/>
      <c r="F41" s="89"/>
      <c r="G41" s="89"/>
      <c r="H41" s="89"/>
      <c r="I41" s="89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89"/>
      <c r="U41" s="89"/>
      <c r="V41" s="89"/>
      <c r="W41" s="89"/>
      <c r="X41" s="89"/>
      <c r="Y41" s="89"/>
      <c r="Z41" s="89"/>
      <c r="AA41" s="89"/>
      <c r="AB41" s="89"/>
      <c r="AC41" s="89"/>
      <c r="AD41" s="89"/>
      <c r="AE41" s="89" t="s">
        <v>833</v>
      </c>
      <c r="AF41" s="89"/>
      <c r="AG41" s="89"/>
      <c r="AH41" s="89"/>
      <c r="AI41" s="89"/>
      <c r="AJ41" s="89"/>
      <c r="AK41" s="89"/>
      <c r="AL41" s="89"/>
      <c r="AM41" s="89"/>
      <c r="AN41" s="89"/>
      <c r="AO41" s="89"/>
      <c r="AP41" s="89"/>
      <c r="AQ41" s="89"/>
      <c r="AR41" s="89"/>
      <c r="AS41" s="89"/>
      <c r="AT41" s="89"/>
      <c r="AU41" s="89"/>
      <c r="AV41" s="89"/>
      <c r="AW41" s="89"/>
      <c r="AX41" s="89"/>
      <c r="AY41" s="89"/>
      <c r="AZ41" s="89"/>
      <c r="BA41" s="89"/>
      <c r="BB41" s="89" t="s">
        <v>834</v>
      </c>
      <c r="BC41" s="89"/>
      <c r="BD41" s="89"/>
      <c r="BE41" s="89"/>
      <c r="BF41" s="89"/>
      <c r="BG41" s="89"/>
      <c r="BH41" s="89"/>
      <c r="BI41" s="89"/>
      <c r="BJ41" s="89"/>
      <c r="BK41" s="89"/>
      <c r="BL41" s="89"/>
      <c r="BM41" s="89"/>
      <c r="BN41" s="89"/>
      <c r="BO41" s="89"/>
      <c r="BP41" s="89"/>
      <c r="BQ41" s="89"/>
      <c r="BR41" s="89"/>
      <c r="BS41" s="89"/>
      <c r="BT41" s="89"/>
      <c r="BU41" s="89"/>
      <c r="BV41" s="89"/>
      <c r="BW41" s="89"/>
      <c r="BX41" s="89"/>
      <c r="BY41" s="89"/>
      <c r="BZ41" s="89"/>
      <c r="CA41" s="89"/>
      <c r="CB41" s="89"/>
      <c r="CC41" s="89"/>
      <c r="CD41" s="89"/>
      <c r="CE41" s="89"/>
      <c r="CF41" s="89"/>
      <c r="CG41" s="89"/>
      <c r="CH41" s="89"/>
      <c r="CI41" s="89"/>
      <c r="CJ41" s="89"/>
      <c r="CK41" s="89"/>
      <c r="CL41" s="89"/>
      <c r="CM41" s="89"/>
      <c r="CN41" s="89"/>
      <c r="CO41" s="89"/>
      <c r="CP41" s="89"/>
      <c r="CQ41" s="89" t="s">
        <v>836</v>
      </c>
      <c r="CR41" s="89"/>
      <c r="CS41" s="89"/>
      <c r="CT41" s="89"/>
      <c r="CU41" s="89"/>
      <c r="CV41" s="89"/>
      <c r="CW41" s="89"/>
      <c r="CX41" s="89"/>
      <c r="CY41" s="89"/>
      <c r="CZ41" s="89"/>
      <c r="DA41" s="89"/>
      <c r="DB41" s="89"/>
      <c r="DC41" s="89"/>
      <c r="DD41" s="89"/>
      <c r="DE41" s="89"/>
      <c r="DF41" s="89"/>
      <c r="DG41" s="89"/>
      <c r="DH41" s="89"/>
      <c r="DI41" s="89"/>
      <c r="DJ41" s="89"/>
      <c r="DK41" s="89"/>
      <c r="DL41" s="89"/>
      <c r="DM41" s="89"/>
      <c r="DN41" s="89"/>
      <c r="DO41" s="89"/>
      <c r="DP41" s="89"/>
      <c r="DQ41" s="89"/>
      <c r="DR41" s="89"/>
      <c r="DS41" s="89"/>
      <c r="DT41" s="89" t="s">
        <v>734</v>
      </c>
      <c r="DU41" s="89"/>
      <c r="DV41" s="89"/>
      <c r="DW41" s="89"/>
      <c r="DX41" s="89" t="s">
        <v>837</v>
      </c>
      <c r="DY41" s="89"/>
      <c r="DZ41" s="89"/>
      <c r="EA41" s="89"/>
      <c r="EB41" s="89" t="s">
        <v>838</v>
      </c>
      <c r="EC41" s="89"/>
      <c r="ED41" s="89" t="s">
        <v>839</v>
      </c>
      <c r="EE41" s="89"/>
      <c r="EF41" s="89" t="s">
        <v>840</v>
      </c>
      <c r="EG41" s="89"/>
      <c r="EH41" s="89"/>
      <c r="EI41" s="89"/>
      <c r="EJ41" s="89"/>
      <c r="EK41" s="89"/>
      <c r="EL41" s="89"/>
      <c r="EM41" s="89"/>
      <c r="EN41" s="89"/>
      <c r="EO41" s="89"/>
      <c r="EP41" s="89"/>
      <c r="EQ41" s="89"/>
      <c r="ER41" s="89" t="s">
        <v>842</v>
      </c>
      <c r="ES41" s="89"/>
      <c r="ET41" s="89"/>
      <c r="EU41" s="89"/>
      <c r="EV41" s="89"/>
      <c r="EW41" s="89"/>
      <c r="EX41" s="89"/>
      <c r="EY41" s="89"/>
      <c r="EZ41" s="89"/>
      <c r="FA41" s="89"/>
      <c r="FB41" s="89"/>
      <c r="FC41" s="89"/>
      <c r="FD41" s="89"/>
      <c r="FE41" s="89"/>
      <c r="FF41" s="89"/>
      <c r="FG41" s="89"/>
      <c r="FH41" s="89"/>
      <c r="FI41" s="89"/>
      <c r="FJ41" s="89"/>
      <c r="FK41" s="89"/>
      <c r="FL41" s="89"/>
      <c r="FM41" s="89" t="s">
        <v>833</v>
      </c>
      <c r="FN41" s="89"/>
      <c r="FO41" s="89" t="s">
        <v>843</v>
      </c>
      <c r="FP41" s="89"/>
      <c r="FQ41" s="89"/>
      <c r="FR41" s="89"/>
      <c r="FS41" s="89"/>
      <c r="FT41" s="89"/>
      <c r="FU41" s="89"/>
      <c r="FV41" s="89"/>
      <c r="FW41" s="89"/>
      <c r="FX41" s="89"/>
      <c r="FY41" s="89"/>
      <c r="FZ41" s="89"/>
      <c r="GA41" s="89"/>
      <c r="GB41" s="89"/>
      <c r="GC41" s="89"/>
      <c r="GD41" s="89"/>
      <c r="GE41" s="89"/>
      <c r="GF41" s="89"/>
      <c r="GG41" s="89"/>
      <c r="GH41" s="89"/>
      <c r="GI41" s="89"/>
      <c r="GJ41" s="89"/>
      <c r="GK41" s="89"/>
      <c r="GL41" s="89"/>
      <c r="GM41" s="89"/>
      <c r="GN41" s="89"/>
      <c r="GO41" s="89"/>
      <c r="GP41" s="89"/>
      <c r="GQ41" s="89"/>
      <c r="GR41" s="89"/>
      <c r="GS41" s="89"/>
      <c r="GT41" s="89"/>
      <c r="GU41" s="89"/>
      <c r="GV41" s="89"/>
      <c r="GW41" s="89"/>
      <c r="GX41" s="89"/>
    </row>
    <row r="42" spans="1:206" ht="15.75" x14ac:dyDescent="0.25">
      <c r="A42" s="6" t="s">
        <v>35</v>
      </c>
      <c r="B42" s="6" t="s">
        <v>117</v>
      </c>
      <c r="C42" s="89"/>
      <c r="D42" s="89"/>
      <c r="E42" s="89" t="s">
        <v>844</v>
      </c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89"/>
      <c r="Q42" s="89"/>
      <c r="R42" s="89"/>
      <c r="S42" s="89"/>
      <c r="T42" s="89"/>
      <c r="U42" s="89"/>
      <c r="V42" s="89"/>
      <c r="W42" s="89"/>
      <c r="X42" s="89"/>
      <c r="Y42" s="89"/>
      <c r="Z42" s="89"/>
      <c r="AA42" s="89"/>
      <c r="AB42" s="89"/>
      <c r="AC42" s="89"/>
      <c r="AD42" s="89"/>
      <c r="AE42" s="89"/>
      <c r="AF42" s="89"/>
      <c r="AG42" s="89"/>
      <c r="AH42" s="89"/>
      <c r="AI42" s="89"/>
      <c r="AJ42" s="89"/>
      <c r="AK42" s="89" t="s">
        <v>845</v>
      </c>
      <c r="AL42" s="89"/>
      <c r="AM42" s="89"/>
      <c r="AN42" s="89"/>
      <c r="AO42" s="89"/>
      <c r="AP42" s="89"/>
      <c r="AQ42" s="89"/>
      <c r="AR42" s="89"/>
      <c r="AS42" s="89"/>
      <c r="AT42" s="89"/>
      <c r="AU42" s="89"/>
      <c r="AV42" s="89"/>
      <c r="AW42" s="89"/>
      <c r="AX42" s="89"/>
      <c r="AY42" s="89"/>
      <c r="AZ42" s="89"/>
      <c r="BA42" s="89" t="s">
        <v>846</v>
      </c>
      <c r="BB42" s="89"/>
      <c r="BC42" s="89"/>
      <c r="BD42" s="89"/>
      <c r="BE42" s="89"/>
      <c r="BF42" s="89"/>
      <c r="BG42" s="89"/>
      <c r="BH42" s="89"/>
      <c r="BI42" s="89"/>
      <c r="BJ42" s="89"/>
      <c r="BK42" s="89"/>
      <c r="BL42" s="89" t="s">
        <v>847</v>
      </c>
      <c r="BM42" s="89" t="s">
        <v>847</v>
      </c>
      <c r="BN42" s="89"/>
      <c r="BO42" s="89"/>
      <c r="BP42" s="89"/>
      <c r="BQ42" s="89"/>
      <c r="BR42" s="89"/>
      <c r="BS42" s="89"/>
      <c r="BT42" s="89"/>
      <c r="BU42" s="89"/>
      <c r="BV42" s="89"/>
      <c r="BW42" s="89"/>
      <c r="BX42" s="89"/>
      <c r="BY42" s="89"/>
      <c r="BZ42" s="89"/>
      <c r="CA42" s="89"/>
      <c r="CB42" s="89"/>
      <c r="CC42" s="89"/>
      <c r="CD42" s="89"/>
      <c r="CE42" s="89"/>
      <c r="CF42" s="89"/>
      <c r="CG42" s="89"/>
      <c r="CH42" s="89"/>
      <c r="CI42" s="89"/>
      <c r="CJ42" s="89"/>
      <c r="CK42" s="89"/>
      <c r="CL42" s="89"/>
      <c r="CM42" s="89"/>
      <c r="CN42" s="89"/>
      <c r="CO42" s="89"/>
      <c r="CP42" s="89"/>
      <c r="CQ42" s="89"/>
      <c r="CR42" s="89"/>
      <c r="CS42" s="89"/>
      <c r="CT42" s="89"/>
      <c r="CU42" s="89"/>
      <c r="CV42" s="89"/>
      <c r="CW42" s="89"/>
      <c r="CX42" s="89"/>
      <c r="CY42" s="89"/>
      <c r="CZ42" s="89"/>
      <c r="DA42" s="89"/>
      <c r="DB42" s="89"/>
      <c r="DC42" s="89"/>
      <c r="DD42" s="89"/>
      <c r="DE42" s="89"/>
      <c r="DF42" s="89"/>
      <c r="DG42" s="89"/>
      <c r="DH42" s="89"/>
      <c r="DI42" s="89"/>
      <c r="DJ42" s="89"/>
      <c r="DK42" s="89" t="s">
        <v>845</v>
      </c>
      <c r="DL42" s="89"/>
      <c r="DM42" s="89"/>
      <c r="DN42" s="89"/>
      <c r="DO42" s="89"/>
      <c r="DP42" s="89"/>
      <c r="DQ42" s="89"/>
      <c r="DR42" s="89"/>
      <c r="DS42" s="89"/>
      <c r="DT42" s="89"/>
      <c r="DU42" s="89"/>
      <c r="DV42" s="89"/>
      <c r="DW42" s="89"/>
      <c r="DX42" s="89"/>
      <c r="DY42" s="89"/>
      <c r="DZ42" s="89"/>
      <c r="EA42" s="89"/>
      <c r="EB42" s="89"/>
      <c r="EC42" s="89"/>
      <c r="ED42" s="89" t="s">
        <v>848</v>
      </c>
      <c r="EE42" s="89"/>
      <c r="EF42" s="89"/>
      <c r="EG42" s="89"/>
      <c r="EH42" s="89"/>
      <c r="EI42" s="89"/>
      <c r="EJ42" s="89"/>
      <c r="EK42" s="89"/>
      <c r="EL42" s="89"/>
      <c r="EM42" s="89"/>
      <c r="EN42" s="89"/>
      <c r="EO42" s="89"/>
      <c r="EP42" s="89"/>
      <c r="EQ42" s="89"/>
      <c r="ER42" s="89" t="s">
        <v>849</v>
      </c>
      <c r="ES42" s="89"/>
      <c r="ET42" s="89"/>
      <c r="EU42" s="89"/>
      <c r="EV42" s="89"/>
      <c r="EW42" s="89"/>
      <c r="EX42" s="89"/>
      <c r="EY42" s="89"/>
      <c r="EZ42" s="89"/>
      <c r="FA42" s="89"/>
      <c r="FB42" s="89"/>
      <c r="FC42" s="89"/>
      <c r="FD42" s="89"/>
      <c r="FE42" s="89"/>
      <c r="FF42" s="89"/>
      <c r="FG42" s="89"/>
      <c r="FH42" s="89"/>
      <c r="FI42" s="89"/>
      <c r="FJ42" s="89"/>
      <c r="FK42" s="89"/>
      <c r="FL42" s="89"/>
      <c r="FM42" s="89"/>
      <c r="FN42" s="89"/>
      <c r="FO42" s="89"/>
      <c r="FP42" s="89"/>
      <c r="FQ42" s="89"/>
      <c r="FR42" s="89"/>
      <c r="FS42" s="89"/>
      <c r="FT42" s="89"/>
      <c r="FU42" s="89"/>
      <c r="FV42" s="89"/>
      <c r="FW42" s="89"/>
      <c r="FX42" s="89"/>
      <c r="FY42" s="89"/>
      <c r="FZ42" s="89"/>
      <c r="GA42" s="89"/>
      <c r="GB42" s="89"/>
      <c r="GC42" s="89" t="s">
        <v>850</v>
      </c>
      <c r="GD42" s="89"/>
      <c r="GE42" s="89"/>
      <c r="GF42" s="89"/>
      <c r="GG42" s="89"/>
      <c r="GH42" s="89"/>
      <c r="GI42" s="89"/>
      <c r="GJ42" s="89"/>
      <c r="GK42" s="89"/>
      <c r="GL42" s="89"/>
      <c r="GM42" s="89"/>
      <c r="GN42" s="89"/>
      <c r="GO42" s="89"/>
      <c r="GP42" s="89"/>
      <c r="GQ42" s="89"/>
      <c r="GR42" s="89"/>
      <c r="GS42" s="89"/>
      <c r="GT42" s="89" t="s">
        <v>847</v>
      </c>
      <c r="GU42" s="89"/>
      <c r="GV42" s="89" t="s">
        <v>847</v>
      </c>
      <c r="GW42" s="89"/>
      <c r="GX42" s="89"/>
    </row>
    <row r="43" spans="1:206" ht="15.75" x14ac:dyDescent="0.25">
      <c r="A43" s="6" t="s">
        <v>118</v>
      </c>
      <c r="B43" s="6" t="s">
        <v>119</v>
      </c>
      <c r="C43" s="89"/>
      <c r="D43" s="89"/>
      <c r="E43" s="89"/>
      <c r="F43" s="89"/>
      <c r="G43" s="89"/>
      <c r="H43" s="89" t="s">
        <v>851</v>
      </c>
      <c r="I43" s="89"/>
      <c r="J43" s="89"/>
      <c r="K43" s="89"/>
      <c r="L43" s="89"/>
      <c r="M43" s="89"/>
      <c r="N43" s="89"/>
      <c r="O43" s="89"/>
      <c r="P43" s="89"/>
      <c r="Q43" s="89"/>
      <c r="R43" s="89"/>
      <c r="S43" s="89"/>
      <c r="T43" s="89"/>
      <c r="U43" s="89"/>
      <c r="V43" s="89"/>
      <c r="W43" s="89"/>
      <c r="X43" s="89"/>
      <c r="Y43" s="89"/>
      <c r="Z43" s="89"/>
      <c r="AA43" s="89"/>
      <c r="AB43" s="89"/>
      <c r="AC43" s="89"/>
      <c r="AD43" s="89"/>
      <c r="AE43" s="89"/>
      <c r="AF43" s="89"/>
      <c r="AG43" s="89"/>
      <c r="AH43" s="89"/>
      <c r="AI43" s="89"/>
      <c r="AJ43" s="89"/>
      <c r="AK43" s="89"/>
      <c r="AL43" s="89"/>
      <c r="AM43" s="89"/>
      <c r="AN43" s="89"/>
      <c r="AO43" s="89"/>
      <c r="AP43" s="89"/>
      <c r="AQ43" s="89"/>
      <c r="AR43" s="89"/>
      <c r="AS43" s="89"/>
      <c r="AT43" s="89"/>
      <c r="AU43" s="89"/>
      <c r="AV43" s="89"/>
      <c r="AW43" s="89"/>
      <c r="AX43" s="89"/>
      <c r="AY43" s="89"/>
      <c r="AZ43" s="89"/>
      <c r="BA43" s="89"/>
      <c r="BB43" s="89"/>
      <c r="BC43" s="89"/>
      <c r="BD43" s="89"/>
      <c r="BE43" s="89"/>
      <c r="BF43" s="89"/>
      <c r="BG43" s="89"/>
      <c r="BH43" s="89"/>
      <c r="BI43" s="89"/>
      <c r="BJ43" s="89"/>
      <c r="BK43" s="89"/>
      <c r="BL43" s="89"/>
      <c r="BM43" s="89"/>
      <c r="BN43" s="89"/>
      <c r="BO43" s="89"/>
      <c r="BP43" s="89"/>
      <c r="BQ43" s="89"/>
      <c r="BR43" s="89"/>
      <c r="BS43" s="89"/>
      <c r="BT43" s="89"/>
      <c r="BU43" s="89"/>
      <c r="BV43" s="89"/>
      <c r="BW43" s="89"/>
      <c r="BX43" s="89" t="s">
        <v>853</v>
      </c>
      <c r="BY43" s="89"/>
      <c r="BZ43" s="89"/>
      <c r="CA43" s="89"/>
      <c r="CB43" s="89"/>
      <c r="CC43" s="89"/>
      <c r="CD43" s="89"/>
      <c r="CE43" s="89"/>
      <c r="CF43" s="89"/>
      <c r="CG43" s="89"/>
      <c r="CH43" s="89"/>
      <c r="CI43" s="89"/>
      <c r="CJ43" s="89"/>
      <c r="CK43" s="89"/>
      <c r="CL43" s="89"/>
      <c r="CM43" s="89"/>
      <c r="CN43" s="89"/>
      <c r="CO43" s="89"/>
      <c r="CP43" s="89"/>
      <c r="CQ43" s="89"/>
      <c r="CR43" s="89"/>
      <c r="CS43" s="89"/>
      <c r="CT43" s="89"/>
      <c r="CU43" s="89"/>
      <c r="CV43" s="89"/>
      <c r="CW43" s="89"/>
      <c r="CX43" s="89"/>
      <c r="CY43" s="89"/>
      <c r="CZ43" s="89"/>
      <c r="DA43" s="89"/>
      <c r="DB43" s="89"/>
      <c r="DC43" s="89"/>
      <c r="DD43" s="89"/>
      <c r="DE43" s="89"/>
      <c r="DF43" s="89"/>
      <c r="DG43" s="89"/>
      <c r="DH43" s="89"/>
      <c r="DI43" s="89"/>
      <c r="DJ43" s="89"/>
      <c r="DK43" s="89"/>
      <c r="DL43" s="89"/>
      <c r="DM43" s="89"/>
      <c r="DN43" s="89"/>
      <c r="DO43" s="89"/>
      <c r="DP43" s="89"/>
      <c r="DQ43" s="89"/>
      <c r="DR43" s="89"/>
      <c r="DS43" s="89"/>
      <c r="DT43" s="89"/>
      <c r="DU43" s="89"/>
      <c r="DV43" s="89"/>
      <c r="DW43" s="89"/>
      <c r="DX43" s="89"/>
      <c r="DY43" s="89"/>
      <c r="DZ43" s="89"/>
      <c r="EA43" s="89"/>
      <c r="EB43" s="89"/>
      <c r="EC43" s="89"/>
      <c r="ED43" s="89"/>
      <c r="EE43" s="89"/>
      <c r="EF43" s="89"/>
      <c r="EG43" s="89"/>
      <c r="EH43" s="89"/>
      <c r="EI43" s="89"/>
      <c r="EJ43" s="89"/>
      <c r="EK43" s="89"/>
      <c r="EL43" s="89"/>
      <c r="EM43" s="89"/>
      <c r="EN43" s="89"/>
      <c r="EO43" s="89"/>
      <c r="EP43" s="89"/>
      <c r="EQ43" s="89" t="s">
        <v>854</v>
      </c>
      <c r="ER43" s="89"/>
      <c r="ES43" s="89"/>
      <c r="ET43" s="89"/>
      <c r="EU43" s="89"/>
      <c r="EV43" s="89"/>
      <c r="EW43" s="89"/>
      <c r="EX43" s="89"/>
      <c r="EY43" s="89"/>
      <c r="EZ43" s="89"/>
      <c r="FA43" s="89"/>
      <c r="FB43" s="89"/>
      <c r="FC43" s="89"/>
      <c r="FD43" s="89"/>
      <c r="FE43" s="89"/>
      <c r="FF43" s="89"/>
      <c r="FG43" s="89"/>
      <c r="FH43" s="89"/>
      <c r="FI43" s="89"/>
      <c r="FJ43" s="89"/>
      <c r="FK43" s="89"/>
      <c r="FL43" s="89"/>
      <c r="FM43" s="89"/>
      <c r="FN43" s="89"/>
      <c r="FO43" s="89"/>
      <c r="FP43" s="89"/>
      <c r="FQ43" s="89"/>
      <c r="FR43" s="89"/>
      <c r="FS43" s="89"/>
      <c r="FT43" s="89"/>
      <c r="FU43" s="89"/>
      <c r="FV43" s="89"/>
      <c r="FW43" s="89"/>
      <c r="FX43" s="89"/>
      <c r="FY43" s="89"/>
      <c r="FZ43" s="89" t="s">
        <v>856</v>
      </c>
      <c r="GA43" s="89"/>
      <c r="GB43" s="89"/>
      <c r="GC43" s="89"/>
      <c r="GD43" s="89"/>
      <c r="GE43" s="89"/>
      <c r="GF43" s="89"/>
      <c r="GG43" s="89"/>
      <c r="GH43" s="89"/>
      <c r="GI43" s="89"/>
      <c r="GJ43" s="89"/>
      <c r="GK43" s="89"/>
      <c r="GL43" s="89"/>
      <c r="GM43" s="89"/>
      <c r="GN43" s="89"/>
      <c r="GO43" s="89"/>
      <c r="GP43" s="89"/>
      <c r="GQ43" s="89"/>
      <c r="GR43" s="89"/>
      <c r="GS43" s="89" t="s">
        <v>851</v>
      </c>
      <c r="GT43" s="89"/>
      <c r="GU43" s="89"/>
      <c r="GV43" s="89"/>
      <c r="GW43" s="89"/>
      <c r="GX43" s="89"/>
    </row>
    <row r="44" spans="1:206" ht="15.75" x14ac:dyDescent="0.25">
      <c r="A44" s="6" t="s">
        <v>120</v>
      </c>
      <c r="B44" s="6" t="s">
        <v>121</v>
      </c>
      <c r="C44" s="89"/>
      <c r="D44" s="89"/>
      <c r="E44" s="89"/>
      <c r="F44" s="89"/>
      <c r="G44" s="89"/>
      <c r="H44" s="89"/>
      <c r="I44" s="89"/>
      <c r="J44" s="89"/>
      <c r="K44" s="89"/>
      <c r="L44" s="89"/>
      <c r="M44" s="89" t="s">
        <v>857</v>
      </c>
      <c r="N44" s="89"/>
      <c r="O44" s="89"/>
      <c r="P44" s="89"/>
      <c r="Q44" s="89"/>
      <c r="R44" s="89"/>
      <c r="S44" s="89"/>
      <c r="T44" s="89"/>
      <c r="U44" s="89"/>
      <c r="V44" s="89"/>
      <c r="W44" s="89"/>
      <c r="X44" s="89" t="s">
        <v>858</v>
      </c>
      <c r="Y44" s="89"/>
      <c r="Z44" s="89"/>
      <c r="AA44" s="89"/>
      <c r="AB44" s="89"/>
      <c r="AC44" s="89"/>
      <c r="AD44" s="89"/>
      <c r="AE44" s="89"/>
      <c r="AF44" s="89"/>
      <c r="AG44" s="89"/>
      <c r="AH44" s="89"/>
      <c r="AI44" s="89"/>
      <c r="AJ44" s="89"/>
      <c r="AK44" s="89"/>
      <c r="AL44" s="89"/>
      <c r="AM44" s="89"/>
      <c r="AN44" s="89"/>
      <c r="AO44" s="89"/>
      <c r="AP44" s="89"/>
      <c r="AQ44" s="89"/>
      <c r="AR44" s="89"/>
      <c r="AS44" s="89"/>
      <c r="AT44" s="89"/>
      <c r="AU44" s="89"/>
      <c r="AV44" s="89"/>
      <c r="AW44" s="89"/>
      <c r="AX44" s="89"/>
      <c r="AY44" s="89"/>
      <c r="AZ44" s="89"/>
      <c r="BA44" s="89" t="s">
        <v>860</v>
      </c>
      <c r="BB44" s="89"/>
      <c r="BC44" s="89"/>
      <c r="BD44" s="89"/>
      <c r="BE44" s="89"/>
      <c r="BF44" s="89"/>
      <c r="BG44" s="89"/>
      <c r="BH44" s="89"/>
      <c r="BI44" s="89"/>
      <c r="BJ44" s="89"/>
      <c r="BK44" s="89"/>
      <c r="BL44" s="89"/>
      <c r="BM44" s="89"/>
      <c r="BN44" s="89"/>
      <c r="BO44" s="89"/>
      <c r="BP44" s="89"/>
      <c r="BQ44" s="89" t="s">
        <v>862</v>
      </c>
      <c r="BR44" s="89"/>
      <c r="BS44" s="89"/>
      <c r="BT44" s="89"/>
      <c r="BU44" s="89"/>
      <c r="BV44" s="89"/>
      <c r="BW44" s="89"/>
      <c r="BX44" s="89"/>
      <c r="BY44" s="89"/>
      <c r="BZ44" s="89"/>
      <c r="CA44" s="89"/>
      <c r="CB44" s="89" t="s">
        <v>863</v>
      </c>
      <c r="CC44" s="89"/>
      <c r="CD44" s="89" t="s">
        <v>863</v>
      </c>
      <c r="CE44" s="89"/>
      <c r="CF44" s="89"/>
      <c r="CG44" s="89"/>
      <c r="CH44" s="89"/>
      <c r="CI44" s="89"/>
      <c r="CJ44" s="89"/>
      <c r="CK44" s="89"/>
      <c r="CL44" s="89"/>
      <c r="CM44" s="89"/>
      <c r="CN44" s="89"/>
      <c r="CO44" s="89"/>
      <c r="CP44" s="89"/>
      <c r="CQ44" s="89"/>
      <c r="CR44" s="89"/>
      <c r="CS44" s="89"/>
      <c r="CT44" s="89"/>
      <c r="CU44" s="89" t="s">
        <v>864</v>
      </c>
      <c r="CV44" s="89"/>
      <c r="CW44" s="89"/>
      <c r="CX44" s="89"/>
      <c r="CY44" s="89" t="s">
        <v>865</v>
      </c>
      <c r="CZ44" s="89"/>
      <c r="DA44" s="89"/>
      <c r="DB44" s="89"/>
      <c r="DC44" s="89"/>
      <c r="DD44" s="89"/>
      <c r="DE44" s="89" t="s">
        <v>864</v>
      </c>
      <c r="DF44" s="89"/>
      <c r="DG44" s="89"/>
      <c r="DH44" s="89"/>
      <c r="DI44" s="89"/>
      <c r="DJ44" s="89"/>
      <c r="DK44" s="89"/>
      <c r="DL44" s="89"/>
      <c r="DM44" s="89"/>
      <c r="DN44" s="89"/>
      <c r="DO44" s="89"/>
      <c r="DP44" s="89"/>
      <c r="DQ44" s="89"/>
      <c r="DR44" s="89"/>
      <c r="DS44" s="89"/>
      <c r="DT44" s="89" t="s">
        <v>863</v>
      </c>
      <c r="DU44" s="89"/>
      <c r="DV44" s="89"/>
      <c r="DW44" s="89"/>
      <c r="DX44" s="89"/>
      <c r="DY44" s="89"/>
      <c r="DZ44" s="89"/>
      <c r="EA44" s="89"/>
      <c r="EB44" s="89"/>
      <c r="EC44" s="89"/>
      <c r="ED44" s="89"/>
      <c r="EE44" s="89"/>
      <c r="EF44" s="89"/>
      <c r="EG44" s="89"/>
      <c r="EH44" s="89"/>
      <c r="EI44" s="89"/>
      <c r="EJ44" s="89"/>
      <c r="EK44" s="89"/>
      <c r="EL44" s="89"/>
      <c r="EM44" s="89"/>
      <c r="EN44" s="89" t="s">
        <v>866</v>
      </c>
      <c r="EO44" s="89"/>
      <c r="EP44" s="89"/>
      <c r="EQ44" s="89"/>
      <c r="ER44" s="89" t="s">
        <v>1115</v>
      </c>
      <c r="ES44" s="89" t="s">
        <v>868</v>
      </c>
      <c r="ET44" s="89"/>
      <c r="EU44" s="89"/>
      <c r="EV44" s="89" t="s">
        <v>864</v>
      </c>
      <c r="EW44" s="89"/>
      <c r="EX44" s="89"/>
      <c r="EY44" s="89" t="s">
        <v>864</v>
      </c>
      <c r="EZ44" s="89"/>
      <c r="FA44" s="89"/>
      <c r="FB44" s="89" t="s">
        <v>869</v>
      </c>
      <c r="FC44" s="89"/>
      <c r="FD44" s="89"/>
      <c r="FE44" s="89"/>
      <c r="FF44" s="89"/>
      <c r="FG44" s="89"/>
      <c r="FH44" s="89"/>
      <c r="FI44" s="89"/>
      <c r="FJ44" s="89"/>
      <c r="FK44" s="89"/>
      <c r="FL44" s="89"/>
      <c r="FM44" s="89"/>
      <c r="FN44" s="89"/>
      <c r="FO44" s="89"/>
      <c r="FP44" s="89"/>
      <c r="FQ44" s="89" t="s">
        <v>858</v>
      </c>
      <c r="FR44" s="89" t="s">
        <v>869</v>
      </c>
      <c r="FS44" s="89"/>
      <c r="FT44" s="89"/>
      <c r="FU44" s="89"/>
      <c r="FV44" s="89"/>
      <c r="FW44" s="89"/>
      <c r="FX44" s="89"/>
      <c r="FY44" s="89" t="s">
        <v>870</v>
      </c>
      <c r="FZ44" s="89"/>
      <c r="GA44" s="89"/>
      <c r="GB44" s="89"/>
      <c r="GC44" s="89"/>
      <c r="GD44" s="89"/>
      <c r="GE44" s="89"/>
      <c r="GF44" s="89"/>
      <c r="GG44" s="89"/>
      <c r="GH44" s="89"/>
      <c r="GI44" s="89"/>
      <c r="GJ44" s="89"/>
      <c r="GK44" s="89"/>
      <c r="GL44" s="89"/>
      <c r="GM44" s="89"/>
      <c r="GN44" s="89"/>
      <c r="GO44" s="89"/>
      <c r="GP44" s="89"/>
      <c r="GQ44" s="89"/>
      <c r="GR44" s="89"/>
      <c r="GS44" s="89" t="s">
        <v>871</v>
      </c>
      <c r="GT44" s="89"/>
      <c r="GU44" s="89"/>
      <c r="GV44" s="89"/>
      <c r="GW44" s="89"/>
      <c r="GX44" s="89"/>
    </row>
    <row r="45" spans="1:206" ht="15.75" x14ac:dyDescent="0.25">
      <c r="A45" s="6" t="s">
        <v>68</v>
      </c>
      <c r="B45" s="6" t="s">
        <v>69</v>
      </c>
      <c r="C45" s="89"/>
      <c r="D45" s="89"/>
      <c r="E45" s="89"/>
      <c r="F45" s="89" t="s">
        <v>1116</v>
      </c>
      <c r="G45" s="89"/>
      <c r="H45" s="89"/>
      <c r="I45" s="89" t="s">
        <v>872</v>
      </c>
      <c r="J45" s="89"/>
      <c r="K45" s="89"/>
      <c r="L45" s="89"/>
      <c r="M45" s="89"/>
      <c r="N45" s="89"/>
      <c r="O45" s="89"/>
      <c r="P45" s="89"/>
      <c r="Q45" s="89"/>
      <c r="R45" s="89"/>
      <c r="S45" s="89"/>
      <c r="T45" s="89"/>
      <c r="U45" s="89"/>
      <c r="V45" s="89"/>
      <c r="W45" s="89"/>
      <c r="X45" s="89"/>
      <c r="Y45" s="89"/>
      <c r="Z45" s="89"/>
      <c r="AA45" s="89"/>
      <c r="AB45" s="89"/>
      <c r="AC45" s="89"/>
      <c r="AD45" s="89"/>
      <c r="AE45" s="89" t="s">
        <v>1117</v>
      </c>
      <c r="AF45" s="89"/>
      <c r="AG45" s="89"/>
      <c r="AH45" s="89" t="s">
        <v>1118</v>
      </c>
      <c r="AI45" s="89"/>
      <c r="AJ45" s="89"/>
      <c r="AK45" s="89"/>
      <c r="AL45" s="89"/>
      <c r="AM45" s="89"/>
      <c r="AN45" s="89"/>
      <c r="AO45" s="89"/>
      <c r="AP45" s="89"/>
      <c r="AQ45" s="89"/>
      <c r="AR45" s="89"/>
      <c r="AS45" s="89" t="s">
        <v>1119</v>
      </c>
      <c r="AT45" s="89"/>
      <c r="AU45" s="89"/>
      <c r="AV45" s="89" t="s">
        <v>1120</v>
      </c>
      <c r="AW45" s="89"/>
      <c r="AX45" s="89" t="s">
        <v>1120</v>
      </c>
      <c r="AY45" s="89"/>
      <c r="AZ45" s="89"/>
      <c r="BA45" s="89"/>
      <c r="BB45" s="89"/>
      <c r="BC45" s="89"/>
      <c r="BD45" s="89" t="s">
        <v>1120</v>
      </c>
      <c r="BE45" s="89"/>
      <c r="BF45" s="89"/>
      <c r="BG45" s="89"/>
      <c r="BH45" s="89"/>
      <c r="BI45" s="89" t="s">
        <v>1121</v>
      </c>
      <c r="BJ45" s="89"/>
      <c r="BK45" s="89"/>
      <c r="BL45" s="89"/>
      <c r="BM45" s="89" t="s">
        <v>872</v>
      </c>
      <c r="BN45" s="89" t="s">
        <v>1120</v>
      </c>
      <c r="BO45" s="89"/>
      <c r="BP45" s="89"/>
      <c r="BQ45" s="89"/>
      <c r="BR45" s="89" t="s">
        <v>873</v>
      </c>
      <c r="BS45" s="89"/>
      <c r="BT45" s="89"/>
      <c r="BU45" s="89"/>
      <c r="BV45" s="89"/>
      <c r="BW45" s="89"/>
      <c r="BX45" s="89"/>
      <c r="BY45" s="89" t="s">
        <v>1120</v>
      </c>
      <c r="BZ45" s="89"/>
      <c r="CA45" s="89" t="s">
        <v>873</v>
      </c>
      <c r="CB45" s="89"/>
      <c r="CC45" s="89"/>
      <c r="CD45" s="89"/>
      <c r="CE45" s="89" t="s">
        <v>1120</v>
      </c>
      <c r="CF45" s="89" t="s">
        <v>1120</v>
      </c>
      <c r="CG45" s="89"/>
      <c r="CH45" s="89" t="s">
        <v>873</v>
      </c>
      <c r="CI45" s="89"/>
      <c r="CJ45" s="89"/>
      <c r="CK45" s="89" t="s">
        <v>1120</v>
      </c>
      <c r="CL45" s="89" t="s">
        <v>1120</v>
      </c>
      <c r="CM45" s="89"/>
      <c r="CN45" s="89"/>
      <c r="CO45" s="89"/>
      <c r="CP45" s="89"/>
      <c r="CQ45" s="89"/>
      <c r="CR45" s="89" t="s">
        <v>872</v>
      </c>
      <c r="CS45" s="89"/>
      <c r="CT45" s="89"/>
      <c r="CU45" s="89" t="s">
        <v>872</v>
      </c>
      <c r="CV45" s="89"/>
      <c r="CW45" s="89"/>
      <c r="CX45" s="89"/>
      <c r="CY45" s="89"/>
      <c r="CZ45" s="89"/>
      <c r="DA45" s="89"/>
      <c r="DB45" s="89"/>
      <c r="DC45" s="89"/>
      <c r="DD45" s="89"/>
      <c r="DE45" s="89" t="s">
        <v>872</v>
      </c>
      <c r="DF45" s="89" t="s">
        <v>1122</v>
      </c>
      <c r="DG45" s="89" t="s">
        <v>872</v>
      </c>
      <c r="DH45" s="89"/>
      <c r="DI45" s="89"/>
      <c r="DJ45" s="89"/>
      <c r="DK45" s="89"/>
      <c r="DL45" s="89"/>
      <c r="DM45" s="89"/>
      <c r="DN45" s="89"/>
      <c r="DO45" s="89"/>
      <c r="DP45" s="89" t="s">
        <v>1120</v>
      </c>
      <c r="DQ45" s="89"/>
      <c r="DR45" s="89" t="s">
        <v>1120</v>
      </c>
      <c r="DS45" s="89"/>
      <c r="DT45" s="89"/>
      <c r="DU45" s="89"/>
      <c r="DV45" s="89" t="s">
        <v>1120</v>
      </c>
      <c r="DW45" s="89" t="s">
        <v>1118</v>
      </c>
      <c r="DX45" s="89"/>
      <c r="DY45" s="89"/>
      <c r="DZ45" s="89" t="s">
        <v>1120</v>
      </c>
      <c r="EA45" s="89"/>
      <c r="EB45" s="89"/>
      <c r="EC45" s="89" t="s">
        <v>872</v>
      </c>
      <c r="ED45" s="89"/>
      <c r="EE45" s="89" t="s">
        <v>1123</v>
      </c>
      <c r="EF45" s="89" t="s">
        <v>872</v>
      </c>
      <c r="EG45" s="89"/>
      <c r="EH45" s="89"/>
      <c r="EI45" s="89"/>
      <c r="EJ45" s="89"/>
      <c r="EK45" s="89"/>
      <c r="EL45" s="89"/>
      <c r="EM45" s="89"/>
      <c r="EN45" s="89"/>
      <c r="EO45" s="89"/>
      <c r="EP45" s="89"/>
      <c r="EQ45" s="89"/>
      <c r="ER45" s="89" t="s">
        <v>1124</v>
      </c>
      <c r="ES45" s="89"/>
      <c r="ET45" s="89"/>
      <c r="EU45" s="89"/>
      <c r="EV45" s="89" t="s">
        <v>872</v>
      </c>
      <c r="EW45" s="89"/>
      <c r="EX45" s="89"/>
      <c r="EY45" s="89"/>
      <c r="EZ45" s="89" t="s">
        <v>872</v>
      </c>
      <c r="FA45" s="89"/>
      <c r="FB45" s="89"/>
      <c r="FC45" s="89"/>
      <c r="FD45" s="89" t="s">
        <v>872</v>
      </c>
      <c r="FE45" s="89"/>
      <c r="FF45" s="89"/>
      <c r="FG45" s="89" t="s">
        <v>872</v>
      </c>
      <c r="FH45" s="89"/>
      <c r="FI45" s="89" t="s">
        <v>1118</v>
      </c>
      <c r="FJ45" s="89"/>
      <c r="FK45" s="89"/>
      <c r="FL45" s="89" t="s">
        <v>1120</v>
      </c>
      <c r="FM45" s="89" t="s">
        <v>1117</v>
      </c>
      <c r="FN45" s="89"/>
      <c r="FO45" s="89"/>
      <c r="FP45" s="89"/>
      <c r="FQ45" s="89"/>
      <c r="FR45" s="89" t="s">
        <v>872</v>
      </c>
      <c r="FS45" s="89"/>
      <c r="FT45" s="89"/>
      <c r="FU45" s="89"/>
      <c r="FV45" s="89" t="s">
        <v>1120</v>
      </c>
      <c r="FW45" s="89" t="s">
        <v>872</v>
      </c>
      <c r="FX45" s="89"/>
      <c r="FY45" s="89"/>
      <c r="FZ45" s="89" t="s">
        <v>1125</v>
      </c>
      <c r="GA45" s="89"/>
      <c r="GB45" s="89" t="s">
        <v>1126</v>
      </c>
      <c r="GC45" s="89"/>
      <c r="GD45" s="89"/>
      <c r="GE45" s="89"/>
      <c r="GF45" s="89"/>
      <c r="GG45" s="89"/>
      <c r="GH45" s="89" t="s">
        <v>1120</v>
      </c>
      <c r="GI45" s="89"/>
      <c r="GJ45" s="89"/>
      <c r="GK45" s="89"/>
      <c r="GL45" s="89"/>
      <c r="GM45" s="89"/>
      <c r="GN45" s="89"/>
      <c r="GO45" s="89"/>
      <c r="GP45" s="89"/>
      <c r="GQ45" s="89"/>
      <c r="GR45" s="89"/>
      <c r="GS45" s="89"/>
      <c r="GT45" s="89" t="s">
        <v>1123</v>
      </c>
      <c r="GU45" s="89"/>
      <c r="GV45" s="89" t="s">
        <v>1127</v>
      </c>
      <c r="GW45" s="89" t="s">
        <v>1120</v>
      </c>
      <c r="GX45" s="89"/>
    </row>
    <row r="46" spans="1:206" ht="15.75" x14ac:dyDescent="0.25">
      <c r="A46" s="6" t="s">
        <v>70</v>
      </c>
      <c r="B46" s="6" t="s">
        <v>71</v>
      </c>
      <c r="C46" s="89"/>
      <c r="D46" s="89"/>
      <c r="E46" s="89"/>
      <c r="F46" s="89"/>
      <c r="G46" s="89" t="s">
        <v>874</v>
      </c>
      <c r="H46" s="89"/>
      <c r="I46" s="89" t="s">
        <v>875</v>
      </c>
      <c r="J46" s="89"/>
      <c r="K46" s="89"/>
      <c r="L46" s="89"/>
      <c r="M46" s="89"/>
      <c r="N46" s="89"/>
      <c r="O46" s="89"/>
      <c r="P46" s="89"/>
      <c r="Q46" s="89"/>
      <c r="R46" s="89"/>
      <c r="S46" s="89"/>
      <c r="T46" s="89"/>
      <c r="U46" s="89"/>
      <c r="V46" s="89"/>
      <c r="W46" s="89"/>
      <c r="X46" s="89"/>
      <c r="Y46" s="89"/>
      <c r="Z46" s="89"/>
      <c r="AA46" s="89"/>
      <c r="AB46" s="89"/>
      <c r="AC46" s="89"/>
      <c r="AD46" s="89"/>
      <c r="AE46" s="89"/>
      <c r="AF46" s="89"/>
      <c r="AG46" s="89"/>
      <c r="AH46" s="89"/>
      <c r="AI46" s="89"/>
      <c r="AJ46" s="89"/>
      <c r="AK46" s="89"/>
      <c r="AL46" s="89"/>
      <c r="AM46" s="89"/>
      <c r="AN46" s="89"/>
      <c r="AO46" s="89"/>
      <c r="AP46" s="89"/>
      <c r="AQ46" s="89"/>
      <c r="AR46" s="89"/>
      <c r="AS46" s="89"/>
      <c r="AT46" s="89"/>
      <c r="AU46" s="89"/>
      <c r="AV46" s="89"/>
      <c r="AW46" s="89"/>
      <c r="AX46" s="89"/>
      <c r="AY46" s="89"/>
      <c r="AZ46" s="89"/>
      <c r="BA46" s="89"/>
      <c r="BB46" s="89"/>
      <c r="BC46" s="89"/>
      <c r="BD46" s="89"/>
      <c r="BE46" s="89"/>
      <c r="BF46" s="89"/>
      <c r="BG46" s="89"/>
      <c r="BH46" s="89" t="s">
        <v>878</v>
      </c>
      <c r="BI46" s="89"/>
      <c r="BJ46" s="89"/>
      <c r="BK46" s="89"/>
      <c r="BL46" s="89"/>
      <c r="BM46" s="89"/>
      <c r="BN46" s="89"/>
      <c r="BO46" s="89"/>
      <c r="BP46" s="89"/>
      <c r="BQ46" s="89"/>
      <c r="BR46" s="89"/>
      <c r="BS46" s="89"/>
      <c r="BT46" s="89"/>
      <c r="BU46" s="89"/>
      <c r="BV46" s="89"/>
      <c r="BW46" s="89"/>
      <c r="BX46" s="89"/>
      <c r="BY46" s="89"/>
      <c r="BZ46" s="89"/>
      <c r="CA46" s="89"/>
      <c r="CB46" s="89"/>
      <c r="CC46" s="89"/>
      <c r="CD46" s="89"/>
      <c r="CE46" s="89"/>
      <c r="CF46" s="89"/>
      <c r="CG46" s="89"/>
      <c r="CH46" s="89"/>
      <c r="CI46" s="89"/>
      <c r="CJ46" s="89" t="s">
        <v>879</v>
      </c>
      <c r="CK46" s="89"/>
      <c r="CL46" s="89"/>
      <c r="CM46" s="89"/>
      <c r="CN46" s="89"/>
      <c r="CO46" s="89"/>
      <c r="CP46" s="89"/>
      <c r="CQ46" s="89"/>
      <c r="CR46" s="89"/>
      <c r="CS46" s="89"/>
      <c r="CT46" s="89"/>
      <c r="CU46" s="89"/>
      <c r="CV46" s="89"/>
      <c r="CW46" s="89"/>
      <c r="CX46" s="89"/>
      <c r="CY46" s="89"/>
      <c r="CZ46" s="89" t="s">
        <v>880</v>
      </c>
      <c r="DA46" s="89"/>
      <c r="DB46" s="89"/>
      <c r="DC46" s="89"/>
      <c r="DD46" s="89"/>
      <c r="DE46" s="89"/>
      <c r="DF46" s="89" t="s">
        <v>878</v>
      </c>
      <c r="DG46" s="89"/>
      <c r="DH46" s="89"/>
      <c r="DI46" s="89"/>
      <c r="DJ46" s="89"/>
      <c r="DK46" s="89"/>
      <c r="DL46" s="89"/>
      <c r="DM46" s="89"/>
      <c r="DN46" s="89"/>
      <c r="DO46" s="89"/>
      <c r="DP46" s="89"/>
      <c r="DQ46" s="89"/>
      <c r="DR46" s="89"/>
      <c r="DS46" s="89"/>
      <c r="DT46" s="89"/>
      <c r="DU46" s="89"/>
      <c r="DV46" s="89"/>
      <c r="DW46" s="89"/>
      <c r="DX46" s="89"/>
      <c r="DY46" s="89"/>
      <c r="DZ46" s="89"/>
      <c r="EA46" s="89"/>
      <c r="EB46" s="89"/>
      <c r="EC46" s="89"/>
      <c r="ED46" s="89"/>
      <c r="EE46" s="89"/>
      <c r="EF46" s="89"/>
      <c r="EG46" s="89"/>
      <c r="EH46" s="89"/>
      <c r="EI46" s="89"/>
      <c r="EJ46" s="89"/>
      <c r="EK46" s="89"/>
      <c r="EL46" s="89" t="s">
        <v>881</v>
      </c>
      <c r="EM46" s="89"/>
      <c r="EN46" s="89"/>
      <c r="EO46" s="89"/>
      <c r="EP46" s="89" t="s">
        <v>881</v>
      </c>
      <c r="EQ46" s="89" t="s">
        <v>878</v>
      </c>
      <c r="ER46" s="89"/>
      <c r="ES46" s="89"/>
      <c r="ET46" s="89"/>
      <c r="EU46" s="89"/>
      <c r="EV46" s="89"/>
      <c r="EW46" s="89"/>
      <c r="EX46" s="89" t="s">
        <v>1128</v>
      </c>
      <c r="EY46" s="89"/>
      <c r="EZ46" s="89" t="s">
        <v>875</v>
      </c>
      <c r="FA46" s="89"/>
      <c r="FB46" s="89"/>
      <c r="FC46" s="89"/>
      <c r="FD46" s="89"/>
      <c r="FE46" s="89"/>
      <c r="FF46" s="89"/>
      <c r="FG46" s="89"/>
      <c r="FH46" s="89"/>
      <c r="FI46" s="89"/>
      <c r="FJ46" s="89"/>
      <c r="FK46" s="89"/>
      <c r="FL46" s="89"/>
      <c r="FM46" s="89"/>
      <c r="FN46" s="89"/>
      <c r="FO46" s="89"/>
      <c r="FP46" s="89"/>
      <c r="FQ46" s="89"/>
      <c r="FR46" s="89"/>
      <c r="FS46" s="89"/>
      <c r="FT46" s="89"/>
      <c r="FU46" s="89"/>
      <c r="FV46" s="89"/>
      <c r="FW46" s="89"/>
      <c r="FX46" s="89" t="s">
        <v>883</v>
      </c>
      <c r="FY46" s="89"/>
      <c r="FZ46" s="89"/>
      <c r="GA46" s="89"/>
      <c r="GB46" s="89"/>
      <c r="GC46" s="89"/>
      <c r="GD46" s="89"/>
      <c r="GE46" s="89"/>
      <c r="GF46" s="89"/>
      <c r="GG46" s="89"/>
      <c r="GH46" s="89"/>
      <c r="GI46" s="89"/>
      <c r="GJ46" s="89"/>
      <c r="GK46" s="89"/>
      <c r="GL46" s="89"/>
      <c r="GM46" s="89"/>
      <c r="GN46" s="89" t="s">
        <v>884</v>
      </c>
      <c r="GO46" s="89"/>
      <c r="GP46" s="89"/>
      <c r="GQ46" s="89"/>
      <c r="GR46" s="89"/>
      <c r="GS46" s="89"/>
      <c r="GT46" s="89"/>
      <c r="GU46" s="89"/>
      <c r="GV46" s="89"/>
      <c r="GW46" s="89"/>
      <c r="GX46" s="89"/>
    </row>
    <row r="47" spans="1:206" ht="15.75" x14ac:dyDescent="0.25">
      <c r="A47" s="6" t="s">
        <v>36</v>
      </c>
      <c r="B47" s="6" t="s">
        <v>122</v>
      </c>
      <c r="C47" s="89"/>
      <c r="D47" s="89" t="s">
        <v>885</v>
      </c>
      <c r="E47" s="89"/>
      <c r="F47" s="89" t="s">
        <v>886</v>
      </c>
      <c r="G47" s="89"/>
      <c r="H47" s="89"/>
      <c r="I47" s="89"/>
      <c r="J47" s="89"/>
      <c r="K47" s="89"/>
      <c r="L47" s="89"/>
      <c r="M47" s="89"/>
      <c r="N47" s="89"/>
      <c r="O47" s="89"/>
      <c r="P47" s="89"/>
      <c r="Q47" s="89"/>
      <c r="R47" s="89"/>
      <c r="S47" s="89"/>
      <c r="T47" s="89"/>
      <c r="U47" s="89"/>
      <c r="V47" s="89"/>
      <c r="W47" s="89"/>
      <c r="X47" s="89"/>
      <c r="Y47" s="89"/>
      <c r="Z47" s="89"/>
      <c r="AA47" s="89"/>
      <c r="AB47" s="89"/>
      <c r="AC47" s="89"/>
      <c r="AD47" s="89"/>
      <c r="AE47" s="89"/>
      <c r="AF47" s="89" t="s">
        <v>887</v>
      </c>
      <c r="AG47" s="89"/>
      <c r="AH47" s="89"/>
      <c r="AI47" s="89"/>
      <c r="AJ47" s="89"/>
      <c r="AK47" s="89"/>
      <c r="AL47" s="89"/>
      <c r="AM47" s="89"/>
      <c r="AN47" s="89"/>
      <c r="AO47" s="89"/>
      <c r="AP47" s="89"/>
      <c r="AQ47" s="89" t="s">
        <v>888</v>
      </c>
      <c r="AR47" s="89"/>
      <c r="AS47" s="89"/>
      <c r="AT47" s="89"/>
      <c r="AU47" s="89"/>
      <c r="AV47" s="89" t="s">
        <v>889</v>
      </c>
      <c r="AW47" s="89" t="s">
        <v>887</v>
      </c>
      <c r="AX47" s="89" t="s">
        <v>889</v>
      </c>
      <c r="AY47" s="89"/>
      <c r="AZ47" s="89"/>
      <c r="BA47" s="89"/>
      <c r="BB47" s="89"/>
      <c r="BC47" s="89"/>
      <c r="BD47" s="89" t="s">
        <v>889</v>
      </c>
      <c r="BE47" s="89"/>
      <c r="BF47" s="89"/>
      <c r="BG47" s="89"/>
      <c r="BH47" s="89"/>
      <c r="BI47" s="89"/>
      <c r="BJ47" s="89"/>
      <c r="BK47" s="89"/>
      <c r="BL47" s="89"/>
      <c r="BM47" s="89"/>
      <c r="BN47" s="89" t="s">
        <v>889</v>
      </c>
      <c r="BO47" s="89" t="s">
        <v>890</v>
      </c>
      <c r="BP47" s="89"/>
      <c r="BQ47" s="89"/>
      <c r="BR47" s="89" t="s">
        <v>887</v>
      </c>
      <c r="BS47" s="89"/>
      <c r="BT47" s="89"/>
      <c r="BU47" s="89"/>
      <c r="BV47" s="89"/>
      <c r="BW47" s="89" t="s">
        <v>891</v>
      </c>
      <c r="BX47" s="89"/>
      <c r="BY47" s="89" t="s">
        <v>889</v>
      </c>
      <c r="BZ47" s="89" t="s">
        <v>887</v>
      </c>
      <c r="CA47" s="89" t="s">
        <v>887</v>
      </c>
      <c r="CB47" s="89"/>
      <c r="CC47" s="89"/>
      <c r="CD47" s="89"/>
      <c r="CE47" s="89" t="s">
        <v>889</v>
      </c>
      <c r="CF47" s="89" t="s">
        <v>889</v>
      </c>
      <c r="CG47" s="89"/>
      <c r="CH47" s="89" t="s">
        <v>887</v>
      </c>
      <c r="CI47" s="89"/>
      <c r="CJ47" s="89"/>
      <c r="CK47" s="89" t="s">
        <v>889</v>
      </c>
      <c r="CL47" s="89" t="s">
        <v>889</v>
      </c>
      <c r="CM47" s="89"/>
      <c r="CN47" s="89"/>
      <c r="CO47" s="89"/>
      <c r="CP47" s="89"/>
      <c r="CQ47" s="89"/>
      <c r="CR47" s="89"/>
      <c r="CS47" s="89"/>
      <c r="CT47" s="89"/>
      <c r="CU47" s="89"/>
      <c r="CV47" s="89"/>
      <c r="CW47" s="89" t="s">
        <v>887</v>
      </c>
      <c r="CX47" s="89"/>
      <c r="CY47" s="89"/>
      <c r="CZ47" s="89"/>
      <c r="DA47" s="89"/>
      <c r="DB47" s="89"/>
      <c r="DC47" s="89"/>
      <c r="DD47" s="89"/>
      <c r="DE47" s="89"/>
      <c r="DF47" s="89"/>
      <c r="DG47" s="89"/>
      <c r="DH47" s="89"/>
      <c r="DI47" s="89" t="s">
        <v>887</v>
      </c>
      <c r="DJ47" s="89"/>
      <c r="DK47" s="89"/>
      <c r="DL47" s="89"/>
      <c r="DM47" s="89"/>
      <c r="DN47" s="89"/>
      <c r="DO47" s="89" t="s">
        <v>887</v>
      </c>
      <c r="DP47" s="89" t="s">
        <v>889</v>
      </c>
      <c r="DQ47" s="89"/>
      <c r="DR47" s="89" t="s">
        <v>889</v>
      </c>
      <c r="DS47" s="89"/>
      <c r="DT47" s="89"/>
      <c r="DU47" s="89"/>
      <c r="DV47" s="89" t="s">
        <v>889</v>
      </c>
      <c r="DW47" s="89"/>
      <c r="DX47" s="89"/>
      <c r="DY47" s="89"/>
      <c r="DZ47" s="89" t="s">
        <v>889</v>
      </c>
      <c r="EA47" s="89"/>
      <c r="EB47" s="89"/>
      <c r="EC47" s="89"/>
      <c r="ED47" s="89"/>
      <c r="EE47" s="89"/>
      <c r="EF47" s="89"/>
      <c r="EG47" s="89"/>
      <c r="EH47" s="89"/>
      <c r="EI47" s="89"/>
      <c r="EJ47" s="89"/>
      <c r="EK47" s="89"/>
      <c r="EL47" s="89"/>
      <c r="EM47" s="89"/>
      <c r="EN47" s="89"/>
      <c r="EO47" s="89"/>
      <c r="EP47" s="89"/>
      <c r="EQ47" s="89"/>
      <c r="ER47" s="89" t="s">
        <v>892</v>
      </c>
      <c r="ES47" s="89"/>
      <c r="ET47" s="89"/>
      <c r="EU47" s="89"/>
      <c r="EV47" s="89"/>
      <c r="EW47" s="89"/>
      <c r="EX47" s="89"/>
      <c r="EY47" s="89"/>
      <c r="EZ47" s="89"/>
      <c r="FA47" s="89"/>
      <c r="FB47" s="89"/>
      <c r="FC47" s="89" t="s">
        <v>893</v>
      </c>
      <c r="FD47" s="89"/>
      <c r="FE47" s="89" t="s">
        <v>1129</v>
      </c>
      <c r="FF47" s="89"/>
      <c r="FG47" s="89"/>
      <c r="FH47" s="89"/>
      <c r="FI47" s="89"/>
      <c r="FJ47" s="89"/>
      <c r="FK47" s="89" t="s">
        <v>888</v>
      </c>
      <c r="FL47" s="89" t="s">
        <v>889</v>
      </c>
      <c r="FM47" s="89"/>
      <c r="FN47" s="89"/>
      <c r="FO47" s="89"/>
      <c r="FP47" s="89"/>
      <c r="FQ47" s="89"/>
      <c r="FR47" s="89" t="s">
        <v>894</v>
      </c>
      <c r="FS47" s="89"/>
      <c r="FT47" s="89"/>
      <c r="FU47" s="89" t="s">
        <v>887</v>
      </c>
      <c r="FV47" s="89" t="s">
        <v>889</v>
      </c>
      <c r="FW47" s="89"/>
      <c r="FX47" s="89" t="s">
        <v>895</v>
      </c>
      <c r="FY47" s="89"/>
      <c r="FZ47" s="89"/>
      <c r="GA47" s="89"/>
      <c r="GB47" s="89"/>
      <c r="GC47" s="89"/>
      <c r="GD47" s="89"/>
      <c r="GE47" s="89"/>
      <c r="GF47" s="89"/>
      <c r="GG47" s="89"/>
      <c r="GH47" s="89" t="s">
        <v>889</v>
      </c>
      <c r="GI47" s="89"/>
      <c r="GJ47" s="89" t="s">
        <v>897</v>
      </c>
      <c r="GK47" s="89"/>
      <c r="GL47" s="89"/>
      <c r="GM47" s="89" t="s">
        <v>895</v>
      </c>
      <c r="GN47" s="89"/>
      <c r="GO47" s="89" t="s">
        <v>898</v>
      </c>
      <c r="GP47" s="89"/>
      <c r="GQ47" s="89" t="s">
        <v>899</v>
      </c>
      <c r="GR47" s="89"/>
      <c r="GS47" s="89"/>
      <c r="GT47" s="89" t="s">
        <v>900</v>
      </c>
      <c r="GU47" s="89" t="s">
        <v>901</v>
      </c>
      <c r="GV47" s="89"/>
      <c r="GW47" s="89" t="s">
        <v>889</v>
      </c>
      <c r="GX47" s="89"/>
    </row>
    <row r="48" spans="1:206" ht="15.75" x14ac:dyDescent="0.25">
      <c r="A48" s="9" t="s">
        <v>123</v>
      </c>
      <c r="B48" s="9" t="s">
        <v>124</v>
      </c>
      <c r="C48" s="89"/>
      <c r="D48" s="89"/>
      <c r="E48" s="89"/>
      <c r="F48" s="89"/>
      <c r="G48" s="89"/>
      <c r="H48" s="89"/>
      <c r="I48" s="89"/>
      <c r="J48" s="89"/>
      <c r="K48" s="89"/>
      <c r="L48" s="89"/>
      <c r="M48" s="89"/>
      <c r="N48" s="89"/>
      <c r="O48" s="89"/>
      <c r="P48" s="89"/>
      <c r="Q48" s="89" t="s">
        <v>903</v>
      </c>
      <c r="R48" s="89"/>
      <c r="S48" s="89"/>
      <c r="T48" s="89"/>
      <c r="U48" s="89"/>
      <c r="V48" s="89"/>
      <c r="W48" s="89"/>
      <c r="X48" s="89"/>
      <c r="Y48" s="89"/>
      <c r="Z48" s="89"/>
      <c r="AA48" s="89"/>
      <c r="AB48" s="89"/>
      <c r="AC48" s="89"/>
      <c r="AD48" s="89"/>
      <c r="AE48" s="89" t="s">
        <v>904</v>
      </c>
      <c r="AF48" s="89"/>
      <c r="AG48" s="89"/>
      <c r="AH48" s="89"/>
      <c r="AI48" s="89"/>
      <c r="AJ48" s="89"/>
      <c r="AK48" s="89"/>
      <c r="AL48" s="89"/>
      <c r="AM48" s="89"/>
      <c r="AN48" s="89"/>
      <c r="AO48" s="89"/>
      <c r="AP48" s="89"/>
      <c r="AQ48" s="89"/>
      <c r="AR48" s="89"/>
      <c r="AS48" s="89" t="s">
        <v>905</v>
      </c>
      <c r="AT48" s="89"/>
      <c r="AU48" s="89"/>
      <c r="AV48" s="89" t="s">
        <v>907</v>
      </c>
      <c r="AW48" s="89"/>
      <c r="AX48" s="89" t="s">
        <v>907</v>
      </c>
      <c r="AY48" s="89"/>
      <c r="AZ48" s="89"/>
      <c r="BA48" s="89"/>
      <c r="BB48" s="89"/>
      <c r="BC48" s="89"/>
      <c r="BD48" s="89" t="s">
        <v>907</v>
      </c>
      <c r="BE48" s="89"/>
      <c r="BF48" s="89"/>
      <c r="BG48" s="89"/>
      <c r="BH48" s="89"/>
      <c r="BI48" s="89" t="s">
        <v>1130</v>
      </c>
      <c r="BJ48" s="89"/>
      <c r="BK48" s="89"/>
      <c r="BL48" s="89"/>
      <c r="BM48" s="89" t="s">
        <v>908</v>
      </c>
      <c r="BN48" s="89"/>
      <c r="BO48" s="89"/>
      <c r="BP48" s="89"/>
      <c r="BQ48" s="89"/>
      <c r="BR48" s="89"/>
      <c r="BS48" s="89"/>
      <c r="BT48" s="89"/>
      <c r="BU48" s="89"/>
      <c r="BV48" s="89" t="s">
        <v>909</v>
      </c>
      <c r="BW48" s="89"/>
      <c r="BX48" s="89"/>
      <c r="BY48" s="89" t="s">
        <v>907</v>
      </c>
      <c r="BZ48" s="89"/>
      <c r="CA48" s="89"/>
      <c r="CB48" s="89"/>
      <c r="CC48" s="89"/>
      <c r="CD48" s="89"/>
      <c r="CE48" s="89" t="s">
        <v>907</v>
      </c>
      <c r="CF48" s="89" t="s">
        <v>907</v>
      </c>
      <c r="CG48" s="89"/>
      <c r="CH48" s="89"/>
      <c r="CI48" s="89"/>
      <c r="CJ48" s="89"/>
      <c r="CK48" s="89" t="s">
        <v>907</v>
      </c>
      <c r="CL48" s="89" t="s">
        <v>907</v>
      </c>
      <c r="CM48" s="89" t="s">
        <v>910</v>
      </c>
      <c r="CN48" s="89"/>
      <c r="CO48" s="89"/>
      <c r="CP48" s="89"/>
      <c r="CQ48" s="89"/>
      <c r="CR48" s="89"/>
      <c r="CS48" s="89" t="s">
        <v>911</v>
      </c>
      <c r="CT48" s="89"/>
      <c r="CU48" s="89"/>
      <c r="CV48" s="89"/>
      <c r="CW48" s="89"/>
      <c r="CX48" s="89"/>
      <c r="CY48" s="89" t="s">
        <v>911</v>
      </c>
      <c r="CZ48" s="89"/>
      <c r="DA48" s="89"/>
      <c r="DB48" s="89"/>
      <c r="DC48" s="89"/>
      <c r="DD48" s="89"/>
      <c r="DE48" s="89" t="s">
        <v>912</v>
      </c>
      <c r="DF48" s="89"/>
      <c r="DG48" s="89" t="s">
        <v>913</v>
      </c>
      <c r="DH48" s="89"/>
      <c r="DI48" s="89"/>
      <c r="DJ48" s="89"/>
      <c r="DK48" s="89"/>
      <c r="DL48" s="89"/>
      <c r="DM48" s="89"/>
      <c r="DN48" s="89"/>
      <c r="DO48" s="89"/>
      <c r="DP48" s="89"/>
      <c r="DQ48" s="89"/>
      <c r="DR48" s="89"/>
      <c r="DS48" s="89"/>
      <c r="DT48" s="89"/>
      <c r="DU48" s="89"/>
      <c r="DV48" s="89"/>
      <c r="DW48" s="89"/>
      <c r="DX48" s="89"/>
      <c r="DY48" s="89"/>
      <c r="DZ48" s="89"/>
      <c r="EA48" s="89"/>
      <c r="EB48" s="89"/>
      <c r="EC48" s="89" t="s">
        <v>914</v>
      </c>
      <c r="ED48" s="89"/>
      <c r="EE48" s="89"/>
      <c r="EF48" s="89"/>
      <c r="EG48" s="89"/>
      <c r="EH48" s="89"/>
      <c r="EI48" s="89"/>
      <c r="EJ48" s="89" t="s">
        <v>911</v>
      </c>
      <c r="EK48" s="89"/>
      <c r="EL48" s="89"/>
      <c r="EM48" s="89"/>
      <c r="EN48" s="89"/>
      <c r="EO48" s="89"/>
      <c r="EP48" s="89"/>
      <c r="EQ48" s="89"/>
      <c r="ER48" s="89" t="s">
        <v>913</v>
      </c>
      <c r="ES48" s="89"/>
      <c r="ET48" s="89"/>
      <c r="EU48" s="89"/>
      <c r="EV48" s="89" t="s">
        <v>1131</v>
      </c>
      <c r="EW48" s="89"/>
      <c r="EX48" s="89"/>
      <c r="EY48" s="89"/>
      <c r="EZ48" s="89"/>
      <c r="FA48" s="89"/>
      <c r="FB48" s="89"/>
      <c r="FC48" s="89"/>
      <c r="FD48" s="89" t="s">
        <v>1019</v>
      </c>
      <c r="FE48" s="89"/>
      <c r="FF48" s="89"/>
      <c r="FG48" s="89"/>
      <c r="FH48" s="89"/>
      <c r="FI48" s="89"/>
      <c r="FJ48" s="89"/>
      <c r="FK48" s="89"/>
      <c r="FL48" s="89" t="s">
        <v>915</v>
      </c>
      <c r="FM48" s="89" t="s">
        <v>904</v>
      </c>
      <c r="FN48" s="89"/>
      <c r="FO48" s="89"/>
      <c r="FP48" s="89"/>
      <c r="FQ48" s="89"/>
      <c r="FR48" s="89"/>
      <c r="FS48" s="89"/>
      <c r="FT48" s="89"/>
      <c r="FU48" s="89"/>
      <c r="FV48" s="89"/>
      <c r="FW48" s="89" t="s">
        <v>916</v>
      </c>
      <c r="FX48" s="89"/>
      <c r="FY48" s="89" t="s">
        <v>917</v>
      </c>
      <c r="FZ48" s="89" t="s">
        <v>918</v>
      </c>
      <c r="GA48" s="89"/>
      <c r="GB48" s="89"/>
      <c r="GC48" s="89"/>
      <c r="GD48" s="89"/>
      <c r="GE48" s="89" t="s">
        <v>911</v>
      </c>
      <c r="GF48" s="89"/>
      <c r="GG48" s="89"/>
      <c r="GH48" s="89"/>
      <c r="GI48" s="89"/>
      <c r="GJ48" s="89"/>
      <c r="GK48" s="89"/>
      <c r="GL48" s="89"/>
      <c r="GM48" s="89"/>
      <c r="GN48" s="89"/>
      <c r="GO48" s="89" t="s">
        <v>917</v>
      </c>
      <c r="GP48" s="89" t="s">
        <v>919</v>
      </c>
      <c r="GQ48" s="89"/>
      <c r="GR48" s="89"/>
      <c r="GS48" s="89" t="s">
        <v>920</v>
      </c>
      <c r="GT48" s="89"/>
      <c r="GU48" s="89"/>
      <c r="GV48" s="89"/>
      <c r="GW48" s="89" t="s">
        <v>907</v>
      </c>
      <c r="GX48" s="89" t="s">
        <v>911</v>
      </c>
    </row>
    <row r="49" spans="1:206" ht="15.75" x14ac:dyDescent="0.25">
      <c r="A49" s="6" t="s">
        <v>125</v>
      </c>
      <c r="B49" s="6" t="s">
        <v>59</v>
      </c>
      <c r="C49" s="89"/>
      <c r="D49" s="89"/>
      <c r="E49" s="89"/>
      <c r="F49" s="89"/>
      <c r="G49" s="89"/>
      <c r="H49" s="89" t="s">
        <v>921</v>
      </c>
      <c r="I49" s="89"/>
      <c r="J49" s="89"/>
      <c r="K49" s="89"/>
      <c r="L49" s="89"/>
      <c r="M49" s="89"/>
      <c r="N49" s="89"/>
      <c r="O49" s="89"/>
      <c r="P49" s="89"/>
      <c r="Q49" s="89"/>
      <c r="R49" s="89"/>
      <c r="S49" s="89"/>
      <c r="T49" s="89"/>
      <c r="U49" s="89"/>
      <c r="V49" s="89"/>
      <c r="W49" s="89"/>
      <c r="X49" s="89"/>
      <c r="Y49" s="89"/>
      <c r="Z49" s="89"/>
      <c r="AA49" s="89"/>
      <c r="AB49" s="89"/>
      <c r="AC49" s="89"/>
      <c r="AD49" s="89"/>
      <c r="AE49" s="89"/>
      <c r="AF49" s="89"/>
      <c r="AG49" s="89"/>
      <c r="AH49" s="89"/>
      <c r="AI49" s="89"/>
      <c r="AJ49" s="89"/>
      <c r="AK49" s="89" t="s">
        <v>922</v>
      </c>
      <c r="AL49" s="89"/>
      <c r="AM49" s="89"/>
      <c r="AN49" s="89"/>
      <c r="AO49" s="89"/>
      <c r="AP49" s="89"/>
      <c r="AQ49" s="89"/>
      <c r="AR49" s="89"/>
      <c r="AS49" s="89"/>
      <c r="AT49" s="89"/>
      <c r="AU49" s="89"/>
      <c r="AV49" s="89" t="s">
        <v>924</v>
      </c>
      <c r="AW49" s="89"/>
      <c r="AX49" s="89" t="s">
        <v>924</v>
      </c>
      <c r="AY49" s="89"/>
      <c r="AZ49" s="89"/>
      <c r="BA49" s="89"/>
      <c r="BB49" s="89"/>
      <c r="BC49" s="89"/>
      <c r="BD49" s="89" t="s">
        <v>924</v>
      </c>
      <c r="BE49" s="89"/>
      <c r="BF49" s="89"/>
      <c r="BG49" s="89"/>
      <c r="BH49" s="89" t="s">
        <v>1132</v>
      </c>
      <c r="BI49" s="89"/>
      <c r="BJ49" s="89"/>
      <c r="BK49" s="89"/>
      <c r="BL49" s="89"/>
      <c r="BM49" s="89"/>
      <c r="BN49" s="89" t="s">
        <v>924</v>
      </c>
      <c r="BO49" s="89" t="s">
        <v>921</v>
      </c>
      <c r="BP49" s="89"/>
      <c r="BQ49" s="89"/>
      <c r="BR49" s="89"/>
      <c r="BS49" s="89"/>
      <c r="BT49" s="89"/>
      <c r="BU49" s="89" t="s">
        <v>926</v>
      </c>
      <c r="BV49" s="89"/>
      <c r="BW49" s="89"/>
      <c r="BX49" s="89"/>
      <c r="BY49" s="89" t="s">
        <v>924</v>
      </c>
      <c r="BZ49" s="89"/>
      <c r="CA49" s="89"/>
      <c r="CB49" s="89"/>
      <c r="CC49" s="89"/>
      <c r="CD49" s="89"/>
      <c r="CE49" s="89" t="s">
        <v>924</v>
      </c>
      <c r="CF49" s="89" t="s">
        <v>924</v>
      </c>
      <c r="CG49" s="89"/>
      <c r="CH49" s="89"/>
      <c r="CI49" s="89"/>
      <c r="CJ49" s="89"/>
      <c r="CK49" s="89" t="s">
        <v>924</v>
      </c>
      <c r="CL49" s="89" t="s">
        <v>924</v>
      </c>
      <c r="CM49" s="89"/>
      <c r="CN49" s="89"/>
      <c r="CO49" s="89"/>
      <c r="CP49" s="89"/>
      <c r="CQ49" s="89"/>
      <c r="CR49" s="89"/>
      <c r="CS49" s="89"/>
      <c r="CT49" s="89"/>
      <c r="CU49" s="89"/>
      <c r="CV49" s="89"/>
      <c r="CW49" s="89"/>
      <c r="CX49" s="89"/>
      <c r="CY49" s="89"/>
      <c r="CZ49" s="89"/>
      <c r="DA49" s="89"/>
      <c r="DB49" s="89"/>
      <c r="DC49" s="89" t="s">
        <v>928</v>
      </c>
      <c r="DD49" s="89"/>
      <c r="DE49" s="89"/>
      <c r="DF49" s="89" t="s">
        <v>921</v>
      </c>
      <c r="DG49" s="89"/>
      <c r="DH49" s="89"/>
      <c r="DI49" s="89"/>
      <c r="DJ49" s="89"/>
      <c r="DK49" s="89"/>
      <c r="DL49" s="89"/>
      <c r="DM49" s="89"/>
      <c r="DN49" s="89"/>
      <c r="DO49" s="89"/>
      <c r="DP49" s="89" t="s">
        <v>924</v>
      </c>
      <c r="DQ49" s="89"/>
      <c r="DR49" s="89" t="s">
        <v>924</v>
      </c>
      <c r="DS49" s="89"/>
      <c r="DT49" s="89"/>
      <c r="DU49" s="89"/>
      <c r="DV49" s="89" t="s">
        <v>924</v>
      </c>
      <c r="DW49" s="89"/>
      <c r="DX49" s="89"/>
      <c r="DY49" s="89"/>
      <c r="DZ49" s="89" t="s">
        <v>924</v>
      </c>
      <c r="EA49" s="89"/>
      <c r="EB49" s="89"/>
      <c r="EC49" s="89"/>
      <c r="ED49" s="89"/>
      <c r="EE49" s="89"/>
      <c r="EF49" s="89" t="s">
        <v>928</v>
      </c>
      <c r="EG49" s="89"/>
      <c r="EH49" s="89"/>
      <c r="EI49" s="89"/>
      <c r="EJ49" s="89"/>
      <c r="EK49" s="89"/>
      <c r="EL49" s="89"/>
      <c r="EM49" s="89"/>
      <c r="EN49" s="89"/>
      <c r="EO49" s="89"/>
      <c r="EP49" s="89"/>
      <c r="EQ49" s="89" t="s">
        <v>921</v>
      </c>
      <c r="ER49" s="89" t="s">
        <v>931</v>
      </c>
      <c r="ES49" s="89"/>
      <c r="ET49" s="89"/>
      <c r="EU49" s="89"/>
      <c r="EV49" s="89"/>
      <c r="EW49" s="89"/>
      <c r="EX49" s="89"/>
      <c r="EY49" s="89"/>
      <c r="EZ49" s="89"/>
      <c r="FA49" s="89"/>
      <c r="FB49" s="89" t="s">
        <v>933</v>
      </c>
      <c r="FC49" s="89"/>
      <c r="FD49" s="89"/>
      <c r="FE49" s="89"/>
      <c r="FF49" s="89"/>
      <c r="FG49" s="89"/>
      <c r="FH49" s="89"/>
      <c r="FI49" s="89"/>
      <c r="FJ49" s="89" t="s">
        <v>924</v>
      </c>
      <c r="FK49" s="89"/>
      <c r="FL49" s="89" t="s">
        <v>924</v>
      </c>
      <c r="FM49" s="89"/>
      <c r="FN49" s="89" t="s">
        <v>935</v>
      </c>
      <c r="FO49" s="89"/>
      <c r="FP49" s="89"/>
      <c r="FQ49" s="89"/>
      <c r="FR49" s="89" t="s">
        <v>933</v>
      </c>
      <c r="FS49" s="89"/>
      <c r="FT49" s="89"/>
      <c r="FU49" s="89"/>
      <c r="FV49" s="89" t="s">
        <v>924</v>
      </c>
      <c r="FW49" s="89"/>
      <c r="FX49" s="89"/>
      <c r="FY49" s="89"/>
      <c r="FZ49" s="89"/>
      <c r="GA49" s="89"/>
      <c r="GB49" s="89"/>
      <c r="GC49" s="89"/>
      <c r="GD49" s="89"/>
      <c r="GE49" s="89"/>
      <c r="GF49" s="89"/>
      <c r="GG49" s="89"/>
      <c r="GH49" s="89" t="s">
        <v>924</v>
      </c>
      <c r="GI49" s="89"/>
      <c r="GJ49" s="89"/>
      <c r="GK49" s="89"/>
      <c r="GL49" s="89"/>
      <c r="GM49" s="89"/>
      <c r="GN49" s="89"/>
      <c r="GO49" s="89"/>
      <c r="GP49" s="89" t="s">
        <v>936</v>
      </c>
      <c r="GQ49" s="89"/>
      <c r="GR49" s="89"/>
      <c r="GS49" s="89" t="s">
        <v>921</v>
      </c>
      <c r="GT49" s="89"/>
      <c r="GU49" s="89"/>
      <c r="GV49" s="89"/>
      <c r="GW49" s="89" t="s">
        <v>924</v>
      </c>
      <c r="GX49" s="89"/>
    </row>
    <row r="50" spans="1:206" ht="15.75" x14ac:dyDescent="0.25">
      <c r="A50" s="6" t="s">
        <v>37</v>
      </c>
      <c r="B50" s="6" t="s">
        <v>38</v>
      </c>
      <c r="C50" s="89"/>
      <c r="D50" s="89"/>
      <c r="E50" s="89"/>
      <c r="F50" s="89"/>
      <c r="G50" s="89"/>
      <c r="H50" s="89"/>
      <c r="I50" s="89"/>
      <c r="J50" s="89"/>
      <c r="K50" s="89"/>
      <c r="L50" s="89"/>
      <c r="M50" s="89"/>
      <c r="N50" s="89"/>
      <c r="O50" s="89"/>
      <c r="P50" s="89"/>
      <c r="Q50" s="89"/>
      <c r="R50" s="89"/>
      <c r="S50" s="89"/>
      <c r="T50" s="89"/>
      <c r="U50" s="89"/>
      <c r="V50" s="89"/>
      <c r="W50" s="89"/>
      <c r="X50" s="89"/>
      <c r="Y50" s="89"/>
      <c r="Z50" s="89"/>
      <c r="AA50" s="89"/>
      <c r="AB50" s="89"/>
      <c r="AC50" s="89" t="s">
        <v>939</v>
      </c>
      <c r="AD50" s="89"/>
      <c r="AE50" s="89"/>
      <c r="AF50" s="89"/>
      <c r="AG50" s="89"/>
      <c r="AH50" s="89"/>
      <c r="AI50" s="89"/>
      <c r="AJ50" s="89"/>
      <c r="AK50" s="89"/>
      <c r="AL50" s="89"/>
      <c r="AM50" s="89"/>
      <c r="AN50" s="89"/>
      <c r="AO50" s="89"/>
      <c r="AP50" s="89"/>
      <c r="AQ50" s="89"/>
      <c r="AR50" s="89"/>
      <c r="AS50" s="89"/>
      <c r="AT50" s="89"/>
      <c r="AU50" s="89"/>
      <c r="AV50" s="89"/>
      <c r="AW50" s="89"/>
      <c r="AX50" s="89"/>
      <c r="AY50" s="89"/>
      <c r="AZ50" s="89"/>
      <c r="BA50" s="89"/>
      <c r="BB50" s="89"/>
      <c r="BC50" s="89"/>
      <c r="BD50" s="89"/>
      <c r="BE50" s="89"/>
      <c r="BF50" s="89"/>
      <c r="BG50" s="89"/>
      <c r="BH50" s="89"/>
      <c r="BI50" s="89"/>
      <c r="BJ50" s="89"/>
      <c r="BK50" s="89"/>
      <c r="BL50" s="89"/>
      <c r="BM50" s="89"/>
      <c r="BN50" s="89"/>
      <c r="BO50" s="89"/>
      <c r="BP50" s="89"/>
      <c r="BQ50" s="89"/>
      <c r="BR50" s="89"/>
      <c r="BS50" s="89"/>
      <c r="BT50" s="89"/>
      <c r="BU50" s="89"/>
      <c r="BV50" s="89"/>
      <c r="BW50" s="89"/>
      <c r="BX50" s="89"/>
      <c r="BY50" s="89"/>
      <c r="BZ50" s="89"/>
      <c r="CA50" s="89"/>
      <c r="CB50" s="89"/>
      <c r="CC50" s="89"/>
      <c r="CD50" s="89"/>
      <c r="CE50" s="89"/>
      <c r="CF50" s="89"/>
      <c r="CG50" s="89"/>
      <c r="CH50" s="89"/>
      <c r="CI50" s="89"/>
      <c r="CJ50" s="89"/>
      <c r="CK50" s="89"/>
      <c r="CL50" s="89"/>
      <c r="CM50" s="89"/>
      <c r="CN50" s="89"/>
      <c r="CO50" s="89"/>
      <c r="CP50" s="89"/>
      <c r="CQ50" s="89"/>
      <c r="CR50" s="89"/>
      <c r="CS50" s="89"/>
      <c r="CT50" s="89"/>
      <c r="CU50" s="89"/>
      <c r="CV50" s="89"/>
      <c r="CW50" s="89"/>
      <c r="CX50" s="89"/>
      <c r="CY50" s="89"/>
      <c r="CZ50" s="89"/>
      <c r="DA50" s="89"/>
      <c r="DB50" s="89"/>
      <c r="DC50" s="89"/>
      <c r="DD50" s="89"/>
      <c r="DE50" s="89"/>
      <c r="DF50" s="89"/>
      <c r="DG50" s="89"/>
      <c r="DH50" s="89"/>
      <c r="DI50" s="89"/>
      <c r="DJ50" s="89"/>
      <c r="DK50" s="89"/>
      <c r="DL50" s="89"/>
      <c r="DM50" s="89"/>
      <c r="DN50" s="89"/>
      <c r="DO50" s="89"/>
      <c r="DP50" s="89"/>
      <c r="DQ50" s="89"/>
      <c r="DR50" s="89"/>
      <c r="DS50" s="89"/>
      <c r="DT50" s="89"/>
      <c r="DU50" s="89"/>
      <c r="DV50" s="89"/>
      <c r="DW50" s="89"/>
      <c r="DX50" s="89"/>
      <c r="DY50" s="89"/>
      <c r="DZ50" s="89"/>
      <c r="EA50" s="89"/>
      <c r="EB50" s="89"/>
      <c r="EC50" s="89"/>
      <c r="ED50" s="89"/>
      <c r="EE50" s="89"/>
      <c r="EF50" s="89"/>
      <c r="EG50" s="89"/>
      <c r="EH50" s="89"/>
      <c r="EI50" s="89"/>
      <c r="EJ50" s="89"/>
      <c r="EK50" s="89"/>
      <c r="EL50" s="89"/>
      <c r="EM50" s="89"/>
      <c r="EN50" s="89"/>
      <c r="EO50" s="89"/>
      <c r="EP50" s="89"/>
      <c r="EQ50" s="89"/>
      <c r="ER50" s="89" t="s">
        <v>941</v>
      </c>
      <c r="ES50" s="89"/>
      <c r="ET50" s="89"/>
      <c r="EU50" s="89"/>
      <c r="EV50" s="89"/>
      <c r="EW50" s="89"/>
      <c r="EX50" s="89"/>
      <c r="EY50" s="89"/>
      <c r="EZ50" s="89"/>
      <c r="FA50" s="89"/>
      <c r="FB50" s="89"/>
      <c r="FC50" s="89"/>
      <c r="FD50" s="89"/>
      <c r="FE50" s="89"/>
      <c r="FF50" s="89"/>
      <c r="FG50" s="89"/>
      <c r="FH50" s="89"/>
      <c r="FI50" s="89"/>
      <c r="FJ50" s="89"/>
      <c r="FK50" s="89"/>
      <c r="FL50" s="89"/>
      <c r="FM50" s="89"/>
      <c r="FN50" s="89"/>
      <c r="FO50" s="89"/>
      <c r="FP50" s="89"/>
      <c r="FQ50" s="89"/>
      <c r="FR50" s="89"/>
      <c r="FS50" s="89"/>
      <c r="FT50" s="89" t="s">
        <v>942</v>
      </c>
      <c r="FU50" s="89"/>
      <c r="FV50" s="89"/>
      <c r="FW50" s="89"/>
      <c r="FX50" s="89"/>
      <c r="FY50" s="89"/>
      <c r="FZ50" s="89"/>
      <c r="GA50" s="89"/>
      <c r="GB50" s="89"/>
      <c r="GC50" s="89"/>
      <c r="GD50" s="89"/>
      <c r="GE50" s="89"/>
      <c r="GF50" s="89"/>
      <c r="GG50" s="89"/>
      <c r="GH50" s="89"/>
      <c r="GI50" s="89"/>
      <c r="GJ50" s="89"/>
      <c r="GK50" s="89"/>
      <c r="GL50" s="89"/>
      <c r="GM50" s="89"/>
      <c r="GN50" s="89"/>
      <c r="GO50" s="89"/>
      <c r="GP50" s="89"/>
      <c r="GQ50" s="89"/>
      <c r="GR50" s="89"/>
      <c r="GS50" s="89"/>
      <c r="GT50" s="89"/>
      <c r="GU50" s="89"/>
      <c r="GV50" s="89"/>
      <c r="GW50" s="89"/>
      <c r="GX50" s="89" t="s">
        <v>943</v>
      </c>
    </row>
    <row r="51" spans="1:206" ht="15.75" x14ac:dyDescent="0.25">
      <c r="A51" s="9" t="s">
        <v>126</v>
      </c>
      <c r="B51" s="9" t="s">
        <v>127</v>
      </c>
      <c r="C51" s="89"/>
      <c r="D51" s="89" t="s">
        <v>1133</v>
      </c>
      <c r="E51" s="89"/>
      <c r="F51" s="89"/>
      <c r="G51" s="89"/>
      <c r="H51" s="89"/>
      <c r="I51" s="89"/>
      <c r="J51" s="89"/>
      <c r="K51" s="89"/>
      <c r="L51" s="89"/>
      <c r="M51" s="89" t="s">
        <v>945</v>
      </c>
      <c r="N51" s="89"/>
      <c r="O51" s="89"/>
      <c r="P51" s="89"/>
      <c r="Q51" s="89"/>
      <c r="R51" s="89"/>
      <c r="S51" s="89"/>
      <c r="T51" s="89"/>
      <c r="U51" s="89"/>
      <c r="V51" s="89"/>
      <c r="W51" s="89"/>
      <c r="X51" s="89"/>
      <c r="Y51" s="89"/>
      <c r="Z51" s="89"/>
      <c r="AA51" s="89"/>
      <c r="AB51" s="89"/>
      <c r="AC51" s="89"/>
      <c r="AD51" s="89"/>
      <c r="AE51" s="89"/>
      <c r="AF51" s="89"/>
      <c r="AG51" s="89"/>
      <c r="AH51" s="89"/>
      <c r="AI51" s="89"/>
      <c r="AJ51" s="89"/>
      <c r="AK51" s="89"/>
      <c r="AL51" s="89"/>
      <c r="AM51" s="89"/>
      <c r="AN51" s="89"/>
      <c r="AO51" s="89"/>
      <c r="AP51" s="89"/>
      <c r="AQ51" s="89"/>
      <c r="AR51" s="89"/>
      <c r="AS51" s="89"/>
      <c r="AT51" s="89"/>
      <c r="AU51" s="89"/>
      <c r="AV51" s="89"/>
      <c r="AW51" s="89"/>
      <c r="AX51" s="89"/>
      <c r="AY51" s="89"/>
      <c r="AZ51" s="89"/>
      <c r="BA51" s="89" t="s">
        <v>947</v>
      </c>
      <c r="BB51" s="89"/>
      <c r="BC51" s="89"/>
      <c r="BD51" s="89"/>
      <c r="BE51" s="89"/>
      <c r="BF51" s="89"/>
      <c r="BG51" s="89"/>
      <c r="BH51" s="89"/>
      <c r="BI51" s="89"/>
      <c r="BJ51" s="89"/>
      <c r="BK51" s="89"/>
      <c r="BL51" s="89"/>
      <c r="BM51" s="89"/>
      <c r="BN51" s="89"/>
      <c r="BO51" s="89"/>
      <c r="BP51" s="89"/>
      <c r="BQ51" s="89"/>
      <c r="BR51" s="89"/>
      <c r="BS51" s="89"/>
      <c r="BT51" s="89"/>
      <c r="BU51" s="89"/>
      <c r="BV51" s="89"/>
      <c r="BW51" s="89"/>
      <c r="BX51" s="89"/>
      <c r="BY51" s="89"/>
      <c r="BZ51" s="89"/>
      <c r="CA51" s="89"/>
      <c r="CB51" s="89"/>
      <c r="CC51" s="89" t="s">
        <v>1134</v>
      </c>
      <c r="CD51" s="89"/>
      <c r="CE51" s="89"/>
      <c r="CF51" s="89"/>
      <c r="CG51" s="89"/>
      <c r="CH51" s="89"/>
      <c r="CI51" s="89"/>
      <c r="CJ51" s="89"/>
      <c r="CK51" s="89"/>
      <c r="CL51" s="89"/>
      <c r="CM51" s="89"/>
      <c r="CN51" s="89"/>
      <c r="CO51" s="89" t="s">
        <v>949</v>
      </c>
      <c r="CP51" s="89"/>
      <c r="CQ51" s="89"/>
      <c r="CR51" s="89"/>
      <c r="CS51" s="89"/>
      <c r="CT51" s="89"/>
      <c r="CU51" s="89"/>
      <c r="CV51" s="89"/>
      <c r="CW51" s="89"/>
      <c r="CX51" s="89"/>
      <c r="CY51" s="89"/>
      <c r="CZ51" s="89"/>
      <c r="DA51" s="89"/>
      <c r="DB51" s="89"/>
      <c r="DC51" s="89"/>
      <c r="DD51" s="89"/>
      <c r="DE51" s="89" t="s">
        <v>950</v>
      </c>
      <c r="DF51" s="89"/>
      <c r="DG51" s="89"/>
      <c r="DH51" s="89"/>
      <c r="DI51" s="89"/>
      <c r="DJ51" s="89"/>
      <c r="DK51" s="89"/>
      <c r="DL51" s="89"/>
      <c r="DM51" s="89"/>
      <c r="DN51" s="89"/>
      <c r="DO51" s="89"/>
      <c r="DP51" s="89"/>
      <c r="DQ51" s="89"/>
      <c r="DR51" s="89"/>
      <c r="DS51" s="89" t="s">
        <v>952</v>
      </c>
      <c r="DT51" s="89"/>
      <c r="DU51" s="89"/>
      <c r="DV51" s="89"/>
      <c r="DW51" s="89"/>
      <c r="DX51" s="89"/>
      <c r="DY51" s="89"/>
      <c r="DZ51" s="89"/>
      <c r="EA51" s="89"/>
      <c r="EB51" s="89"/>
      <c r="EC51" s="89"/>
      <c r="ED51" s="89"/>
      <c r="EE51" s="89"/>
      <c r="EF51" s="89"/>
      <c r="EG51" s="89"/>
      <c r="EH51" s="89"/>
      <c r="EI51" s="89"/>
      <c r="EJ51" s="89"/>
      <c r="EK51" s="89"/>
      <c r="EL51" s="89"/>
      <c r="EM51" s="89"/>
      <c r="EN51" s="89"/>
      <c r="EO51" s="89"/>
      <c r="EP51" s="89"/>
      <c r="EQ51" s="89"/>
      <c r="ER51" s="89" t="s">
        <v>953</v>
      </c>
      <c r="ES51" s="89"/>
      <c r="ET51" s="89"/>
      <c r="EU51" s="89"/>
      <c r="EV51" s="89"/>
      <c r="EW51" s="89"/>
      <c r="EX51" s="89"/>
      <c r="EY51" s="89"/>
      <c r="EZ51" s="89"/>
      <c r="FA51" s="89"/>
      <c r="FB51" s="89" t="s">
        <v>954</v>
      </c>
      <c r="FC51" s="89"/>
      <c r="FD51" s="89"/>
      <c r="FE51" s="89"/>
      <c r="FF51" s="89"/>
      <c r="FG51" s="89"/>
      <c r="FH51" s="89"/>
      <c r="FI51" s="89"/>
      <c r="FJ51" s="89"/>
      <c r="FK51" s="89"/>
      <c r="FL51" s="89"/>
      <c r="FM51" s="89"/>
      <c r="FN51" s="89"/>
      <c r="FO51" s="89" t="s">
        <v>1135</v>
      </c>
      <c r="FP51" s="89"/>
      <c r="FQ51" s="89"/>
      <c r="FR51" s="89" t="s">
        <v>954</v>
      </c>
      <c r="FS51" s="89"/>
      <c r="FT51" s="89"/>
      <c r="FU51" s="89"/>
      <c r="FV51" s="89"/>
      <c r="FW51" s="89"/>
      <c r="FX51" s="89"/>
      <c r="FY51" s="89"/>
      <c r="FZ51" s="89"/>
      <c r="GA51" s="89"/>
      <c r="GB51" s="89"/>
      <c r="GC51" s="89"/>
      <c r="GD51" s="89"/>
      <c r="GE51" s="89" t="s">
        <v>956</v>
      </c>
      <c r="GF51" s="89"/>
      <c r="GG51" s="89"/>
      <c r="GH51" s="89"/>
      <c r="GI51" s="89"/>
      <c r="GJ51" s="89"/>
      <c r="GK51" s="89"/>
      <c r="GL51" s="89" t="s">
        <v>956</v>
      </c>
      <c r="GM51" s="89"/>
      <c r="GN51" s="89" t="s">
        <v>957</v>
      </c>
      <c r="GO51" s="89"/>
      <c r="GP51" s="89"/>
      <c r="GQ51" s="89"/>
      <c r="GR51" s="89"/>
      <c r="GS51" s="89"/>
      <c r="GT51" s="89"/>
      <c r="GU51" s="89"/>
      <c r="GV51" s="89"/>
      <c r="GW51" s="89"/>
      <c r="GX51" s="89"/>
    </row>
    <row r="52" spans="1:206" ht="15.75" x14ac:dyDescent="0.25">
      <c r="A52" s="9" t="s">
        <v>128</v>
      </c>
      <c r="B52" s="9" t="s">
        <v>129</v>
      </c>
      <c r="C52" s="89"/>
      <c r="D52" s="89"/>
      <c r="E52" s="89" t="s">
        <v>958</v>
      </c>
      <c r="F52" s="89" t="s">
        <v>959</v>
      </c>
      <c r="G52" s="89"/>
      <c r="H52" s="89"/>
      <c r="I52" s="89"/>
      <c r="J52" s="89"/>
      <c r="K52" s="89"/>
      <c r="L52" s="89"/>
      <c r="M52" s="89"/>
      <c r="N52" s="89"/>
      <c r="O52" s="89"/>
      <c r="P52" s="89"/>
      <c r="Q52" s="89"/>
      <c r="R52" s="89"/>
      <c r="S52" s="89"/>
      <c r="T52" s="89"/>
      <c r="U52" s="89"/>
      <c r="V52" s="89"/>
      <c r="W52" s="89"/>
      <c r="X52" s="89"/>
      <c r="Y52" s="89"/>
      <c r="Z52" s="89" t="s">
        <v>960</v>
      </c>
      <c r="AA52" s="89"/>
      <c r="AB52" s="89"/>
      <c r="AC52" s="89"/>
      <c r="AD52" s="89"/>
      <c r="AE52" s="89"/>
      <c r="AF52" s="89"/>
      <c r="AG52" s="89"/>
      <c r="AH52" s="89" t="s">
        <v>961</v>
      </c>
      <c r="AI52" s="89"/>
      <c r="AJ52" s="89"/>
      <c r="AK52" s="89" t="s">
        <v>962</v>
      </c>
      <c r="AL52" s="89"/>
      <c r="AM52" s="89"/>
      <c r="AN52" s="89"/>
      <c r="AO52" s="89"/>
      <c r="AP52" s="89"/>
      <c r="AQ52" s="89"/>
      <c r="AR52" s="89"/>
      <c r="AS52" s="89"/>
      <c r="AT52" s="89"/>
      <c r="AU52" s="89"/>
      <c r="AV52" s="89"/>
      <c r="AW52" s="89"/>
      <c r="AX52" s="89"/>
      <c r="AY52" s="89"/>
      <c r="AZ52" s="89"/>
      <c r="BA52" s="89"/>
      <c r="BB52" s="89"/>
      <c r="BC52" s="89"/>
      <c r="BD52" s="89"/>
      <c r="BE52" s="89"/>
      <c r="BF52" s="89"/>
      <c r="BG52" s="89"/>
      <c r="BH52" s="89"/>
      <c r="BI52" s="89"/>
      <c r="BJ52" s="89"/>
      <c r="BK52" s="89"/>
      <c r="BL52" s="89"/>
      <c r="BM52" s="89"/>
      <c r="BN52" s="89"/>
      <c r="BO52" s="89"/>
      <c r="BP52" s="89"/>
      <c r="BQ52" s="89"/>
      <c r="BR52" s="89"/>
      <c r="BS52" s="89"/>
      <c r="BT52" s="89"/>
      <c r="BU52" s="89"/>
      <c r="BV52" s="89"/>
      <c r="BW52" s="89"/>
      <c r="BX52" s="89"/>
      <c r="BY52" s="89"/>
      <c r="BZ52" s="89"/>
      <c r="CA52" s="89"/>
      <c r="CB52" s="89"/>
      <c r="CC52" s="89"/>
      <c r="CD52" s="89"/>
      <c r="CE52" s="89"/>
      <c r="CF52" s="89"/>
      <c r="CG52" s="89"/>
      <c r="CH52" s="89"/>
      <c r="CI52" s="89"/>
      <c r="CJ52" s="89"/>
      <c r="CK52" s="89"/>
      <c r="CL52" s="89"/>
      <c r="CM52" s="89"/>
      <c r="CN52" s="89"/>
      <c r="CO52" s="89"/>
      <c r="CP52" s="89"/>
      <c r="CQ52" s="89"/>
      <c r="CR52" s="89"/>
      <c r="CS52" s="89"/>
      <c r="CT52" s="89"/>
      <c r="CU52" s="89"/>
      <c r="CV52" s="89"/>
      <c r="CW52" s="89"/>
      <c r="CX52" s="89"/>
      <c r="CY52" s="89"/>
      <c r="CZ52" s="89"/>
      <c r="DA52" s="89" t="s">
        <v>963</v>
      </c>
      <c r="DB52" s="89"/>
      <c r="DC52" s="89" t="s">
        <v>964</v>
      </c>
      <c r="DD52" s="89"/>
      <c r="DE52" s="89"/>
      <c r="DF52" s="89"/>
      <c r="DG52" s="89"/>
      <c r="DH52" s="89"/>
      <c r="DI52" s="89"/>
      <c r="DJ52" s="89"/>
      <c r="DK52" s="89" t="s">
        <v>962</v>
      </c>
      <c r="DL52" s="89" t="s">
        <v>965</v>
      </c>
      <c r="DM52" s="89"/>
      <c r="DN52" s="89"/>
      <c r="DO52" s="89"/>
      <c r="DP52" s="89"/>
      <c r="DQ52" s="89"/>
      <c r="DR52" s="89"/>
      <c r="DS52" s="89" t="s">
        <v>1136</v>
      </c>
      <c r="DT52" s="89"/>
      <c r="DU52" s="89" t="s">
        <v>959</v>
      </c>
      <c r="DV52" s="89"/>
      <c r="DW52" s="89" t="s">
        <v>961</v>
      </c>
      <c r="DX52" s="89"/>
      <c r="DY52" s="89"/>
      <c r="DZ52" s="89"/>
      <c r="EA52" s="89"/>
      <c r="EB52" s="89"/>
      <c r="EC52" s="89"/>
      <c r="ED52" s="89"/>
      <c r="EE52" s="89"/>
      <c r="EF52" s="89" t="s">
        <v>964</v>
      </c>
      <c r="EG52" s="89"/>
      <c r="EH52" s="89"/>
      <c r="EI52" s="89"/>
      <c r="EJ52" s="89"/>
      <c r="EK52" s="89"/>
      <c r="EL52" s="89"/>
      <c r="EM52" s="89"/>
      <c r="EN52" s="89"/>
      <c r="EO52" s="89"/>
      <c r="EP52" s="89"/>
      <c r="EQ52" s="89"/>
      <c r="ER52" s="89" t="s">
        <v>966</v>
      </c>
      <c r="ES52" s="89"/>
      <c r="ET52" s="89"/>
      <c r="EU52" s="89"/>
      <c r="EV52" s="89"/>
      <c r="EW52" s="89"/>
      <c r="EX52" s="89"/>
      <c r="EY52" s="89"/>
      <c r="EZ52" s="89"/>
      <c r="FA52" s="89"/>
      <c r="FB52" s="89"/>
      <c r="FC52" s="89"/>
      <c r="FD52" s="89"/>
      <c r="FE52" s="89"/>
      <c r="FF52" s="89"/>
      <c r="FG52" s="89"/>
      <c r="FH52" s="89"/>
      <c r="FI52" s="89" t="s">
        <v>961</v>
      </c>
      <c r="FJ52" s="89"/>
      <c r="FK52" s="89"/>
      <c r="FL52" s="89"/>
      <c r="FM52" s="89"/>
      <c r="FN52" s="89"/>
      <c r="FO52" s="89"/>
      <c r="FP52" s="89"/>
      <c r="FQ52" s="89"/>
      <c r="FR52" s="89"/>
      <c r="FS52" s="89"/>
      <c r="FT52" s="89"/>
      <c r="FU52" s="89"/>
      <c r="FV52" s="89"/>
      <c r="FW52" s="89"/>
      <c r="FX52" s="89" t="s">
        <v>967</v>
      </c>
      <c r="FY52" s="89"/>
      <c r="FZ52" s="89"/>
      <c r="GA52" s="89"/>
      <c r="GB52" s="89"/>
      <c r="GC52" s="89"/>
      <c r="GD52" s="89"/>
      <c r="GE52" s="89" t="s">
        <v>968</v>
      </c>
      <c r="GF52" s="89"/>
      <c r="GG52" s="89"/>
      <c r="GH52" s="89"/>
      <c r="GI52" s="89"/>
      <c r="GJ52" s="89"/>
      <c r="GK52" s="89"/>
      <c r="GL52" s="89"/>
      <c r="GM52" s="89"/>
      <c r="GN52" s="89" t="s">
        <v>970</v>
      </c>
      <c r="GO52" s="89"/>
      <c r="GP52" s="89"/>
      <c r="GQ52" s="89"/>
      <c r="GR52" s="89"/>
      <c r="GS52" s="89" t="s">
        <v>970</v>
      </c>
      <c r="GT52" s="89"/>
      <c r="GU52" s="89"/>
      <c r="GV52" s="89"/>
      <c r="GW52" s="89"/>
      <c r="GX52" s="89"/>
    </row>
    <row r="53" spans="1:206" ht="15.75" x14ac:dyDescent="0.25">
      <c r="A53" s="9" t="s">
        <v>130</v>
      </c>
      <c r="B53" s="9" t="s">
        <v>131</v>
      </c>
      <c r="C53" s="89"/>
      <c r="D53" s="89"/>
      <c r="E53" s="89"/>
      <c r="F53" s="89"/>
      <c r="G53" s="89"/>
      <c r="H53" s="89" t="s">
        <v>971</v>
      </c>
      <c r="I53" s="89"/>
      <c r="J53" s="89"/>
      <c r="K53" s="89"/>
      <c r="L53" s="89"/>
      <c r="M53" s="89" t="s">
        <v>972</v>
      </c>
      <c r="N53" s="89"/>
      <c r="O53" s="89"/>
      <c r="P53" s="89"/>
      <c r="Q53" s="89"/>
      <c r="R53" s="89"/>
      <c r="S53" s="89"/>
      <c r="T53" s="89"/>
      <c r="U53" s="89"/>
      <c r="V53" s="89"/>
      <c r="W53" s="89"/>
      <c r="X53" s="89"/>
      <c r="Y53" s="89"/>
      <c r="Z53" s="89"/>
      <c r="AA53" s="89"/>
      <c r="AB53" s="89"/>
      <c r="AC53" s="89"/>
      <c r="AD53" s="89"/>
      <c r="AE53" s="89" t="s">
        <v>973</v>
      </c>
      <c r="AF53" s="89" t="s">
        <v>974</v>
      </c>
      <c r="AG53" s="89"/>
      <c r="AH53" s="89"/>
      <c r="AI53" s="89"/>
      <c r="AJ53" s="89" t="s">
        <v>975</v>
      </c>
      <c r="AK53" s="89"/>
      <c r="AL53" s="89"/>
      <c r="AM53" s="89"/>
      <c r="AN53" s="89"/>
      <c r="AO53" s="89"/>
      <c r="AP53" s="89"/>
      <c r="AQ53" s="89"/>
      <c r="AR53" s="89"/>
      <c r="AS53" s="89"/>
      <c r="AT53" s="89"/>
      <c r="AU53" s="89"/>
      <c r="AV53" s="89"/>
      <c r="AW53" s="89" t="s">
        <v>974</v>
      </c>
      <c r="AX53" s="89"/>
      <c r="AY53" s="89" t="s">
        <v>974</v>
      </c>
      <c r="AZ53" s="89"/>
      <c r="BA53" s="89"/>
      <c r="BB53" s="89"/>
      <c r="BC53" s="89"/>
      <c r="BD53" s="89"/>
      <c r="BE53" s="89"/>
      <c r="BF53" s="89"/>
      <c r="BG53" s="89"/>
      <c r="BH53" s="89"/>
      <c r="BI53" s="89"/>
      <c r="BJ53" s="89"/>
      <c r="BK53" s="89"/>
      <c r="BL53" s="89" t="s">
        <v>976</v>
      </c>
      <c r="BM53" s="89" t="s">
        <v>976</v>
      </c>
      <c r="BN53" s="89"/>
      <c r="BO53" s="89"/>
      <c r="BP53" s="89"/>
      <c r="BQ53" s="89"/>
      <c r="BR53" s="89" t="s">
        <v>974</v>
      </c>
      <c r="BS53" s="89"/>
      <c r="BT53" s="89"/>
      <c r="BU53" s="89"/>
      <c r="BV53" s="89"/>
      <c r="BW53" s="89"/>
      <c r="BX53" s="89"/>
      <c r="BY53" s="89"/>
      <c r="BZ53" s="89" t="s">
        <v>974</v>
      </c>
      <c r="CA53" s="89" t="s">
        <v>974</v>
      </c>
      <c r="CB53" s="89"/>
      <c r="CC53" s="89"/>
      <c r="CD53" s="89"/>
      <c r="CE53" s="89"/>
      <c r="CF53" s="89"/>
      <c r="CG53" s="89"/>
      <c r="CH53" s="89" t="s">
        <v>974</v>
      </c>
      <c r="CI53" s="89" t="s">
        <v>977</v>
      </c>
      <c r="CJ53" s="89"/>
      <c r="CK53" s="89"/>
      <c r="CL53" s="89"/>
      <c r="CM53" s="89"/>
      <c r="CN53" s="89"/>
      <c r="CO53" s="89"/>
      <c r="CP53" s="89"/>
      <c r="CQ53" s="89"/>
      <c r="CR53" s="89"/>
      <c r="CS53" s="89"/>
      <c r="CT53" s="89"/>
      <c r="CU53" s="89"/>
      <c r="CV53" s="89"/>
      <c r="CW53" s="89" t="s">
        <v>974</v>
      </c>
      <c r="CX53" s="89"/>
      <c r="CY53" s="89" t="s">
        <v>978</v>
      </c>
      <c r="CZ53" s="89"/>
      <c r="DA53" s="89"/>
      <c r="DB53" s="89"/>
      <c r="DC53" s="89"/>
      <c r="DD53" s="89"/>
      <c r="DE53" s="89"/>
      <c r="DF53" s="89"/>
      <c r="DG53" s="89"/>
      <c r="DH53" s="89" t="s">
        <v>979</v>
      </c>
      <c r="DI53" s="89" t="s">
        <v>974</v>
      </c>
      <c r="DJ53" s="89"/>
      <c r="DK53" s="89"/>
      <c r="DL53" s="89"/>
      <c r="DM53" s="89"/>
      <c r="DN53" s="89"/>
      <c r="DO53" s="89" t="s">
        <v>974</v>
      </c>
      <c r="DP53" s="89"/>
      <c r="DQ53" s="89"/>
      <c r="DR53" s="89"/>
      <c r="DS53" s="89" t="s">
        <v>980</v>
      </c>
      <c r="DT53" s="89"/>
      <c r="DU53" s="89"/>
      <c r="DV53" s="89"/>
      <c r="DW53" s="89"/>
      <c r="DX53" s="89"/>
      <c r="DY53" s="89"/>
      <c r="DZ53" s="89" t="s">
        <v>981</v>
      </c>
      <c r="EA53" s="89"/>
      <c r="EB53" s="89"/>
      <c r="EC53" s="89"/>
      <c r="ED53" s="89" t="s">
        <v>1137</v>
      </c>
      <c r="EE53" s="89"/>
      <c r="EF53" s="89"/>
      <c r="EG53" s="89" t="s">
        <v>1138</v>
      </c>
      <c r="EH53" s="89"/>
      <c r="EI53" s="89"/>
      <c r="EJ53" s="89"/>
      <c r="EK53" s="89"/>
      <c r="EL53" s="89"/>
      <c r="EM53" s="89"/>
      <c r="EN53" s="89"/>
      <c r="EO53" s="89"/>
      <c r="EP53" s="89"/>
      <c r="EQ53" s="89"/>
      <c r="ER53" s="89" t="s">
        <v>984</v>
      </c>
      <c r="ES53" s="89"/>
      <c r="ET53" s="89"/>
      <c r="EU53" s="89"/>
      <c r="EV53" s="89"/>
      <c r="EW53" s="89"/>
      <c r="EX53" s="89"/>
      <c r="EY53" s="89"/>
      <c r="EZ53" s="89"/>
      <c r="FA53" s="89"/>
      <c r="FB53" s="89"/>
      <c r="FC53" s="89" t="s">
        <v>1139</v>
      </c>
      <c r="FD53" s="89"/>
      <c r="FE53" s="89" t="s">
        <v>974</v>
      </c>
      <c r="FF53" s="89"/>
      <c r="FG53" s="89"/>
      <c r="FH53" s="89"/>
      <c r="FI53" s="89"/>
      <c r="FJ53" s="89"/>
      <c r="FK53" s="89"/>
      <c r="FL53" s="89"/>
      <c r="FM53" s="89" t="s">
        <v>973</v>
      </c>
      <c r="FN53" s="89"/>
      <c r="FO53" s="89"/>
      <c r="FP53" s="89"/>
      <c r="FQ53" s="89"/>
      <c r="FR53" s="89"/>
      <c r="FS53" s="89"/>
      <c r="FT53" s="89" t="s">
        <v>973</v>
      </c>
      <c r="FU53" s="89" t="s">
        <v>974</v>
      </c>
      <c r="FV53" s="89"/>
      <c r="FW53" s="89"/>
      <c r="FX53" s="89" t="s">
        <v>986</v>
      </c>
      <c r="FY53" s="89"/>
      <c r="FZ53" s="89"/>
      <c r="GA53" s="89"/>
      <c r="GB53" s="89"/>
      <c r="GC53" s="89"/>
      <c r="GD53" s="89"/>
      <c r="GE53" s="89"/>
      <c r="GF53" s="89"/>
      <c r="GG53" s="89"/>
      <c r="GH53" s="89"/>
      <c r="GI53" s="89"/>
      <c r="GJ53" s="89"/>
      <c r="GK53" s="89"/>
      <c r="GL53" s="89"/>
      <c r="GM53" s="89"/>
      <c r="GN53" s="89" t="s">
        <v>971</v>
      </c>
      <c r="GO53" s="89"/>
      <c r="GP53" s="89" t="s">
        <v>988</v>
      </c>
      <c r="GQ53" s="89"/>
      <c r="GR53" s="89"/>
      <c r="GS53" s="89" t="s">
        <v>989</v>
      </c>
      <c r="GT53" s="89" t="s">
        <v>976</v>
      </c>
      <c r="GU53" s="89"/>
      <c r="GV53" s="89" t="s">
        <v>976</v>
      </c>
      <c r="GW53" s="89"/>
      <c r="GX53" s="89"/>
    </row>
    <row r="54" spans="1:206" ht="15.75" x14ac:dyDescent="0.25">
      <c r="A54" s="6" t="s">
        <v>94</v>
      </c>
      <c r="B54" s="6" t="s">
        <v>0</v>
      </c>
      <c r="C54" s="90" t="s">
        <v>1021</v>
      </c>
      <c r="D54" s="91"/>
      <c r="E54" s="91"/>
      <c r="F54" s="91"/>
      <c r="G54" s="91"/>
      <c r="H54" s="91"/>
      <c r="I54" s="87" t="s">
        <v>1022</v>
      </c>
      <c r="J54" s="91"/>
      <c r="K54" s="91"/>
      <c r="L54" s="91"/>
      <c r="M54" s="91"/>
      <c r="N54" s="91"/>
      <c r="O54" s="91"/>
      <c r="P54" s="91"/>
      <c r="Q54" s="91"/>
      <c r="R54" s="91"/>
      <c r="S54" s="91"/>
      <c r="T54" s="91"/>
      <c r="U54" s="91"/>
      <c r="V54" s="91"/>
      <c r="W54" s="91"/>
      <c r="X54" s="91"/>
      <c r="Y54" s="91"/>
      <c r="Z54" s="91"/>
      <c r="AA54" s="91"/>
      <c r="AB54" s="91"/>
      <c r="AC54" s="91"/>
      <c r="AD54" s="91"/>
      <c r="AE54" s="91"/>
      <c r="AF54" s="91"/>
      <c r="AG54" s="91"/>
      <c r="AH54" s="91"/>
      <c r="AI54" s="91"/>
      <c r="AJ54" s="91"/>
      <c r="AK54" s="91"/>
      <c r="AL54" s="91"/>
      <c r="AM54" s="91"/>
      <c r="AN54" s="89"/>
      <c r="AO54" s="91"/>
      <c r="AP54" s="91"/>
      <c r="AQ54" s="91"/>
      <c r="AR54" s="91"/>
      <c r="AS54" s="91"/>
      <c r="AT54" s="91"/>
      <c r="AU54" s="91"/>
      <c r="AV54" s="87" t="s">
        <v>1023</v>
      </c>
      <c r="AW54" s="90"/>
      <c r="AX54" s="87" t="s">
        <v>1023</v>
      </c>
      <c r="AY54" s="90"/>
      <c r="AZ54" s="90"/>
      <c r="BA54" s="90"/>
      <c r="BB54" s="90"/>
      <c r="BC54" s="90"/>
      <c r="BD54" s="87" t="s">
        <v>1023</v>
      </c>
      <c r="BE54" s="87" t="s">
        <v>1024</v>
      </c>
      <c r="BF54" s="90"/>
      <c r="BG54" s="90"/>
      <c r="BH54" s="90"/>
      <c r="BI54" s="90"/>
      <c r="BJ54" s="90"/>
      <c r="BK54" s="90"/>
      <c r="BL54" s="90"/>
      <c r="BM54" s="87" t="s">
        <v>1024</v>
      </c>
      <c r="BN54" s="87" t="s">
        <v>1023</v>
      </c>
      <c r="BO54" s="89" t="s">
        <v>1025</v>
      </c>
      <c r="BP54" s="91"/>
      <c r="BQ54" s="91"/>
      <c r="BR54" s="91"/>
      <c r="BS54" s="91"/>
      <c r="BT54" s="91"/>
      <c r="BU54" s="91"/>
      <c r="BV54" s="91"/>
      <c r="BW54" s="91"/>
      <c r="BX54" s="91"/>
      <c r="BY54" s="87" t="s">
        <v>1023</v>
      </c>
      <c r="BZ54" s="91"/>
      <c r="CA54" s="91"/>
      <c r="CB54" s="91"/>
      <c r="CC54" s="91"/>
      <c r="CD54" s="91"/>
      <c r="CE54" s="88" t="s">
        <v>1023</v>
      </c>
      <c r="CF54" s="88" t="s">
        <v>1023</v>
      </c>
      <c r="CG54" s="90"/>
      <c r="CH54" s="87" t="s">
        <v>1026</v>
      </c>
      <c r="CI54" s="90"/>
      <c r="CJ54" s="90"/>
      <c r="CK54" s="87" t="s">
        <v>1023</v>
      </c>
      <c r="CL54" s="87" t="s">
        <v>1027</v>
      </c>
      <c r="CM54" s="90"/>
      <c r="CN54" s="90"/>
      <c r="CO54" s="90"/>
      <c r="CP54" s="90"/>
      <c r="CQ54" s="90"/>
      <c r="CR54" s="91"/>
      <c r="CS54" s="91"/>
      <c r="CT54" s="91"/>
      <c r="CU54" s="89" t="s">
        <v>1028</v>
      </c>
      <c r="CV54" s="91"/>
      <c r="CW54" s="89" t="s">
        <v>1024</v>
      </c>
      <c r="CX54" s="91"/>
      <c r="CY54" s="91"/>
      <c r="CZ54" s="91"/>
      <c r="DA54" s="91"/>
      <c r="DB54" s="91"/>
      <c r="DC54" s="91"/>
      <c r="DD54" s="91"/>
      <c r="DE54" s="89" t="s">
        <v>1029</v>
      </c>
      <c r="DF54" s="89" t="s">
        <v>1023</v>
      </c>
      <c r="DG54" s="91"/>
      <c r="DH54" s="91"/>
      <c r="DI54" s="91"/>
      <c r="DJ54" s="91"/>
      <c r="DK54" s="91"/>
      <c r="DL54" s="91"/>
      <c r="DM54" s="91"/>
      <c r="DN54" s="91"/>
      <c r="DO54" s="91"/>
      <c r="DP54" s="89" t="s">
        <v>1023</v>
      </c>
      <c r="DQ54" s="91"/>
      <c r="DR54" s="89" t="s">
        <v>1023</v>
      </c>
      <c r="DS54" s="91"/>
      <c r="DT54" s="91"/>
      <c r="DU54" s="91"/>
      <c r="DV54" s="88" t="s">
        <v>1030</v>
      </c>
      <c r="DW54" s="91"/>
      <c r="DX54" s="91"/>
      <c r="DY54" s="91"/>
      <c r="DZ54" s="89" t="s">
        <v>1031</v>
      </c>
      <c r="EA54" s="91"/>
      <c r="EB54" s="91"/>
      <c r="EC54" s="91"/>
      <c r="ED54" s="91"/>
      <c r="EE54" s="91"/>
      <c r="EF54" s="91"/>
      <c r="EG54" s="91"/>
      <c r="EH54" s="91"/>
      <c r="EI54" s="91"/>
      <c r="EJ54" s="91"/>
      <c r="EK54" s="91"/>
      <c r="EL54" s="91"/>
      <c r="EM54" s="91"/>
      <c r="EN54" s="91"/>
      <c r="EO54" s="91"/>
      <c r="EP54" s="91"/>
      <c r="EQ54" s="91"/>
      <c r="ER54" s="91"/>
      <c r="ES54" s="91"/>
      <c r="ET54" s="91"/>
      <c r="EU54" s="91"/>
      <c r="EV54" s="89" t="s">
        <v>1032</v>
      </c>
      <c r="EW54" s="91"/>
      <c r="EX54" s="91"/>
      <c r="EY54" s="91"/>
      <c r="EZ54" s="89" t="s">
        <v>1024</v>
      </c>
      <c r="FA54" s="91"/>
      <c r="FB54" s="91"/>
      <c r="FC54" s="91"/>
      <c r="FD54" s="89" t="s">
        <v>1033</v>
      </c>
      <c r="FE54" s="91"/>
      <c r="FF54" s="91"/>
      <c r="FG54" s="89" t="s">
        <v>1034</v>
      </c>
      <c r="FH54" s="91"/>
      <c r="FI54" s="91"/>
      <c r="FJ54" s="91"/>
      <c r="FK54" s="91"/>
      <c r="FL54" s="89" t="s">
        <v>1023</v>
      </c>
      <c r="FM54" s="91"/>
      <c r="FN54" s="91"/>
      <c r="FO54" s="91"/>
      <c r="FP54" s="89" t="s">
        <v>1035</v>
      </c>
      <c r="FQ54" s="91"/>
      <c r="FR54" s="91"/>
      <c r="FS54" s="91"/>
      <c r="FT54" s="91"/>
      <c r="FU54" s="91"/>
      <c r="FV54" s="89" t="s">
        <v>1036</v>
      </c>
      <c r="FW54" s="91"/>
      <c r="FX54" s="91"/>
      <c r="FY54" s="91"/>
      <c r="FZ54" s="91"/>
      <c r="GA54" s="91"/>
      <c r="GB54" s="91"/>
      <c r="GC54" s="91"/>
      <c r="GD54" s="91"/>
      <c r="GE54" s="91"/>
      <c r="GF54" s="91"/>
      <c r="GG54" s="91"/>
      <c r="GH54" s="89" t="s">
        <v>1023</v>
      </c>
      <c r="GI54" s="91"/>
      <c r="GJ54" s="91"/>
      <c r="GK54" s="91"/>
      <c r="GL54" s="91"/>
      <c r="GM54" s="91"/>
      <c r="GN54" s="91"/>
      <c r="GO54" s="91"/>
      <c r="GP54" s="91"/>
      <c r="GQ54" s="91"/>
      <c r="GR54" s="91"/>
      <c r="GS54" s="91"/>
      <c r="GT54" s="89" t="s">
        <v>1037</v>
      </c>
      <c r="GU54" s="91"/>
      <c r="GV54" s="91"/>
      <c r="GW54" s="89" t="s">
        <v>1023</v>
      </c>
      <c r="GX54" s="91"/>
    </row>
    <row r="55" spans="1:206" ht="15.75" x14ac:dyDescent="0.25">
      <c r="A55" s="6" t="s">
        <v>94</v>
      </c>
      <c r="B55" s="6" t="s">
        <v>1</v>
      </c>
      <c r="C55" s="91"/>
      <c r="D55" s="91"/>
      <c r="E55" s="91"/>
      <c r="F55" s="91"/>
      <c r="G55" s="91"/>
      <c r="H55" s="91"/>
      <c r="I55" s="91"/>
      <c r="J55" s="91"/>
      <c r="K55" s="91"/>
      <c r="L55" s="91"/>
      <c r="M55" s="91"/>
      <c r="N55" s="91"/>
      <c r="O55" s="91"/>
      <c r="P55" s="91"/>
      <c r="Q55" s="91"/>
      <c r="R55" s="91"/>
      <c r="S55" s="91"/>
      <c r="T55" s="91"/>
      <c r="U55" s="91"/>
      <c r="V55" s="91"/>
      <c r="W55" s="91"/>
      <c r="X55" s="91"/>
      <c r="Y55" s="91"/>
      <c r="Z55" s="91"/>
      <c r="AA55" s="91"/>
      <c r="AB55" s="91"/>
      <c r="AC55" s="91"/>
      <c r="AD55" s="91"/>
      <c r="AE55" s="91"/>
      <c r="AF55" s="91"/>
      <c r="AG55" s="91"/>
      <c r="AH55" s="91"/>
      <c r="AI55" s="91"/>
      <c r="AJ55" s="91"/>
      <c r="AK55" s="91"/>
      <c r="AL55" s="91"/>
      <c r="AM55" s="91"/>
      <c r="AN55" s="91"/>
      <c r="AO55" s="91"/>
      <c r="AP55" s="91"/>
      <c r="AQ55" s="91"/>
      <c r="AR55" s="91"/>
      <c r="AS55" s="91"/>
      <c r="AT55" s="91"/>
      <c r="AU55" s="91"/>
      <c r="AV55" s="90"/>
      <c r="AW55" s="90"/>
      <c r="AX55" s="90"/>
      <c r="AY55" s="90"/>
      <c r="AZ55" s="90"/>
      <c r="BA55" s="90"/>
      <c r="BB55" s="90"/>
      <c r="BC55" s="90"/>
      <c r="BD55" s="90"/>
      <c r="BE55" s="87" t="s">
        <v>1038</v>
      </c>
      <c r="BF55" s="90"/>
      <c r="BG55" s="90"/>
      <c r="BH55" s="90"/>
      <c r="BI55" s="90"/>
      <c r="BJ55" s="90"/>
      <c r="BK55" s="90"/>
      <c r="BL55" s="90"/>
      <c r="BM55" s="90"/>
      <c r="BN55" s="90"/>
      <c r="BO55" s="91"/>
      <c r="BP55" s="91"/>
      <c r="BQ55" s="91"/>
      <c r="BR55" s="91"/>
      <c r="BS55" s="91"/>
      <c r="BT55" s="91"/>
      <c r="BU55" s="91"/>
      <c r="BV55" s="91"/>
      <c r="BW55" s="91"/>
      <c r="BX55" s="91"/>
      <c r="BY55" s="91"/>
      <c r="BZ55" s="91"/>
      <c r="CA55" s="91"/>
      <c r="CB55" s="91"/>
      <c r="CC55" s="91"/>
      <c r="CD55" s="91"/>
      <c r="CE55" s="20"/>
      <c r="CF55" s="91"/>
      <c r="CG55" s="91"/>
      <c r="CH55" s="89" t="s">
        <v>1039</v>
      </c>
      <c r="CI55" s="91"/>
      <c r="CJ55" s="91"/>
      <c r="CK55" s="91"/>
      <c r="CL55" s="91"/>
      <c r="CM55" s="91"/>
      <c r="CN55" s="91"/>
      <c r="CO55" s="91"/>
      <c r="CP55" s="91"/>
      <c r="CQ55" s="91"/>
      <c r="CR55" s="91"/>
      <c r="CS55" s="91"/>
      <c r="CT55" s="91"/>
      <c r="CU55" s="91" t="s">
        <v>1056</v>
      </c>
      <c r="CV55" s="91"/>
      <c r="CW55" s="91"/>
      <c r="CX55" s="91"/>
      <c r="CY55" s="91"/>
      <c r="CZ55" s="91"/>
      <c r="DA55" s="91"/>
      <c r="DB55" s="91"/>
      <c r="DC55" s="91"/>
      <c r="DD55" s="91"/>
      <c r="DE55" s="91"/>
      <c r="DF55" s="89" t="s">
        <v>1040</v>
      </c>
      <c r="DG55" s="91"/>
      <c r="DH55" s="91"/>
      <c r="DI55" s="91"/>
      <c r="DJ55" s="91"/>
      <c r="DK55" s="91"/>
      <c r="DL55" s="91"/>
      <c r="DM55" s="91"/>
      <c r="DN55" s="91"/>
      <c r="DO55" s="91"/>
      <c r="DP55" s="91"/>
      <c r="DQ55" s="91"/>
      <c r="DR55" s="91"/>
      <c r="DS55" s="91"/>
      <c r="DT55" s="91"/>
      <c r="DU55" s="91"/>
      <c r="DV55" s="20" t="s">
        <v>1041</v>
      </c>
      <c r="DW55" s="91"/>
      <c r="DX55" s="91"/>
      <c r="DY55" s="91"/>
      <c r="DZ55" s="91" t="s">
        <v>1042</v>
      </c>
      <c r="EA55" s="91"/>
      <c r="EB55" s="91"/>
      <c r="EC55" s="91"/>
      <c r="ED55" s="91"/>
      <c r="EE55" s="91"/>
      <c r="EF55" s="91"/>
      <c r="EG55" s="91"/>
      <c r="EH55" s="91"/>
      <c r="EI55" s="91"/>
      <c r="EJ55" s="91"/>
      <c r="EK55" s="91"/>
      <c r="EL55" s="91"/>
      <c r="EM55" s="91"/>
      <c r="EN55" s="91"/>
      <c r="EO55" s="91"/>
      <c r="EP55" s="91"/>
      <c r="EQ55" s="91"/>
      <c r="ER55" s="91"/>
      <c r="ES55" s="91"/>
      <c r="ET55" s="91"/>
      <c r="EU55" s="91"/>
      <c r="EV55" s="91"/>
      <c r="EW55" s="91"/>
      <c r="EX55" s="91"/>
      <c r="EY55" s="91"/>
      <c r="EZ55" s="91"/>
      <c r="FA55" s="91"/>
      <c r="FB55" s="91"/>
      <c r="FC55" s="91"/>
      <c r="FD55" s="91"/>
      <c r="FE55" s="91"/>
      <c r="FF55" s="91"/>
      <c r="FG55" s="91"/>
      <c r="FH55" s="91"/>
      <c r="FI55" s="91"/>
      <c r="FJ55" s="91"/>
      <c r="FK55" s="91"/>
      <c r="FL55" s="91"/>
      <c r="FM55" s="91"/>
      <c r="FN55" s="91"/>
      <c r="FO55" s="91"/>
      <c r="FP55" s="91"/>
      <c r="FQ55" s="91"/>
      <c r="FR55" s="91"/>
      <c r="FS55" s="91"/>
      <c r="FT55" s="91"/>
      <c r="FU55" s="91"/>
      <c r="FV55" s="89" t="s">
        <v>1043</v>
      </c>
    </row>
    <row r="56" spans="1:206" ht="15.75" x14ac:dyDescent="0.25">
      <c r="A56" s="6" t="s">
        <v>94</v>
      </c>
      <c r="B56" s="6" t="s">
        <v>2</v>
      </c>
      <c r="C56" s="91"/>
      <c r="D56" s="91"/>
      <c r="E56" s="91"/>
      <c r="F56" s="91"/>
      <c r="G56" s="91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91"/>
      <c r="T56" s="91"/>
      <c r="U56" s="91"/>
      <c r="V56" s="91"/>
      <c r="W56" s="91"/>
      <c r="X56" s="91"/>
      <c r="Y56" s="91"/>
      <c r="Z56" s="91"/>
      <c r="AA56" s="91"/>
      <c r="AB56" s="91"/>
      <c r="AC56" s="91"/>
      <c r="AD56" s="91"/>
      <c r="AE56" s="91"/>
      <c r="AF56" s="91"/>
      <c r="AG56" s="91"/>
      <c r="AH56" s="91"/>
      <c r="AI56" s="91"/>
      <c r="AJ56" s="91"/>
      <c r="AK56" s="91"/>
      <c r="AL56" s="91"/>
      <c r="AM56" s="91"/>
      <c r="AN56" s="91"/>
      <c r="AO56" s="91"/>
      <c r="AP56" s="91"/>
      <c r="AQ56" s="91"/>
      <c r="AR56" s="91"/>
      <c r="AS56" s="91"/>
      <c r="AT56" s="91"/>
      <c r="AU56" s="91"/>
      <c r="AV56" s="90"/>
      <c r="AW56" s="90"/>
      <c r="AX56" s="90"/>
      <c r="AY56" s="90"/>
      <c r="AZ56" s="90"/>
      <c r="BA56" s="90"/>
      <c r="BB56" s="90"/>
      <c r="BC56" s="90"/>
      <c r="BD56" s="90"/>
      <c r="BE56" s="87" t="s">
        <v>1038</v>
      </c>
      <c r="BF56" s="90"/>
      <c r="BG56" s="90"/>
      <c r="BH56" s="90"/>
      <c r="BI56" s="90"/>
      <c r="BJ56" s="90"/>
      <c r="BK56" s="90"/>
      <c r="BL56" s="90"/>
      <c r="BM56" s="90"/>
      <c r="BN56" s="90"/>
      <c r="BO56" s="91"/>
      <c r="BP56" s="91"/>
      <c r="BQ56" s="91"/>
      <c r="BR56" s="91"/>
      <c r="BS56" s="91"/>
      <c r="BT56" s="91"/>
      <c r="BU56" s="91"/>
      <c r="BV56" s="91"/>
      <c r="BW56" s="91"/>
      <c r="BX56" s="91"/>
      <c r="BY56" s="91"/>
      <c r="BZ56" s="91"/>
      <c r="CA56" s="91"/>
      <c r="CB56" s="91"/>
      <c r="CC56" s="91"/>
      <c r="CD56" s="91"/>
      <c r="CE56" s="20"/>
      <c r="CF56" s="91"/>
      <c r="CG56" s="91"/>
      <c r="CH56" s="89" t="s">
        <v>1039</v>
      </c>
      <c r="CI56" s="91"/>
      <c r="CJ56" s="91"/>
      <c r="CK56" s="91"/>
      <c r="CL56" s="91"/>
      <c r="CM56" s="91"/>
      <c r="CN56" s="91"/>
      <c r="CO56" s="91"/>
      <c r="CP56" s="91"/>
      <c r="CQ56" s="91"/>
      <c r="CR56" s="91"/>
      <c r="CS56" s="91"/>
      <c r="CT56" s="91"/>
      <c r="CU56" s="91" t="s">
        <v>1056</v>
      </c>
      <c r="CV56" s="91"/>
      <c r="CW56" s="91"/>
      <c r="CX56" s="91"/>
      <c r="CY56" s="91"/>
      <c r="CZ56" s="91"/>
      <c r="DA56" s="91"/>
      <c r="DB56" s="91"/>
      <c r="DC56" s="91"/>
      <c r="DD56" s="91"/>
      <c r="DE56" s="91"/>
      <c r="DF56" s="89" t="s">
        <v>1040</v>
      </c>
      <c r="DG56" s="91"/>
      <c r="DH56" s="91"/>
      <c r="DI56" s="91"/>
      <c r="DJ56" s="91"/>
      <c r="DK56" s="91"/>
      <c r="DL56" s="91"/>
      <c r="DM56" s="91"/>
      <c r="DN56" s="91"/>
      <c r="DO56" s="91"/>
      <c r="DP56" s="91"/>
      <c r="DQ56" s="91"/>
      <c r="DR56" s="91"/>
      <c r="DS56" s="91"/>
      <c r="DT56" s="91"/>
      <c r="DU56" s="91"/>
      <c r="DV56" s="20" t="s">
        <v>1041</v>
      </c>
      <c r="DW56" s="91"/>
      <c r="DX56" s="91"/>
      <c r="DY56" s="91"/>
      <c r="DZ56" s="91" t="s">
        <v>1042</v>
      </c>
      <c r="EA56" s="91"/>
      <c r="EB56" s="91"/>
      <c r="EC56" s="91"/>
      <c r="ED56" s="91"/>
      <c r="EE56" s="91"/>
      <c r="EF56" s="91"/>
      <c r="EG56" s="91"/>
      <c r="EH56" s="91"/>
      <c r="EI56" s="91"/>
      <c r="EJ56" s="91"/>
      <c r="EK56" s="91"/>
      <c r="EL56" s="91"/>
      <c r="EM56" s="91"/>
      <c r="EN56" s="91"/>
      <c r="EO56" s="91"/>
      <c r="EP56" s="91"/>
      <c r="EQ56" s="91"/>
      <c r="ER56" s="91"/>
      <c r="ES56" s="91"/>
      <c r="ET56" s="91"/>
      <c r="EU56" s="91"/>
      <c r="EV56" s="91"/>
      <c r="EW56" s="91"/>
      <c r="EX56" s="91"/>
      <c r="EY56" s="91"/>
      <c r="EZ56" s="91"/>
      <c r="FA56" s="91"/>
      <c r="FB56" s="91"/>
      <c r="FC56" s="91"/>
      <c r="FD56" s="91"/>
      <c r="FE56" s="91"/>
      <c r="FF56" s="91"/>
      <c r="FG56" s="91"/>
      <c r="FH56" s="91"/>
      <c r="FI56" s="91"/>
      <c r="FJ56" s="91"/>
      <c r="FK56" s="91"/>
      <c r="FL56" s="91"/>
      <c r="FM56" s="91"/>
      <c r="FN56" s="91"/>
      <c r="FO56" s="91"/>
      <c r="FP56" s="91"/>
      <c r="FQ56" s="91"/>
      <c r="FR56" s="91"/>
      <c r="FS56" s="91"/>
      <c r="FT56" s="91"/>
      <c r="FU56" s="91"/>
      <c r="FV56" s="89" t="s">
        <v>1043</v>
      </c>
    </row>
    <row r="57" spans="1:206" ht="15.75" x14ac:dyDescent="0.25">
      <c r="A57" s="6" t="s">
        <v>94</v>
      </c>
      <c r="B57" s="6" t="s">
        <v>4</v>
      </c>
      <c r="C57" s="90"/>
      <c r="D57" s="91"/>
      <c r="E57" s="91"/>
      <c r="F57" s="91"/>
      <c r="G57" s="91"/>
      <c r="H57" s="91"/>
      <c r="I57" s="87"/>
      <c r="J57" s="91"/>
      <c r="K57" s="91"/>
      <c r="L57" s="91"/>
      <c r="M57" s="91"/>
      <c r="N57" s="91"/>
      <c r="O57" s="91"/>
      <c r="P57" s="91"/>
      <c r="Q57" s="91"/>
      <c r="R57" s="91"/>
      <c r="S57" s="91"/>
      <c r="T57" s="91"/>
      <c r="U57" s="91"/>
      <c r="V57" s="91"/>
      <c r="W57" s="91"/>
      <c r="X57" s="91"/>
      <c r="Y57" s="91"/>
      <c r="Z57" s="91"/>
      <c r="AA57" s="91"/>
      <c r="AB57" s="91"/>
      <c r="AC57" s="91"/>
      <c r="AD57" s="91"/>
      <c r="AE57" s="91"/>
      <c r="AF57" s="91"/>
      <c r="AG57" s="91"/>
      <c r="AH57" s="91"/>
      <c r="AI57" s="91"/>
      <c r="AJ57" s="91"/>
      <c r="AK57" s="91"/>
      <c r="AL57" s="91"/>
      <c r="AM57" s="91"/>
      <c r="AN57" s="91"/>
      <c r="AO57" s="91"/>
      <c r="AP57" s="91"/>
      <c r="AQ57" s="91"/>
      <c r="AR57" s="91"/>
      <c r="AS57" s="91"/>
      <c r="AT57" s="91"/>
      <c r="AU57" s="91"/>
      <c r="AV57" s="91"/>
      <c r="AW57" s="91"/>
      <c r="AX57" s="91"/>
      <c r="AY57" s="91"/>
      <c r="AZ57" s="91"/>
      <c r="BA57" s="91"/>
      <c r="BB57" s="91"/>
      <c r="BC57" s="91"/>
      <c r="BD57" s="91"/>
      <c r="BE57" s="87"/>
      <c r="BF57" s="91"/>
      <c r="BG57" s="91"/>
      <c r="BH57" s="91"/>
      <c r="BI57" s="91"/>
      <c r="BJ57" s="91"/>
      <c r="BK57" s="91"/>
      <c r="BL57" s="91"/>
      <c r="BM57" s="87"/>
      <c r="BN57" s="91"/>
      <c r="BO57" s="91"/>
      <c r="BP57" s="91"/>
      <c r="BQ57" s="91"/>
      <c r="BR57" s="91"/>
      <c r="BS57" s="91"/>
      <c r="BT57" s="91"/>
      <c r="BU57" s="91"/>
      <c r="BV57" s="91"/>
      <c r="BW57" s="91"/>
      <c r="BX57" s="91"/>
      <c r="BY57" s="91"/>
      <c r="BZ57" s="91"/>
      <c r="CA57" s="91"/>
      <c r="CB57" s="91"/>
      <c r="CC57" s="91"/>
      <c r="CD57" s="91"/>
      <c r="CE57" s="91"/>
      <c r="CF57" s="91"/>
      <c r="CG57" s="91"/>
      <c r="CH57" s="91"/>
      <c r="CI57" s="91"/>
      <c r="CJ57" s="91"/>
      <c r="CK57" s="91"/>
      <c r="CL57" s="91"/>
      <c r="CM57" s="91"/>
      <c r="CN57" s="91"/>
      <c r="CO57" s="91"/>
      <c r="CP57" s="91"/>
      <c r="CQ57" s="91"/>
      <c r="CR57" s="91"/>
      <c r="CS57" s="91"/>
      <c r="CT57" s="91"/>
      <c r="CU57" s="91"/>
      <c r="CV57" s="91"/>
      <c r="CW57" s="89"/>
      <c r="CX57" s="91"/>
      <c r="CY57" s="91"/>
      <c r="CZ57" s="91"/>
      <c r="DA57" s="91"/>
      <c r="DB57" s="91"/>
      <c r="DC57" s="91"/>
      <c r="DD57" s="91"/>
      <c r="DE57" s="91"/>
      <c r="DF57" s="91"/>
      <c r="DG57" s="91"/>
      <c r="DH57" s="91"/>
      <c r="DI57" s="91"/>
      <c r="DJ57" s="91"/>
      <c r="DK57" s="91"/>
      <c r="DL57" s="91"/>
      <c r="DM57" s="91"/>
      <c r="DN57" s="91"/>
      <c r="DO57" s="91"/>
      <c r="DP57" s="91"/>
      <c r="DQ57" s="91"/>
      <c r="DR57" s="91"/>
      <c r="DS57" s="91"/>
      <c r="DT57" s="91"/>
      <c r="DU57" s="91"/>
      <c r="DV57" s="91"/>
      <c r="DW57" s="91"/>
      <c r="DX57" s="91"/>
      <c r="DY57" s="91"/>
      <c r="DZ57" s="91"/>
      <c r="EA57" s="91"/>
      <c r="EB57" s="91"/>
      <c r="EC57" s="91"/>
      <c r="ED57" s="91"/>
      <c r="EE57" s="91"/>
      <c r="EF57" s="91"/>
      <c r="EG57" s="91"/>
      <c r="EH57" s="91"/>
      <c r="EI57" s="91"/>
      <c r="EJ57" s="91"/>
      <c r="EK57" s="91"/>
      <c r="EL57" s="91"/>
      <c r="EM57" s="91"/>
      <c r="EN57" s="91"/>
      <c r="EO57" s="91"/>
      <c r="EP57" s="91"/>
      <c r="EQ57" s="91"/>
      <c r="ER57" s="91"/>
      <c r="ES57" s="91"/>
      <c r="ET57" s="91"/>
      <c r="EU57" s="91"/>
      <c r="EV57" s="91"/>
      <c r="EW57" s="91"/>
      <c r="EX57" s="91"/>
      <c r="EY57" s="91"/>
      <c r="EZ57" s="94" t="s">
        <v>1057</v>
      </c>
      <c r="FA57" s="91"/>
      <c r="FB57" s="91"/>
      <c r="FC57" s="91"/>
      <c r="FD57" s="89"/>
      <c r="FE57" s="91"/>
      <c r="FF57" s="91"/>
      <c r="FG57" s="89"/>
      <c r="FH57" s="91"/>
      <c r="FI57" s="91"/>
      <c r="FJ57" s="91"/>
      <c r="FK57" s="91"/>
      <c r="FL57" s="91"/>
      <c r="FM57" s="91"/>
      <c r="FN57" s="91"/>
      <c r="FO57" s="91"/>
      <c r="FP57" s="89"/>
      <c r="FQ57" s="91"/>
      <c r="FR57" s="91"/>
      <c r="FS57" s="91"/>
      <c r="FT57" s="91"/>
      <c r="FU57" s="91"/>
      <c r="FV57" s="89"/>
      <c r="FW57" s="91"/>
      <c r="FX57" s="91"/>
      <c r="FY57" s="91"/>
      <c r="FZ57" s="91"/>
      <c r="GA57" s="91"/>
      <c r="GB57" s="91"/>
      <c r="GC57" s="91"/>
      <c r="GD57" s="91"/>
      <c r="GE57" s="91"/>
      <c r="GF57" s="91"/>
      <c r="GG57" s="91"/>
      <c r="GH57" s="91"/>
      <c r="GI57" s="91"/>
      <c r="GJ57" s="91"/>
      <c r="GK57" s="91"/>
      <c r="GL57" s="91"/>
      <c r="GM57" s="91"/>
      <c r="GN57" s="91"/>
      <c r="GO57" s="91"/>
      <c r="GP57" s="91"/>
      <c r="GQ57" s="91"/>
      <c r="GR57" s="91"/>
      <c r="GS57" s="91"/>
      <c r="GT57" s="91"/>
      <c r="GU57" s="91"/>
      <c r="GV57" s="91"/>
      <c r="GW57" s="91"/>
      <c r="GX57" s="91"/>
    </row>
    <row r="58" spans="1:206" ht="15.75" x14ac:dyDescent="0.25">
      <c r="A58" s="6" t="s">
        <v>94</v>
      </c>
      <c r="B58" s="6" t="s">
        <v>3</v>
      </c>
      <c r="C58" s="91"/>
      <c r="D58" s="91"/>
      <c r="E58" s="91"/>
      <c r="F58" s="91"/>
      <c r="G58" s="91"/>
      <c r="H58" s="91"/>
      <c r="I58" s="91"/>
      <c r="J58" s="91"/>
      <c r="K58" s="91"/>
      <c r="L58" s="91"/>
      <c r="M58" s="91"/>
      <c r="N58" s="91"/>
      <c r="O58" s="91"/>
      <c r="P58" s="91"/>
      <c r="Q58" s="91"/>
      <c r="R58" s="91"/>
      <c r="S58" s="91"/>
      <c r="T58" s="91"/>
      <c r="U58" s="91"/>
      <c r="V58" s="91"/>
      <c r="W58" s="91"/>
      <c r="X58" s="91"/>
      <c r="Y58" s="91"/>
      <c r="Z58" s="91"/>
      <c r="AA58" s="91"/>
      <c r="AB58" s="91"/>
      <c r="AC58" s="91"/>
      <c r="AD58" s="91"/>
      <c r="AE58" s="91"/>
      <c r="AF58" s="91"/>
      <c r="AG58" s="91"/>
      <c r="AH58" s="91"/>
      <c r="AI58" s="91"/>
      <c r="AJ58" s="91"/>
      <c r="AK58" s="91"/>
      <c r="AL58" s="91"/>
      <c r="AM58" s="91"/>
      <c r="AN58" s="91"/>
      <c r="AO58" s="91"/>
      <c r="AP58" s="91"/>
      <c r="AQ58" s="91"/>
      <c r="AR58" s="91"/>
      <c r="AS58" s="91"/>
      <c r="AT58" s="91"/>
      <c r="AU58" s="91"/>
      <c r="AV58" s="90"/>
      <c r="AW58" s="90"/>
      <c r="AX58" s="90"/>
      <c r="AY58" s="90"/>
      <c r="AZ58" s="90"/>
      <c r="BA58" s="90"/>
      <c r="BB58" s="90"/>
      <c r="BC58" s="90"/>
      <c r="BD58" s="90"/>
      <c r="BE58" s="87" t="s">
        <v>1038</v>
      </c>
      <c r="BF58" s="90"/>
      <c r="BG58" s="90"/>
      <c r="BH58" s="90"/>
      <c r="BI58" s="90"/>
      <c r="BJ58" s="90"/>
      <c r="BK58" s="90"/>
      <c r="BL58" s="90"/>
      <c r="BM58" s="90"/>
      <c r="BN58" s="90"/>
      <c r="BO58" s="91"/>
      <c r="BP58" s="91"/>
      <c r="BQ58" s="91"/>
      <c r="BR58" s="91"/>
      <c r="BS58" s="91"/>
      <c r="BT58" s="91"/>
      <c r="BU58" s="91"/>
      <c r="BV58" s="91"/>
      <c r="BW58" s="91"/>
      <c r="BX58" s="91"/>
      <c r="BY58" s="91"/>
      <c r="BZ58" s="91"/>
      <c r="CA58" s="91"/>
      <c r="CB58" s="91"/>
      <c r="CC58" s="91"/>
      <c r="CD58" s="91"/>
      <c r="CE58" s="20"/>
      <c r="CF58" s="91"/>
      <c r="CG58" s="91"/>
      <c r="CH58" s="89" t="s">
        <v>1039</v>
      </c>
      <c r="CI58" s="91"/>
      <c r="CJ58" s="91"/>
      <c r="CK58" s="91"/>
      <c r="CL58" s="91"/>
      <c r="CM58" s="91"/>
      <c r="CN58" s="91"/>
      <c r="CO58" s="91"/>
      <c r="CP58" s="91"/>
      <c r="CQ58" s="91"/>
      <c r="CR58" s="91"/>
      <c r="CS58" s="91"/>
      <c r="CT58" s="91"/>
      <c r="CU58" s="91" t="s">
        <v>1056</v>
      </c>
      <c r="CV58" s="91"/>
      <c r="CW58" s="91"/>
      <c r="CX58" s="91"/>
      <c r="CY58" s="91"/>
      <c r="CZ58" s="91"/>
      <c r="DA58" s="91"/>
      <c r="DB58" s="91"/>
      <c r="DC58" s="91"/>
      <c r="DD58" s="91"/>
      <c r="DE58" s="91"/>
      <c r="DF58" s="89" t="s">
        <v>1040</v>
      </c>
      <c r="DG58" s="91"/>
      <c r="DH58" s="91"/>
      <c r="DI58" s="91"/>
      <c r="DJ58" s="91"/>
      <c r="DK58" s="91"/>
      <c r="DL58" s="91"/>
      <c r="DM58" s="91"/>
      <c r="DN58" s="91"/>
      <c r="DO58" s="91"/>
      <c r="DP58" s="91"/>
      <c r="DQ58" s="91"/>
      <c r="DR58" s="91"/>
      <c r="DS58" s="91"/>
      <c r="DT58" s="91"/>
      <c r="DU58" s="91"/>
      <c r="DV58" s="20" t="s">
        <v>1041</v>
      </c>
      <c r="DW58" s="91"/>
      <c r="DX58" s="91"/>
      <c r="DY58" s="91"/>
      <c r="DZ58" s="91" t="s">
        <v>1042</v>
      </c>
      <c r="EA58" s="91"/>
      <c r="EB58" s="91"/>
      <c r="EC58" s="91"/>
      <c r="ED58" s="91"/>
      <c r="EE58" s="91"/>
      <c r="EF58" s="91"/>
      <c r="EG58" s="91"/>
      <c r="EH58" s="91"/>
      <c r="EI58" s="91"/>
      <c r="EJ58" s="91"/>
      <c r="EK58" s="91"/>
      <c r="EL58" s="91"/>
      <c r="EM58" s="91"/>
      <c r="EN58" s="91"/>
      <c r="EO58" s="91"/>
      <c r="EP58" s="91"/>
      <c r="EQ58" s="91"/>
      <c r="ER58" s="91"/>
      <c r="ES58" s="91"/>
      <c r="ET58" s="91"/>
      <c r="EU58" s="91"/>
      <c r="EV58" s="91"/>
      <c r="EW58" s="91"/>
      <c r="EX58" s="91"/>
      <c r="EY58" s="91"/>
      <c r="EZ58" s="91"/>
      <c r="FA58" s="91"/>
      <c r="FB58" s="91"/>
      <c r="FC58" s="91"/>
      <c r="FD58" s="91"/>
      <c r="FE58" s="91"/>
      <c r="FF58" s="91"/>
      <c r="FG58" s="91"/>
      <c r="FH58" s="91"/>
      <c r="FI58" s="91"/>
      <c r="FJ58" s="91"/>
      <c r="FK58" s="91"/>
      <c r="FL58" s="91"/>
      <c r="FM58" s="91"/>
      <c r="FN58" s="91"/>
      <c r="FO58" s="91"/>
      <c r="FP58" s="91"/>
      <c r="FQ58" s="91"/>
      <c r="FR58" s="91"/>
      <c r="FS58" s="91"/>
      <c r="FT58" s="91"/>
      <c r="FU58" s="91"/>
      <c r="FV58" s="89" t="s">
        <v>1043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QA111"/>
  <sheetViews>
    <sheetView workbookViewId="0">
      <pane xSplit="7" ySplit="101" topLeftCell="AI102" activePane="bottomRight" state="frozen"/>
      <selection pane="topRight" activeCell="H1" sqref="H1"/>
      <selection pane="bottomLeft" activeCell="A102" sqref="A102"/>
      <selection pane="bottomRight" activeCell="AM14" sqref="AM14"/>
    </sheetView>
  </sheetViews>
  <sheetFormatPr baseColWidth="10" defaultRowHeight="15" x14ac:dyDescent="0.25"/>
  <cols>
    <col min="1" max="1" width="12.140625" customWidth="1"/>
    <col min="2" max="2" width="16" customWidth="1"/>
    <col min="3" max="3" width="11.140625" bestFit="1" customWidth="1"/>
    <col min="4" max="4" width="7.140625" bestFit="1" customWidth="1"/>
    <col min="5" max="5" width="12.7109375" customWidth="1"/>
    <col min="6" max="6" width="15.42578125" customWidth="1"/>
    <col min="7" max="7" width="82" customWidth="1"/>
    <col min="8" max="13" width="11.42578125" customWidth="1"/>
    <col min="14" max="14" width="20" customWidth="1"/>
    <col min="15" max="24" width="11.42578125" customWidth="1"/>
    <col min="26" max="27" width="11.42578125" customWidth="1"/>
    <col min="34" max="34" width="13.42578125" customWidth="1"/>
    <col min="39" max="39" width="11.140625" customWidth="1"/>
    <col min="41" max="41" width="11.42578125" customWidth="1"/>
    <col min="43" max="43" width="11.42578125" customWidth="1"/>
    <col min="59" max="59" width="11.42578125" customWidth="1"/>
    <col min="63" max="63" width="11.42578125" customWidth="1"/>
    <col min="66" max="66" width="11.42578125" customWidth="1"/>
    <col min="69" max="69" width="17.140625" customWidth="1"/>
    <col min="70" max="70" width="18.140625" customWidth="1"/>
    <col min="81" max="81" width="11.42578125" customWidth="1"/>
    <col min="85" max="85" width="11.42578125" customWidth="1"/>
    <col min="91" max="91" width="11.42578125" customWidth="1"/>
    <col min="95" max="95" width="11.42578125" customWidth="1"/>
    <col min="97" max="97" width="11.42578125" customWidth="1"/>
    <col min="103" max="103" width="11.42578125" customWidth="1"/>
    <col min="104" max="104" width="16.85546875" customWidth="1"/>
    <col min="114" max="114" width="24.28515625" customWidth="1"/>
    <col min="115" max="115" width="18.5703125" customWidth="1"/>
    <col min="128" max="128" width="11.42578125" customWidth="1"/>
    <col min="131" max="131" width="24" customWidth="1"/>
    <col min="132" max="132" width="11.42578125" customWidth="1"/>
    <col min="133" max="133" width="14.85546875" customWidth="1"/>
    <col min="134" max="134" width="11.42578125" customWidth="1"/>
    <col min="135" max="135" width="22.28515625" customWidth="1"/>
    <col min="137" max="137" width="18.42578125" customWidth="1"/>
    <col min="138" max="138" width="15.85546875" customWidth="1"/>
    <col min="139" max="139" width="11.42578125" customWidth="1"/>
    <col min="140" max="140" width="17.42578125" customWidth="1"/>
    <col min="141" max="141" width="11.42578125" customWidth="1"/>
    <col min="142" max="142" width="23.85546875" customWidth="1"/>
    <col min="153" max="153" width="12.28515625" customWidth="1"/>
    <col min="154" max="154" width="11.42578125" customWidth="1"/>
    <col min="161" max="161" width="17.140625" customWidth="1"/>
    <col min="164" max="164" width="13" customWidth="1"/>
    <col min="165" max="165" width="13.5703125" customWidth="1"/>
    <col min="170" max="170" width="11.42578125" customWidth="1"/>
    <col min="175" max="176" width="11.42578125" customWidth="1"/>
    <col min="184" max="184" width="11.42578125" customWidth="1"/>
    <col min="196" max="197" width="11.42578125" customWidth="1"/>
    <col min="200" max="200" width="11.42578125" customWidth="1"/>
    <col min="202" max="202" width="11.42578125" customWidth="1"/>
    <col min="204" max="204" width="11.42578125" customWidth="1"/>
    <col min="207" max="207" width="11.42578125" customWidth="1"/>
  </cols>
  <sheetData>
    <row r="1" spans="1:211" x14ac:dyDescent="0.25">
      <c r="A1" s="3" t="s">
        <v>40</v>
      </c>
      <c r="B1" s="3" t="s">
        <v>39</v>
      </c>
      <c r="C1" s="3" t="s">
        <v>103</v>
      </c>
      <c r="D1" s="3" t="s">
        <v>75</v>
      </c>
      <c r="E1" s="3" t="s">
        <v>78</v>
      </c>
      <c r="F1" s="3" t="s">
        <v>72</v>
      </c>
      <c r="G1" s="3" t="s">
        <v>134</v>
      </c>
      <c r="H1" s="96" t="s">
        <v>163</v>
      </c>
      <c r="I1" s="96" t="s">
        <v>164</v>
      </c>
      <c r="J1" s="97" t="s">
        <v>165</v>
      </c>
      <c r="K1" s="96" t="s">
        <v>1153</v>
      </c>
      <c r="L1" s="97" t="s">
        <v>166</v>
      </c>
      <c r="M1" s="97" t="s">
        <v>167</v>
      </c>
      <c r="N1" s="97" t="s">
        <v>168</v>
      </c>
      <c r="O1" s="97" t="s">
        <v>169</v>
      </c>
      <c r="P1" s="97" t="s">
        <v>170</v>
      </c>
      <c r="Q1" s="97" t="s">
        <v>171</v>
      </c>
      <c r="R1" s="97" t="s">
        <v>172</v>
      </c>
      <c r="S1" s="98" t="s">
        <v>173</v>
      </c>
      <c r="T1" s="97" t="s">
        <v>174</v>
      </c>
      <c r="U1" s="97" t="s">
        <v>175</v>
      </c>
      <c r="V1" s="97" t="s">
        <v>176</v>
      </c>
      <c r="W1" s="97" t="s">
        <v>177</v>
      </c>
      <c r="X1" s="97" t="s">
        <v>178</v>
      </c>
      <c r="Y1" s="97" t="s">
        <v>179</v>
      </c>
      <c r="Z1" s="97" t="s">
        <v>180</v>
      </c>
      <c r="AA1" s="97" t="s">
        <v>181</v>
      </c>
      <c r="AB1" s="97" t="s">
        <v>182</v>
      </c>
      <c r="AC1" s="97" t="s">
        <v>183</v>
      </c>
      <c r="AD1" s="97" t="s">
        <v>184</v>
      </c>
      <c r="AE1" s="97" t="s">
        <v>185</v>
      </c>
      <c r="AF1" s="97" t="s">
        <v>186</v>
      </c>
      <c r="AG1" s="98" t="s">
        <v>187</v>
      </c>
      <c r="AH1" s="97" t="s">
        <v>188</v>
      </c>
      <c r="AI1" s="97" t="s">
        <v>189</v>
      </c>
      <c r="AJ1" s="97" t="s">
        <v>190</v>
      </c>
      <c r="AK1" s="97" t="s">
        <v>191</v>
      </c>
      <c r="AL1" s="97" t="s">
        <v>192</v>
      </c>
      <c r="AM1" s="97" t="s">
        <v>193</v>
      </c>
      <c r="AN1" s="97" t="s">
        <v>194</v>
      </c>
      <c r="AO1" s="97" t="s">
        <v>195</v>
      </c>
      <c r="AP1" s="97" t="s">
        <v>196</v>
      </c>
      <c r="AQ1" s="97" t="s">
        <v>197</v>
      </c>
      <c r="AR1" s="97" t="s">
        <v>198</v>
      </c>
      <c r="AS1" s="97" t="s">
        <v>199</v>
      </c>
      <c r="AT1" s="97" t="s">
        <v>200</v>
      </c>
      <c r="AU1" s="97" t="s">
        <v>201</v>
      </c>
      <c r="AV1" s="97" t="s">
        <v>202</v>
      </c>
      <c r="AW1" s="97" t="s">
        <v>203</v>
      </c>
      <c r="AX1" s="97" t="s">
        <v>204</v>
      </c>
      <c r="AY1" s="97" t="s">
        <v>205</v>
      </c>
      <c r="AZ1" s="97" t="s">
        <v>206</v>
      </c>
      <c r="BA1" s="97" t="s">
        <v>207</v>
      </c>
      <c r="BB1" s="97" t="s">
        <v>208</v>
      </c>
      <c r="BC1" s="97" t="s">
        <v>209</v>
      </c>
      <c r="BD1" s="97" t="s">
        <v>210</v>
      </c>
      <c r="BE1" s="97" t="s">
        <v>211</v>
      </c>
      <c r="BF1" s="97" t="s">
        <v>212</v>
      </c>
      <c r="BG1" s="97" t="s">
        <v>213</v>
      </c>
      <c r="BH1" s="97" t="s">
        <v>214</v>
      </c>
      <c r="BI1" s="97" t="s">
        <v>215</v>
      </c>
      <c r="BJ1" s="97" t="s">
        <v>216</v>
      </c>
      <c r="BK1" s="97" t="s">
        <v>217</v>
      </c>
      <c r="BL1" s="97" t="s">
        <v>218</v>
      </c>
      <c r="BM1" s="97" t="s">
        <v>219</v>
      </c>
      <c r="BN1" s="97" t="s">
        <v>220</v>
      </c>
      <c r="BO1" s="97" t="s">
        <v>221</v>
      </c>
      <c r="BP1" s="97" t="s">
        <v>222</v>
      </c>
      <c r="BQ1" s="97" t="s">
        <v>223</v>
      </c>
      <c r="BR1" s="97" t="s">
        <v>224</v>
      </c>
      <c r="BS1" s="97" t="s">
        <v>225</v>
      </c>
      <c r="BT1" s="97" t="s">
        <v>226</v>
      </c>
      <c r="BU1" s="97" t="s">
        <v>227</v>
      </c>
      <c r="BV1" s="97" t="s">
        <v>228</v>
      </c>
      <c r="BW1" s="97" t="s">
        <v>229</v>
      </c>
      <c r="BX1" s="97" t="s">
        <v>230</v>
      </c>
      <c r="BY1" s="97" t="s">
        <v>231</v>
      </c>
      <c r="BZ1" s="97" t="s">
        <v>232</v>
      </c>
      <c r="CA1" s="97" t="s">
        <v>233</v>
      </c>
      <c r="CB1" s="97" t="s">
        <v>234</v>
      </c>
      <c r="CC1" s="97" t="s">
        <v>235</v>
      </c>
      <c r="CD1" s="97" t="s">
        <v>236</v>
      </c>
      <c r="CE1" s="97" t="s">
        <v>237</v>
      </c>
      <c r="CF1" s="97" t="s">
        <v>238</v>
      </c>
      <c r="CG1" s="98" t="s">
        <v>239</v>
      </c>
      <c r="CH1" s="97" t="s">
        <v>240</v>
      </c>
      <c r="CI1" s="98" t="s">
        <v>241</v>
      </c>
      <c r="CJ1" s="97" t="s">
        <v>242</v>
      </c>
      <c r="CK1" s="97" t="s">
        <v>243</v>
      </c>
      <c r="CL1" s="97" t="s">
        <v>244</v>
      </c>
      <c r="CM1" s="97" t="s">
        <v>245</v>
      </c>
      <c r="CN1" s="97" t="s">
        <v>246</v>
      </c>
      <c r="CO1" s="97" t="s">
        <v>247</v>
      </c>
      <c r="CP1" s="97" t="s">
        <v>248</v>
      </c>
      <c r="CQ1" s="97" t="s">
        <v>249</v>
      </c>
      <c r="CR1" s="97" t="s">
        <v>250</v>
      </c>
      <c r="CS1" s="97" t="s">
        <v>251</v>
      </c>
      <c r="CT1" s="97" t="s">
        <v>252</v>
      </c>
      <c r="CU1" s="97" t="s">
        <v>253</v>
      </c>
      <c r="CV1" s="97" t="s">
        <v>254</v>
      </c>
      <c r="CW1" s="97" t="s">
        <v>255</v>
      </c>
      <c r="CX1" s="97" t="s">
        <v>256</v>
      </c>
      <c r="CY1" s="97" t="s">
        <v>257</v>
      </c>
      <c r="CZ1" s="97" t="s">
        <v>258</v>
      </c>
      <c r="DA1" s="97" t="s">
        <v>259</v>
      </c>
      <c r="DB1" s="97" t="s">
        <v>260</v>
      </c>
      <c r="DC1" s="97" t="s">
        <v>261</v>
      </c>
      <c r="DD1" s="97" t="s">
        <v>262</v>
      </c>
      <c r="DE1" s="97" t="s">
        <v>263</v>
      </c>
      <c r="DF1" s="97" t="s">
        <v>264</v>
      </c>
      <c r="DG1" s="97" t="s">
        <v>265</v>
      </c>
      <c r="DH1" s="97" t="s">
        <v>266</v>
      </c>
      <c r="DI1" s="97" t="s">
        <v>267</v>
      </c>
      <c r="DJ1" s="97" t="s">
        <v>268</v>
      </c>
      <c r="DK1" s="97" t="s">
        <v>269</v>
      </c>
      <c r="DL1" s="97" t="s">
        <v>270</v>
      </c>
      <c r="DM1" s="97" t="s">
        <v>271</v>
      </c>
      <c r="DN1" s="97" t="s">
        <v>272</v>
      </c>
      <c r="DO1" s="97" t="s">
        <v>273</v>
      </c>
      <c r="DP1" s="97" t="s">
        <v>274</v>
      </c>
      <c r="DQ1" s="97" t="s">
        <v>275</v>
      </c>
      <c r="DR1" s="97" t="s">
        <v>276</v>
      </c>
      <c r="DS1" s="97" t="s">
        <v>277</v>
      </c>
      <c r="DT1" s="97" t="s">
        <v>278</v>
      </c>
      <c r="DU1" s="97" t="s">
        <v>279</v>
      </c>
      <c r="DV1" s="97" t="s">
        <v>280</v>
      </c>
      <c r="DW1" s="97" t="s">
        <v>281</v>
      </c>
      <c r="DX1" s="97" t="s">
        <v>282</v>
      </c>
      <c r="DY1" s="97" t="s">
        <v>283</v>
      </c>
      <c r="DZ1" s="97" t="s">
        <v>284</v>
      </c>
      <c r="EA1" s="97" t="s">
        <v>285</v>
      </c>
      <c r="EB1" s="97" t="s">
        <v>286</v>
      </c>
      <c r="EC1" s="97" t="s">
        <v>287</v>
      </c>
      <c r="ED1" s="97" t="s">
        <v>288</v>
      </c>
      <c r="EE1" s="97" t="s">
        <v>289</v>
      </c>
      <c r="EF1" s="97" t="s">
        <v>290</v>
      </c>
      <c r="EG1" s="97" t="s">
        <v>291</v>
      </c>
      <c r="EH1" s="97" t="s">
        <v>292</v>
      </c>
      <c r="EI1" s="99" t="s">
        <v>293</v>
      </c>
      <c r="EJ1" s="99" t="s">
        <v>294</v>
      </c>
      <c r="EK1" s="99" t="s">
        <v>295</v>
      </c>
      <c r="EL1" s="99" t="s">
        <v>296</v>
      </c>
      <c r="EM1" s="99" t="s">
        <v>297</v>
      </c>
      <c r="EN1" s="99" t="s">
        <v>298</v>
      </c>
      <c r="EO1" s="99" t="s">
        <v>299</v>
      </c>
      <c r="EP1" s="99" t="s">
        <v>300</v>
      </c>
      <c r="EQ1" s="99" t="s">
        <v>301</v>
      </c>
      <c r="ER1" s="99" t="s">
        <v>302</v>
      </c>
      <c r="ES1" s="99" t="s">
        <v>303</v>
      </c>
      <c r="ET1" s="99" t="s">
        <v>304</v>
      </c>
      <c r="EU1" s="99" t="s">
        <v>305</v>
      </c>
      <c r="EV1" s="99" t="s">
        <v>306</v>
      </c>
      <c r="EW1" s="99" t="s">
        <v>307</v>
      </c>
      <c r="EX1" s="99" t="s">
        <v>308</v>
      </c>
      <c r="EY1" s="99" t="s">
        <v>309</v>
      </c>
      <c r="EZ1" s="99" t="s">
        <v>310</v>
      </c>
      <c r="FA1" s="99" t="s">
        <v>311</v>
      </c>
      <c r="FB1" s="99" t="s">
        <v>312</v>
      </c>
      <c r="FC1" s="99" t="s">
        <v>313</v>
      </c>
      <c r="FD1" s="99" t="s">
        <v>314</v>
      </c>
      <c r="FE1" s="99" t="s">
        <v>315</v>
      </c>
      <c r="FF1" s="99" t="s">
        <v>316</v>
      </c>
      <c r="FG1" s="99" t="s">
        <v>317</v>
      </c>
      <c r="FH1" s="99" t="s">
        <v>318</v>
      </c>
      <c r="FI1" s="99" t="s">
        <v>319</v>
      </c>
      <c r="FJ1" s="99" t="s">
        <v>320</v>
      </c>
      <c r="FK1" s="99" t="s">
        <v>321</v>
      </c>
      <c r="FL1" s="97" t="s">
        <v>322</v>
      </c>
      <c r="FM1" s="97" t="s">
        <v>323</v>
      </c>
      <c r="FN1" s="97" t="s">
        <v>324</v>
      </c>
      <c r="FO1" s="97" t="s">
        <v>325</v>
      </c>
      <c r="FP1" s="98" t="s">
        <v>326</v>
      </c>
      <c r="FQ1" s="97" t="s">
        <v>327</v>
      </c>
      <c r="FR1" s="97" t="s">
        <v>328</v>
      </c>
      <c r="FS1" s="97" t="s">
        <v>329</v>
      </c>
      <c r="FT1" s="98" t="s">
        <v>330</v>
      </c>
      <c r="FU1" s="97" t="s">
        <v>331</v>
      </c>
      <c r="FV1" s="97" t="s">
        <v>332</v>
      </c>
      <c r="FW1" s="97" t="s">
        <v>333</v>
      </c>
      <c r="FX1" s="97" t="s">
        <v>334</v>
      </c>
      <c r="FY1" s="97" t="s">
        <v>335</v>
      </c>
      <c r="FZ1" s="97" t="s">
        <v>336</v>
      </c>
      <c r="GA1" s="97" t="s">
        <v>337</v>
      </c>
      <c r="GB1" s="97" t="s">
        <v>338</v>
      </c>
      <c r="GC1" s="97" t="s">
        <v>339</v>
      </c>
      <c r="GD1" s="97" t="s">
        <v>340</v>
      </c>
      <c r="GE1" s="97" t="s">
        <v>341</v>
      </c>
      <c r="GF1" s="97" t="s">
        <v>342</v>
      </c>
      <c r="GG1" s="98" t="s">
        <v>343</v>
      </c>
      <c r="GH1" s="97" t="s">
        <v>344</v>
      </c>
      <c r="GI1" s="97" t="s">
        <v>345</v>
      </c>
      <c r="GJ1" s="97" t="s">
        <v>346</v>
      </c>
      <c r="GK1" s="97" t="s">
        <v>347</v>
      </c>
      <c r="GL1" s="97" t="s">
        <v>348</v>
      </c>
      <c r="GM1" s="97" t="s">
        <v>349</v>
      </c>
      <c r="GN1" s="97" t="s">
        <v>350</v>
      </c>
      <c r="GO1" s="97" t="s">
        <v>351</v>
      </c>
      <c r="GP1" s="97" t="s">
        <v>352</v>
      </c>
      <c r="GQ1" s="97" t="s">
        <v>353</v>
      </c>
      <c r="GR1" s="97" t="s">
        <v>354</v>
      </c>
      <c r="GS1" s="97" t="s">
        <v>355</v>
      </c>
      <c r="GT1" s="97" t="s">
        <v>356</v>
      </c>
      <c r="GU1" s="97" t="s">
        <v>357</v>
      </c>
      <c r="GV1" s="97" t="s">
        <v>358</v>
      </c>
      <c r="GW1" s="97" t="s">
        <v>359</v>
      </c>
      <c r="GX1" s="97" t="s">
        <v>360</v>
      </c>
      <c r="GY1" s="97" t="s">
        <v>361</v>
      </c>
      <c r="GZ1" s="97" t="s">
        <v>362</v>
      </c>
      <c r="HA1" s="97" t="s">
        <v>363</v>
      </c>
      <c r="HB1" s="97" t="s">
        <v>364</v>
      </c>
      <c r="HC1" s="97" t="s">
        <v>365</v>
      </c>
    </row>
    <row r="2" spans="1:211" s="8" customFormat="1" ht="15" hidden="1" customHeight="1" x14ac:dyDescent="0.25">
      <c r="A2" s="7" t="s">
        <v>94</v>
      </c>
      <c r="B2" s="7" t="s">
        <v>95</v>
      </c>
      <c r="C2" s="8" t="s">
        <v>0</v>
      </c>
      <c r="D2" s="7" t="s">
        <v>76</v>
      </c>
      <c r="E2" s="7">
        <v>1</v>
      </c>
      <c r="F2" s="7"/>
      <c r="G2" s="7"/>
      <c r="H2" s="8">
        <f>VC_NEW2!C52</f>
        <v>0</v>
      </c>
      <c r="I2" s="8">
        <f>VC_NEW2!D52</f>
        <v>0</v>
      </c>
      <c r="J2" s="8">
        <f>VC_NEW2!E52</f>
        <v>0</v>
      </c>
      <c r="K2" s="8">
        <f>VC_NEW2!F52</f>
        <v>0</v>
      </c>
      <c r="L2" s="8">
        <f>VC_NEW2!G52</f>
        <v>0</v>
      </c>
      <c r="M2" s="8">
        <f>VC_NEW2!H52</f>
        <v>0</v>
      </c>
      <c r="N2" s="8" t="str">
        <f>VC_NEW2!I52</f>
        <v>aac(3)-Ib, aacA4, strA, strB</v>
      </c>
      <c r="O2" s="8">
        <f>VC_NEW2!J52</f>
        <v>0</v>
      </c>
      <c r="P2" s="8">
        <f>VC_NEW2!K52</f>
        <v>0</v>
      </c>
      <c r="Q2" s="8">
        <f>VC_NEW2!L52</f>
        <v>0</v>
      </c>
      <c r="R2" s="8">
        <f>VC_NEW2!M52</f>
        <v>0</v>
      </c>
      <c r="S2" s="8">
        <f>VC_NEW2!N52</f>
        <v>0</v>
      </c>
      <c r="T2" s="8">
        <f>VC_NEW2!O52</f>
        <v>0</v>
      </c>
      <c r="U2" s="8">
        <f>VC_NEW2!P52</f>
        <v>0</v>
      </c>
      <c r="V2" s="8">
        <f>VC_NEW2!Q52</f>
        <v>0</v>
      </c>
      <c r="W2" s="8">
        <f>VC_NEW2!R52</f>
        <v>0</v>
      </c>
      <c r="X2" s="8">
        <f>VC_NEW2!S52</f>
        <v>0</v>
      </c>
      <c r="Y2" s="8">
        <f>VC_NEW2!T52</f>
        <v>0</v>
      </c>
      <c r="Z2" s="8">
        <f>VC_NEW2!U52</f>
        <v>0</v>
      </c>
      <c r="AA2" s="8">
        <f>VC_NEW2!V52</f>
        <v>0</v>
      </c>
      <c r="AB2" s="8">
        <f>VC_NEW2!W52</f>
        <v>0</v>
      </c>
      <c r="AC2" s="8">
        <f>VC_NEW2!X52</f>
        <v>0</v>
      </c>
      <c r="AD2" s="8">
        <f>VC_NEW2!Y52</f>
        <v>0</v>
      </c>
      <c r="AE2" s="8">
        <f>VC_NEW2!Z52</f>
        <v>0</v>
      </c>
      <c r="AF2" s="8">
        <f>VC_NEW2!AA52</f>
        <v>0</v>
      </c>
      <c r="AG2" s="8">
        <f>VC_NEW2!AB52</f>
        <v>0</v>
      </c>
      <c r="AH2" s="8">
        <f>VC_NEW2!AC52</f>
        <v>0</v>
      </c>
      <c r="AI2" s="8">
        <f>VC_NEW2!AD52</f>
        <v>0</v>
      </c>
      <c r="AJ2" s="8">
        <f>VC_NEW2!AE52</f>
        <v>0</v>
      </c>
      <c r="AK2" s="8">
        <f>VC_NEW2!AF52</f>
        <v>0</v>
      </c>
      <c r="AL2" s="8">
        <f>VC_NEW2!AG52</f>
        <v>0</v>
      </c>
      <c r="AM2" s="8">
        <f>VC_NEW2!AH52</f>
        <v>0</v>
      </c>
      <c r="AN2" s="8">
        <f>VC_NEW2!AI52</f>
        <v>0</v>
      </c>
      <c r="AO2" s="8">
        <f>VC_NEW2!AJ52</f>
        <v>0</v>
      </c>
      <c r="AP2" s="8">
        <f>VC_NEW2!AK52</f>
        <v>0</v>
      </c>
      <c r="AQ2" s="8">
        <f>VC_NEW2!AL52</f>
        <v>0</v>
      </c>
      <c r="AR2" s="8">
        <f>VC_NEW2!AM52</f>
        <v>0</v>
      </c>
      <c r="AS2" s="8" t="str">
        <f>VC_NEW2!AN52</f>
        <v>strA, strB</v>
      </c>
      <c r="AT2" s="8">
        <f>VC_NEW2!AO52</f>
        <v>0</v>
      </c>
      <c r="AU2" s="8">
        <f>VC_NEW2!AP52</f>
        <v>0</v>
      </c>
      <c r="AV2" s="8">
        <f>VC_NEW2!AQ52</f>
        <v>0</v>
      </c>
      <c r="AW2" s="8">
        <f>VC_NEW2!AR52</f>
        <v>0</v>
      </c>
      <c r="AX2" s="8">
        <f>VC_NEW2!AS52</f>
        <v>0</v>
      </c>
      <c r="AY2" s="8">
        <f>VC_NEW2!AT52</f>
        <v>0</v>
      </c>
      <c r="AZ2" s="8">
        <f>VC_NEW2!AU52</f>
        <v>0</v>
      </c>
      <c r="BA2" s="8" t="str">
        <f>VC_NEW2!AV52</f>
        <v>aadB</v>
      </c>
      <c r="BB2" s="8">
        <f>VC_NEW2!AW52</f>
        <v>0</v>
      </c>
      <c r="BC2" s="8" t="str">
        <f>VC_NEW2!AX52</f>
        <v>aadB</v>
      </c>
      <c r="BD2" s="8">
        <f>VC_NEW2!AY52</f>
        <v>0</v>
      </c>
      <c r="BE2" s="8">
        <f>VC_NEW2!AZ52</f>
        <v>0</v>
      </c>
      <c r="BF2" s="8">
        <f>VC_NEW2!BA52</f>
        <v>0</v>
      </c>
      <c r="BG2" s="8">
        <f>VC_NEW2!BB52</f>
        <v>0</v>
      </c>
      <c r="BH2" s="8">
        <f>VC_NEW2!BC52</f>
        <v>0</v>
      </c>
      <c r="BI2" s="8" t="str">
        <f>VC_NEW2!BD52</f>
        <v>aadB</v>
      </c>
      <c r="BJ2" s="8" t="str">
        <f>VC_NEW2!BE52</f>
        <v>aac(3)-I, aacA4</v>
      </c>
      <c r="BK2" s="8">
        <f>VC_NEW2!BF52</f>
        <v>0</v>
      </c>
      <c r="BL2" s="8">
        <f>VC_NEW2!BG52</f>
        <v>0</v>
      </c>
      <c r="BM2" s="8">
        <f>VC_NEW2!BH52</f>
        <v>0</v>
      </c>
      <c r="BN2" s="8">
        <f>VC_NEW2!BI52</f>
        <v>0</v>
      </c>
      <c r="BO2" s="8">
        <f>VC_NEW2!BJ52</f>
        <v>0</v>
      </c>
      <c r="BP2" s="8">
        <f>VC_NEW2!BK52</f>
        <v>0</v>
      </c>
      <c r="BQ2" s="8">
        <f>VC_NEW2!BL52</f>
        <v>0</v>
      </c>
      <c r="BR2" s="8" t="str">
        <f>VC_NEW2!BM52</f>
        <v>aacA4</v>
      </c>
      <c r="BS2" s="8" t="str">
        <f>VC_NEW2!BN52</f>
        <v>aadB</v>
      </c>
      <c r="BT2" s="8" t="str">
        <f>VC_NEW2!BO52</f>
        <v>aac(3)-I</v>
      </c>
      <c r="BU2" s="8">
        <f>VC_NEW2!BP52</f>
        <v>0</v>
      </c>
      <c r="BV2" s="8">
        <f>VC_NEW2!BQ52</f>
        <v>0</v>
      </c>
      <c r="BW2" s="8">
        <f>VC_NEW2!BR52</f>
        <v>0</v>
      </c>
      <c r="BX2" s="8">
        <f>VC_NEW2!BS52</f>
        <v>0</v>
      </c>
      <c r="BY2" s="8">
        <f>VC_NEW2!BT52</f>
        <v>0</v>
      </c>
      <c r="BZ2" s="8">
        <f>VC_NEW2!BU52</f>
        <v>0</v>
      </c>
      <c r="CA2" s="8">
        <f>VC_NEW2!BV52</f>
        <v>0</v>
      </c>
      <c r="CB2" s="8">
        <f>VC_NEW2!BW52</f>
        <v>0</v>
      </c>
      <c r="CC2" s="8">
        <f>VC_NEW2!BX52</f>
        <v>0</v>
      </c>
      <c r="CD2" s="8" t="str">
        <f>VC_NEW2!BY52</f>
        <v>aadB</v>
      </c>
      <c r="CE2" s="8">
        <f>VC_NEW2!BZ52</f>
        <v>0</v>
      </c>
      <c r="CF2" s="8">
        <f>VC_NEW2!CA52</f>
        <v>0</v>
      </c>
      <c r="CG2" s="8">
        <f>VC_NEW2!CB52</f>
        <v>0</v>
      </c>
      <c r="CH2" s="8">
        <f>VC_NEW2!CC52</f>
        <v>0</v>
      </c>
      <c r="CI2" s="8">
        <f>VC_NEW2!CD52</f>
        <v>0</v>
      </c>
      <c r="CJ2" s="8" t="str">
        <f>VC_NEW2!CE52</f>
        <v>aadB</v>
      </c>
      <c r="CK2" s="8" t="str">
        <f>VC_NEW2!CF52</f>
        <v>aadB</v>
      </c>
      <c r="CL2" s="8">
        <f>VC_NEW2!CG52</f>
        <v>0</v>
      </c>
      <c r="CM2" s="8" t="str">
        <f>VC_NEW2!CH52</f>
        <v>aac(3)-I, aph(3')-XV, aadA1</v>
      </c>
      <c r="CN2" s="8">
        <f>VC_NEW2!CI52</f>
        <v>0</v>
      </c>
      <c r="CO2" s="8">
        <f>VC_NEW2!CJ52</f>
        <v>0</v>
      </c>
      <c r="CP2" s="8" t="str">
        <f>VC_NEW2!CK52</f>
        <v>aadB</v>
      </c>
      <c r="CQ2" s="8" t="str">
        <f>VC_NEW2!CL52</f>
        <v>aac(3)-I, aadB</v>
      </c>
      <c r="CR2" s="8">
        <f>VC_NEW2!CM52</f>
        <v>0</v>
      </c>
      <c r="CS2" s="8">
        <f>VC_NEW2!CN52</f>
        <v>0</v>
      </c>
      <c r="CT2" s="8">
        <f>VC_NEW2!CO52</f>
        <v>0</v>
      </c>
      <c r="CU2" s="8">
        <f>VC_NEW2!CP52</f>
        <v>0</v>
      </c>
      <c r="CV2" s="8">
        <f>VC_NEW2!CQ52</f>
        <v>0</v>
      </c>
      <c r="CW2" s="8">
        <f>VC_NEW2!CR52</f>
        <v>0</v>
      </c>
      <c r="CX2" s="8">
        <f>VC_NEW2!CS52</f>
        <v>0</v>
      </c>
      <c r="CY2" s="8">
        <f>VC_NEW2!CT52</f>
        <v>0</v>
      </c>
      <c r="CZ2" s="8" t="str">
        <f>VC_NEW2!CU52</f>
        <v>aadB4, aadA6, strA, strB</v>
      </c>
      <c r="DA2" s="8">
        <f>VC_NEW2!CV52</f>
        <v>0</v>
      </c>
      <c r="DB2" s="8" t="str">
        <f>VC_NEW2!CW52</f>
        <v>aacA4</v>
      </c>
      <c r="DC2" s="8">
        <f>VC_NEW2!CX52</f>
        <v>0</v>
      </c>
      <c r="DD2" s="8">
        <f>VC_NEW2!CY52</f>
        <v>0</v>
      </c>
      <c r="DE2" s="8">
        <f>VC_NEW2!CZ52</f>
        <v>0</v>
      </c>
      <c r="DF2" s="8">
        <f>VC_NEW2!DA52</f>
        <v>0</v>
      </c>
      <c r="DG2" s="8">
        <f>VC_NEW2!DB52</f>
        <v>0</v>
      </c>
      <c r="DH2" s="8">
        <f>VC_NEW2!DC52</f>
        <v>0</v>
      </c>
      <c r="DI2" s="8">
        <f>VC_NEW2!DD52</f>
        <v>0</v>
      </c>
      <c r="DJ2" s="8" t="str">
        <f>VC_NEW2!DE52</f>
        <v>aac(3)-Ia, aadA1, aadA6</v>
      </c>
      <c r="DK2" s="8" t="str">
        <f>VC_NEW2!DF52</f>
        <v>aadB, strA, strB</v>
      </c>
      <c r="DL2" s="8">
        <f>VC_NEW2!DG52</f>
        <v>0</v>
      </c>
      <c r="DM2" s="8">
        <f>VC_NEW2!DH52</f>
        <v>0</v>
      </c>
      <c r="DN2" s="8">
        <f>VC_NEW2!DI52</f>
        <v>0</v>
      </c>
      <c r="DO2" s="8">
        <f>VC_NEW2!DJ52</f>
        <v>0</v>
      </c>
      <c r="DP2" s="8">
        <f>VC_NEW2!DK52</f>
        <v>0</v>
      </c>
      <c r="DQ2" s="8">
        <f>VC_NEW2!DL52</f>
        <v>0</v>
      </c>
      <c r="DR2" s="8">
        <f>VC_NEW2!DM52</f>
        <v>0</v>
      </c>
      <c r="DS2" s="8">
        <f>VC_NEW2!DN52</f>
        <v>0</v>
      </c>
      <c r="DT2" s="8">
        <f>VC_NEW2!DO52</f>
        <v>0</v>
      </c>
      <c r="DU2" s="8" t="str">
        <f>VC_NEW2!DP52</f>
        <v>aadB</v>
      </c>
      <c r="DV2" s="8">
        <f>VC_NEW2!DQ52</f>
        <v>0</v>
      </c>
      <c r="DW2" s="8" t="str">
        <f>VC_NEW2!DR52</f>
        <v>aadB</v>
      </c>
      <c r="DX2" s="8">
        <f>VC_NEW2!DS52</f>
        <v>0</v>
      </c>
      <c r="DY2" s="8">
        <f>VC_NEW2!DT52</f>
        <v>0</v>
      </c>
      <c r="DZ2" s="8">
        <f>VC_NEW2!DU52</f>
        <v>0</v>
      </c>
      <c r="EA2" s="8" t="str">
        <f>VC_NEW2!DV52</f>
        <v>aac(3)-Ia, aph(3')-Via, aadB</v>
      </c>
      <c r="EB2" s="8">
        <f>VC_NEW2!DW52</f>
        <v>0</v>
      </c>
      <c r="EC2" s="8">
        <f>VC_NEW2!DX52</f>
        <v>0</v>
      </c>
      <c r="ED2" s="8">
        <f>VC_NEW2!DY52</f>
        <v>0</v>
      </c>
      <c r="EE2" s="8" t="str">
        <f>VC_NEW2!DZ52</f>
        <v>aadB, aph(3')-VIa, aadA13, aacA4</v>
      </c>
      <c r="EF2" s="8">
        <f>VC_NEW2!EA52</f>
        <v>0</v>
      </c>
      <c r="EG2" s="8">
        <f>VC_NEW2!EB52</f>
        <v>0</v>
      </c>
      <c r="EH2" s="8">
        <f>VC_NEW2!EC52</f>
        <v>0</v>
      </c>
      <c r="EI2" s="8">
        <f>VC_NEW2!ED52</f>
        <v>0</v>
      </c>
      <c r="EJ2" s="8">
        <f>VC_NEW2!EE52</f>
        <v>0</v>
      </c>
      <c r="EK2" s="8">
        <f>VC_NEW2!EF52</f>
        <v>0</v>
      </c>
      <c r="EL2" s="8">
        <f>VC_NEW2!EG52</f>
        <v>0</v>
      </c>
      <c r="EM2" s="8">
        <f>VC_NEW2!EH52</f>
        <v>0</v>
      </c>
      <c r="EN2" s="8">
        <f>VC_NEW2!EI52</f>
        <v>0</v>
      </c>
      <c r="EO2" s="8">
        <f>VC_NEW2!EJ52</f>
        <v>0</v>
      </c>
      <c r="EP2" s="8">
        <f>VC_NEW2!EK52</f>
        <v>0</v>
      </c>
      <c r="EQ2" s="8">
        <f>VC_NEW2!EL52</f>
        <v>0</v>
      </c>
      <c r="ER2" s="8">
        <f>VC_NEW2!EM52</f>
        <v>0</v>
      </c>
      <c r="ES2" s="8">
        <f>VC_NEW2!EN52</f>
        <v>0</v>
      </c>
      <c r="ET2" s="8">
        <f>VC_NEW2!EO52</f>
        <v>0</v>
      </c>
      <c r="EU2" s="8">
        <f>VC_NEW2!EP52</f>
        <v>0</v>
      </c>
      <c r="EV2" s="8">
        <f>VC_NEW2!EQ52</f>
        <v>0</v>
      </c>
      <c r="EW2" s="8">
        <f>VC_NEW2!ER52</f>
        <v>0</v>
      </c>
      <c r="EX2" s="8">
        <f>VC_NEW2!ES52</f>
        <v>0</v>
      </c>
      <c r="EY2" s="8">
        <f>VC_NEW2!ET52</f>
        <v>0</v>
      </c>
      <c r="EZ2" s="8">
        <f>VC_NEW2!EU52</f>
        <v>0</v>
      </c>
      <c r="FA2" s="8" t="str">
        <f>VC_NEW2!EV52</f>
        <v>aadA6</v>
      </c>
      <c r="FB2" s="8">
        <f>VC_NEW2!EW52</f>
        <v>0</v>
      </c>
      <c r="FC2" s="8">
        <f>VC_NEW2!EX52</f>
        <v>0</v>
      </c>
      <c r="FD2" s="8">
        <f>VC_NEW2!EY52</f>
        <v>0</v>
      </c>
      <c r="FE2" s="8" t="str">
        <f>VC_NEW2!EZ52</f>
        <v>aacA4, strA, strB</v>
      </c>
      <c r="FF2" s="8">
        <f>VC_NEW2!FA52</f>
        <v>0</v>
      </c>
      <c r="FG2" s="8">
        <f>VC_NEW2!FB52</f>
        <v>0</v>
      </c>
      <c r="FH2" s="8">
        <f>VC_NEW2!FC52</f>
        <v>0</v>
      </c>
      <c r="FI2" s="8" t="str">
        <f>VC_NEW2!FD52</f>
        <v>aacA4, aadA1</v>
      </c>
      <c r="FJ2" s="8">
        <f>VC_NEW2!FE52</f>
        <v>0</v>
      </c>
      <c r="FK2" s="8">
        <f>VC_NEW2!FF52</f>
        <v>0</v>
      </c>
      <c r="FL2" s="8" t="str">
        <f>VC_NEW2!FG52</f>
        <v>aacA4, aadB, strA, strB</v>
      </c>
      <c r="FM2" s="8">
        <f>VC_NEW2!FH52</f>
        <v>0</v>
      </c>
      <c r="FN2" s="8">
        <f>VC_NEW2!FI52</f>
        <v>0</v>
      </c>
      <c r="FO2" s="8">
        <f>VC_NEW2!FJ52</f>
        <v>0</v>
      </c>
      <c r="FP2" s="8">
        <f>VC_NEW2!FK52</f>
        <v>0</v>
      </c>
      <c r="FQ2" s="8" t="str">
        <f>VC_NEW2!FL52</f>
        <v>aadB</v>
      </c>
      <c r="FR2" s="8">
        <f>VC_NEW2!FM52</f>
        <v>0</v>
      </c>
      <c r="FS2" s="8">
        <f>VC_NEW2!FN52</f>
        <v>0</v>
      </c>
      <c r="FT2" s="8">
        <f>VC_NEW2!FO52</f>
        <v>0</v>
      </c>
      <c r="FU2" s="8" t="str">
        <f>VC_NEW2!FP52</f>
        <v>aacA4, aadA1, aadA6</v>
      </c>
      <c r="FV2" s="8">
        <f>VC_NEW2!FQ52</f>
        <v>0</v>
      </c>
      <c r="FW2" s="8">
        <f>VC_NEW2!FR52</f>
        <v>0</v>
      </c>
      <c r="FX2" s="8">
        <f>VC_NEW2!FS52</f>
        <v>0</v>
      </c>
      <c r="FY2" s="8">
        <f>VC_NEW2!FT52</f>
        <v>0</v>
      </c>
      <c r="FZ2" s="8">
        <f>VC_NEW2!FU52</f>
        <v>0</v>
      </c>
      <c r="GA2" s="8" t="str">
        <f>VC_NEW2!FV52</f>
        <v>aadB, aacA4</v>
      </c>
      <c r="GB2" s="8">
        <f>VC_NEW2!FW52</f>
        <v>0</v>
      </c>
      <c r="GC2" s="8">
        <f>VC_NEW2!FX52</f>
        <v>0</v>
      </c>
      <c r="GD2" s="8">
        <f>VC_NEW2!FY52</f>
        <v>0</v>
      </c>
      <c r="GE2" s="8">
        <f>VC_NEW2!FZ52</f>
        <v>0</v>
      </c>
      <c r="GF2" s="8">
        <f>VC_NEW2!GA52</f>
        <v>0</v>
      </c>
      <c r="GG2" s="8">
        <f>VC_NEW2!GB52</f>
        <v>0</v>
      </c>
      <c r="GH2" s="8">
        <f>VC_NEW2!GC52</f>
        <v>0</v>
      </c>
      <c r="GI2" s="8">
        <f>VC_NEW2!GD52</f>
        <v>0</v>
      </c>
      <c r="GJ2" s="8">
        <f>VC_NEW2!GE52</f>
        <v>0</v>
      </c>
      <c r="GK2" s="8">
        <f>VC_NEW2!GF52</f>
        <v>0</v>
      </c>
      <c r="GL2" s="8">
        <f>VC_NEW2!GG52</f>
        <v>0</v>
      </c>
      <c r="GM2" s="8" t="str">
        <f>VC_NEW2!GH52</f>
        <v>aadB</v>
      </c>
      <c r="GN2" s="8">
        <f>VC_NEW2!GI52</f>
        <v>0</v>
      </c>
      <c r="GO2" s="8">
        <f>VC_NEW2!GJ52</f>
        <v>0</v>
      </c>
      <c r="GP2" s="8">
        <f>VC_NEW2!GK52</f>
        <v>0</v>
      </c>
      <c r="GQ2" s="8">
        <f>VC_NEW2!GL52</f>
        <v>0</v>
      </c>
      <c r="GR2" s="8">
        <f>VC_NEW2!GM52</f>
        <v>0</v>
      </c>
      <c r="GS2" s="8">
        <f>VC_NEW2!GN52</f>
        <v>0</v>
      </c>
      <c r="GT2" s="8">
        <f>VC_NEW2!GO52</f>
        <v>0</v>
      </c>
      <c r="GU2" s="8">
        <f>VC_NEW2!GP52</f>
        <v>0</v>
      </c>
      <c r="GV2" s="8">
        <f>VC_NEW2!GQ52</f>
        <v>0</v>
      </c>
      <c r="GW2" s="8">
        <f>VC_NEW2!GR52</f>
        <v>0</v>
      </c>
      <c r="GX2" s="8">
        <f>VC_NEW2!GS52</f>
        <v>0</v>
      </c>
      <c r="GY2" s="8" t="str">
        <f>VC_NEW2!GT52</f>
        <v>aacA4; aadA2</v>
      </c>
      <c r="GZ2" s="8">
        <f>VC_NEW2!GU52</f>
        <v>0</v>
      </c>
      <c r="HA2" s="8">
        <f>VC_NEW2!GV52</f>
        <v>0</v>
      </c>
      <c r="HB2" s="8" t="str">
        <f>VC_NEW2!GW52</f>
        <v>aadB</v>
      </c>
      <c r="HC2" s="8">
        <f>VC_NEW2!GX52</f>
        <v>0</v>
      </c>
    </row>
    <row r="3" spans="1:211" s="10" customFormat="1" ht="15" hidden="1" customHeight="1" thickBot="1" x14ac:dyDescent="0.25">
      <c r="A3" s="10" t="s">
        <v>94</v>
      </c>
      <c r="B3" s="10" t="s">
        <v>97</v>
      </c>
      <c r="C3" s="11" t="s">
        <v>1</v>
      </c>
      <c r="D3" s="10" t="s">
        <v>76</v>
      </c>
      <c r="E3" s="10" t="s">
        <v>1147</v>
      </c>
      <c r="H3" s="8">
        <f>VC_NEW2!C53</f>
        <v>0</v>
      </c>
      <c r="I3" s="8">
        <f>VC_NEW2!D53</f>
        <v>0</v>
      </c>
      <c r="J3" s="8">
        <f>VC_NEW2!E53</f>
        <v>0</v>
      </c>
      <c r="K3" s="8">
        <f>VC_NEW2!F53</f>
        <v>0</v>
      </c>
      <c r="L3" s="8">
        <f>VC_NEW2!G53</f>
        <v>0</v>
      </c>
      <c r="M3" s="8">
        <f>VC_NEW2!H53</f>
        <v>0</v>
      </c>
      <c r="N3" s="8">
        <f>VC_NEW2!I53</f>
        <v>0</v>
      </c>
      <c r="O3" s="8">
        <f>VC_NEW2!J53</f>
        <v>0</v>
      </c>
      <c r="P3" s="8">
        <f>VC_NEW2!K53</f>
        <v>0</v>
      </c>
      <c r="Q3" s="8">
        <f>VC_NEW2!L53</f>
        <v>0</v>
      </c>
      <c r="R3" s="8">
        <f>VC_NEW2!M53</f>
        <v>0</v>
      </c>
      <c r="S3" s="8">
        <f>VC_NEW2!N53</f>
        <v>0</v>
      </c>
      <c r="T3" s="8">
        <f>VC_NEW2!O53</f>
        <v>0</v>
      </c>
      <c r="U3" s="8">
        <f>VC_NEW2!P53</f>
        <v>0</v>
      </c>
      <c r="V3" s="8">
        <f>VC_NEW2!Q53</f>
        <v>0</v>
      </c>
      <c r="W3" s="8">
        <f>VC_NEW2!R53</f>
        <v>0</v>
      </c>
      <c r="X3" s="8">
        <f>VC_NEW2!S53</f>
        <v>0</v>
      </c>
      <c r="Y3" s="8">
        <f>VC_NEW2!T53</f>
        <v>0</v>
      </c>
      <c r="Z3" s="8">
        <f>VC_NEW2!U53</f>
        <v>0</v>
      </c>
      <c r="AA3" s="8">
        <f>VC_NEW2!V53</f>
        <v>0</v>
      </c>
      <c r="AB3" s="8">
        <f>VC_NEW2!W53</f>
        <v>0</v>
      </c>
      <c r="AC3" s="8">
        <f>VC_NEW2!X53</f>
        <v>0</v>
      </c>
      <c r="AD3" s="8">
        <f>VC_NEW2!Y53</f>
        <v>0</v>
      </c>
      <c r="AE3" s="8">
        <f>VC_NEW2!Z53</f>
        <v>0</v>
      </c>
      <c r="AF3" s="8">
        <f>VC_NEW2!AA53</f>
        <v>0</v>
      </c>
      <c r="AG3" s="8">
        <f>VC_NEW2!AB53</f>
        <v>0</v>
      </c>
      <c r="AH3" s="8">
        <f>VC_NEW2!AC53</f>
        <v>0</v>
      </c>
      <c r="AI3" s="8">
        <f>VC_NEW2!AD53</f>
        <v>0</v>
      </c>
      <c r="AJ3" s="8">
        <f>VC_NEW2!AE53</f>
        <v>0</v>
      </c>
      <c r="AK3" s="8">
        <f>VC_NEW2!AF53</f>
        <v>0</v>
      </c>
      <c r="AL3" s="8">
        <f>VC_NEW2!AG53</f>
        <v>0</v>
      </c>
      <c r="AM3" s="8">
        <f>VC_NEW2!AH53</f>
        <v>0</v>
      </c>
      <c r="AN3" s="8">
        <f>VC_NEW2!AI53</f>
        <v>0</v>
      </c>
      <c r="AO3" s="8">
        <f>VC_NEW2!AJ53</f>
        <v>0</v>
      </c>
      <c r="AP3" s="8">
        <f>VC_NEW2!AK53</f>
        <v>0</v>
      </c>
      <c r="AQ3" s="8">
        <f>VC_NEW2!AL53</f>
        <v>0</v>
      </c>
      <c r="AR3" s="8">
        <f>VC_NEW2!AM53</f>
        <v>0</v>
      </c>
      <c r="AS3" s="8">
        <f>VC_NEW2!AN53</f>
        <v>0</v>
      </c>
      <c r="AT3" s="8">
        <f>VC_NEW2!AO53</f>
        <v>0</v>
      </c>
      <c r="AU3" s="8">
        <f>VC_NEW2!AP53</f>
        <v>0</v>
      </c>
      <c r="AV3" s="8">
        <f>VC_NEW2!AQ53</f>
        <v>0</v>
      </c>
      <c r="AW3" s="8">
        <f>VC_NEW2!AR53</f>
        <v>0</v>
      </c>
      <c r="AX3" s="8">
        <f>VC_NEW2!AS53</f>
        <v>0</v>
      </c>
      <c r="AY3" s="8">
        <f>VC_NEW2!AT53</f>
        <v>0</v>
      </c>
      <c r="AZ3" s="8">
        <f>VC_NEW2!AU53</f>
        <v>0</v>
      </c>
      <c r="BA3" s="8">
        <f>VC_NEW2!AV53</f>
        <v>0</v>
      </c>
      <c r="BB3" s="8">
        <f>VC_NEW2!AW53</f>
        <v>0</v>
      </c>
      <c r="BC3" s="8">
        <f>VC_NEW2!AX53</f>
        <v>0</v>
      </c>
      <c r="BD3" s="8">
        <f>VC_NEW2!AY53</f>
        <v>0</v>
      </c>
      <c r="BE3" s="8">
        <f>VC_NEW2!AZ53</f>
        <v>0</v>
      </c>
      <c r="BF3" s="8">
        <f>VC_NEW2!BA53</f>
        <v>0</v>
      </c>
      <c r="BG3" s="8">
        <f>VC_NEW2!BB53</f>
        <v>0</v>
      </c>
      <c r="BH3" s="8">
        <f>VC_NEW2!BC53</f>
        <v>0</v>
      </c>
      <c r="BI3" s="8">
        <f>VC_NEW2!BD53</f>
        <v>0</v>
      </c>
      <c r="BJ3" s="8" t="str">
        <f>VC_NEW2!BE53</f>
        <v>blaOXA-15</v>
      </c>
      <c r="BK3" s="8">
        <f>VC_NEW2!BF53</f>
        <v>0</v>
      </c>
      <c r="BL3" s="8">
        <f>VC_NEW2!BG53</f>
        <v>0</v>
      </c>
      <c r="BM3" s="8">
        <f>VC_NEW2!BH53</f>
        <v>0</v>
      </c>
      <c r="BN3" s="8">
        <f>VC_NEW2!BI53</f>
        <v>0</v>
      </c>
      <c r="BO3" s="8">
        <f>VC_NEW2!BJ53</f>
        <v>0</v>
      </c>
      <c r="BP3" s="8">
        <f>VC_NEW2!BK53</f>
        <v>0</v>
      </c>
      <c r="BQ3" s="8">
        <f>VC_NEW2!BL53</f>
        <v>0</v>
      </c>
      <c r="BR3" s="8" t="str">
        <f>VC_NEW2!BM53</f>
        <v>blaOXA46(IS)</v>
      </c>
      <c r="BS3" s="8">
        <f>VC_NEW2!BN53</f>
        <v>0</v>
      </c>
      <c r="BT3" s="8">
        <f>VC_NEW2!BO53</f>
        <v>0</v>
      </c>
      <c r="BU3" s="8">
        <f>VC_NEW2!BP53</f>
        <v>0</v>
      </c>
      <c r="BV3" s="8">
        <f>VC_NEW2!BQ53</f>
        <v>0</v>
      </c>
      <c r="BW3" s="8">
        <f>VC_NEW2!BR53</f>
        <v>0</v>
      </c>
      <c r="BX3" s="8">
        <f>VC_NEW2!BS53</f>
        <v>0</v>
      </c>
      <c r="BY3" s="8">
        <f>VC_NEW2!BT53</f>
        <v>0</v>
      </c>
      <c r="BZ3" s="8">
        <f>VC_NEW2!BU53</f>
        <v>0</v>
      </c>
      <c r="CA3" s="8">
        <f>VC_NEW2!BV53</f>
        <v>0</v>
      </c>
      <c r="CB3" s="8">
        <f>VC_NEW2!BW53</f>
        <v>0</v>
      </c>
      <c r="CC3" s="8">
        <f>VC_NEW2!BX53</f>
        <v>0</v>
      </c>
      <c r="CD3" s="8">
        <f>VC_NEW2!BY53</f>
        <v>0</v>
      </c>
      <c r="CE3" s="8">
        <f>VC_NEW2!BZ53</f>
        <v>0</v>
      </c>
      <c r="CF3" s="8">
        <f>VC_NEW2!CA53</f>
        <v>0</v>
      </c>
      <c r="CG3" s="8">
        <f>VC_NEW2!CB53</f>
        <v>0</v>
      </c>
      <c r="CH3" s="8">
        <f>VC_NEW2!CC53</f>
        <v>0</v>
      </c>
      <c r="CI3" s="8">
        <f>VC_NEW2!CD53</f>
        <v>0</v>
      </c>
      <c r="CJ3" s="8">
        <f>VC_NEW2!CE53</f>
        <v>0</v>
      </c>
      <c r="CK3" s="8">
        <f>VC_NEW2!CF53</f>
        <v>0</v>
      </c>
      <c r="CL3" s="8">
        <f>VC_NEW2!CG53</f>
        <v>0</v>
      </c>
      <c r="CM3" s="8" t="str">
        <f>VC_NEW2!CH53</f>
        <v>blaVIM-1</v>
      </c>
      <c r="CN3" s="8">
        <f>VC_NEW2!CI53</f>
        <v>0</v>
      </c>
      <c r="CO3" s="8">
        <f>VC_NEW2!CJ53</f>
        <v>0</v>
      </c>
      <c r="CP3" s="8">
        <f>VC_NEW2!CK53</f>
        <v>0</v>
      </c>
      <c r="CQ3" s="8">
        <f>VC_NEW2!CL53</f>
        <v>0</v>
      </c>
      <c r="CR3" s="8">
        <f>VC_NEW2!CM53</f>
        <v>0</v>
      </c>
      <c r="CS3" s="8">
        <f>VC_NEW2!CN53</f>
        <v>0</v>
      </c>
      <c r="CT3" s="8">
        <f>VC_NEW2!CO53</f>
        <v>0</v>
      </c>
      <c r="CU3" s="8">
        <f>VC_NEW2!CP53</f>
        <v>0</v>
      </c>
      <c r="CV3" s="8">
        <f>VC_NEW2!CQ53</f>
        <v>0</v>
      </c>
      <c r="CW3" s="8">
        <f>VC_NEW2!CR53</f>
        <v>0</v>
      </c>
      <c r="CX3" s="8">
        <f>VC_NEW2!CS53</f>
        <v>0</v>
      </c>
      <c r="CY3" s="8">
        <f>VC_NEW2!CT53</f>
        <v>0</v>
      </c>
      <c r="CZ3" s="8" t="str">
        <f>VC_NEW2!CU53</f>
        <v>OXA-2</v>
      </c>
      <c r="DA3" s="8">
        <f>VC_NEW2!CV53</f>
        <v>0</v>
      </c>
      <c r="DB3" s="8">
        <f>VC_NEW2!CW53</f>
        <v>0</v>
      </c>
      <c r="DC3" s="8">
        <f>VC_NEW2!CX53</f>
        <v>0</v>
      </c>
      <c r="DD3" s="8">
        <f>VC_NEW2!CY53</f>
        <v>0</v>
      </c>
      <c r="DE3" s="8">
        <f>VC_NEW2!CZ53</f>
        <v>0</v>
      </c>
      <c r="DF3" s="8">
        <f>VC_NEW2!DA53</f>
        <v>0</v>
      </c>
      <c r="DG3" s="8">
        <f>VC_NEW2!DB53</f>
        <v>0</v>
      </c>
      <c r="DH3" s="8">
        <f>VC_NEW2!DC53</f>
        <v>0</v>
      </c>
      <c r="DI3" s="8">
        <f>VC_NEW2!DD53</f>
        <v>0</v>
      </c>
      <c r="DJ3" s="8">
        <f>VC_NEW2!DE53</f>
        <v>0</v>
      </c>
      <c r="DK3" s="8" t="str">
        <f>VC_NEW2!DF53</f>
        <v>blaIMP-1 (K41E)</v>
      </c>
      <c r="DL3" s="8">
        <f>VC_NEW2!DG53</f>
        <v>0</v>
      </c>
      <c r="DM3" s="8">
        <f>VC_NEW2!DH53</f>
        <v>0</v>
      </c>
      <c r="DN3" s="8">
        <f>VC_NEW2!DI53</f>
        <v>0</v>
      </c>
      <c r="DO3" s="8">
        <f>VC_NEW2!DJ53</f>
        <v>0</v>
      </c>
      <c r="DP3" s="8">
        <f>VC_NEW2!DK53</f>
        <v>0</v>
      </c>
      <c r="DQ3" s="8">
        <f>VC_NEW2!DL53</f>
        <v>0</v>
      </c>
      <c r="DR3" s="8">
        <f>VC_NEW2!DM53</f>
        <v>0</v>
      </c>
      <c r="DS3" s="8">
        <f>VC_NEW2!DN53</f>
        <v>0</v>
      </c>
      <c r="DT3" s="8">
        <f>VC_NEW2!DO53</f>
        <v>0</v>
      </c>
      <c r="DU3" s="8">
        <f>VC_NEW2!DP53</f>
        <v>0</v>
      </c>
      <c r="DV3" s="8">
        <f>VC_NEW2!DQ53</f>
        <v>0</v>
      </c>
      <c r="DW3" s="8">
        <f>VC_NEW2!DR53</f>
        <v>0</v>
      </c>
      <c r="DX3" s="8">
        <f>VC_NEW2!DS53</f>
        <v>0</v>
      </c>
      <c r="DY3" s="8">
        <f>VC_NEW2!DT53</f>
        <v>0</v>
      </c>
      <c r="DZ3" s="8">
        <f>VC_NEW2!DU53</f>
        <v>0</v>
      </c>
      <c r="EA3" s="8" t="str">
        <f>VC_NEW2!DV53</f>
        <v xml:space="preserve">blaVIM-20, blaOXA-2 </v>
      </c>
      <c r="EB3" s="8">
        <f>VC_NEW2!DW53</f>
        <v>0</v>
      </c>
      <c r="EC3" s="8">
        <f>VC_NEW2!DX53</f>
        <v>0</v>
      </c>
      <c r="ED3" s="8">
        <f>VC_NEW2!DY53</f>
        <v>0</v>
      </c>
      <c r="EE3" s="8" t="str">
        <f>VC_NEW2!DZ53</f>
        <v>blaVIM-20, blaOXA-210</v>
      </c>
      <c r="EF3" s="8">
        <f>VC_NEW2!EA53</f>
        <v>0</v>
      </c>
      <c r="EG3" s="8">
        <f>VC_NEW2!EB53</f>
        <v>0</v>
      </c>
      <c r="EH3" s="8">
        <f>VC_NEW2!EC53</f>
        <v>0</v>
      </c>
      <c r="EI3" s="8">
        <f>VC_NEW2!ED53</f>
        <v>0</v>
      </c>
      <c r="EJ3" s="8">
        <f>VC_NEW2!EE53</f>
        <v>0</v>
      </c>
      <c r="EK3" s="8">
        <f>VC_NEW2!EF53</f>
        <v>0</v>
      </c>
      <c r="EL3" s="8">
        <f>VC_NEW2!EG53</f>
        <v>0</v>
      </c>
      <c r="EM3" s="8">
        <f>VC_NEW2!EH53</f>
        <v>0</v>
      </c>
      <c r="EN3" s="8">
        <f>VC_NEW2!EI53</f>
        <v>0</v>
      </c>
      <c r="EO3" s="8">
        <f>VC_NEW2!EJ53</f>
        <v>0</v>
      </c>
      <c r="EP3" s="8">
        <f>VC_NEW2!EK53</f>
        <v>0</v>
      </c>
      <c r="EQ3" s="8">
        <f>VC_NEW2!EL53</f>
        <v>0</v>
      </c>
      <c r="ER3" s="8">
        <f>VC_NEW2!EM53</f>
        <v>0</v>
      </c>
      <c r="ES3" s="8">
        <f>VC_NEW2!EN53</f>
        <v>0</v>
      </c>
      <c r="ET3" s="8">
        <f>VC_NEW2!EO53</f>
        <v>0</v>
      </c>
      <c r="EU3" s="8">
        <f>VC_NEW2!EP53</f>
        <v>0</v>
      </c>
      <c r="EV3" s="8">
        <f>VC_NEW2!EQ53</f>
        <v>0</v>
      </c>
      <c r="EW3" s="8">
        <f>VC_NEW2!ER53</f>
        <v>0</v>
      </c>
      <c r="EX3" s="8">
        <f>VC_NEW2!ES53</f>
        <v>0</v>
      </c>
      <c r="EY3" s="8">
        <f>VC_NEW2!ET53</f>
        <v>0</v>
      </c>
      <c r="EZ3" s="8">
        <f>VC_NEW2!EU53</f>
        <v>0</v>
      </c>
      <c r="FA3" s="8">
        <f>VC_NEW2!EV53</f>
        <v>0</v>
      </c>
      <c r="FB3" s="8">
        <f>VC_NEW2!EW53</f>
        <v>0</v>
      </c>
      <c r="FC3" s="8">
        <f>VC_NEW2!EX53</f>
        <v>0</v>
      </c>
      <c r="FD3" s="8">
        <f>VC_NEW2!EY53</f>
        <v>0</v>
      </c>
      <c r="FE3" s="8">
        <f>VC_NEW2!EZ53</f>
        <v>0</v>
      </c>
      <c r="FF3" s="8">
        <f>VC_NEW2!FA53</f>
        <v>0</v>
      </c>
      <c r="FG3" s="8">
        <f>VC_NEW2!FB53</f>
        <v>0</v>
      </c>
      <c r="FH3" s="8">
        <f>VC_NEW2!FC53</f>
        <v>0</v>
      </c>
      <c r="FI3" s="8" t="str">
        <f>VC_NEW2!FD53</f>
        <v>bla-CARB3</v>
      </c>
      <c r="FJ3" s="8">
        <f>VC_NEW2!FE53</f>
        <v>0</v>
      </c>
      <c r="FK3" s="8">
        <f>VC_NEW2!FF53</f>
        <v>0</v>
      </c>
      <c r="FL3" s="8">
        <f>VC_NEW2!FG53</f>
        <v>0</v>
      </c>
      <c r="FM3" s="8">
        <f>VC_NEW2!FH53</f>
        <v>0</v>
      </c>
      <c r="FN3" s="8">
        <f>VC_NEW2!FI53</f>
        <v>0</v>
      </c>
      <c r="FO3" s="8">
        <f>VC_NEW2!FJ53</f>
        <v>0</v>
      </c>
      <c r="FP3" s="8">
        <f>VC_NEW2!FK53</f>
        <v>0</v>
      </c>
      <c r="FQ3" s="8">
        <f>VC_NEW2!FL53</f>
        <v>0</v>
      </c>
      <c r="FR3" s="8">
        <f>VC_NEW2!FM53</f>
        <v>0</v>
      </c>
      <c r="FS3" s="8">
        <f>VC_NEW2!FN53</f>
        <v>0</v>
      </c>
      <c r="FT3" s="8">
        <f>VC_NEW2!FO53</f>
        <v>0</v>
      </c>
      <c r="FU3" s="8" t="str">
        <f>VC_NEW2!FP53</f>
        <v>blaOXA-2</v>
      </c>
      <c r="FV3" s="8">
        <f>VC_NEW2!FQ53</f>
        <v>0</v>
      </c>
      <c r="FW3" s="8">
        <f>VC_NEW2!FR53</f>
        <v>0</v>
      </c>
      <c r="FX3" s="8">
        <f>VC_NEW2!FS53</f>
        <v>0</v>
      </c>
      <c r="FY3" s="8">
        <f>VC_NEW2!FT53</f>
        <v>0</v>
      </c>
      <c r="FZ3" s="8">
        <f>VC_NEW2!FU53</f>
        <v>0</v>
      </c>
      <c r="GA3" s="8" t="str">
        <f>VC_NEW2!FV53</f>
        <v>blaGES-5</v>
      </c>
      <c r="GB3" s="8">
        <f>VC_NEW2!FW53</f>
        <v>0</v>
      </c>
      <c r="GC3" s="8">
        <f>VC_NEW2!FX53</f>
        <v>0</v>
      </c>
      <c r="GD3" s="8">
        <f>VC_NEW2!FY53</f>
        <v>0</v>
      </c>
      <c r="GE3" s="8">
        <f>VC_NEW2!FZ53</f>
        <v>0</v>
      </c>
      <c r="GF3" s="8">
        <f>VC_NEW2!GA53</f>
        <v>0</v>
      </c>
      <c r="GG3" s="8">
        <f>VC_NEW2!GB53</f>
        <v>0</v>
      </c>
      <c r="GH3" s="8">
        <f>VC_NEW2!GC53</f>
        <v>0</v>
      </c>
      <c r="GI3" s="8">
        <f>VC_NEW2!GD53</f>
        <v>0</v>
      </c>
      <c r="GJ3" s="8">
        <f>VC_NEW2!GE53</f>
        <v>0</v>
      </c>
      <c r="GK3" s="8">
        <f>VC_NEW2!GF53</f>
        <v>0</v>
      </c>
      <c r="GL3" s="8">
        <f>VC_NEW2!GG53</f>
        <v>0</v>
      </c>
      <c r="GM3" s="8">
        <f>VC_NEW2!GH53</f>
        <v>0</v>
      </c>
      <c r="GN3" s="8">
        <f>VC_NEW2!GI53</f>
        <v>0</v>
      </c>
      <c r="GO3" s="8">
        <f>VC_NEW2!GJ53</f>
        <v>0</v>
      </c>
      <c r="GP3" s="8">
        <f>VC_NEW2!GK53</f>
        <v>0</v>
      </c>
      <c r="GQ3" s="8">
        <f>VC_NEW2!GL53</f>
        <v>0</v>
      </c>
      <c r="GR3" s="8">
        <f>VC_NEW2!GM53</f>
        <v>0</v>
      </c>
      <c r="GS3" s="8">
        <f>VC_NEW2!GN53</f>
        <v>0</v>
      </c>
      <c r="GT3" s="8">
        <f>VC_NEW2!GO53</f>
        <v>0</v>
      </c>
      <c r="GU3" s="8">
        <f>VC_NEW2!GP53</f>
        <v>0</v>
      </c>
      <c r="GV3" s="8">
        <f>VC_NEW2!GQ53</f>
        <v>0</v>
      </c>
      <c r="GW3" s="8">
        <f>VC_NEW2!GR53</f>
        <v>0</v>
      </c>
      <c r="GX3" s="8">
        <f>VC_NEW2!GS53</f>
        <v>0</v>
      </c>
      <c r="GY3" s="8" t="str">
        <f>VC_NEW2!GT53</f>
        <v>blaCARB-2</v>
      </c>
      <c r="GZ3" s="8">
        <f>VC_NEW2!GU53</f>
        <v>0</v>
      </c>
      <c r="HA3" s="8">
        <f>VC_NEW2!GV53</f>
        <v>0</v>
      </c>
      <c r="HB3" s="8">
        <f>VC_NEW2!GW53</f>
        <v>0</v>
      </c>
      <c r="HC3" s="8">
        <f>VC_NEW2!GX53</f>
        <v>0</v>
      </c>
    </row>
    <row r="4" spans="1:211" s="7" customFormat="1" ht="15.75" customHeight="1" x14ac:dyDescent="0.25">
      <c r="A4" s="7" t="s">
        <v>94</v>
      </c>
      <c r="B4" s="7" t="s">
        <v>100</v>
      </c>
      <c r="C4" s="8" t="s">
        <v>2</v>
      </c>
      <c r="D4" s="7" t="s">
        <v>76</v>
      </c>
      <c r="E4" s="7">
        <v>2</v>
      </c>
      <c r="H4" s="8">
        <f>VC_NEW2!C54</f>
        <v>0</v>
      </c>
      <c r="I4" s="8">
        <f>VC_NEW2!D54</f>
        <v>0</v>
      </c>
      <c r="J4" s="8">
        <f>VC_NEW2!E54</f>
        <v>0</v>
      </c>
      <c r="K4" s="8">
        <f>VC_NEW2!F54</f>
        <v>0</v>
      </c>
      <c r="L4" s="8">
        <f>VC_NEW2!G54</f>
        <v>0</v>
      </c>
      <c r="M4" s="8">
        <f>VC_NEW2!H54</f>
        <v>0</v>
      </c>
      <c r="N4" s="8">
        <f>VC_NEW2!I54</f>
        <v>0</v>
      </c>
      <c r="O4" s="8">
        <f>VC_NEW2!J54</f>
        <v>0</v>
      </c>
      <c r="P4" s="8">
        <f>VC_NEW2!K54</f>
        <v>0</v>
      </c>
      <c r="Q4" s="8">
        <f>VC_NEW2!L54</f>
        <v>0</v>
      </c>
      <c r="R4" s="8">
        <f>VC_NEW2!M54</f>
        <v>0</v>
      </c>
      <c r="S4" s="8">
        <f>VC_NEW2!N54</f>
        <v>0</v>
      </c>
      <c r="T4" s="8">
        <f>VC_NEW2!O54</f>
        <v>0</v>
      </c>
      <c r="U4" s="8">
        <f>VC_NEW2!P54</f>
        <v>0</v>
      </c>
      <c r="V4" s="8">
        <f>VC_NEW2!Q54</f>
        <v>0</v>
      </c>
      <c r="W4" s="8">
        <f>VC_NEW2!R54</f>
        <v>0</v>
      </c>
      <c r="X4" s="8">
        <f>VC_NEW2!S54</f>
        <v>0</v>
      </c>
      <c r="Y4" s="8">
        <f>VC_NEW2!T54</f>
        <v>0</v>
      </c>
      <c r="Z4" s="8">
        <f>VC_NEW2!U54</f>
        <v>0</v>
      </c>
      <c r="AA4" s="8">
        <f>VC_NEW2!V54</f>
        <v>0</v>
      </c>
      <c r="AB4" s="8">
        <f>VC_NEW2!W54</f>
        <v>0</v>
      </c>
      <c r="AC4" s="8">
        <f>VC_NEW2!X54</f>
        <v>0</v>
      </c>
      <c r="AD4" s="8">
        <f>VC_NEW2!Y54</f>
        <v>0</v>
      </c>
      <c r="AE4" s="8">
        <f>VC_NEW2!Z54</f>
        <v>0</v>
      </c>
      <c r="AF4" s="8">
        <f>VC_NEW2!AA54</f>
        <v>0</v>
      </c>
      <c r="AG4" s="8">
        <f>VC_NEW2!AB54</f>
        <v>0</v>
      </c>
      <c r="AH4" s="8">
        <f>VC_NEW2!AC54</f>
        <v>0</v>
      </c>
      <c r="AI4" s="8">
        <f>VC_NEW2!AD54</f>
        <v>0</v>
      </c>
      <c r="AJ4" s="8">
        <f>VC_NEW2!AE54</f>
        <v>0</v>
      </c>
      <c r="AK4" s="8">
        <f>VC_NEW2!AF54</f>
        <v>0</v>
      </c>
      <c r="AL4" s="8">
        <f>VC_NEW2!AG54</f>
        <v>0</v>
      </c>
      <c r="AM4" s="8">
        <f>VC_NEW2!AH54</f>
        <v>0</v>
      </c>
      <c r="AN4" s="8">
        <f>VC_NEW2!AI54</f>
        <v>0</v>
      </c>
      <c r="AO4" s="8">
        <f>VC_NEW2!AJ54</f>
        <v>0</v>
      </c>
      <c r="AP4" s="8">
        <f>VC_NEW2!AK54</f>
        <v>0</v>
      </c>
      <c r="AQ4" s="8">
        <f>VC_NEW2!AL54</f>
        <v>0</v>
      </c>
      <c r="AR4" s="8">
        <f>VC_NEW2!AM54</f>
        <v>0</v>
      </c>
      <c r="AS4" s="8">
        <f>VC_NEW2!AN54</f>
        <v>0</v>
      </c>
      <c r="AT4" s="8">
        <f>VC_NEW2!AO54</f>
        <v>0</v>
      </c>
      <c r="AU4" s="8">
        <f>VC_NEW2!AP54</f>
        <v>0</v>
      </c>
      <c r="AV4" s="8">
        <f>VC_NEW2!AQ54</f>
        <v>0</v>
      </c>
      <c r="AW4" s="8">
        <f>VC_NEW2!AR54</f>
        <v>0</v>
      </c>
      <c r="AX4" s="8">
        <f>VC_NEW2!AS54</f>
        <v>0</v>
      </c>
      <c r="AY4" s="8">
        <f>VC_NEW2!AT54</f>
        <v>0</v>
      </c>
      <c r="AZ4" s="8">
        <f>VC_NEW2!AU54</f>
        <v>0</v>
      </c>
      <c r="BA4" s="8">
        <f>VC_NEW2!AV54</f>
        <v>0</v>
      </c>
      <c r="BB4" s="8">
        <f>VC_NEW2!AW54</f>
        <v>0</v>
      </c>
      <c r="BC4" s="8">
        <f>VC_NEW2!AX54</f>
        <v>0</v>
      </c>
      <c r="BD4" s="8">
        <f>VC_NEW2!AY54</f>
        <v>0</v>
      </c>
      <c r="BE4" s="8">
        <f>VC_NEW2!AZ54</f>
        <v>0</v>
      </c>
      <c r="BF4" s="8">
        <f>VC_NEW2!BA54</f>
        <v>0</v>
      </c>
      <c r="BG4" s="8">
        <f>VC_NEW2!BB54</f>
        <v>0</v>
      </c>
      <c r="BH4" s="8">
        <f>VC_NEW2!BC54</f>
        <v>0</v>
      </c>
      <c r="BI4" s="8">
        <f>VC_NEW2!BD54</f>
        <v>0</v>
      </c>
      <c r="BJ4" s="8" t="str">
        <f>VC_NEW2!BE54</f>
        <v>blaOXA-15</v>
      </c>
      <c r="BK4" s="8">
        <f>VC_NEW2!BF54</f>
        <v>0</v>
      </c>
      <c r="BL4" s="8">
        <f>VC_NEW2!BG54</f>
        <v>0</v>
      </c>
      <c r="BM4" s="8">
        <f>VC_NEW2!BH54</f>
        <v>0</v>
      </c>
      <c r="BN4" s="8">
        <f>VC_NEW2!BI54</f>
        <v>0</v>
      </c>
      <c r="BO4" s="8">
        <f>VC_NEW2!BJ54</f>
        <v>0</v>
      </c>
      <c r="BP4" s="8">
        <f>VC_NEW2!BK54</f>
        <v>0</v>
      </c>
      <c r="BQ4" s="8">
        <f>VC_NEW2!BL54</f>
        <v>0</v>
      </c>
      <c r="BR4" s="8" t="str">
        <f>VC_NEW2!BM54</f>
        <v>blaOXA46(IS)</v>
      </c>
      <c r="BS4" s="8">
        <f>VC_NEW2!BN54</f>
        <v>0</v>
      </c>
      <c r="BT4" s="8">
        <f>VC_NEW2!BO54</f>
        <v>0</v>
      </c>
      <c r="BU4" s="8">
        <f>VC_NEW2!BP54</f>
        <v>0</v>
      </c>
      <c r="BV4" s="8">
        <f>VC_NEW2!BQ54</f>
        <v>0</v>
      </c>
      <c r="BW4" s="8">
        <f>VC_NEW2!BR54</f>
        <v>0</v>
      </c>
      <c r="BX4" s="8">
        <f>VC_NEW2!BS54</f>
        <v>0</v>
      </c>
      <c r="BY4" s="8">
        <f>VC_NEW2!BT54</f>
        <v>0</v>
      </c>
      <c r="BZ4" s="8">
        <f>VC_NEW2!BU54</f>
        <v>0</v>
      </c>
      <c r="CA4" s="8">
        <f>VC_NEW2!BV54</f>
        <v>0</v>
      </c>
      <c r="CB4" s="8">
        <f>VC_NEW2!BW54</f>
        <v>0</v>
      </c>
      <c r="CC4" s="8">
        <f>VC_NEW2!BX54</f>
        <v>0</v>
      </c>
      <c r="CD4" s="8">
        <f>VC_NEW2!BY54</f>
        <v>0</v>
      </c>
      <c r="CE4" s="8">
        <f>VC_NEW2!BZ54</f>
        <v>0</v>
      </c>
      <c r="CF4" s="8">
        <f>VC_NEW2!CA54</f>
        <v>0</v>
      </c>
      <c r="CG4" s="8">
        <f>VC_NEW2!CB54</f>
        <v>0</v>
      </c>
      <c r="CH4" s="8">
        <f>VC_NEW2!CC54</f>
        <v>0</v>
      </c>
      <c r="CI4" s="8">
        <f>VC_NEW2!CD54</f>
        <v>0</v>
      </c>
      <c r="CJ4" s="8">
        <f>VC_NEW2!CE54</f>
        <v>0</v>
      </c>
      <c r="CK4" s="8">
        <f>VC_NEW2!CF54</f>
        <v>0</v>
      </c>
      <c r="CL4" s="8">
        <f>VC_NEW2!CG54</f>
        <v>0</v>
      </c>
      <c r="CM4" s="8" t="str">
        <f>VC_NEW2!CH54</f>
        <v>blaVIM-1</v>
      </c>
      <c r="CN4" s="8">
        <f>VC_NEW2!CI54</f>
        <v>0</v>
      </c>
      <c r="CO4" s="8">
        <f>VC_NEW2!CJ54</f>
        <v>0</v>
      </c>
      <c r="CP4" s="8">
        <f>VC_NEW2!CK54</f>
        <v>0</v>
      </c>
      <c r="CQ4" s="8">
        <f>VC_NEW2!CL54</f>
        <v>0</v>
      </c>
      <c r="CR4" s="8">
        <f>VC_NEW2!CM54</f>
        <v>0</v>
      </c>
      <c r="CS4" s="8">
        <f>VC_NEW2!CN54</f>
        <v>0</v>
      </c>
      <c r="CT4" s="8">
        <f>VC_NEW2!CO54</f>
        <v>0</v>
      </c>
      <c r="CU4" s="8">
        <f>VC_NEW2!CP54</f>
        <v>0</v>
      </c>
      <c r="CV4" s="8">
        <f>VC_NEW2!CQ54</f>
        <v>0</v>
      </c>
      <c r="CW4" s="8">
        <f>VC_NEW2!CR54</f>
        <v>0</v>
      </c>
      <c r="CX4" s="8">
        <f>VC_NEW2!CS54</f>
        <v>0</v>
      </c>
      <c r="CY4" s="8">
        <f>VC_NEW2!CT54</f>
        <v>0</v>
      </c>
      <c r="CZ4" s="8" t="str">
        <f>VC_NEW2!CU54</f>
        <v>OXA-2</v>
      </c>
      <c r="DA4" s="8">
        <f>VC_NEW2!CV54</f>
        <v>0</v>
      </c>
      <c r="DB4" s="8">
        <f>VC_NEW2!CW54</f>
        <v>0</v>
      </c>
      <c r="DC4" s="8">
        <f>VC_NEW2!CX54</f>
        <v>0</v>
      </c>
      <c r="DD4" s="8">
        <f>VC_NEW2!CY54</f>
        <v>0</v>
      </c>
      <c r="DE4" s="8">
        <f>VC_NEW2!CZ54</f>
        <v>0</v>
      </c>
      <c r="DF4" s="8">
        <f>VC_NEW2!DA54</f>
        <v>0</v>
      </c>
      <c r="DG4" s="8">
        <f>VC_NEW2!DB54</f>
        <v>0</v>
      </c>
      <c r="DH4" s="8">
        <f>VC_NEW2!DC54</f>
        <v>0</v>
      </c>
      <c r="DI4" s="8">
        <f>VC_NEW2!DD54</f>
        <v>0</v>
      </c>
      <c r="DJ4" s="8">
        <f>VC_NEW2!DE54</f>
        <v>0</v>
      </c>
      <c r="DK4" s="8" t="str">
        <f>VC_NEW2!DF54</f>
        <v>blaIMP-1 (K41E)</v>
      </c>
      <c r="DL4" s="8">
        <f>VC_NEW2!DG54</f>
        <v>0</v>
      </c>
      <c r="DM4" s="8">
        <f>VC_NEW2!DH54</f>
        <v>0</v>
      </c>
      <c r="DN4" s="8">
        <f>VC_NEW2!DI54</f>
        <v>0</v>
      </c>
      <c r="DO4" s="8">
        <f>VC_NEW2!DJ54</f>
        <v>0</v>
      </c>
      <c r="DP4" s="8">
        <f>VC_NEW2!DK54</f>
        <v>0</v>
      </c>
      <c r="DQ4" s="8">
        <f>VC_NEW2!DL54</f>
        <v>0</v>
      </c>
      <c r="DR4" s="8">
        <f>VC_NEW2!DM54</f>
        <v>0</v>
      </c>
      <c r="DS4" s="8">
        <f>VC_NEW2!DN54</f>
        <v>0</v>
      </c>
      <c r="DT4" s="8">
        <f>VC_NEW2!DO54</f>
        <v>0</v>
      </c>
      <c r="DU4" s="8">
        <f>VC_NEW2!DP54</f>
        <v>0</v>
      </c>
      <c r="DV4" s="8">
        <f>VC_NEW2!DQ54</f>
        <v>0</v>
      </c>
      <c r="DW4" s="8">
        <f>VC_NEW2!DR54</f>
        <v>0</v>
      </c>
      <c r="DX4" s="8">
        <f>VC_NEW2!DS54</f>
        <v>0</v>
      </c>
      <c r="DY4" s="8">
        <f>VC_NEW2!DT54</f>
        <v>0</v>
      </c>
      <c r="DZ4" s="8">
        <f>VC_NEW2!DU54</f>
        <v>0</v>
      </c>
      <c r="EA4" s="8" t="str">
        <f>VC_NEW2!DV54</f>
        <v xml:space="preserve">blaVIM-20, blaOXA-2 </v>
      </c>
      <c r="EB4" s="8">
        <f>VC_NEW2!DW54</f>
        <v>0</v>
      </c>
      <c r="EC4" s="8">
        <f>VC_NEW2!DX54</f>
        <v>0</v>
      </c>
      <c r="ED4" s="8">
        <f>VC_NEW2!DY54</f>
        <v>0</v>
      </c>
      <c r="EE4" s="8" t="str">
        <f>VC_NEW2!DZ54</f>
        <v>blaVIM-20, blaOXA-210</v>
      </c>
      <c r="EF4" s="8">
        <f>VC_NEW2!EA54</f>
        <v>0</v>
      </c>
      <c r="EG4" s="8">
        <f>VC_NEW2!EB54</f>
        <v>0</v>
      </c>
      <c r="EH4" s="8">
        <f>VC_NEW2!EC54</f>
        <v>0</v>
      </c>
      <c r="EI4" s="8">
        <f>VC_NEW2!ED54</f>
        <v>0</v>
      </c>
      <c r="EJ4" s="8">
        <f>VC_NEW2!EE54</f>
        <v>0</v>
      </c>
      <c r="EK4" s="8">
        <f>VC_NEW2!EF54</f>
        <v>0</v>
      </c>
      <c r="EL4" s="8">
        <f>VC_NEW2!EG54</f>
        <v>0</v>
      </c>
      <c r="EM4" s="8">
        <f>VC_NEW2!EH54</f>
        <v>0</v>
      </c>
      <c r="EN4" s="8">
        <f>VC_NEW2!EI54</f>
        <v>0</v>
      </c>
      <c r="EO4" s="8">
        <f>VC_NEW2!EJ54</f>
        <v>0</v>
      </c>
      <c r="EP4" s="8">
        <f>VC_NEW2!EK54</f>
        <v>0</v>
      </c>
      <c r="EQ4" s="8">
        <f>VC_NEW2!EL54</f>
        <v>0</v>
      </c>
      <c r="ER4" s="8">
        <f>VC_NEW2!EM54</f>
        <v>0</v>
      </c>
      <c r="ES4" s="8">
        <f>VC_NEW2!EN54</f>
        <v>0</v>
      </c>
      <c r="ET4" s="8">
        <f>VC_NEW2!EO54</f>
        <v>0</v>
      </c>
      <c r="EU4" s="8">
        <f>VC_NEW2!EP54</f>
        <v>0</v>
      </c>
      <c r="EV4" s="8">
        <f>VC_NEW2!EQ54</f>
        <v>0</v>
      </c>
      <c r="EW4" s="8">
        <f>VC_NEW2!ER54</f>
        <v>0</v>
      </c>
      <c r="EX4" s="8">
        <f>VC_NEW2!ES54</f>
        <v>0</v>
      </c>
      <c r="EY4" s="8">
        <f>VC_NEW2!ET54</f>
        <v>0</v>
      </c>
      <c r="EZ4" s="8">
        <f>VC_NEW2!EU54</f>
        <v>0</v>
      </c>
      <c r="FA4" s="8">
        <f>VC_NEW2!EV54</f>
        <v>0</v>
      </c>
      <c r="FB4" s="8">
        <f>VC_NEW2!EW54</f>
        <v>0</v>
      </c>
      <c r="FC4" s="8">
        <f>VC_NEW2!EX54</f>
        <v>0</v>
      </c>
      <c r="FD4" s="8">
        <f>VC_NEW2!EY54</f>
        <v>0</v>
      </c>
      <c r="FE4" s="8">
        <f>VC_NEW2!EZ54</f>
        <v>0</v>
      </c>
      <c r="FF4" s="8">
        <f>VC_NEW2!FA54</f>
        <v>0</v>
      </c>
      <c r="FG4" s="8">
        <f>VC_NEW2!FB54</f>
        <v>0</v>
      </c>
      <c r="FH4" s="8">
        <f>VC_NEW2!FC54</f>
        <v>0</v>
      </c>
      <c r="FI4" s="8" t="str">
        <f>VC_NEW2!FD54</f>
        <v>bla-CARB3</v>
      </c>
      <c r="FJ4" s="8">
        <f>VC_NEW2!FE54</f>
        <v>0</v>
      </c>
      <c r="FK4" s="8">
        <f>VC_NEW2!FF54</f>
        <v>0</v>
      </c>
      <c r="FL4" s="8">
        <f>VC_NEW2!FG54</f>
        <v>0</v>
      </c>
      <c r="FM4" s="8">
        <f>VC_NEW2!FH54</f>
        <v>0</v>
      </c>
      <c r="FN4" s="8">
        <f>VC_NEW2!FI54</f>
        <v>0</v>
      </c>
      <c r="FO4" s="8">
        <f>VC_NEW2!FJ54</f>
        <v>0</v>
      </c>
      <c r="FP4" s="8">
        <f>VC_NEW2!FK54</f>
        <v>0</v>
      </c>
      <c r="FQ4" s="8">
        <f>VC_NEW2!FL54</f>
        <v>0</v>
      </c>
      <c r="FR4" s="8">
        <f>VC_NEW2!FM54</f>
        <v>0</v>
      </c>
      <c r="FS4" s="8">
        <f>VC_NEW2!FN54</f>
        <v>0</v>
      </c>
      <c r="FT4" s="8">
        <f>VC_NEW2!FO54</f>
        <v>0</v>
      </c>
      <c r="FU4" s="8" t="str">
        <f>VC_NEW2!FP54</f>
        <v>blaOXA-2</v>
      </c>
      <c r="FV4" s="8">
        <f>VC_NEW2!FQ54</f>
        <v>0</v>
      </c>
      <c r="FW4" s="8">
        <f>VC_NEW2!FR54</f>
        <v>0</v>
      </c>
      <c r="FX4" s="8">
        <f>VC_NEW2!FS54</f>
        <v>0</v>
      </c>
      <c r="FY4" s="8">
        <f>VC_NEW2!FT54</f>
        <v>0</v>
      </c>
      <c r="FZ4" s="8">
        <f>VC_NEW2!FU54</f>
        <v>0</v>
      </c>
      <c r="GA4" s="8" t="str">
        <f>VC_NEW2!FV54</f>
        <v>blaGES-5</v>
      </c>
      <c r="GB4" s="8">
        <f>VC_NEW2!FW54</f>
        <v>0</v>
      </c>
      <c r="GC4" s="8">
        <f>VC_NEW2!FX54</f>
        <v>0</v>
      </c>
      <c r="GD4" s="8">
        <f>VC_NEW2!FY54</f>
        <v>0</v>
      </c>
      <c r="GE4" s="8">
        <f>VC_NEW2!FZ54</f>
        <v>0</v>
      </c>
      <c r="GF4" s="8">
        <f>VC_NEW2!GA54</f>
        <v>0</v>
      </c>
      <c r="GG4" s="8">
        <f>VC_NEW2!GB54</f>
        <v>0</v>
      </c>
      <c r="GH4" s="8">
        <f>VC_NEW2!GC54</f>
        <v>0</v>
      </c>
      <c r="GI4" s="8">
        <f>VC_NEW2!GD54</f>
        <v>0</v>
      </c>
      <c r="GJ4" s="8">
        <f>VC_NEW2!GE54</f>
        <v>0</v>
      </c>
      <c r="GK4" s="8">
        <f>VC_NEW2!GF54</f>
        <v>0</v>
      </c>
      <c r="GL4" s="8">
        <f>VC_NEW2!GG54</f>
        <v>0</v>
      </c>
      <c r="GM4" s="8">
        <f>VC_NEW2!GH54</f>
        <v>0</v>
      </c>
      <c r="GN4" s="8">
        <f>VC_NEW2!GI54</f>
        <v>0</v>
      </c>
      <c r="GO4" s="8">
        <f>VC_NEW2!GJ54</f>
        <v>0</v>
      </c>
      <c r="GP4" s="8">
        <f>VC_NEW2!GK54</f>
        <v>0</v>
      </c>
      <c r="GQ4" s="8">
        <f>VC_NEW2!GL54</f>
        <v>0</v>
      </c>
      <c r="GR4" s="8">
        <f>VC_NEW2!GM54</f>
        <v>0</v>
      </c>
      <c r="GS4" s="8">
        <f>VC_NEW2!GN54</f>
        <v>0</v>
      </c>
      <c r="GT4" s="8">
        <f>VC_NEW2!GO54</f>
        <v>0</v>
      </c>
      <c r="GU4" s="8">
        <f>VC_NEW2!GP54</f>
        <v>0</v>
      </c>
      <c r="GV4" s="8">
        <f>VC_NEW2!GQ54</f>
        <v>0</v>
      </c>
      <c r="GW4" s="8">
        <f>VC_NEW2!GR54</f>
        <v>0</v>
      </c>
      <c r="GX4" s="8">
        <f>VC_NEW2!GS54</f>
        <v>0</v>
      </c>
      <c r="GY4" s="8" t="str">
        <f>VC_NEW2!GT54</f>
        <v>blaCARB-2</v>
      </c>
      <c r="GZ4" s="8">
        <f>VC_NEW2!GU54</f>
        <v>0</v>
      </c>
      <c r="HA4" s="8">
        <f>VC_NEW2!GV54</f>
        <v>0</v>
      </c>
      <c r="HB4" s="8">
        <f>VC_NEW2!GW54</f>
        <v>0</v>
      </c>
      <c r="HC4" s="8">
        <f>VC_NEW2!GX54</f>
        <v>0</v>
      </c>
    </row>
    <row r="5" spans="1:211" s="7" customFormat="1" ht="15.75" customHeight="1" x14ac:dyDescent="0.25">
      <c r="A5" s="7" t="s">
        <v>94</v>
      </c>
      <c r="B5" s="7" t="s">
        <v>101</v>
      </c>
      <c r="C5" s="8" t="s">
        <v>2</v>
      </c>
      <c r="D5" s="7" t="s">
        <v>76</v>
      </c>
      <c r="E5" s="7">
        <v>0.5</v>
      </c>
      <c r="H5" s="8">
        <f>VC_NEW2!C54</f>
        <v>0</v>
      </c>
      <c r="I5" s="8">
        <f>VC_NEW2!D54</f>
        <v>0</v>
      </c>
      <c r="J5" s="8">
        <f>VC_NEW2!E54</f>
        <v>0</v>
      </c>
      <c r="K5" s="8">
        <f>VC_NEW2!F54</f>
        <v>0</v>
      </c>
      <c r="L5" s="8">
        <f>VC_NEW2!G54</f>
        <v>0</v>
      </c>
      <c r="M5" s="8">
        <f>VC_NEW2!H54</f>
        <v>0</v>
      </c>
      <c r="N5" s="8">
        <f>VC_NEW2!I54</f>
        <v>0</v>
      </c>
      <c r="O5" s="8">
        <f>VC_NEW2!J54</f>
        <v>0</v>
      </c>
      <c r="P5" s="8">
        <f>VC_NEW2!K54</f>
        <v>0</v>
      </c>
      <c r="Q5" s="8">
        <f>VC_NEW2!L54</f>
        <v>0</v>
      </c>
      <c r="R5" s="8">
        <f>VC_NEW2!M54</f>
        <v>0</v>
      </c>
      <c r="S5" s="8">
        <f>VC_NEW2!N54</f>
        <v>0</v>
      </c>
      <c r="T5" s="8">
        <f>VC_NEW2!O54</f>
        <v>0</v>
      </c>
      <c r="U5" s="8">
        <f>VC_NEW2!P54</f>
        <v>0</v>
      </c>
      <c r="V5" s="8">
        <f>VC_NEW2!Q54</f>
        <v>0</v>
      </c>
      <c r="W5" s="8">
        <f>VC_NEW2!R54</f>
        <v>0</v>
      </c>
      <c r="X5" s="8">
        <f>VC_NEW2!S54</f>
        <v>0</v>
      </c>
      <c r="Y5" s="8">
        <f>VC_NEW2!T54</f>
        <v>0</v>
      </c>
      <c r="Z5" s="8">
        <f>VC_NEW2!U54</f>
        <v>0</v>
      </c>
      <c r="AA5" s="8">
        <f>VC_NEW2!V54</f>
        <v>0</v>
      </c>
      <c r="AB5" s="8">
        <f>VC_NEW2!W54</f>
        <v>0</v>
      </c>
      <c r="AC5" s="8">
        <f>VC_NEW2!X54</f>
        <v>0</v>
      </c>
      <c r="AD5" s="8">
        <f>VC_NEW2!Y54</f>
        <v>0</v>
      </c>
      <c r="AE5" s="8">
        <f>VC_NEW2!Z54</f>
        <v>0</v>
      </c>
      <c r="AF5" s="8">
        <f>VC_NEW2!AA54</f>
        <v>0</v>
      </c>
      <c r="AG5" s="8">
        <f>VC_NEW2!AB54</f>
        <v>0</v>
      </c>
      <c r="AH5" s="8">
        <f>VC_NEW2!AC54</f>
        <v>0</v>
      </c>
      <c r="AI5" s="8">
        <f>VC_NEW2!AD54</f>
        <v>0</v>
      </c>
      <c r="AJ5" s="8">
        <f>VC_NEW2!AE54</f>
        <v>0</v>
      </c>
      <c r="AK5" s="8">
        <f>VC_NEW2!AF54</f>
        <v>0</v>
      </c>
      <c r="AL5" s="8">
        <f>VC_NEW2!AG54</f>
        <v>0</v>
      </c>
      <c r="AM5" s="8">
        <f>VC_NEW2!AH54</f>
        <v>0</v>
      </c>
      <c r="AN5" s="8">
        <f>VC_NEW2!AI54</f>
        <v>0</v>
      </c>
      <c r="AO5" s="8">
        <f>VC_NEW2!AJ54</f>
        <v>0</v>
      </c>
      <c r="AP5" s="8">
        <f>VC_NEW2!AK54</f>
        <v>0</v>
      </c>
      <c r="AQ5" s="8">
        <f>VC_NEW2!AL54</f>
        <v>0</v>
      </c>
      <c r="AR5" s="8">
        <f>VC_NEW2!AM54</f>
        <v>0</v>
      </c>
      <c r="AS5" s="8">
        <f>VC_NEW2!AN54</f>
        <v>0</v>
      </c>
      <c r="AT5" s="8">
        <f>VC_NEW2!AO54</f>
        <v>0</v>
      </c>
      <c r="AU5" s="8">
        <f>VC_NEW2!AP54</f>
        <v>0</v>
      </c>
      <c r="AV5" s="8">
        <f>VC_NEW2!AQ54</f>
        <v>0</v>
      </c>
      <c r="AW5" s="8">
        <f>VC_NEW2!AR54</f>
        <v>0</v>
      </c>
      <c r="AX5" s="8">
        <f>VC_NEW2!AS54</f>
        <v>0</v>
      </c>
      <c r="AY5" s="8">
        <f>VC_NEW2!AT54</f>
        <v>0</v>
      </c>
      <c r="AZ5" s="8">
        <f>VC_NEW2!AU54</f>
        <v>0</v>
      </c>
      <c r="BA5" s="8">
        <f>VC_NEW2!AV54</f>
        <v>0</v>
      </c>
      <c r="BB5" s="8">
        <f>VC_NEW2!AW54</f>
        <v>0</v>
      </c>
      <c r="BC5" s="8">
        <f>VC_NEW2!AX54</f>
        <v>0</v>
      </c>
      <c r="BD5" s="8">
        <f>VC_NEW2!AY54</f>
        <v>0</v>
      </c>
      <c r="BE5" s="8">
        <f>VC_NEW2!AZ54</f>
        <v>0</v>
      </c>
      <c r="BF5" s="8">
        <f>VC_NEW2!BA54</f>
        <v>0</v>
      </c>
      <c r="BG5" s="8">
        <f>VC_NEW2!BB54</f>
        <v>0</v>
      </c>
      <c r="BH5" s="8">
        <f>VC_NEW2!BC54</f>
        <v>0</v>
      </c>
      <c r="BI5" s="8">
        <f>VC_NEW2!BD54</f>
        <v>0</v>
      </c>
      <c r="BJ5" s="8" t="str">
        <f>VC_NEW2!BE54</f>
        <v>blaOXA-15</v>
      </c>
      <c r="BK5" s="8">
        <f>VC_NEW2!BF54</f>
        <v>0</v>
      </c>
      <c r="BL5" s="8">
        <f>VC_NEW2!BG54</f>
        <v>0</v>
      </c>
      <c r="BM5" s="8">
        <f>VC_NEW2!BH54</f>
        <v>0</v>
      </c>
      <c r="BN5" s="8">
        <f>VC_NEW2!BI54</f>
        <v>0</v>
      </c>
      <c r="BO5" s="8">
        <f>VC_NEW2!BJ54</f>
        <v>0</v>
      </c>
      <c r="BP5" s="8">
        <f>VC_NEW2!BK54</f>
        <v>0</v>
      </c>
      <c r="BQ5" s="8">
        <f>VC_NEW2!BL54</f>
        <v>0</v>
      </c>
      <c r="BR5" s="8" t="str">
        <f>VC_NEW2!BM54</f>
        <v>blaOXA46(IS)</v>
      </c>
      <c r="BS5" s="8">
        <f>VC_NEW2!BN54</f>
        <v>0</v>
      </c>
      <c r="BT5" s="8">
        <f>VC_NEW2!BO54</f>
        <v>0</v>
      </c>
      <c r="BU5" s="8">
        <f>VC_NEW2!BP54</f>
        <v>0</v>
      </c>
      <c r="BV5" s="8">
        <f>VC_NEW2!BQ54</f>
        <v>0</v>
      </c>
      <c r="BW5" s="8">
        <f>VC_NEW2!BR54</f>
        <v>0</v>
      </c>
      <c r="BX5" s="8">
        <f>VC_NEW2!BS54</f>
        <v>0</v>
      </c>
      <c r="BY5" s="8">
        <f>VC_NEW2!BT54</f>
        <v>0</v>
      </c>
      <c r="BZ5" s="8">
        <f>VC_NEW2!BU54</f>
        <v>0</v>
      </c>
      <c r="CA5" s="8">
        <f>VC_NEW2!BV54</f>
        <v>0</v>
      </c>
      <c r="CB5" s="8">
        <f>VC_NEW2!BW54</f>
        <v>0</v>
      </c>
      <c r="CC5" s="8">
        <f>VC_NEW2!BX54</f>
        <v>0</v>
      </c>
      <c r="CD5" s="8">
        <f>VC_NEW2!BY54</f>
        <v>0</v>
      </c>
      <c r="CE5" s="8">
        <f>VC_NEW2!BZ54</f>
        <v>0</v>
      </c>
      <c r="CF5" s="8">
        <f>VC_NEW2!CA54</f>
        <v>0</v>
      </c>
      <c r="CG5" s="8">
        <f>VC_NEW2!CB54</f>
        <v>0</v>
      </c>
      <c r="CH5" s="8">
        <f>VC_NEW2!CC54</f>
        <v>0</v>
      </c>
      <c r="CI5" s="8">
        <f>VC_NEW2!CD54</f>
        <v>0</v>
      </c>
      <c r="CJ5" s="8">
        <f>VC_NEW2!CE54</f>
        <v>0</v>
      </c>
      <c r="CK5" s="8">
        <f>VC_NEW2!CF54</f>
        <v>0</v>
      </c>
      <c r="CL5" s="8">
        <f>VC_NEW2!CG54</f>
        <v>0</v>
      </c>
      <c r="CM5" s="8" t="str">
        <f>VC_NEW2!CH54</f>
        <v>blaVIM-1</v>
      </c>
      <c r="CN5" s="8">
        <f>VC_NEW2!CI54</f>
        <v>0</v>
      </c>
      <c r="CO5" s="8">
        <f>VC_NEW2!CJ54</f>
        <v>0</v>
      </c>
      <c r="CP5" s="8">
        <f>VC_NEW2!CK54</f>
        <v>0</v>
      </c>
      <c r="CQ5" s="8">
        <f>VC_NEW2!CL54</f>
        <v>0</v>
      </c>
      <c r="CR5" s="8">
        <f>VC_NEW2!CM54</f>
        <v>0</v>
      </c>
      <c r="CS5" s="8">
        <f>VC_NEW2!CN54</f>
        <v>0</v>
      </c>
      <c r="CT5" s="8">
        <f>VC_NEW2!CO54</f>
        <v>0</v>
      </c>
      <c r="CU5" s="8">
        <f>VC_NEW2!CP54</f>
        <v>0</v>
      </c>
      <c r="CV5" s="8">
        <f>VC_NEW2!CQ54</f>
        <v>0</v>
      </c>
      <c r="CW5" s="8">
        <f>VC_NEW2!CR54</f>
        <v>0</v>
      </c>
      <c r="CX5" s="8">
        <f>VC_NEW2!CS54</f>
        <v>0</v>
      </c>
      <c r="CY5" s="8">
        <f>VC_NEW2!CT54</f>
        <v>0</v>
      </c>
      <c r="CZ5" s="8" t="str">
        <f>VC_NEW2!CU54</f>
        <v>OXA-2</v>
      </c>
      <c r="DA5" s="8">
        <f>VC_NEW2!CV54</f>
        <v>0</v>
      </c>
      <c r="DB5" s="8">
        <f>VC_NEW2!CW54</f>
        <v>0</v>
      </c>
      <c r="DC5" s="8">
        <f>VC_NEW2!CX54</f>
        <v>0</v>
      </c>
      <c r="DD5" s="8">
        <f>VC_NEW2!CY54</f>
        <v>0</v>
      </c>
      <c r="DE5" s="8">
        <f>VC_NEW2!CZ54</f>
        <v>0</v>
      </c>
      <c r="DF5" s="8">
        <f>VC_NEW2!DA54</f>
        <v>0</v>
      </c>
      <c r="DG5" s="8">
        <f>VC_NEW2!DB54</f>
        <v>0</v>
      </c>
      <c r="DH5" s="8">
        <f>VC_NEW2!DC54</f>
        <v>0</v>
      </c>
      <c r="DI5" s="8">
        <f>VC_NEW2!DD54</f>
        <v>0</v>
      </c>
      <c r="DJ5" s="8">
        <f>VC_NEW2!DE54</f>
        <v>0</v>
      </c>
      <c r="DK5" s="8" t="str">
        <f>VC_NEW2!DF54</f>
        <v>blaIMP-1 (K41E)</v>
      </c>
      <c r="DL5" s="8">
        <f>VC_NEW2!DG54</f>
        <v>0</v>
      </c>
      <c r="DM5" s="8">
        <f>VC_NEW2!DH54</f>
        <v>0</v>
      </c>
      <c r="DN5" s="8">
        <f>VC_NEW2!DI54</f>
        <v>0</v>
      </c>
      <c r="DO5" s="8">
        <f>VC_NEW2!DJ54</f>
        <v>0</v>
      </c>
      <c r="DP5" s="8">
        <f>VC_NEW2!DK54</f>
        <v>0</v>
      </c>
      <c r="DQ5" s="8">
        <f>VC_NEW2!DL54</f>
        <v>0</v>
      </c>
      <c r="DR5" s="8">
        <f>VC_NEW2!DM54</f>
        <v>0</v>
      </c>
      <c r="DS5" s="8">
        <f>VC_NEW2!DN54</f>
        <v>0</v>
      </c>
      <c r="DT5" s="8">
        <f>VC_NEW2!DO54</f>
        <v>0</v>
      </c>
      <c r="DU5" s="8">
        <f>VC_NEW2!DP54</f>
        <v>0</v>
      </c>
      <c r="DV5" s="8">
        <f>VC_NEW2!DQ54</f>
        <v>0</v>
      </c>
      <c r="DW5" s="8">
        <f>VC_NEW2!DR54</f>
        <v>0</v>
      </c>
      <c r="DX5" s="8">
        <f>VC_NEW2!DS54</f>
        <v>0</v>
      </c>
      <c r="DY5" s="8">
        <f>VC_NEW2!DT54</f>
        <v>0</v>
      </c>
      <c r="DZ5" s="8">
        <f>VC_NEW2!DU54</f>
        <v>0</v>
      </c>
      <c r="EA5" s="8" t="str">
        <f>VC_NEW2!DV54</f>
        <v xml:space="preserve">blaVIM-20, blaOXA-2 </v>
      </c>
      <c r="EB5" s="8">
        <f>VC_NEW2!DW54</f>
        <v>0</v>
      </c>
      <c r="EC5" s="8">
        <f>VC_NEW2!DX54</f>
        <v>0</v>
      </c>
      <c r="ED5" s="8">
        <f>VC_NEW2!DY54</f>
        <v>0</v>
      </c>
      <c r="EE5" s="8" t="str">
        <f>VC_NEW2!DZ54</f>
        <v>blaVIM-20, blaOXA-210</v>
      </c>
      <c r="EF5" s="8">
        <f>VC_NEW2!EA54</f>
        <v>0</v>
      </c>
      <c r="EG5" s="8">
        <f>VC_NEW2!EB54</f>
        <v>0</v>
      </c>
      <c r="EH5" s="8">
        <f>VC_NEW2!EC54</f>
        <v>0</v>
      </c>
      <c r="EI5" s="8">
        <f>VC_NEW2!ED54</f>
        <v>0</v>
      </c>
      <c r="EJ5" s="8">
        <f>VC_NEW2!EE54</f>
        <v>0</v>
      </c>
      <c r="EK5" s="8">
        <f>VC_NEW2!EF54</f>
        <v>0</v>
      </c>
      <c r="EL5" s="8">
        <f>VC_NEW2!EG54</f>
        <v>0</v>
      </c>
      <c r="EM5" s="8">
        <f>VC_NEW2!EH54</f>
        <v>0</v>
      </c>
      <c r="EN5" s="8">
        <f>VC_NEW2!EI54</f>
        <v>0</v>
      </c>
      <c r="EO5" s="8">
        <f>VC_NEW2!EJ54</f>
        <v>0</v>
      </c>
      <c r="EP5" s="8">
        <f>VC_NEW2!EK54</f>
        <v>0</v>
      </c>
      <c r="EQ5" s="8">
        <f>VC_NEW2!EL54</f>
        <v>0</v>
      </c>
      <c r="ER5" s="8">
        <f>VC_NEW2!EM54</f>
        <v>0</v>
      </c>
      <c r="ES5" s="8">
        <f>VC_NEW2!EN54</f>
        <v>0</v>
      </c>
      <c r="ET5" s="8">
        <f>VC_NEW2!EO54</f>
        <v>0</v>
      </c>
      <c r="EU5" s="8">
        <f>VC_NEW2!EP54</f>
        <v>0</v>
      </c>
      <c r="EV5" s="8">
        <f>VC_NEW2!EQ54</f>
        <v>0</v>
      </c>
      <c r="EW5" s="8">
        <f>VC_NEW2!ER54</f>
        <v>0</v>
      </c>
      <c r="EX5" s="8">
        <f>VC_NEW2!ES54</f>
        <v>0</v>
      </c>
      <c r="EY5" s="8">
        <f>VC_NEW2!ET54</f>
        <v>0</v>
      </c>
      <c r="EZ5" s="8">
        <f>VC_NEW2!EU54</f>
        <v>0</v>
      </c>
      <c r="FA5" s="8">
        <f>VC_NEW2!EV54</f>
        <v>0</v>
      </c>
      <c r="FB5" s="8">
        <f>VC_NEW2!EW54</f>
        <v>0</v>
      </c>
      <c r="FC5" s="8">
        <f>VC_NEW2!EX54</f>
        <v>0</v>
      </c>
      <c r="FD5" s="8">
        <f>VC_NEW2!EY54</f>
        <v>0</v>
      </c>
      <c r="FE5" s="8">
        <f>VC_NEW2!EZ54</f>
        <v>0</v>
      </c>
      <c r="FF5" s="8">
        <f>VC_NEW2!FA54</f>
        <v>0</v>
      </c>
      <c r="FG5" s="8">
        <f>VC_NEW2!FB54</f>
        <v>0</v>
      </c>
      <c r="FH5" s="8">
        <f>VC_NEW2!FC54</f>
        <v>0</v>
      </c>
      <c r="FI5" s="8" t="str">
        <f>VC_NEW2!FD54</f>
        <v>bla-CARB3</v>
      </c>
      <c r="FJ5" s="8">
        <f>VC_NEW2!FE54</f>
        <v>0</v>
      </c>
      <c r="FK5" s="8">
        <f>VC_NEW2!FF54</f>
        <v>0</v>
      </c>
      <c r="FL5" s="8">
        <f>VC_NEW2!FG54</f>
        <v>0</v>
      </c>
      <c r="FM5" s="8">
        <f>VC_NEW2!FH54</f>
        <v>0</v>
      </c>
      <c r="FN5" s="8">
        <f>VC_NEW2!FI54</f>
        <v>0</v>
      </c>
      <c r="FO5" s="8">
        <f>VC_NEW2!FJ54</f>
        <v>0</v>
      </c>
      <c r="FP5" s="8">
        <f>VC_NEW2!FK54</f>
        <v>0</v>
      </c>
      <c r="FQ5" s="8">
        <f>VC_NEW2!FL54</f>
        <v>0</v>
      </c>
      <c r="FR5" s="8">
        <f>VC_NEW2!FM54</f>
        <v>0</v>
      </c>
      <c r="FS5" s="8">
        <f>VC_NEW2!FN54</f>
        <v>0</v>
      </c>
      <c r="FT5" s="8">
        <f>VC_NEW2!FO54</f>
        <v>0</v>
      </c>
      <c r="FU5" s="8" t="str">
        <f>VC_NEW2!FP54</f>
        <v>blaOXA-2</v>
      </c>
      <c r="FV5" s="8">
        <f>VC_NEW2!FQ54</f>
        <v>0</v>
      </c>
      <c r="FW5" s="8">
        <f>VC_NEW2!FR54</f>
        <v>0</v>
      </c>
      <c r="FX5" s="8">
        <f>VC_NEW2!FS54</f>
        <v>0</v>
      </c>
      <c r="FY5" s="8">
        <f>VC_NEW2!FT54</f>
        <v>0</v>
      </c>
      <c r="FZ5" s="8">
        <f>VC_NEW2!FU54</f>
        <v>0</v>
      </c>
      <c r="GA5" s="8" t="str">
        <f>VC_NEW2!FV54</f>
        <v>blaGES-5</v>
      </c>
      <c r="GB5" s="8">
        <f>VC_NEW2!FW54</f>
        <v>0</v>
      </c>
      <c r="GC5" s="8">
        <f>VC_NEW2!FX54</f>
        <v>0</v>
      </c>
      <c r="GD5" s="8">
        <f>VC_NEW2!FY54</f>
        <v>0</v>
      </c>
      <c r="GE5" s="8">
        <f>VC_NEW2!FZ54</f>
        <v>0</v>
      </c>
      <c r="GF5" s="8">
        <f>VC_NEW2!GA54</f>
        <v>0</v>
      </c>
      <c r="GG5" s="8">
        <f>VC_NEW2!GB54</f>
        <v>0</v>
      </c>
      <c r="GH5" s="8">
        <f>VC_NEW2!GC54</f>
        <v>0</v>
      </c>
      <c r="GI5" s="8">
        <f>VC_NEW2!GD54</f>
        <v>0</v>
      </c>
      <c r="GJ5" s="8">
        <f>VC_NEW2!GE54</f>
        <v>0</v>
      </c>
      <c r="GK5" s="8">
        <f>VC_NEW2!GF54</f>
        <v>0</v>
      </c>
      <c r="GL5" s="8">
        <f>VC_NEW2!GG54</f>
        <v>0</v>
      </c>
      <c r="GM5" s="8">
        <f>VC_NEW2!GH54</f>
        <v>0</v>
      </c>
      <c r="GN5" s="8">
        <f>VC_NEW2!GI54</f>
        <v>0</v>
      </c>
      <c r="GO5" s="8">
        <f>VC_NEW2!GJ54</f>
        <v>0</v>
      </c>
      <c r="GP5" s="8">
        <f>VC_NEW2!GK54</f>
        <v>0</v>
      </c>
      <c r="GQ5" s="8">
        <f>VC_NEW2!GL54</f>
        <v>0</v>
      </c>
      <c r="GR5" s="8">
        <f>VC_NEW2!GM54</f>
        <v>0</v>
      </c>
      <c r="GS5" s="8">
        <f>VC_NEW2!GN54</f>
        <v>0</v>
      </c>
      <c r="GT5" s="8">
        <f>VC_NEW2!GO54</f>
        <v>0</v>
      </c>
      <c r="GU5" s="8">
        <f>VC_NEW2!GP54</f>
        <v>0</v>
      </c>
      <c r="GV5" s="8">
        <f>VC_NEW2!GQ54</f>
        <v>0</v>
      </c>
      <c r="GW5" s="8">
        <f>VC_NEW2!GR54</f>
        <v>0</v>
      </c>
      <c r="GX5" s="8">
        <f>VC_NEW2!GS54</f>
        <v>0</v>
      </c>
      <c r="GY5" s="8" t="str">
        <f>VC_NEW2!GT54</f>
        <v>blaCARB-2</v>
      </c>
      <c r="GZ5" s="8">
        <f>VC_NEW2!GU54</f>
        <v>0</v>
      </c>
      <c r="HA5" s="8">
        <f>VC_NEW2!GV54</f>
        <v>0</v>
      </c>
      <c r="HB5" s="8">
        <f>VC_NEW2!GW54</f>
        <v>0</v>
      </c>
      <c r="HC5" s="8">
        <f>VC_NEW2!GX54</f>
        <v>0</v>
      </c>
    </row>
    <row r="6" spans="1:211" s="10" customFormat="1" ht="15" hidden="1" customHeight="1" x14ac:dyDescent="0.25">
      <c r="A6" s="10" t="s">
        <v>94</v>
      </c>
      <c r="B6" s="10" t="s">
        <v>96</v>
      </c>
      <c r="C6" s="11" t="s">
        <v>4</v>
      </c>
      <c r="D6" s="10" t="s">
        <v>76</v>
      </c>
      <c r="E6" s="10">
        <v>1</v>
      </c>
      <c r="H6" s="10">
        <f>VC_NEW2!C55</f>
        <v>0</v>
      </c>
      <c r="I6" s="10">
        <f>VC_NEW2!D55</f>
        <v>0</v>
      </c>
      <c r="J6" s="10">
        <f>VC_NEW2!E55</f>
        <v>0</v>
      </c>
      <c r="K6" s="10">
        <f>VC_NEW2!F55</f>
        <v>0</v>
      </c>
      <c r="L6" s="10">
        <f>VC_NEW2!G55</f>
        <v>0</v>
      </c>
      <c r="M6" s="10">
        <f>VC_NEW2!H55</f>
        <v>0</v>
      </c>
      <c r="N6" s="10">
        <f>VC_NEW2!I55</f>
        <v>0</v>
      </c>
      <c r="O6" s="10">
        <f>VC_NEW2!J55</f>
        <v>0</v>
      </c>
      <c r="P6" s="10">
        <f>VC_NEW2!K55</f>
        <v>0</v>
      </c>
      <c r="Q6" s="10">
        <f>VC_NEW2!L55</f>
        <v>0</v>
      </c>
      <c r="R6" s="10">
        <f>VC_NEW2!M55</f>
        <v>0</v>
      </c>
      <c r="S6" s="10">
        <f>VC_NEW2!N55</f>
        <v>0</v>
      </c>
      <c r="T6" s="10">
        <f>VC_NEW2!O55</f>
        <v>0</v>
      </c>
      <c r="U6" s="10">
        <f>VC_NEW2!P55</f>
        <v>0</v>
      </c>
      <c r="V6" s="10">
        <f>VC_NEW2!Q55</f>
        <v>0</v>
      </c>
      <c r="W6" s="10">
        <f>VC_NEW2!R55</f>
        <v>0</v>
      </c>
      <c r="X6" s="10">
        <f>VC_NEW2!S55</f>
        <v>0</v>
      </c>
      <c r="Y6" s="10">
        <f>VC_NEW2!T55</f>
        <v>0</v>
      </c>
      <c r="Z6" s="10">
        <f>VC_NEW2!U55</f>
        <v>0</v>
      </c>
      <c r="AA6" s="10">
        <f>VC_NEW2!V55</f>
        <v>0</v>
      </c>
      <c r="AB6" s="10">
        <f>VC_NEW2!W55</f>
        <v>0</v>
      </c>
      <c r="AC6" s="10">
        <f>VC_NEW2!X55</f>
        <v>0</v>
      </c>
      <c r="AD6" s="10">
        <f>VC_NEW2!Y55</f>
        <v>0</v>
      </c>
      <c r="AE6" s="10">
        <f>VC_NEW2!Z55</f>
        <v>0</v>
      </c>
      <c r="AF6" s="10">
        <f>VC_NEW2!AA55</f>
        <v>0</v>
      </c>
      <c r="AG6" s="10">
        <f>VC_NEW2!AB55</f>
        <v>0</v>
      </c>
      <c r="AH6" s="10">
        <f>VC_NEW2!AC55</f>
        <v>0</v>
      </c>
      <c r="AI6" s="10">
        <f>VC_NEW2!AD55</f>
        <v>0</v>
      </c>
      <c r="AJ6" s="10">
        <f>VC_NEW2!AE55</f>
        <v>0</v>
      </c>
      <c r="AK6" s="10">
        <f>VC_NEW2!AF55</f>
        <v>0</v>
      </c>
      <c r="AL6" s="10">
        <f>VC_NEW2!AG55</f>
        <v>0</v>
      </c>
      <c r="AM6" s="10">
        <f>VC_NEW2!AH55</f>
        <v>0</v>
      </c>
      <c r="AN6" s="10">
        <f>VC_NEW2!AI55</f>
        <v>0</v>
      </c>
      <c r="AO6" s="10">
        <f>VC_NEW2!AJ55</f>
        <v>0</v>
      </c>
      <c r="AP6" s="10">
        <f>VC_NEW2!AK55</f>
        <v>0</v>
      </c>
      <c r="AQ6" s="10">
        <f>VC_NEW2!AL55</f>
        <v>0</v>
      </c>
      <c r="AR6" s="10">
        <f>VC_NEW2!AM55</f>
        <v>0</v>
      </c>
      <c r="AS6" s="10">
        <f>VC_NEW2!AN55</f>
        <v>0</v>
      </c>
      <c r="AT6" s="10">
        <f>VC_NEW2!AO55</f>
        <v>0</v>
      </c>
      <c r="AU6" s="10">
        <f>VC_NEW2!AP55</f>
        <v>0</v>
      </c>
      <c r="AV6" s="10">
        <f>VC_NEW2!AQ55</f>
        <v>0</v>
      </c>
      <c r="AW6" s="10">
        <f>VC_NEW2!AR55</f>
        <v>0</v>
      </c>
      <c r="AX6" s="10">
        <f>VC_NEW2!AS55</f>
        <v>0</v>
      </c>
      <c r="AY6" s="10">
        <f>VC_NEW2!AT55</f>
        <v>0</v>
      </c>
      <c r="AZ6" s="10">
        <f>VC_NEW2!AU55</f>
        <v>0</v>
      </c>
      <c r="BA6" s="10">
        <f>VC_NEW2!AV55</f>
        <v>0</v>
      </c>
      <c r="BB6" s="10">
        <f>VC_NEW2!AW55</f>
        <v>0</v>
      </c>
      <c r="BC6" s="10">
        <f>VC_NEW2!AX55</f>
        <v>0</v>
      </c>
      <c r="BD6" s="10">
        <f>VC_NEW2!AY55</f>
        <v>0</v>
      </c>
      <c r="BE6" s="10">
        <f>VC_NEW2!AZ55</f>
        <v>0</v>
      </c>
      <c r="BF6" s="10">
        <f>VC_NEW2!BA55</f>
        <v>0</v>
      </c>
      <c r="BG6" s="10">
        <f>VC_NEW2!BB55</f>
        <v>0</v>
      </c>
      <c r="BH6" s="10">
        <f>VC_NEW2!BC55</f>
        <v>0</v>
      </c>
      <c r="BI6" s="10">
        <f>VC_NEW2!BD55</f>
        <v>0</v>
      </c>
      <c r="BJ6" s="10">
        <f>VC_NEW2!BE55</f>
        <v>0</v>
      </c>
      <c r="BK6" s="10">
        <f>VC_NEW2!BF55</f>
        <v>0</v>
      </c>
      <c r="BL6" s="10">
        <f>VC_NEW2!BG55</f>
        <v>0</v>
      </c>
      <c r="BM6" s="10">
        <f>VC_NEW2!BH55</f>
        <v>0</v>
      </c>
      <c r="BN6" s="10">
        <f>VC_NEW2!BI55</f>
        <v>0</v>
      </c>
      <c r="BO6" s="10">
        <f>VC_NEW2!BJ55</f>
        <v>0</v>
      </c>
      <c r="BP6" s="10">
        <f>VC_NEW2!BK55</f>
        <v>0</v>
      </c>
      <c r="BQ6" s="10">
        <f>VC_NEW2!BL55</f>
        <v>0</v>
      </c>
      <c r="BR6" s="10">
        <f>VC_NEW2!BM55</f>
        <v>0</v>
      </c>
      <c r="BS6" s="10">
        <f>VC_NEW2!BN55</f>
        <v>0</v>
      </c>
      <c r="BT6" s="10">
        <f>VC_NEW2!BO55</f>
        <v>0</v>
      </c>
      <c r="BU6" s="10">
        <f>VC_NEW2!BP55</f>
        <v>0</v>
      </c>
      <c r="BV6" s="10">
        <f>VC_NEW2!BQ55</f>
        <v>0</v>
      </c>
      <c r="BW6" s="10">
        <f>VC_NEW2!BR55</f>
        <v>0</v>
      </c>
      <c r="BX6" s="10">
        <f>VC_NEW2!BS55</f>
        <v>0</v>
      </c>
      <c r="BY6" s="10">
        <f>VC_NEW2!BT55</f>
        <v>0</v>
      </c>
      <c r="BZ6" s="10">
        <f>VC_NEW2!BU55</f>
        <v>0</v>
      </c>
      <c r="CA6" s="10">
        <f>VC_NEW2!BV55</f>
        <v>0</v>
      </c>
      <c r="CB6" s="10">
        <f>VC_NEW2!BW55</f>
        <v>0</v>
      </c>
      <c r="CC6" s="10">
        <f>VC_NEW2!BX55</f>
        <v>0</v>
      </c>
      <c r="CD6" s="10">
        <f>VC_NEW2!BY55</f>
        <v>0</v>
      </c>
      <c r="CE6" s="10">
        <f>VC_NEW2!BZ55</f>
        <v>0</v>
      </c>
      <c r="CF6" s="10">
        <f>VC_NEW2!CA55</f>
        <v>0</v>
      </c>
      <c r="CG6" s="10">
        <f>VC_NEW2!CB55</f>
        <v>0</v>
      </c>
      <c r="CH6" s="10">
        <f>VC_NEW2!CC55</f>
        <v>0</v>
      </c>
      <c r="CI6" s="10">
        <f>VC_NEW2!CD55</f>
        <v>0</v>
      </c>
      <c r="CJ6" s="10">
        <f>VC_NEW2!CE55</f>
        <v>0</v>
      </c>
      <c r="CK6" s="10">
        <f>VC_NEW2!CF55</f>
        <v>0</v>
      </c>
      <c r="CL6" s="10">
        <f>VC_NEW2!CG55</f>
        <v>0</v>
      </c>
      <c r="CM6" s="10">
        <f>VC_NEW2!CH55</f>
        <v>0</v>
      </c>
      <c r="CN6" s="10">
        <f>VC_NEW2!CI55</f>
        <v>0</v>
      </c>
      <c r="CO6" s="10">
        <f>VC_NEW2!CJ55</f>
        <v>0</v>
      </c>
      <c r="CP6" s="10">
        <f>VC_NEW2!CK55</f>
        <v>0</v>
      </c>
      <c r="CQ6" s="10">
        <f>VC_NEW2!CL55</f>
        <v>0</v>
      </c>
      <c r="CR6" s="10">
        <f>VC_NEW2!CM55</f>
        <v>0</v>
      </c>
      <c r="CS6" s="10">
        <f>VC_NEW2!CN55</f>
        <v>0</v>
      </c>
      <c r="CT6" s="10">
        <f>VC_NEW2!CO55</f>
        <v>0</v>
      </c>
      <c r="CU6" s="10">
        <f>VC_NEW2!CP55</f>
        <v>0</v>
      </c>
      <c r="CV6" s="10">
        <f>VC_NEW2!CQ55</f>
        <v>0</v>
      </c>
      <c r="CW6" s="10">
        <f>VC_NEW2!CR55</f>
        <v>0</v>
      </c>
      <c r="CX6" s="10">
        <f>VC_NEW2!CS55</f>
        <v>0</v>
      </c>
      <c r="CY6" s="10">
        <f>VC_NEW2!CT55</f>
        <v>0</v>
      </c>
      <c r="CZ6" s="10">
        <f>VC_NEW2!CU55</f>
        <v>0</v>
      </c>
      <c r="DA6" s="10">
        <f>VC_NEW2!CV55</f>
        <v>0</v>
      </c>
      <c r="DB6" s="10">
        <f>VC_NEW2!CW55</f>
        <v>0</v>
      </c>
      <c r="DC6" s="10">
        <f>VC_NEW2!CX55</f>
        <v>0</v>
      </c>
      <c r="DD6" s="10">
        <f>VC_NEW2!CY55</f>
        <v>0</v>
      </c>
      <c r="DE6" s="10">
        <f>VC_NEW2!CZ55</f>
        <v>0</v>
      </c>
      <c r="DF6" s="10">
        <f>VC_NEW2!DA55</f>
        <v>0</v>
      </c>
      <c r="DG6" s="10">
        <f>VC_NEW2!DB55</f>
        <v>0</v>
      </c>
      <c r="DH6" s="10">
        <f>VC_NEW2!DC55</f>
        <v>0</v>
      </c>
      <c r="DI6" s="10">
        <f>VC_NEW2!DD55</f>
        <v>0</v>
      </c>
      <c r="DJ6" s="10">
        <f>VC_NEW2!DE55</f>
        <v>0</v>
      </c>
      <c r="DK6" s="10">
        <f>VC_NEW2!DF55</f>
        <v>0</v>
      </c>
      <c r="DL6" s="10">
        <f>VC_NEW2!DG55</f>
        <v>0</v>
      </c>
      <c r="DM6" s="10">
        <f>VC_NEW2!DH55</f>
        <v>0</v>
      </c>
      <c r="DN6" s="10">
        <f>VC_NEW2!DI55</f>
        <v>0</v>
      </c>
      <c r="DO6" s="10">
        <f>VC_NEW2!DJ55</f>
        <v>0</v>
      </c>
      <c r="DP6" s="10">
        <f>VC_NEW2!DK55</f>
        <v>0</v>
      </c>
      <c r="DQ6" s="10">
        <f>VC_NEW2!DL55</f>
        <v>0</v>
      </c>
      <c r="DR6" s="10">
        <f>VC_NEW2!DM55</f>
        <v>0</v>
      </c>
      <c r="DS6" s="10">
        <f>VC_NEW2!DN55</f>
        <v>0</v>
      </c>
      <c r="DT6" s="10">
        <f>VC_NEW2!DO55</f>
        <v>0</v>
      </c>
      <c r="DU6" s="10">
        <f>VC_NEW2!DP55</f>
        <v>0</v>
      </c>
      <c r="DV6" s="10">
        <f>VC_NEW2!DQ55</f>
        <v>0</v>
      </c>
      <c r="DW6" s="10">
        <f>VC_NEW2!DR55</f>
        <v>0</v>
      </c>
      <c r="DX6" s="10">
        <f>VC_NEW2!DS55</f>
        <v>0</v>
      </c>
      <c r="DY6" s="10">
        <f>VC_NEW2!DT55</f>
        <v>0</v>
      </c>
      <c r="DZ6" s="10">
        <f>VC_NEW2!DU55</f>
        <v>0</v>
      </c>
      <c r="EA6" s="10">
        <f>VC_NEW2!DV55</f>
        <v>0</v>
      </c>
      <c r="EB6" s="10">
        <f>VC_NEW2!DW55</f>
        <v>0</v>
      </c>
      <c r="EC6" s="10">
        <f>VC_NEW2!DX55</f>
        <v>0</v>
      </c>
      <c r="ED6" s="10">
        <f>VC_NEW2!DY55</f>
        <v>0</v>
      </c>
      <c r="EE6" s="10">
        <f>VC_NEW2!DZ55</f>
        <v>0</v>
      </c>
      <c r="EF6" s="10">
        <f>VC_NEW2!EA55</f>
        <v>0</v>
      </c>
      <c r="EG6" s="10">
        <f>VC_NEW2!EB55</f>
        <v>0</v>
      </c>
      <c r="EH6" s="10">
        <f>VC_NEW2!EC55</f>
        <v>0</v>
      </c>
      <c r="EI6" s="10">
        <f>VC_NEW2!ED55</f>
        <v>0</v>
      </c>
      <c r="EJ6" s="10">
        <f>VC_NEW2!EE55</f>
        <v>0</v>
      </c>
      <c r="EK6" s="10">
        <f>VC_NEW2!EF55</f>
        <v>0</v>
      </c>
      <c r="EL6" s="10">
        <f>VC_NEW2!EG55</f>
        <v>0</v>
      </c>
      <c r="EM6" s="10">
        <f>VC_NEW2!EH55</f>
        <v>0</v>
      </c>
      <c r="EN6" s="10">
        <f>VC_NEW2!EI55</f>
        <v>0</v>
      </c>
      <c r="EO6" s="10">
        <f>VC_NEW2!EJ55</f>
        <v>0</v>
      </c>
      <c r="EP6" s="10">
        <f>VC_NEW2!EK55</f>
        <v>0</v>
      </c>
      <c r="EQ6" s="10">
        <f>VC_NEW2!EL55</f>
        <v>0</v>
      </c>
      <c r="ER6" s="10">
        <f>VC_NEW2!EM55</f>
        <v>0</v>
      </c>
      <c r="ES6" s="10">
        <f>VC_NEW2!EN55</f>
        <v>0</v>
      </c>
      <c r="ET6" s="10">
        <f>VC_NEW2!EO55</f>
        <v>0</v>
      </c>
      <c r="EU6" s="10">
        <f>VC_NEW2!EP55</f>
        <v>0</v>
      </c>
      <c r="EV6" s="10">
        <f>VC_NEW2!EQ55</f>
        <v>0</v>
      </c>
      <c r="EW6" s="10">
        <f>VC_NEW2!ER55</f>
        <v>0</v>
      </c>
      <c r="EX6" s="10">
        <f>VC_NEW2!ES55</f>
        <v>0</v>
      </c>
      <c r="EY6" s="10">
        <f>VC_NEW2!ET55</f>
        <v>0</v>
      </c>
      <c r="EZ6" s="10">
        <f>VC_NEW2!EU55</f>
        <v>0</v>
      </c>
      <c r="FA6" s="10">
        <f>VC_NEW2!EV55</f>
        <v>0</v>
      </c>
      <c r="FB6" s="10">
        <f>VC_NEW2!EW55</f>
        <v>0</v>
      </c>
      <c r="FC6" s="10">
        <f>VC_NEW2!EX55</f>
        <v>0</v>
      </c>
      <c r="FD6" s="10">
        <f>VC_NEW2!EY55</f>
        <v>0</v>
      </c>
      <c r="FE6" s="10">
        <f>VC_NEW2!EZ55</f>
        <v>0</v>
      </c>
      <c r="FF6" s="10">
        <f>VC_NEW2!FA55</f>
        <v>0</v>
      </c>
      <c r="FG6" s="10">
        <f>VC_NEW2!FB55</f>
        <v>0</v>
      </c>
      <c r="FH6" s="10">
        <f>VC_NEW2!FC55</f>
        <v>0</v>
      </c>
      <c r="FI6" s="10">
        <f>VC_NEW2!FD55</f>
        <v>0</v>
      </c>
      <c r="FJ6" s="10">
        <f>VC_NEW2!FE55</f>
        <v>0</v>
      </c>
      <c r="FK6" s="10">
        <f>VC_NEW2!FF55</f>
        <v>0</v>
      </c>
      <c r="FL6" s="10">
        <f>VC_NEW2!FG55</f>
        <v>0</v>
      </c>
      <c r="FM6" s="10">
        <f>VC_NEW2!FH55</f>
        <v>0</v>
      </c>
      <c r="FN6" s="10">
        <f>VC_NEW2!FI55</f>
        <v>0</v>
      </c>
      <c r="FO6" s="10">
        <f>VC_NEW2!FJ55</f>
        <v>0</v>
      </c>
      <c r="FP6" s="10">
        <f>VC_NEW2!FK55</f>
        <v>0</v>
      </c>
      <c r="FQ6" s="10">
        <f>VC_NEW2!FL55</f>
        <v>0</v>
      </c>
      <c r="FR6" s="10">
        <f>VC_NEW2!FM55</f>
        <v>0</v>
      </c>
      <c r="FS6" s="10">
        <f>VC_NEW2!FN55</f>
        <v>0</v>
      </c>
      <c r="FT6" s="10">
        <f>VC_NEW2!FO55</f>
        <v>0</v>
      </c>
      <c r="FU6" s="10">
        <f>VC_NEW2!FP55</f>
        <v>0</v>
      </c>
      <c r="FV6" s="10">
        <f>VC_NEW2!FQ55</f>
        <v>0</v>
      </c>
      <c r="FW6" s="10">
        <f>VC_NEW2!FR55</f>
        <v>0</v>
      </c>
      <c r="FX6" s="10">
        <f>VC_NEW2!FS55</f>
        <v>0</v>
      </c>
      <c r="FY6" s="10">
        <f>VC_NEW2!FT55</f>
        <v>0</v>
      </c>
      <c r="FZ6" s="10">
        <f>VC_NEW2!FU55</f>
        <v>0</v>
      </c>
      <c r="GA6" s="10">
        <f>VC_NEW2!FV55</f>
        <v>0</v>
      </c>
      <c r="GB6" s="10">
        <f>VC_NEW2!FW55</f>
        <v>0</v>
      </c>
      <c r="GC6" s="10">
        <f>VC_NEW2!FX55</f>
        <v>0</v>
      </c>
      <c r="GD6" s="10">
        <f>VC_NEW2!FY55</f>
        <v>0</v>
      </c>
      <c r="GE6" s="10">
        <f>VC_NEW2!FZ55</f>
        <v>0</v>
      </c>
      <c r="GF6" s="10">
        <f>VC_NEW2!GA55</f>
        <v>0</v>
      </c>
      <c r="GG6" s="10">
        <f>VC_NEW2!GB55</f>
        <v>0</v>
      </c>
      <c r="GH6" s="10">
        <f>VC_NEW2!GC55</f>
        <v>0</v>
      </c>
      <c r="GI6" s="10">
        <f>VC_NEW2!GD55</f>
        <v>0</v>
      </c>
      <c r="GJ6" s="10">
        <f>VC_NEW2!GE55</f>
        <v>0</v>
      </c>
      <c r="GK6" s="10">
        <f>VC_NEW2!GF55</f>
        <v>0</v>
      </c>
      <c r="GL6" s="10">
        <f>VC_NEW2!GG55</f>
        <v>0</v>
      </c>
      <c r="GM6" s="10">
        <f>VC_NEW2!GH55</f>
        <v>0</v>
      </c>
      <c r="GN6" s="10">
        <f>VC_NEW2!GI55</f>
        <v>0</v>
      </c>
      <c r="GO6" s="10">
        <f>VC_NEW2!GJ55</f>
        <v>0</v>
      </c>
      <c r="GP6" s="10">
        <f>VC_NEW2!GK55</f>
        <v>0</v>
      </c>
      <c r="GQ6" s="10">
        <f>VC_NEW2!GL55</f>
        <v>0</v>
      </c>
      <c r="GR6" s="10">
        <f>VC_NEW2!GM55</f>
        <v>0</v>
      </c>
      <c r="GS6" s="10">
        <f>VC_NEW2!GN55</f>
        <v>0</v>
      </c>
      <c r="GT6" s="10">
        <f>VC_NEW2!GO55</f>
        <v>0</v>
      </c>
      <c r="GU6" s="10">
        <f>VC_NEW2!GP55</f>
        <v>0</v>
      </c>
      <c r="GV6" s="10">
        <f>VC_NEW2!GQ55</f>
        <v>0</v>
      </c>
      <c r="GW6" s="10">
        <f>VC_NEW2!GR55</f>
        <v>0</v>
      </c>
      <c r="GX6" s="10">
        <f>VC_NEW2!GS55</f>
        <v>0</v>
      </c>
      <c r="GY6" s="10">
        <f>VC_NEW2!GT55</f>
        <v>0</v>
      </c>
      <c r="GZ6" s="10">
        <f>VC_NEW2!GU55</f>
        <v>0</v>
      </c>
      <c r="HA6" s="10">
        <f>VC_NEW2!GV55</f>
        <v>0</v>
      </c>
      <c r="HB6" s="10">
        <f>VC_NEW2!GW55</f>
        <v>0</v>
      </c>
      <c r="HC6" s="10">
        <f>VC_NEW2!GX55</f>
        <v>0</v>
      </c>
    </row>
    <row r="7" spans="1:211" s="7" customFormat="1" ht="15.75" hidden="1" customHeight="1" x14ac:dyDescent="0.25">
      <c r="A7" s="7" t="s">
        <v>94</v>
      </c>
      <c r="B7" s="7" t="s">
        <v>102</v>
      </c>
      <c r="C7" s="8" t="s">
        <v>3</v>
      </c>
      <c r="D7" s="7" t="s">
        <v>76</v>
      </c>
      <c r="E7" s="7" t="s">
        <v>1148</v>
      </c>
      <c r="H7" s="7">
        <f>VC_NEW2!C56</f>
        <v>0</v>
      </c>
      <c r="I7" s="7">
        <f>VC_NEW2!D56</f>
        <v>0</v>
      </c>
      <c r="J7" s="7">
        <f>VC_NEW2!E56</f>
        <v>0</v>
      </c>
      <c r="K7" s="7">
        <f>VC_NEW2!F56</f>
        <v>0</v>
      </c>
      <c r="L7" s="7">
        <f>VC_NEW2!G56</f>
        <v>0</v>
      </c>
      <c r="M7" s="7">
        <f>VC_NEW2!H56</f>
        <v>0</v>
      </c>
      <c r="N7" s="7">
        <f>VC_NEW2!I56</f>
        <v>0</v>
      </c>
      <c r="O7" s="7">
        <f>VC_NEW2!J56</f>
        <v>0</v>
      </c>
      <c r="P7" s="7">
        <f>VC_NEW2!K56</f>
        <v>0</v>
      </c>
      <c r="Q7" s="7">
        <f>VC_NEW2!L56</f>
        <v>0</v>
      </c>
      <c r="R7" s="7">
        <f>VC_NEW2!M56</f>
        <v>0</v>
      </c>
      <c r="S7" s="7">
        <f>VC_NEW2!N56</f>
        <v>0</v>
      </c>
      <c r="T7" s="7">
        <f>VC_NEW2!O56</f>
        <v>0</v>
      </c>
      <c r="U7" s="7">
        <f>VC_NEW2!P56</f>
        <v>0</v>
      </c>
      <c r="V7" s="7">
        <f>VC_NEW2!Q56</f>
        <v>0</v>
      </c>
      <c r="W7" s="7">
        <f>VC_NEW2!R56</f>
        <v>0</v>
      </c>
      <c r="X7" s="7">
        <f>VC_NEW2!S56</f>
        <v>0</v>
      </c>
      <c r="Y7" s="7">
        <f>VC_NEW2!T56</f>
        <v>0</v>
      </c>
      <c r="Z7" s="7">
        <f>VC_NEW2!U56</f>
        <v>0</v>
      </c>
      <c r="AA7" s="7">
        <f>VC_NEW2!V56</f>
        <v>0</v>
      </c>
      <c r="AB7" s="7">
        <f>VC_NEW2!W56</f>
        <v>0</v>
      </c>
      <c r="AC7" s="7">
        <f>VC_NEW2!X56</f>
        <v>0</v>
      </c>
      <c r="AD7" s="7">
        <f>VC_NEW2!Y56</f>
        <v>0</v>
      </c>
      <c r="AE7" s="7">
        <f>VC_NEW2!Z56</f>
        <v>0</v>
      </c>
      <c r="AF7" s="7">
        <f>VC_NEW2!AA56</f>
        <v>0</v>
      </c>
      <c r="AG7" s="7">
        <f>VC_NEW2!AB56</f>
        <v>0</v>
      </c>
      <c r="AH7" s="7">
        <f>VC_NEW2!AC56</f>
        <v>0</v>
      </c>
      <c r="AI7" s="7">
        <f>VC_NEW2!AD56</f>
        <v>0</v>
      </c>
      <c r="AJ7" s="7">
        <f>VC_NEW2!AE56</f>
        <v>0</v>
      </c>
      <c r="AK7" s="7">
        <f>VC_NEW2!AF56</f>
        <v>0</v>
      </c>
      <c r="AL7" s="7">
        <f>VC_NEW2!AG56</f>
        <v>0</v>
      </c>
      <c r="AM7" s="7">
        <f>VC_NEW2!AH56</f>
        <v>0</v>
      </c>
      <c r="AN7" s="7">
        <f>VC_NEW2!AI56</f>
        <v>0</v>
      </c>
      <c r="AO7" s="7">
        <f>VC_NEW2!AJ56</f>
        <v>0</v>
      </c>
      <c r="AP7" s="7">
        <f>VC_NEW2!AK56</f>
        <v>0</v>
      </c>
      <c r="AQ7" s="7">
        <f>VC_NEW2!AL56</f>
        <v>0</v>
      </c>
      <c r="AR7" s="7">
        <f>VC_NEW2!AM56</f>
        <v>0</v>
      </c>
      <c r="AS7" s="7">
        <f>VC_NEW2!AN56</f>
        <v>0</v>
      </c>
      <c r="AT7" s="7">
        <f>VC_NEW2!AO56</f>
        <v>0</v>
      </c>
      <c r="AU7" s="7">
        <f>VC_NEW2!AP56</f>
        <v>0</v>
      </c>
      <c r="AV7" s="7">
        <f>VC_NEW2!AQ56</f>
        <v>0</v>
      </c>
      <c r="AW7" s="7">
        <f>VC_NEW2!AR56</f>
        <v>0</v>
      </c>
      <c r="AX7" s="7">
        <f>VC_NEW2!AS56</f>
        <v>0</v>
      </c>
      <c r="AY7" s="7">
        <f>VC_NEW2!AT56</f>
        <v>0</v>
      </c>
      <c r="AZ7" s="7">
        <f>VC_NEW2!AU56</f>
        <v>0</v>
      </c>
      <c r="BA7" s="7">
        <f>VC_NEW2!AV56</f>
        <v>0</v>
      </c>
      <c r="BB7" s="7">
        <f>VC_NEW2!AW56</f>
        <v>0</v>
      </c>
      <c r="BC7" s="7">
        <f>VC_NEW2!AX56</f>
        <v>0</v>
      </c>
      <c r="BD7" s="7">
        <f>VC_NEW2!AY56</f>
        <v>0</v>
      </c>
      <c r="BE7" s="7">
        <f>VC_NEW2!AZ56</f>
        <v>0</v>
      </c>
      <c r="BF7" s="7">
        <f>VC_NEW2!BA56</f>
        <v>0</v>
      </c>
      <c r="BG7" s="7">
        <f>VC_NEW2!BB56</f>
        <v>0</v>
      </c>
      <c r="BH7" s="7">
        <f>VC_NEW2!BC56</f>
        <v>0</v>
      </c>
      <c r="BI7" s="7">
        <f>VC_NEW2!BD56</f>
        <v>0</v>
      </c>
      <c r="BJ7" s="7" t="str">
        <f>VC_NEW2!BE56</f>
        <v>blaOXA-15</v>
      </c>
      <c r="BK7" s="7">
        <f>VC_NEW2!BF56</f>
        <v>0</v>
      </c>
      <c r="BL7" s="7">
        <f>VC_NEW2!BG56</f>
        <v>0</v>
      </c>
      <c r="BM7" s="7">
        <f>VC_NEW2!BH56</f>
        <v>0</v>
      </c>
      <c r="BN7" s="7">
        <f>VC_NEW2!BI56</f>
        <v>0</v>
      </c>
      <c r="BO7" s="7">
        <f>VC_NEW2!BJ56</f>
        <v>0</v>
      </c>
      <c r="BP7" s="7">
        <f>VC_NEW2!BK56</f>
        <v>0</v>
      </c>
      <c r="BQ7" s="7">
        <f>VC_NEW2!BL56</f>
        <v>0</v>
      </c>
      <c r="BR7" s="7" t="str">
        <f>VC_NEW2!BM56</f>
        <v>blaOXA46(IS)</v>
      </c>
      <c r="BS7" s="7">
        <f>VC_NEW2!BN56</f>
        <v>0</v>
      </c>
      <c r="BT7" s="7">
        <f>VC_NEW2!BO56</f>
        <v>0</v>
      </c>
      <c r="BU7" s="7">
        <f>VC_NEW2!BP56</f>
        <v>0</v>
      </c>
      <c r="BV7" s="7">
        <f>VC_NEW2!BQ56</f>
        <v>0</v>
      </c>
      <c r="BW7" s="7">
        <f>VC_NEW2!BR56</f>
        <v>0</v>
      </c>
      <c r="BX7" s="7">
        <f>VC_NEW2!BS56</f>
        <v>0</v>
      </c>
      <c r="BY7" s="7">
        <f>VC_NEW2!BT56</f>
        <v>0</v>
      </c>
      <c r="BZ7" s="7">
        <f>VC_NEW2!BU56</f>
        <v>0</v>
      </c>
      <c r="CA7" s="7">
        <f>VC_NEW2!BV56</f>
        <v>0</v>
      </c>
      <c r="CB7" s="7">
        <f>VC_NEW2!BW56</f>
        <v>0</v>
      </c>
      <c r="CC7" s="7">
        <f>VC_NEW2!BX56</f>
        <v>0</v>
      </c>
      <c r="CD7" s="7">
        <f>VC_NEW2!BY56</f>
        <v>0</v>
      </c>
      <c r="CE7" s="7">
        <f>VC_NEW2!BZ56</f>
        <v>0</v>
      </c>
      <c r="CF7" s="7">
        <f>VC_NEW2!CA56</f>
        <v>0</v>
      </c>
      <c r="CG7" s="7">
        <f>VC_NEW2!CB56</f>
        <v>0</v>
      </c>
      <c r="CH7" s="7">
        <f>VC_NEW2!CC56</f>
        <v>0</v>
      </c>
      <c r="CI7" s="7">
        <f>VC_NEW2!CD56</f>
        <v>0</v>
      </c>
      <c r="CJ7" s="7">
        <f>VC_NEW2!CE56</f>
        <v>0</v>
      </c>
      <c r="CK7" s="7">
        <f>VC_NEW2!CF56</f>
        <v>0</v>
      </c>
      <c r="CL7" s="7">
        <f>VC_NEW2!CG56</f>
        <v>0</v>
      </c>
      <c r="CM7" s="7" t="str">
        <f>VC_NEW2!CH56</f>
        <v>blaVIM-1</v>
      </c>
      <c r="CN7" s="7">
        <f>VC_NEW2!CI56</f>
        <v>0</v>
      </c>
      <c r="CO7" s="7">
        <f>VC_NEW2!CJ56</f>
        <v>0</v>
      </c>
      <c r="CP7" s="7">
        <f>VC_NEW2!CK56</f>
        <v>0</v>
      </c>
      <c r="CQ7" s="7">
        <f>VC_NEW2!CL56</f>
        <v>0</v>
      </c>
      <c r="CR7" s="7">
        <f>VC_NEW2!CM56</f>
        <v>0</v>
      </c>
      <c r="CS7" s="7">
        <f>VC_NEW2!CN56</f>
        <v>0</v>
      </c>
      <c r="CT7" s="7">
        <f>VC_NEW2!CO56</f>
        <v>0</v>
      </c>
      <c r="CU7" s="7">
        <f>VC_NEW2!CP56</f>
        <v>0</v>
      </c>
      <c r="CV7" s="7">
        <f>VC_NEW2!CQ56</f>
        <v>0</v>
      </c>
      <c r="CW7" s="7">
        <f>VC_NEW2!CR56</f>
        <v>0</v>
      </c>
      <c r="CX7" s="7">
        <f>VC_NEW2!CS56</f>
        <v>0</v>
      </c>
      <c r="CY7" s="7">
        <f>VC_NEW2!CT56</f>
        <v>0</v>
      </c>
      <c r="CZ7" s="7" t="str">
        <f>VC_NEW2!CU56</f>
        <v>OXA-2</v>
      </c>
      <c r="DA7" s="7">
        <f>VC_NEW2!CV56</f>
        <v>0</v>
      </c>
      <c r="DB7" s="7">
        <f>VC_NEW2!CW56</f>
        <v>0</v>
      </c>
      <c r="DC7" s="7">
        <f>VC_NEW2!CX56</f>
        <v>0</v>
      </c>
      <c r="DD7" s="7">
        <f>VC_NEW2!CY56</f>
        <v>0</v>
      </c>
      <c r="DE7" s="7">
        <f>VC_NEW2!CZ56</f>
        <v>0</v>
      </c>
      <c r="DF7" s="7">
        <f>VC_NEW2!DA56</f>
        <v>0</v>
      </c>
      <c r="DG7" s="7">
        <f>VC_NEW2!DB56</f>
        <v>0</v>
      </c>
      <c r="DH7" s="7">
        <f>VC_NEW2!DC56</f>
        <v>0</v>
      </c>
      <c r="DI7" s="7">
        <f>VC_NEW2!DD56</f>
        <v>0</v>
      </c>
      <c r="DJ7" s="7">
        <f>VC_NEW2!DE56</f>
        <v>0</v>
      </c>
      <c r="DK7" s="7" t="str">
        <f>VC_NEW2!DF56</f>
        <v>blaIMP-1 (K41E)</v>
      </c>
      <c r="DL7" s="7">
        <f>VC_NEW2!DG56</f>
        <v>0</v>
      </c>
      <c r="DM7" s="7">
        <f>VC_NEW2!DH56</f>
        <v>0</v>
      </c>
      <c r="DN7" s="7">
        <f>VC_NEW2!DI56</f>
        <v>0</v>
      </c>
      <c r="DO7" s="7">
        <f>VC_NEW2!DJ56</f>
        <v>0</v>
      </c>
      <c r="DP7" s="7">
        <f>VC_NEW2!DK56</f>
        <v>0</v>
      </c>
      <c r="DQ7" s="7">
        <f>VC_NEW2!DL56</f>
        <v>0</v>
      </c>
      <c r="DR7" s="7">
        <f>VC_NEW2!DM56</f>
        <v>0</v>
      </c>
      <c r="DS7" s="7">
        <f>VC_NEW2!DN56</f>
        <v>0</v>
      </c>
      <c r="DT7" s="7">
        <f>VC_NEW2!DO56</f>
        <v>0</v>
      </c>
      <c r="DU7" s="7">
        <f>VC_NEW2!DP56</f>
        <v>0</v>
      </c>
      <c r="DV7" s="7">
        <f>VC_NEW2!DQ56</f>
        <v>0</v>
      </c>
      <c r="DW7" s="7">
        <f>VC_NEW2!DR56</f>
        <v>0</v>
      </c>
      <c r="DX7" s="7">
        <f>VC_NEW2!DS56</f>
        <v>0</v>
      </c>
      <c r="DY7" s="7">
        <f>VC_NEW2!DT56</f>
        <v>0</v>
      </c>
      <c r="DZ7" s="7">
        <f>VC_NEW2!DU56</f>
        <v>0</v>
      </c>
      <c r="EA7" s="7" t="str">
        <f>VC_NEW2!DV56</f>
        <v xml:space="preserve">blaVIM-20, blaOXA-2 </v>
      </c>
      <c r="EB7" s="7">
        <f>VC_NEW2!DW56</f>
        <v>0</v>
      </c>
      <c r="EC7" s="7">
        <f>VC_NEW2!DX56</f>
        <v>0</v>
      </c>
      <c r="ED7" s="7">
        <f>VC_NEW2!DY56</f>
        <v>0</v>
      </c>
      <c r="EE7" s="7" t="str">
        <f>VC_NEW2!DZ56</f>
        <v>blaVIM-20, blaOXA-210</v>
      </c>
      <c r="EF7" s="7">
        <f>VC_NEW2!EA56</f>
        <v>0</v>
      </c>
      <c r="EG7" s="7">
        <f>VC_NEW2!EB56</f>
        <v>0</v>
      </c>
      <c r="EH7" s="7">
        <f>VC_NEW2!EC56</f>
        <v>0</v>
      </c>
      <c r="EI7" s="7">
        <f>VC_NEW2!ED56</f>
        <v>0</v>
      </c>
      <c r="EJ7" s="7">
        <f>VC_NEW2!EE56</f>
        <v>0</v>
      </c>
      <c r="EK7" s="7">
        <f>VC_NEW2!EF56</f>
        <v>0</v>
      </c>
      <c r="EL7" s="7">
        <f>VC_NEW2!EG56</f>
        <v>0</v>
      </c>
      <c r="EM7" s="7">
        <f>VC_NEW2!EH56</f>
        <v>0</v>
      </c>
      <c r="EN7" s="7">
        <f>VC_NEW2!EI56</f>
        <v>0</v>
      </c>
      <c r="EO7" s="7">
        <f>VC_NEW2!EJ56</f>
        <v>0</v>
      </c>
      <c r="EP7" s="7">
        <f>VC_NEW2!EK56</f>
        <v>0</v>
      </c>
      <c r="EQ7" s="7">
        <f>VC_NEW2!EL56</f>
        <v>0</v>
      </c>
      <c r="ER7" s="7">
        <f>VC_NEW2!EM56</f>
        <v>0</v>
      </c>
      <c r="ES7" s="7">
        <f>VC_NEW2!EN56</f>
        <v>0</v>
      </c>
      <c r="ET7" s="7">
        <f>VC_NEW2!EO56</f>
        <v>0</v>
      </c>
      <c r="EU7" s="7">
        <f>VC_NEW2!EP56</f>
        <v>0</v>
      </c>
      <c r="EV7" s="7">
        <f>VC_NEW2!EQ56</f>
        <v>0</v>
      </c>
      <c r="EW7" s="7">
        <f>VC_NEW2!ER56</f>
        <v>0</v>
      </c>
      <c r="EX7" s="7">
        <f>VC_NEW2!ES56</f>
        <v>0</v>
      </c>
      <c r="EY7" s="7">
        <f>VC_NEW2!ET56</f>
        <v>0</v>
      </c>
      <c r="EZ7" s="7">
        <f>VC_NEW2!EU56</f>
        <v>0</v>
      </c>
      <c r="FA7" s="7">
        <f>VC_NEW2!EV56</f>
        <v>0</v>
      </c>
      <c r="FB7" s="7">
        <f>VC_NEW2!EW56</f>
        <v>0</v>
      </c>
      <c r="FC7" s="7">
        <f>VC_NEW2!EX56</f>
        <v>0</v>
      </c>
      <c r="FD7" s="7">
        <f>VC_NEW2!EY56</f>
        <v>0</v>
      </c>
      <c r="FE7" s="7">
        <f>VC_NEW2!EZ56</f>
        <v>0</v>
      </c>
      <c r="FF7" s="7">
        <f>VC_NEW2!FA56</f>
        <v>0</v>
      </c>
      <c r="FG7" s="7">
        <f>VC_NEW2!FB56</f>
        <v>0</v>
      </c>
      <c r="FH7" s="7">
        <f>VC_NEW2!FC56</f>
        <v>0</v>
      </c>
      <c r="FI7" s="7" t="str">
        <f>VC_NEW2!FD56</f>
        <v>bla-CARB3</v>
      </c>
      <c r="FJ7" s="7">
        <f>VC_NEW2!FE56</f>
        <v>0</v>
      </c>
      <c r="FK7" s="7">
        <f>VC_NEW2!FF56</f>
        <v>0</v>
      </c>
      <c r="FL7" s="7">
        <f>VC_NEW2!FG56</f>
        <v>0</v>
      </c>
      <c r="FM7" s="7">
        <f>VC_NEW2!FH56</f>
        <v>0</v>
      </c>
      <c r="FN7" s="7">
        <f>VC_NEW2!FI56</f>
        <v>0</v>
      </c>
      <c r="FO7" s="7">
        <f>VC_NEW2!FJ56</f>
        <v>0</v>
      </c>
      <c r="FP7" s="7">
        <f>VC_NEW2!FK56</f>
        <v>0</v>
      </c>
      <c r="FQ7" s="7">
        <f>VC_NEW2!FL56</f>
        <v>0</v>
      </c>
      <c r="FR7" s="7">
        <f>VC_NEW2!FM56</f>
        <v>0</v>
      </c>
      <c r="FS7" s="7">
        <f>VC_NEW2!FN56</f>
        <v>0</v>
      </c>
      <c r="FT7" s="7">
        <f>VC_NEW2!FO56</f>
        <v>0</v>
      </c>
      <c r="FU7" s="7" t="str">
        <f>VC_NEW2!FP56</f>
        <v>blaOXA-2</v>
      </c>
      <c r="FV7" s="7">
        <f>VC_NEW2!FQ56</f>
        <v>0</v>
      </c>
      <c r="FW7" s="7">
        <f>VC_NEW2!FR56</f>
        <v>0</v>
      </c>
      <c r="FX7" s="7">
        <f>VC_NEW2!FS56</f>
        <v>0</v>
      </c>
      <c r="FY7" s="7">
        <f>VC_NEW2!FT56</f>
        <v>0</v>
      </c>
      <c r="FZ7" s="7">
        <f>VC_NEW2!FU56</f>
        <v>0</v>
      </c>
      <c r="GA7" s="7" t="str">
        <f>VC_NEW2!FV56</f>
        <v>blaGES-5</v>
      </c>
      <c r="GB7" s="7">
        <f>VC_NEW2!FW56</f>
        <v>0</v>
      </c>
      <c r="GC7" s="7">
        <f>VC_NEW2!FX56</f>
        <v>0</v>
      </c>
      <c r="GD7" s="7">
        <f>VC_NEW2!FY56</f>
        <v>0</v>
      </c>
      <c r="GE7" s="7">
        <f>VC_NEW2!FZ56</f>
        <v>0</v>
      </c>
      <c r="GF7" s="7">
        <f>VC_NEW2!GA56</f>
        <v>0</v>
      </c>
      <c r="GG7" s="7">
        <f>VC_NEW2!GB56</f>
        <v>0</v>
      </c>
      <c r="GH7" s="7">
        <f>VC_NEW2!GC56</f>
        <v>0</v>
      </c>
      <c r="GI7" s="7">
        <f>VC_NEW2!GD56</f>
        <v>0</v>
      </c>
      <c r="GJ7" s="7">
        <f>VC_NEW2!GE56</f>
        <v>0</v>
      </c>
      <c r="GK7" s="7">
        <f>VC_NEW2!GF56</f>
        <v>0</v>
      </c>
      <c r="GL7" s="7">
        <f>VC_NEW2!GG56</f>
        <v>0</v>
      </c>
      <c r="GM7" s="7">
        <f>VC_NEW2!GH56</f>
        <v>0</v>
      </c>
      <c r="GN7" s="7">
        <f>VC_NEW2!GI56</f>
        <v>0</v>
      </c>
      <c r="GO7" s="7">
        <f>VC_NEW2!GJ56</f>
        <v>0</v>
      </c>
      <c r="GP7" s="7">
        <f>VC_NEW2!GK56</f>
        <v>0</v>
      </c>
      <c r="GQ7" s="7">
        <f>VC_NEW2!GL56</f>
        <v>0</v>
      </c>
      <c r="GR7" s="7">
        <f>VC_NEW2!GM56</f>
        <v>0</v>
      </c>
      <c r="GS7" s="7">
        <f>VC_NEW2!GN56</f>
        <v>0</v>
      </c>
      <c r="GT7" s="7">
        <f>VC_NEW2!GO56</f>
        <v>0</v>
      </c>
      <c r="GU7" s="7">
        <f>VC_NEW2!GP56</f>
        <v>0</v>
      </c>
      <c r="GV7" s="7">
        <f>VC_NEW2!GQ56</f>
        <v>0</v>
      </c>
      <c r="GW7" s="7">
        <f>VC_NEW2!GR56</f>
        <v>0</v>
      </c>
      <c r="GX7" s="7">
        <f>VC_NEW2!GS56</f>
        <v>0</v>
      </c>
      <c r="GY7" s="7" t="str">
        <f>VC_NEW2!GT56</f>
        <v>blaCARB-2</v>
      </c>
      <c r="GZ7" s="7">
        <f>VC_NEW2!GU56</f>
        <v>0</v>
      </c>
      <c r="HA7" s="7">
        <f>VC_NEW2!GV56</f>
        <v>0</v>
      </c>
      <c r="HB7" s="7">
        <f>VC_NEW2!GW56</f>
        <v>0</v>
      </c>
      <c r="HC7" s="7">
        <f>VC_NEW2!GX56</f>
        <v>0</v>
      </c>
    </row>
    <row r="8" spans="1:211" s="1" customFormat="1" ht="15.75" hidden="1" customHeight="1" thickBot="1" x14ac:dyDescent="0.3">
      <c r="A8" s="1" t="s">
        <v>62</v>
      </c>
      <c r="B8" s="1" t="s">
        <v>63</v>
      </c>
      <c r="C8" s="4" t="s">
        <v>4</v>
      </c>
      <c r="D8" s="5" t="s">
        <v>76</v>
      </c>
      <c r="E8" s="95">
        <v>1</v>
      </c>
      <c r="F8" s="1" t="s">
        <v>73</v>
      </c>
      <c r="G8" s="1" t="s">
        <v>135</v>
      </c>
      <c r="H8" s="7">
        <f>VC_NEW2!C2</f>
        <v>0</v>
      </c>
      <c r="I8" s="7">
        <f>VC_NEW2!D2</f>
        <v>0</v>
      </c>
      <c r="J8" s="7">
        <f>VC_NEW2!E2</f>
        <v>0</v>
      </c>
      <c r="K8" s="7">
        <f>VC_NEW2!F2</f>
        <v>0</v>
      </c>
      <c r="L8" s="7">
        <f>VC_NEW2!G2</f>
        <v>0</v>
      </c>
      <c r="M8" s="7">
        <f>VC_NEW2!H2</f>
        <v>0</v>
      </c>
      <c r="N8" s="7" t="str">
        <f>VC_NEW2!I2</f>
        <v>E468D</v>
      </c>
      <c r="O8" s="7">
        <f>VC_NEW2!J2</f>
        <v>0</v>
      </c>
      <c r="P8" s="7">
        <f>VC_NEW2!K2</f>
        <v>0</v>
      </c>
      <c r="Q8" s="7">
        <f>VC_NEW2!L2</f>
        <v>0</v>
      </c>
      <c r="R8" s="7">
        <f>VC_NEW2!M2</f>
        <v>0</v>
      </c>
      <c r="S8" s="7">
        <f>VC_NEW2!N2</f>
        <v>0</v>
      </c>
      <c r="T8" s="7">
        <f>VC_NEW2!O2</f>
        <v>0</v>
      </c>
      <c r="U8" s="7">
        <f>VC_NEW2!P2</f>
        <v>0</v>
      </c>
      <c r="V8" s="7">
        <f>VC_NEW2!Q2</f>
        <v>0</v>
      </c>
      <c r="W8" s="7">
        <f>VC_NEW2!R2</f>
        <v>0</v>
      </c>
      <c r="X8" s="7">
        <f>VC_NEW2!S2</f>
        <v>0</v>
      </c>
      <c r="Y8" s="7">
        <f>VC_NEW2!T2</f>
        <v>0</v>
      </c>
      <c r="Z8" s="7">
        <f>VC_NEW2!U2</f>
        <v>0</v>
      </c>
      <c r="AA8" s="7" t="str">
        <f>VC_NEW2!V2</f>
        <v>N5K</v>
      </c>
      <c r="AB8" s="7">
        <f>VC_NEW2!W2</f>
        <v>0</v>
      </c>
      <c r="AC8" s="7">
        <f>VC_NEW2!X2</f>
        <v>0</v>
      </c>
      <c r="AD8" s="7">
        <f>VC_NEW2!Y2</f>
        <v>0</v>
      </c>
      <c r="AE8" s="7">
        <f>VC_NEW2!Z2</f>
        <v>0</v>
      </c>
      <c r="AF8" s="7">
        <f>VC_NEW2!AA2</f>
        <v>0</v>
      </c>
      <c r="AG8" s="7">
        <f>VC_NEW2!AB2</f>
        <v>0</v>
      </c>
      <c r="AH8" s="7">
        <f>VC_NEW2!AC2</f>
        <v>0</v>
      </c>
      <c r="AI8" s="7">
        <f>VC_NEW2!AD2</f>
        <v>0</v>
      </c>
      <c r="AJ8" s="7">
        <f>VC_NEW2!AE2</f>
        <v>0</v>
      </c>
      <c r="AK8" s="7" t="str">
        <f>VC_NEW2!AF2</f>
        <v>S466F</v>
      </c>
      <c r="AL8" s="7">
        <f>VC_NEW2!AG2</f>
        <v>0</v>
      </c>
      <c r="AM8" s="7">
        <f>VC_NEW2!AH2</f>
        <v>0</v>
      </c>
      <c r="AN8" s="7">
        <f>VC_NEW2!AI2</f>
        <v>0</v>
      </c>
      <c r="AO8" s="7">
        <f>VC_NEW2!AJ2</f>
        <v>0</v>
      </c>
      <c r="AP8" s="7">
        <f>VC_NEW2!AK2</f>
        <v>0</v>
      </c>
      <c r="AQ8" s="7">
        <f>VC_NEW2!AL2</f>
        <v>0</v>
      </c>
      <c r="AR8" s="7">
        <f>VC_NEW2!AM2</f>
        <v>0</v>
      </c>
      <c r="AS8" s="7">
        <f>VC_NEW2!AN2</f>
        <v>0</v>
      </c>
      <c r="AT8" s="7">
        <f>VC_NEW2!AO2</f>
        <v>0</v>
      </c>
      <c r="AU8" s="7">
        <f>VC_NEW2!AP2</f>
        <v>0</v>
      </c>
      <c r="AV8" s="7">
        <f>VC_NEW2!AQ2</f>
        <v>0</v>
      </c>
      <c r="AW8" s="7">
        <f>VC_NEW2!AR2</f>
        <v>0</v>
      </c>
      <c r="AX8" s="7">
        <f>VC_NEW2!AS2</f>
        <v>0</v>
      </c>
      <c r="AY8" s="7">
        <f>VC_NEW2!AT2</f>
        <v>0</v>
      </c>
      <c r="AZ8" s="7">
        <f>VC_NEW2!AU2</f>
        <v>0</v>
      </c>
      <c r="BA8" s="7">
        <f>VC_NEW2!AV2</f>
        <v>0</v>
      </c>
      <c r="BB8" s="7">
        <f>VC_NEW2!AW2</f>
        <v>0</v>
      </c>
      <c r="BC8" s="7">
        <f>VC_NEW2!AX2</f>
        <v>0</v>
      </c>
      <c r="BD8" s="7">
        <f>VC_NEW2!AY2</f>
        <v>0</v>
      </c>
      <c r="BE8" s="7">
        <f>VC_NEW2!AZ2</f>
        <v>0</v>
      </c>
      <c r="BF8" s="7">
        <f>VC_NEW2!BA2</f>
        <v>0</v>
      </c>
      <c r="BG8" s="7">
        <f>VC_NEW2!BB2</f>
        <v>0</v>
      </c>
      <c r="BH8" s="7">
        <f>VC_NEW2!BC2</f>
        <v>0</v>
      </c>
      <c r="BI8" s="7">
        <f>VC_NEW2!BD2</f>
        <v>0</v>
      </c>
      <c r="BJ8" s="7" t="str">
        <f>VC_NEW2!BE2</f>
        <v>S466Y</v>
      </c>
      <c r="BK8" s="7">
        <f>VC_NEW2!BF2</f>
        <v>0</v>
      </c>
      <c r="BL8" s="7">
        <f>VC_NEW2!BG2</f>
        <v>0</v>
      </c>
      <c r="BM8" s="7">
        <f>VC_NEW2!BH2</f>
        <v>0</v>
      </c>
      <c r="BN8" s="7">
        <f>VC_NEW2!BI2</f>
        <v>0</v>
      </c>
      <c r="BO8" s="7">
        <f>VC_NEW2!BJ2</f>
        <v>0</v>
      </c>
      <c r="BP8" s="7">
        <f>VC_NEW2!BK2</f>
        <v>0</v>
      </c>
      <c r="BQ8" s="7">
        <f>VC_NEW2!BL2</f>
        <v>0</v>
      </c>
      <c r="BR8" s="7">
        <f>VC_NEW2!BM2</f>
        <v>0</v>
      </c>
      <c r="BS8" s="7">
        <f>VC_NEW2!BN2</f>
        <v>0</v>
      </c>
      <c r="BT8" s="7">
        <f>VC_NEW2!BO2</f>
        <v>0</v>
      </c>
      <c r="BU8" s="7">
        <f>VC_NEW2!BP2</f>
        <v>0</v>
      </c>
      <c r="BV8" s="7">
        <f>VC_NEW2!BQ2</f>
        <v>0</v>
      </c>
      <c r="BW8" s="7">
        <f>VC_NEW2!BR2</f>
        <v>0</v>
      </c>
      <c r="BX8" s="7">
        <f>VC_NEW2!BS2</f>
        <v>0</v>
      </c>
      <c r="BY8" s="7">
        <f>VC_NEW2!BT2</f>
        <v>0</v>
      </c>
      <c r="BZ8" s="7">
        <f>VC_NEW2!BU2</f>
        <v>0</v>
      </c>
      <c r="CA8" s="7">
        <f>VC_NEW2!BV2</f>
        <v>0</v>
      </c>
      <c r="CB8" s="7">
        <f>VC_NEW2!BW2</f>
        <v>0</v>
      </c>
      <c r="CC8" s="7">
        <f>VC_NEW2!BX2</f>
        <v>0</v>
      </c>
      <c r="CD8" s="7">
        <f>VC_NEW2!BY2</f>
        <v>0</v>
      </c>
      <c r="CE8" s="7">
        <f>VC_NEW2!BZ2</f>
        <v>0</v>
      </c>
      <c r="CF8" s="7">
        <f>VC_NEW2!CA2</f>
        <v>0</v>
      </c>
      <c r="CG8" s="7">
        <f>VC_NEW2!CB2</f>
        <v>0</v>
      </c>
      <c r="CH8" s="7">
        <f>VC_NEW2!CC2</f>
        <v>0</v>
      </c>
      <c r="CI8" s="7">
        <f>VC_NEW2!CD2</f>
        <v>0</v>
      </c>
      <c r="CJ8" s="7">
        <f>VC_NEW2!CE2</f>
        <v>0</v>
      </c>
      <c r="CK8" s="7">
        <f>VC_NEW2!CF2</f>
        <v>0</v>
      </c>
      <c r="CL8" s="7">
        <f>VC_NEW2!CG2</f>
        <v>0</v>
      </c>
      <c r="CM8" s="7">
        <f>VC_NEW2!CH2</f>
        <v>0</v>
      </c>
      <c r="CN8" s="7">
        <f>VC_NEW2!CI2</f>
        <v>0</v>
      </c>
      <c r="CO8" s="7">
        <f>VC_NEW2!CJ2</f>
        <v>0</v>
      </c>
      <c r="CP8" s="7">
        <f>VC_NEW2!CK2</f>
        <v>0</v>
      </c>
      <c r="CQ8" s="7">
        <f>VC_NEW2!CL2</f>
        <v>0</v>
      </c>
      <c r="CR8" s="7">
        <f>VC_NEW2!CM2</f>
        <v>0</v>
      </c>
      <c r="CS8" s="7" t="str">
        <f>VC_NEW2!CN2</f>
        <v>E468D</v>
      </c>
      <c r="CT8" s="7">
        <f>VC_NEW2!CO2</f>
        <v>0</v>
      </c>
      <c r="CU8" s="7">
        <f>VC_NEW2!CP2</f>
        <v>0</v>
      </c>
      <c r="CV8" s="7">
        <f>VC_NEW2!CQ2</f>
        <v>0</v>
      </c>
      <c r="CW8" s="7">
        <f>VC_NEW2!CR2</f>
        <v>0</v>
      </c>
      <c r="CX8" s="7">
        <f>VC_NEW2!CS2</f>
        <v>0</v>
      </c>
      <c r="CY8" s="7">
        <f>VC_NEW2!CT2</f>
        <v>0</v>
      </c>
      <c r="CZ8" s="7">
        <f>VC_NEW2!CU2</f>
        <v>0</v>
      </c>
      <c r="DA8" s="7">
        <f>VC_NEW2!CV2</f>
        <v>0</v>
      </c>
      <c r="DB8" s="7">
        <f>VC_NEW2!CW2</f>
        <v>0</v>
      </c>
      <c r="DC8" s="7">
        <f>VC_NEW2!CX2</f>
        <v>0</v>
      </c>
      <c r="DD8" s="7">
        <f>VC_NEW2!CY2</f>
        <v>0</v>
      </c>
      <c r="DE8" s="7">
        <f>VC_NEW2!CZ2</f>
        <v>0</v>
      </c>
      <c r="DF8" s="7">
        <f>VC_NEW2!DA2</f>
        <v>0</v>
      </c>
      <c r="DG8" s="7">
        <f>VC_NEW2!DB2</f>
        <v>0</v>
      </c>
      <c r="DH8" s="7">
        <f>VC_NEW2!DC2</f>
        <v>0</v>
      </c>
      <c r="DI8" s="7">
        <f>VC_NEW2!DD2</f>
        <v>0</v>
      </c>
      <c r="DJ8" s="7">
        <f>VC_NEW2!DE2</f>
        <v>0</v>
      </c>
      <c r="DK8" s="7">
        <f>VC_NEW2!DF2</f>
        <v>0</v>
      </c>
      <c r="DL8" s="7">
        <f>VC_NEW2!DG2</f>
        <v>0</v>
      </c>
      <c r="DM8" s="7">
        <f>VC_NEW2!DH2</f>
        <v>0</v>
      </c>
      <c r="DN8" s="7">
        <f>VC_NEW2!DI2</f>
        <v>0</v>
      </c>
      <c r="DO8" s="7">
        <f>VC_NEW2!DJ2</f>
        <v>0</v>
      </c>
      <c r="DP8" s="7">
        <f>VC_NEW2!DK2</f>
        <v>0</v>
      </c>
      <c r="DQ8" s="7">
        <f>VC_NEW2!DL2</f>
        <v>0</v>
      </c>
      <c r="DR8" s="7" t="str">
        <f>VC_NEW2!DM2</f>
        <v>S466Y</v>
      </c>
      <c r="DS8" s="7">
        <f>VC_NEW2!DN2</f>
        <v>0</v>
      </c>
      <c r="DT8" s="7">
        <f>VC_NEW2!DO2</f>
        <v>0</v>
      </c>
      <c r="DU8" s="7" t="str">
        <f>VC_NEW2!DP2</f>
        <v>E468D</v>
      </c>
      <c r="DV8" s="7">
        <f>VC_NEW2!DQ2</f>
        <v>0</v>
      </c>
      <c r="DW8" s="7" t="str">
        <f>VC_NEW2!DR2</f>
        <v>E468D</v>
      </c>
      <c r="DX8" s="7">
        <f>VC_NEW2!DS2</f>
        <v>0</v>
      </c>
      <c r="DY8" s="7">
        <f>VC_NEW2!DT2</f>
        <v>0</v>
      </c>
      <c r="DZ8" s="7">
        <f>VC_NEW2!DU2</f>
        <v>0</v>
      </c>
      <c r="EA8" s="7">
        <f>VC_NEW2!DV2</f>
        <v>0</v>
      </c>
      <c r="EB8" s="7">
        <f>VC_NEW2!DW2</f>
        <v>0</v>
      </c>
      <c r="EC8" s="7">
        <f>VC_NEW2!DX2</f>
        <v>0</v>
      </c>
      <c r="ED8" s="7" t="str">
        <f>VC_NEW2!DY2</f>
        <v>S466F</v>
      </c>
      <c r="EE8" s="7">
        <f>VC_NEW2!DZ2</f>
        <v>0</v>
      </c>
      <c r="EF8" s="7">
        <f>VC_NEW2!EA2</f>
        <v>0</v>
      </c>
      <c r="EG8" s="7">
        <f>VC_NEW2!EB2</f>
        <v>0</v>
      </c>
      <c r="EH8" s="7">
        <f>VC_NEW2!EC2</f>
        <v>0</v>
      </c>
      <c r="EI8" s="7">
        <f>VC_NEW2!ED2</f>
        <v>0</v>
      </c>
      <c r="EJ8" s="7">
        <f>VC_NEW2!EE2</f>
        <v>0</v>
      </c>
      <c r="EK8" s="7">
        <f>VC_NEW2!EF2</f>
        <v>0</v>
      </c>
      <c r="EL8" s="7" t="str">
        <f>VC_NEW2!EG2</f>
        <v>S466Y</v>
      </c>
      <c r="EM8" s="7">
        <f>VC_NEW2!EH2</f>
        <v>0</v>
      </c>
      <c r="EN8" s="7">
        <f>VC_NEW2!EI2</f>
        <v>0</v>
      </c>
      <c r="EO8" s="7">
        <f>VC_NEW2!EJ2</f>
        <v>0</v>
      </c>
      <c r="EP8" s="7">
        <f>VC_NEW2!EK2</f>
        <v>0</v>
      </c>
      <c r="EQ8" s="7">
        <f>VC_NEW2!EL2</f>
        <v>0</v>
      </c>
      <c r="ER8" s="7">
        <f>VC_NEW2!EM2</f>
        <v>0</v>
      </c>
      <c r="ES8" s="7">
        <f>VC_NEW2!EN2</f>
        <v>0</v>
      </c>
      <c r="ET8" s="7" t="str">
        <f>VC_NEW2!EO2</f>
        <v>R22C</v>
      </c>
      <c r="EU8" s="7">
        <f>VC_NEW2!EP2</f>
        <v>0</v>
      </c>
      <c r="EV8" s="7">
        <f>VC_NEW2!EQ2</f>
        <v>0</v>
      </c>
      <c r="EW8" s="7" t="str">
        <f>VC_NEW2!ER2</f>
        <v>I529V</v>
      </c>
      <c r="EX8" s="7">
        <f>VC_NEW2!ES2</f>
        <v>0</v>
      </c>
      <c r="EY8" s="7">
        <f>VC_NEW2!ET2</f>
        <v>0</v>
      </c>
      <c r="EZ8" s="7">
        <f>VC_NEW2!EU2</f>
        <v>0</v>
      </c>
      <c r="FA8" s="7">
        <f>VC_NEW2!EV2</f>
        <v>0</v>
      </c>
      <c r="FB8" s="7" t="str">
        <f>VC_NEW2!EW2</f>
        <v>S466F</v>
      </c>
      <c r="FC8" s="7">
        <f>VC_NEW2!EX2</f>
        <v>0</v>
      </c>
      <c r="FD8" s="7">
        <f>VC_NEW2!EY2</f>
        <v>0</v>
      </c>
      <c r="FE8" s="7" t="str">
        <f>VC_NEW2!EZ2</f>
        <v>E468D</v>
      </c>
      <c r="FF8" s="7">
        <f>VC_NEW2!FA2</f>
        <v>0</v>
      </c>
      <c r="FG8" s="7">
        <f>VC_NEW2!FB2</f>
        <v>0</v>
      </c>
      <c r="FH8" s="7">
        <f>VC_NEW2!FC2</f>
        <v>0</v>
      </c>
      <c r="FI8" s="7">
        <f>VC_NEW2!FD2</f>
        <v>0</v>
      </c>
      <c r="FJ8" s="7">
        <f>VC_NEW2!FE2</f>
        <v>0</v>
      </c>
      <c r="FK8" s="7">
        <f>VC_NEW2!FF2</f>
        <v>0</v>
      </c>
      <c r="FL8" s="7">
        <f>VC_NEW2!FG2</f>
        <v>0</v>
      </c>
      <c r="FM8" s="7">
        <f>VC_NEW2!FH2</f>
        <v>0</v>
      </c>
      <c r="FN8" s="7">
        <f>VC_NEW2!FI2</f>
        <v>0</v>
      </c>
      <c r="FO8" s="7">
        <f>VC_NEW2!FJ2</f>
        <v>0</v>
      </c>
      <c r="FP8" s="7">
        <f>VC_NEW2!FK2</f>
        <v>0</v>
      </c>
      <c r="FQ8" s="7">
        <f>VC_NEW2!FL2</f>
        <v>0</v>
      </c>
      <c r="FR8" s="7">
        <f>VC_NEW2!FM2</f>
        <v>0</v>
      </c>
      <c r="FS8" s="7">
        <f>VC_NEW2!FN2</f>
        <v>0</v>
      </c>
      <c r="FT8" s="7">
        <f>VC_NEW2!FO2</f>
        <v>0</v>
      </c>
      <c r="FU8" s="7" t="str">
        <f>VC_NEW2!FP2</f>
        <v>E468D</v>
      </c>
      <c r="FV8" s="7">
        <f>VC_NEW2!FQ2</f>
        <v>0</v>
      </c>
      <c r="FW8" s="7" t="str">
        <f>VC_NEW2!FR2</f>
        <v>H170Y</v>
      </c>
      <c r="FX8" s="7">
        <f>VC_NEW2!FS2</f>
        <v>0</v>
      </c>
      <c r="FY8" s="7">
        <f>VC_NEW2!FT2</f>
        <v>0</v>
      </c>
      <c r="FZ8" s="7">
        <f>VC_NEW2!FU2</f>
        <v>0</v>
      </c>
      <c r="GA8" s="7">
        <f>VC_NEW2!FV2</f>
        <v>0</v>
      </c>
      <c r="GB8" s="7" t="str">
        <f>VC_NEW2!FW2</f>
        <v>E468D</v>
      </c>
      <c r="GC8" s="7">
        <f>VC_NEW2!FX2</f>
        <v>0</v>
      </c>
      <c r="GD8" s="7">
        <f>VC_NEW2!FY2</f>
        <v>0</v>
      </c>
      <c r="GE8" s="7">
        <f>VC_NEW2!FZ2</f>
        <v>0</v>
      </c>
      <c r="GF8" s="7">
        <f>VC_NEW2!GA2</f>
        <v>0</v>
      </c>
      <c r="GG8" s="7">
        <f>VC_NEW2!GB2</f>
        <v>0</v>
      </c>
      <c r="GH8" s="7">
        <f>VC_NEW2!GC2</f>
        <v>0</v>
      </c>
      <c r="GI8" s="7">
        <f>VC_NEW2!GD2</f>
        <v>0</v>
      </c>
      <c r="GJ8" s="7">
        <f>VC_NEW2!GE2</f>
        <v>0</v>
      </c>
      <c r="GK8" s="7">
        <f>VC_NEW2!GF2</f>
        <v>0</v>
      </c>
      <c r="GL8" s="7" t="str">
        <f>VC_NEW2!GG2</f>
        <v>S466F</v>
      </c>
      <c r="GM8" s="7">
        <f>VC_NEW2!GH2</f>
        <v>0</v>
      </c>
      <c r="GN8" s="7">
        <f>VC_NEW2!GI2</f>
        <v>0</v>
      </c>
      <c r="GO8" s="7">
        <f>VC_NEW2!GJ2</f>
        <v>0</v>
      </c>
      <c r="GP8" s="7">
        <f>VC_NEW2!GK2</f>
        <v>0</v>
      </c>
      <c r="GQ8" s="7">
        <f>VC_NEW2!GL2</f>
        <v>0</v>
      </c>
      <c r="GR8" s="7">
        <f>VC_NEW2!GM2</f>
        <v>0</v>
      </c>
      <c r="GS8" s="7">
        <f>VC_NEW2!GN2</f>
        <v>0</v>
      </c>
      <c r="GT8" s="7">
        <f>VC_NEW2!GO2</f>
        <v>0</v>
      </c>
      <c r="GU8" s="7">
        <f>VC_NEW2!GP2</f>
        <v>0</v>
      </c>
      <c r="GV8" s="7">
        <f>VC_NEW2!GQ2</f>
        <v>0</v>
      </c>
      <c r="GW8" s="7">
        <f>VC_NEW2!GR2</f>
        <v>0</v>
      </c>
      <c r="GX8" s="7" t="str">
        <f>VC_NEW2!GS2</f>
        <v>P749S</v>
      </c>
      <c r="GY8" s="7">
        <f>VC_NEW2!GT2</f>
        <v>0</v>
      </c>
      <c r="GZ8" s="7">
        <f>VC_NEW2!GU2</f>
        <v>0</v>
      </c>
      <c r="HA8" s="7">
        <f>VC_NEW2!GV2</f>
        <v>0</v>
      </c>
      <c r="HB8" s="7">
        <f>VC_NEW2!GW2</f>
        <v>0</v>
      </c>
      <c r="HC8" s="7">
        <f>VC_NEW2!GX2</f>
        <v>0</v>
      </c>
    </row>
    <row r="9" spans="1:211" s="7" customFormat="1" ht="15" hidden="1" customHeight="1" thickBot="1" x14ac:dyDescent="0.25">
      <c r="A9" s="32" t="s">
        <v>5</v>
      </c>
      <c r="B9" s="33" t="s">
        <v>6</v>
      </c>
      <c r="C9" s="34" t="s">
        <v>1</v>
      </c>
      <c r="D9" s="33" t="s">
        <v>76</v>
      </c>
      <c r="E9" s="37" t="s">
        <v>138</v>
      </c>
      <c r="F9" s="33" t="s">
        <v>74</v>
      </c>
      <c r="G9" s="35" t="s">
        <v>136</v>
      </c>
      <c r="H9" s="7">
        <f>VC_NEW2!C3</f>
        <v>0</v>
      </c>
      <c r="I9" s="7">
        <f>VC_NEW2!D3</f>
        <v>0</v>
      </c>
      <c r="J9" s="7">
        <f>VC_NEW2!E3</f>
        <v>0</v>
      </c>
      <c r="K9" s="7">
        <f>VC_NEW2!F3</f>
        <v>0</v>
      </c>
      <c r="L9" s="7">
        <f>VC_NEW2!G3</f>
        <v>0</v>
      </c>
      <c r="M9" s="7">
        <f>VC_NEW2!H3</f>
        <v>0</v>
      </c>
      <c r="N9" s="7">
        <f>VC_NEW2!I3</f>
        <v>0</v>
      </c>
      <c r="O9" s="7">
        <f>VC_NEW2!J3</f>
        <v>0</v>
      </c>
      <c r="P9" s="7">
        <f>VC_NEW2!K3</f>
        <v>0</v>
      </c>
      <c r="Q9" s="7">
        <f>VC_NEW2!L3</f>
        <v>0</v>
      </c>
      <c r="R9" s="7">
        <f>VC_NEW2!M3</f>
        <v>0</v>
      </c>
      <c r="S9" s="7">
        <f>VC_NEW2!N3</f>
        <v>0</v>
      </c>
      <c r="T9" s="7">
        <f>VC_NEW2!O3</f>
        <v>0</v>
      </c>
      <c r="U9" s="7">
        <f>VC_NEW2!P3</f>
        <v>0</v>
      </c>
      <c r="V9" s="7">
        <f>VC_NEW2!Q3</f>
        <v>0</v>
      </c>
      <c r="W9" s="7">
        <f>VC_NEW2!R3</f>
        <v>0</v>
      </c>
      <c r="X9" s="7">
        <f>VC_NEW2!S3</f>
        <v>0</v>
      </c>
      <c r="Y9" s="7">
        <f>VC_NEW2!T3</f>
        <v>0</v>
      </c>
      <c r="Z9" s="7">
        <f>VC_NEW2!U3</f>
        <v>0</v>
      </c>
      <c r="AA9" s="7">
        <f>VC_NEW2!V3</f>
        <v>0</v>
      </c>
      <c r="AB9" s="7" t="str">
        <f>VC_NEW2!W3</f>
        <v xml:space="preserve">S92N </v>
      </c>
      <c r="AC9" s="7" t="str">
        <f>VC_NEW2!X3</f>
        <v>aa11∆4</v>
      </c>
      <c r="AD9" s="7">
        <f>VC_NEW2!Y3</f>
        <v>0</v>
      </c>
      <c r="AE9" s="7">
        <f>VC_NEW2!Z3</f>
        <v>0</v>
      </c>
      <c r="AF9" s="7">
        <f>VC_NEW2!AA3</f>
        <v>0</v>
      </c>
      <c r="AG9" s="7">
        <f>VC_NEW2!AB3</f>
        <v>0</v>
      </c>
      <c r="AH9" s="7">
        <f>VC_NEW2!AC3</f>
        <v>0</v>
      </c>
      <c r="AI9" s="7">
        <f>VC_NEW2!AD3</f>
        <v>0</v>
      </c>
      <c r="AJ9" s="7">
        <f>VC_NEW2!AE3</f>
        <v>0</v>
      </c>
      <c r="AK9" s="7" t="str">
        <f>VC_NEW2!AF3</f>
        <v xml:space="preserve">L102P </v>
      </c>
      <c r="AL9" s="7">
        <f>VC_NEW2!AG3</f>
        <v>0</v>
      </c>
      <c r="AM9" s="7">
        <f>VC_NEW2!AH3</f>
        <v>0</v>
      </c>
      <c r="AN9" s="7">
        <f>VC_NEW2!AI3</f>
        <v>0</v>
      </c>
      <c r="AO9" s="7" t="str">
        <f>VC_NEW2!AJ3</f>
        <v>nt402∆11</v>
      </c>
      <c r="AP9" s="7">
        <f>VC_NEW2!AK3</f>
        <v>0</v>
      </c>
      <c r="AQ9" s="7">
        <f>VC_NEW2!AL3</f>
        <v>0</v>
      </c>
      <c r="AR9" s="7">
        <f>VC_NEW2!AM3</f>
        <v>0</v>
      </c>
      <c r="AS9" s="7">
        <f>VC_NEW2!AN3</f>
        <v>0</v>
      </c>
      <c r="AT9" s="7">
        <f>VC_NEW2!AO3</f>
        <v>0</v>
      </c>
      <c r="AU9" s="7">
        <f>VC_NEW2!AP3</f>
        <v>0</v>
      </c>
      <c r="AV9" s="7">
        <f>VC_NEW2!AQ3</f>
        <v>0</v>
      </c>
      <c r="AW9" s="7">
        <f>VC_NEW2!AR3</f>
        <v>0</v>
      </c>
      <c r="AX9" s="7">
        <f>VC_NEW2!AS3</f>
        <v>0</v>
      </c>
      <c r="AY9" s="7">
        <f>VC_NEW2!AT3</f>
        <v>0</v>
      </c>
      <c r="AZ9" s="7">
        <f>VC_NEW2!AU3</f>
        <v>0</v>
      </c>
      <c r="BA9" s="7">
        <f>VC_NEW2!AV3</f>
        <v>0</v>
      </c>
      <c r="BB9" s="7" t="str">
        <f>VC_NEW2!AW3</f>
        <v xml:space="preserve">L95F </v>
      </c>
      <c r="BC9" s="7">
        <f>VC_NEW2!AX3</f>
        <v>0</v>
      </c>
      <c r="BD9" s="7">
        <f>VC_NEW2!AY3</f>
        <v>0</v>
      </c>
      <c r="BE9" s="7">
        <f>VC_NEW2!AZ3</f>
        <v>0</v>
      </c>
      <c r="BF9" s="7">
        <f>VC_NEW2!BA3</f>
        <v>0</v>
      </c>
      <c r="BG9" s="7">
        <f>VC_NEW2!BB3</f>
        <v>0</v>
      </c>
      <c r="BH9" s="7">
        <f>VC_NEW2!BC3</f>
        <v>0</v>
      </c>
      <c r="BI9" s="7">
        <f>VC_NEW2!BD3</f>
        <v>0</v>
      </c>
      <c r="BJ9" s="7">
        <f>VC_NEW2!BE3</f>
        <v>0</v>
      </c>
      <c r="BK9" s="7">
        <f>VC_NEW2!BF3</f>
        <v>0</v>
      </c>
      <c r="BL9" s="7">
        <f>VC_NEW2!BG3</f>
        <v>0</v>
      </c>
      <c r="BM9" s="7">
        <f>VC_NEW2!BH3</f>
        <v>0</v>
      </c>
      <c r="BN9" s="7" t="str">
        <f>VC_NEW2!BI3</f>
        <v>nt81InsT</v>
      </c>
      <c r="BO9" s="7">
        <f>VC_NEW2!BJ3</f>
        <v>0</v>
      </c>
      <c r="BP9" s="7">
        <f>VC_NEW2!BK3</f>
        <v>0</v>
      </c>
      <c r="BQ9" s="7">
        <f>VC_NEW2!BL3</f>
        <v>0</v>
      </c>
      <c r="BR9" s="7">
        <f>VC_NEW2!BM3</f>
        <v>0</v>
      </c>
      <c r="BS9" s="7">
        <f>VC_NEW2!BN3</f>
        <v>0</v>
      </c>
      <c r="BT9" s="7">
        <f>VC_NEW2!BO3</f>
        <v>0</v>
      </c>
      <c r="BU9" s="7">
        <f>VC_NEW2!BP3</f>
        <v>0</v>
      </c>
      <c r="BV9" s="7">
        <f>VC_NEW2!BQ3</f>
        <v>0</v>
      </c>
      <c r="BW9" s="7">
        <f>VC_NEW2!BR3</f>
        <v>0</v>
      </c>
      <c r="BX9" s="7">
        <f>VC_NEW2!BS3</f>
        <v>0</v>
      </c>
      <c r="BY9" s="7">
        <f>VC_NEW2!BT3</f>
        <v>0</v>
      </c>
      <c r="BZ9" s="7">
        <f>VC_NEW2!BU3</f>
        <v>0</v>
      </c>
      <c r="CA9" s="7" t="str">
        <f>VC_NEW2!BV3</f>
        <v>nt266InsG</v>
      </c>
      <c r="CB9" s="7">
        <f>VC_NEW2!BW3</f>
        <v>0</v>
      </c>
      <c r="CC9" s="7">
        <f>VC_NEW2!BX3</f>
        <v>0</v>
      </c>
      <c r="CD9" s="7">
        <f>VC_NEW2!BY3</f>
        <v>0</v>
      </c>
      <c r="CE9" s="7">
        <f>VC_NEW2!BZ3</f>
        <v>0</v>
      </c>
      <c r="CF9" s="7" t="str">
        <f>VC_NEW2!CA3</f>
        <v xml:space="preserve">R73L </v>
      </c>
      <c r="CG9" s="7">
        <f>VC_NEW2!CB3</f>
        <v>0</v>
      </c>
      <c r="CH9" s="7">
        <f>VC_NEW2!CC3</f>
        <v>0</v>
      </c>
      <c r="CI9" s="7">
        <f>VC_NEW2!CD3</f>
        <v>0</v>
      </c>
      <c r="CJ9" s="7">
        <f>VC_NEW2!CE3</f>
        <v>0</v>
      </c>
      <c r="CK9" s="7">
        <f>VC_NEW2!CF3</f>
        <v>0</v>
      </c>
      <c r="CL9" s="7">
        <f>VC_NEW2!CG3</f>
        <v>0</v>
      </c>
      <c r="CM9" s="7">
        <f>VC_NEW2!CH3</f>
        <v>0</v>
      </c>
      <c r="CN9" s="7">
        <f>VC_NEW2!CI3</f>
        <v>0</v>
      </c>
      <c r="CO9" s="7">
        <f>VC_NEW2!CJ3</f>
        <v>0</v>
      </c>
      <c r="CP9" s="7">
        <f>VC_NEW2!CK3</f>
        <v>0</v>
      </c>
      <c r="CQ9" s="7">
        <f>VC_NEW2!CL3</f>
        <v>0</v>
      </c>
      <c r="CR9" s="7">
        <f>VC_NEW2!CM3</f>
        <v>0</v>
      </c>
      <c r="CS9" s="7" t="str">
        <f>VC_NEW2!CN3</f>
        <v>L95F</v>
      </c>
      <c r="CT9" s="7">
        <f>VC_NEW2!CO3</f>
        <v>0</v>
      </c>
      <c r="CU9" s="7">
        <f>VC_NEW2!CP3</f>
        <v>0</v>
      </c>
      <c r="CV9" s="7">
        <f>VC_NEW2!CQ3</f>
        <v>0</v>
      </c>
      <c r="CW9" s="7" t="str">
        <f>VC_NEW2!CR3</f>
        <v>nt161InsC</v>
      </c>
      <c r="CX9" s="7">
        <f>VC_NEW2!CS3</f>
        <v>0</v>
      </c>
      <c r="CY9" s="7">
        <f>VC_NEW2!CT3</f>
        <v>0</v>
      </c>
      <c r="CZ9" s="7">
        <f>VC_NEW2!CU3</f>
        <v>0</v>
      </c>
      <c r="DA9" s="7">
        <f>VC_NEW2!CV3</f>
        <v>0</v>
      </c>
      <c r="DB9" s="7">
        <f>VC_NEW2!CW3</f>
        <v>0</v>
      </c>
      <c r="DC9" s="7">
        <f>VC_NEW2!CX3</f>
        <v>0</v>
      </c>
      <c r="DD9" s="7">
        <f>VC_NEW2!CY3</f>
        <v>0</v>
      </c>
      <c r="DE9" s="7">
        <f>VC_NEW2!CZ3</f>
        <v>0</v>
      </c>
      <c r="DF9" s="7" t="str">
        <f>VC_NEW2!DA3</f>
        <v>R82H</v>
      </c>
      <c r="DG9" s="7">
        <f>VC_NEW2!DB3</f>
        <v>0</v>
      </c>
      <c r="DH9" s="7">
        <f>VC_NEW2!DC3</f>
        <v>0</v>
      </c>
      <c r="DI9" s="7">
        <f>VC_NEW2!DD3</f>
        <v>0</v>
      </c>
      <c r="DJ9" s="7">
        <f>VC_NEW2!DE3</f>
        <v>0</v>
      </c>
      <c r="DK9" s="7">
        <f>VC_NEW2!DF3</f>
        <v>0</v>
      </c>
      <c r="DL9" s="7">
        <f>VC_NEW2!DG3</f>
        <v>0</v>
      </c>
      <c r="DM9" s="7">
        <f>VC_NEW2!DH3</f>
        <v>0</v>
      </c>
      <c r="DN9" s="7">
        <f>VC_NEW2!DI3</f>
        <v>0</v>
      </c>
      <c r="DO9" s="7">
        <f>VC_NEW2!DJ3</f>
        <v>0</v>
      </c>
      <c r="DP9" s="7">
        <f>VC_NEW2!DK3</f>
        <v>0</v>
      </c>
      <c r="DQ9" s="7">
        <f>VC_NEW2!DL3</f>
        <v>0</v>
      </c>
      <c r="DR9" s="7">
        <f>VC_NEW2!DM3</f>
        <v>0</v>
      </c>
      <c r="DS9" s="7">
        <f>VC_NEW2!DN3</f>
        <v>0</v>
      </c>
      <c r="DT9" s="7">
        <f>VC_NEW2!DO3</f>
        <v>0</v>
      </c>
      <c r="DU9" s="7">
        <f>VC_NEW2!DP3</f>
        <v>0</v>
      </c>
      <c r="DV9" s="7">
        <f>VC_NEW2!DQ3</f>
        <v>0</v>
      </c>
      <c r="DW9" s="7">
        <f>VC_NEW2!DR3</f>
        <v>0</v>
      </c>
      <c r="DX9" s="7">
        <f>VC_NEW2!DS3</f>
        <v>0</v>
      </c>
      <c r="DY9" s="7">
        <f>VC_NEW2!DT3</f>
        <v>0</v>
      </c>
      <c r="DZ9" s="7">
        <f>VC_NEW2!DU3</f>
        <v>0</v>
      </c>
      <c r="EA9" s="7">
        <f>VC_NEW2!DV3</f>
        <v>0</v>
      </c>
      <c r="EB9" s="7">
        <f>VC_NEW2!DW3</f>
        <v>0</v>
      </c>
      <c r="EC9" s="7">
        <f>VC_NEW2!DX3</f>
        <v>0</v>
      </c>
      <c r="ED9" s="7">
        <f>VC_NEW2!DY3</f>
        <v>0</v>
      </c>
      <c r="EE9" s="7">
        <f>VC_NEW2!DZ3</f>
        <v>0</v>
      </c>
      <c r="EF9" s="7">
        <f>VC_NEW2!EA3</f>
        <v>0</v>
      </c>
      <c r="EG9" s="7">
        <f>VC_NEW2!EB3</f>
        <v>0</v>
      </c>
      <c r="EH9" s="7">
        <f>VC_NEW2!EC3</f>
        <v>0</v>
      </c>
      <c r="EI9" s="7">
        <f>VC_NEW2!ED3</f>
        <v>0</v>
      </c>
      <c r="EJ9" s="7">
        <f>VC_NEW2!EE3</f>
        <v>0</v>
      </c>
      <c r="EK9" s="7" t="str">
        <f>VC_NEW2!EF3</f>
        <v>nt217∆1</v>
      </c>
      <c r="EL9" s="7">
        <f>VC_NEW2!EG3</f>
        <v>0</v>
      </c>
      <c r="EM9" s="7">
        <f>VC_NEW2!EH3</f>
        <v>0</v>
      </c>
      <c r="EN9" s="7">
        <f>VC_NEW2!EI3</f>
        <v>0</v>
      </c>
      <c r="EO9" s="7">
        <f>VC_NEW2!EJ3</f>
        <v>0</v>
      </c>
      <c r="EP9" s="7">
        <f>VC_NEW2!EK3</f>
        <v>0</v>
      </c>
      <c r="EQ9" s="7">
        <f>VC_NEW2!EL3</f>
        <v>0</v>
      </c>
      <c r="ER9" s="7">
        <f>VC_NEW2!EM3</f>
        <v>0</v>
      </c>
      <c r="ES9" s="7">
        <f>VC_NEW2!EN3</f>
        <v>0</v>
      </c>
      <c r="ET9" s="7">
        <f>VC_NEW2!EO3</f>
        <v>0</v>
      </c>
      <c r="EU9" s="7">
        <f>VC_NEW2!EP3</f>
        <v>0</v>
      </c>
      <c r="EV9" s="7">
        <f>VC_NEW2!EQ3</f>
        <v>0</v>
      </c>
      <c r="EW9" s="7" t="str">
        <f>VC_NEW2!ER3</f>
        <v xml:space="preserve">N79S </v>
      </c>
      <c r="EX9" s="7">
        <f>VC_NEW2!ES3</f>
        <v>0</v>
      </c>
      <c r="EY9" s="7">
        <f>VC_NEW2!ET3</f>
        <v>0</v>
      </c>
      <c r="EZ9" s="7">
        <f>VC_NEW2!EU3</f>
        <v>0</v>
      </c>
      <c r="FA9" s="7">
        <f>VC_NEW2!EV3</f>
        <v>0</v>
      </c>
      <c r="FB9" s="7">
        <f>VC_NEW2!EW3</f>
        <v>0</v>
      </c>
      <c r="FC9" s="7">
        <f>VC_NEW2!EX3</f>
        <v>0</v>
      </c>
      <c r="FD9" s="7">
        <f>VC_NEW2!EY3</f>
        <v>0</v>
      </c>
      <c r="FE9" s="7">
        <f>VC_NEW2!EZ3</f>
        <v>0</v>
      </c>
      <c r="FF9" s="7">
        <f>VC_NEW2!FA3</f>
        <v>0</v>
      </c>
      <c r="FG9" s="7">
        <f>VC_NEW2!FB3</f>
        <v>0</v>
      </c>
      <c r="FH9" s="7">
        <f>VC_NEW2!FC3</f>
        <v>0</v>
      </c>
      <c r="FI9" s="7">
        <f>VC_NEW2!FD3</f>
        <v>0</v>
      </c>
      <c r="FJ9" s="7">
        <f>VC_NEW2!FE3</f>
        <v>0</v>
      </c>
      <c r="FK9" s="7">
        <f>VC_NEW2!FF3</f>
        <v>0</v>
      </c>
      <c r="FL9" s="7">
        <f>VC_NEW2!FG3</f>
        <v>0</v>
      </c>
      <c r="FM9" s="7">
        <f>VC_NEW2!FH3</f>
        <v>0</v>
      </c>
      <c r="FN9" s="7">
        <f>VC_NEW2!FI3</f>
        <v>0</v>
      </c>
      <c r="FO9" s="7">
        <f>VC_NEW2!FJ3</f>
        <v>0</v>
      </c>
      <c r="FP9" s="7">
        <f>VC_NEW2!FK3</f>
        <v>0</v>
      </c>
      <c r="FQ9" s="7">
        <f>VC_NEW2!FL3</f>
        <v>0</v>
      </c>
      <c r="FR9" s="7" t="str">
        <f>VC_NEW2!FM3</f>
        <v>Q49X</v>
      </c>
      <c r="FS9" s="7">
        <f>VC_NEW2!FN3</f>
        <v>0</v>
      </c>
      <c r="FT9" s="7">
        <f>VC_NEW2!FO3</f>
        <v>0</v>
      </c>
      <c r="FU9" s="7">
        <f>VC_NEW2!FP3</f>
        <v>0</v>
      </c>
      <c r="FV9" s="7">
        <f>VC_NEW2!FQ3</f>
        <v>0</v>
      </c>
      <c r="FW9" s="7" t="str">
        <f>VC_NEW2!FR3</f>
        <v>aa90∆4</v>
      </c>
      <c r="FX9" s="7">
        <f>VC_NEW2!FS3</f>
        <v>0</v>
      </c>
      <c r="FY9" s="7">
        <f>VC_NEW2!FT3</f>
        <v>0</v>
      </c>
      <c r="FZ9" s="7">
        <f>VC_NEW2!FU3</f>
        <v>0</v>
      </c>
      <c r="GA9" s="7">
        <f>VC_NEW2!FV3</f>
        <v>0</v>
      </c>
      <c r="GB9" s="7">
        <f>VC_NEW2!FW3</f>
        <v>0</v>
      </c>
      <c r="GC9" s="7">
        <f>VC_NEW2!FX3</f>
        <v>0</v>
      </c>
      <c r="GD9" s="7">
        <f>VC_NEW2!FY3</f>
        <v>0</v>
      </c>
      <c r="GE9" s="7">
        <f>VC_NEW2!FZ3</f>
        <v>0</v>
      </c>
      <c r="GF9" s="7">
        <f>VC_NEW2!GA3</f>
        <v>0</v>
      </c>
      <c r="GG9" s="7">
        <f>VC_NEW2!GB3</f>
        <v>0</v>
      </c>
      <c r="GH9" s="7">
        <f>VC_NEW2!GC3</f>
        <v>0</v>
      </c>
      <c r="GI9" s="7">
        <f>VC_NEW2!GD3</f>
        <v>0</v>
      </c>
      <c r="GJ9" s="7">
        <f>VC_NEW2!GE3</f>
        <v>0</v>
      </c>
      <c r="GK9" s="7">
        <f>VC_NEW2!GF3</f>
        <v>0</v>
      </c>
      <c r="GL9" s="7">
        <f>VC_NEW2!GG3</f>
        <v>0</v>
      </c>
      <c r="GM9" s="7">
        <f>VC_NEW2!GH3</f>
        <v>0</v>
      </c>
      <c r="GN9" s="7">
        <f>VC_NEW2!GI3</f>
        <v>0</v>
      </c>
      <c r="GO9" s="7">
        <f>VC_NEW2!GJ3</f>
        <v>0</v>
      </c>
      <c r="GP9" s="7">
        <f>VC_NEW2!GK3</f>
        <v>0</v>
      </c>
      <c r="GQ9" s="7">
        <f>VC_NEW2!GL3</f>
        <v>0</v>
      </c>
      <c r="GR9" s="7">
        <f>VC_NEW2!GM3</f>
        <v>0</v>
      </c>
      <c r="GS9" s="7">
        <f>VC_NEW2!GN3</f>
        <v>0</v>
      </c>
      <c r="GT9" s="7">
        <f>VC_NEW2!GO3</f>
        <v>0</v>
      </c>
      <c r="GU9" s="7">
        <f>VC_NEW2!GP3</f>
        <v>0</v>
      </c>
      <c r="GV9" s="7">
        <f>VC_NEW2!GQ3</f>
        <v>0</v>
      </c>
      <c r="GW9" s="7">
        <f>VC_NEW2!GR3</f>
        <v>0</v>
      </c>
      <c r="GX9" s="7">
        <f>VC_NEW2!GS3</f>
        <v>0</v>
      </c>
      <c r="GY9" s="7">
        <f>VC_NEW2!GT3</f>
        <v>0</v>
      </c>
      <c r="GZ9" s="7">
        <f>VC_NEW2!GU3</f>
        <v>0</v>
      </c>
      <c r="HA9" s="7">
        <f>VC_NEW2!GV3</f>
        <v>0</v>
      </c>
      <c r="HB9" s="7" t="str">
        <f>VC_NEW2!GW3</f>
        <v>nt492InsACCC</v>
      </c>
      <c r="HC9" s="7">
        <f>VC_NEW2!GX3</f>
        <v>0</v>
      </c>
    </row>
    <row r="10" spans="1:211" s="7" customFormat="1" ht="15.75" customHeight="1" x14ac:dyDescent="0.25">
      <c r="A10" s="36" t="s">
        <v>5</v>
      </c>
      <c r="B10" s="37" t="s">
        <v>6</v>
      </c>
      <c r="C10" s="38" t="s">
        <v>2</v>
      </c>
      <c r="D10" s="37" t="s">
        <v>76</v>
      </c>
      <c r="E10" s="37" t="s">
        <v>138</v>
      </c>
      <c r="F10" s="37" t="s">
        <v>74</v>
      </c>
      <c r="G10" s="39" t="s">
        <v>136</v>
      </c>
      <c r="H10" s="7">
        <f>VC_NEW2!C3</f>
        <v>0</v>
      </c>
      <c r="I10" s="7">
        <f>VC_NEW2!D3</f>
        <v>0</v>
      </c>
      <c r="J10" s="7">
        <f>VC_NEW2!E3</f>
        <v>0</v>
      </c>
      <c r="K10" s="7">
        <f>VC_NEW2!F3</f>
        <v>0</v>
      </c>
      <c r="L10" s="7">
        <f>VC_NEW2!G3</f>
        <v>0</v>
      </c>
      <c r="M10" s="7">
        <f>VC_NEW2!H3</f>
        <v>0</v>
      </c>
      <c r="N10" s="7">
        <f>VC_NEW2!I3</f>
        <v>0</v>
      </c>
      <c r="O10" s="7">
        <f>VC_NEW2!J3</f>
        <v>0</v>
      </c>
      <c r="P10" s="7">
        <f>VC_NEW2!K3</f>
        <v>0</v>
      </c>
      <c r="Q10" s="7">
        <f>VC_NEW2!L3</f>
        <v>0</v>
      </c>
      <c r="R10" s="7">
        <f>VC_NEW2!M3</f>
        <v>0</v>
      </c>
      <c r="S10" s="7">
        <f>VC_NEW2!N3</f>
        <v>0</v>
      </c>
      <c r="T10" s="7">
        <f>VC_NEW2!O3</f>
        <v>0</v>
      </c>
      <c r="U10" s="7">
        <f>VC_NEW2!P3</f>
        <v>0</v>
      </c>
      <c r="V10" s="7">
        <f>VC_NEW2!Q3</f>
        <v>0</v>
      </c>
      <c r="W10" s="7">
        <f>VC_NEW2!R3</f>
        <v>0</v>
      </c>
      <c r="X10" s="7">
        <f>VC_NEW2!S3</f>
        <v>0</v>
      </c>
      <c r="Y10" s="7">
        <f>VC_NEW2!T3</f>
        <v>0</v>
      </c>
      <c r="Z10" s="7">
        <f>VC_NEW2!U3</f>
        <v>0</v>
      </c>
      <c r="AA10" s="7">
        <f>VC_NEW2!V3</f>
        <v>0</v>
      </c>
      <c r="AB10" s="7" t="str">
        <f>VC_NEW2!W3</f>
        <v xml:space="preserve">S92N </v>
      </c>
      <c r="AC10" s="7" t="str">
        <f>VC_NEW2!X3</f>
        <v>aa11∆4</v>
      </c>
      <c r="AD10" s="7">
        <f>VC_NEW2!Y3</f>
        <v>0</v>
      </c>
      <c r="AE10" s="7">
        <f>VC_NEW2!Z3</f>
        <v>0</v>
      </c>
      <c r="AF10" s="7">
        <f>VC_NEW2!AA3</f>
        <v>0</v>
      </c>
      <c r="AG10" s="7">
        <f>VC_NEW2!AB3</f>
        <v>0</v>
      </c>
      <c r="AH10" s="7">
        <f>VC_NEW2!AC3</f>
        <v>0</v>
      </c>
      <c r="AI10" s="7">
        <f>VC_NEW2!AD3</f>
        <v>0</v>
      </c>
      <c r="AJ10" s="7">
        <f>VC_NEW2!AE3</f>
        <v>0</v>
      </c>
      <c r="AK10" s="7" t="str">
        <f>VC_NEW2!AF3</f>
        <v xml:space="preserve">L102P </v>
      </c>
      <c r="AL10" s="7">
        <f>VC_NEW2!AG3</f>
        <v>0</v>
      </c>
      <c r="AM10" s="7">
        <f>VC_NEW2!AH3</f>
        <v>0</v>
      </c>
      <c r="AN10" s="7">
        <f>VC_NEW2!AI3</f>
        <v>0</v>
      </c>
      <c r="AO10" s="7" t="str">
        <f>VC_NEW2!AJ3</f>
        <v>nt402∆11</v>
      </c>
      <c r="AP10" s="7">
        <f>VC_NEW2!AK3</f>
        <v>0</v>
      </c>
      <c r="AQ10" s="7">
        <f>VC_NEW2!AL3</f>
        <v>0</v>
      </c>
      <c r="AR10" s="7">
        <f>VC_NEW2!AM3</f>
        <v>0</v>
      </c>
      <c r="AS10" s="7">
        <f>VC_NEW2!AN3</f>
        <v>0</v>
      </c>
      <c r="AT10" s="7">
        <f>VC_NEW2!AO3</f>
        <v>0</v>
      </c>
      <c r="AU10" s="7">
        <f>VC_NEW2!AP3</f>
        <v>0</v>
      </c>
      <c r="AV10" s="7">
        <f>VC_NEW2!AQ3</f>
        <v>0</v>
      </c>
      <c r="AW10" s="7">
        <f>VC_NEW2!AR3</f>
        <v>0</v>
      </c>
      <c r="AX10" s="7">
        <f>VC_NEW2!AS3</f>
        <v>0</v>
      </c>
      <c r="AY10" s="7">
        <f>VC_NEW2!AT3</f>
        <v>0</v>
      </c>
      <c r="AZ10" s="7">
        <f>VC_NEW2!AU3</f>
        <v>0</v>
      </c>
      <c r="BA10" s="7">
        <f>VC_NEW2!AV3</f>
        <v>0</v>
      </c>
      <c r="BB10" s="7" t="str">
        <f>VC_NEW2!AW3</f>
        <v xml:space="preserve">L95F </v>
      </c>
      <c r="BC10" s="7">
        <f>VC_NEW2!AX3</f>
        <v>0</v>
      </c>
      <c r="BD10" s="7">
        <f>VC_NEW2!AY3</f>
        <v>0</v>
      </c>
      <c r="BE10" s="7">
        <f>VC_NEW2!AZ3</f>
        <v>0</v>
      </c>
      <c r="BF10" s="7">
        <f>VC_NEW2!BA3</f>
        <v>0</v>
      </c>
      <c r="BG10" s="7">
        <f>VC_NEW2!BB3</f>
        <v>0</v>
      </c>
      <c r="BH10" s="7">
        <f>VC_NEW2!BC3</f>
        <v>0</v>
      </c>
      <c r="BI10" s="7">
        <f>VC_NEW2!BD3</f>
        <v>0</v>
      </c>
      <c r="BJ10" s="7">
        <f>VC_NEW2!BE3</f>
        <v>0</v>
      </c>
      <c r="BK10" s="7">
        <f>VC_NEW2!BF3</f>
        <v>0</v>
      </c>
      <c r="BL10" s="7">
        <f>VC_NEW2!BG3</f>
        <v>0</v>
      </c>
      <c r="BM10" s="7">
        <f>VC_NEW2!BH3</f>
        <v>0</v>
      </c>
      <c r="BN10" s="7" t="str">
        <f>VC_NEW2!BI3</f>
        <v>nt81InsT</v>
      </c>
      <c r="BO10" s="7">
        <f>VC_NEW2!BJ3</f>
        <v>0</v>
      </c>
      <c r="BP10" s="7">
        <f>VC_NEW2!BK3</f>
        <v>0</v>
      </c>
      <c r="BQ10" s="7">
        <f>VC_NEW2!BL3</f>
        <v>0</v>
      </c>
      <c r="BR10" s="7">
        <f>VC_NEW2!BM3</f>
        <v>0</v>
      </c>
      <c r="BS10" s="7">
        <f>VC_NEW2!BN3</f>
        <v>0</v>
      </c>
      <c r="BT10" s="7">
        <f>VC_NEW2!BO3</f>
        <v>0</v>
      </c>
      <c r="BU10" s="7">
        <f>VC_NEW2!BP3</f>
        <v>0</v>
      </c>
      <c r="BV10" s="7">
        <f>VC_NEW2!BQ3</f>
        <v>0</v>
      </c>
      <c r="BW10" s="7">
        <f>VC_NEW2!BR3</f>
        <v>0</v>
      </c>
      <c r="BX10" s="7">
        <f>VC_NEW2!BS3</f>
        <v>0</v>
      </c>
      <c r="BY10" s="7">
        <f>VC_NEW2!BT3</f>
        <v>0</v>
      </c>
      <c r="BZ10" s="7">
        <f>VC_NEW2!BU3</f>
        <v>0</v>
      </c>
      <c r="CA10" s="7" t="str">
        <f>VC_NEW2!BV3</f>
        <v>nt266InsG</v>
      </c>
      <c r="CB10" s="7">
        <f>VC_NEW2!BW3</f>
        <v>0</v>
      </c>
      <c r="CC10" s="7">
        <f>VC_NEW2!BX3</f>
        <v>0</v>
      </c>
      <c r="CD10" s="7">
        <f>VC_NEW2!BY3</f>
        <v>0</v>
      </c>
      <c r="CE10" s="7">
        <f>VC_NEW2!BZ3</f>
        <v>0</v>
      </c>
      <c r="CF10" s="7" t="str">
        <f>VC_NEW2!CA3</f>
        <v xml:space="preserve">R73L </v>
      </c>
      <c r="CG10" s="7">
        <f>VC_NEW2!CB3</f>
        <v>0</v>
      </c>
      <c r="CH10" s="7">
        <f>VC_NEW2!CC3</f>
        <v>0</v>
      </c>
      <c r="CI10" s="7">
        <f>VC_NEW2!CD3</f>
        <v>0</v>
      </c>
      <c r="CJ10" s="7">
        <f>VC_NEW2!CE3</f>
        <v>0</v>
      </c>
      <c r="CK10" s="7">
        <f>VC_NEW2!CF3</f>
        <v>0</v>
      </c>
      <c r="CL10" s="7">
        <f>VC_NEW2!CG3</f>
        <v>0</v>
      </c>
      <c r="CM10" s="7">
        <f>VC_NEW2!CH3</f>
        <v>0</v>
      </c>
      <c r="CN10" s="7">
        <f>VC_NEW2!CI3</f>
        <v>0</v>
      </c>
      <c r="CO10" s="7">
        <f>VC_NEW2!CJ3</f>
        <v>0</v>
      </c>
      <c r="CP10" s="7">
        <f>VC_NEW2!CK3</f>
        <v>0</v>
      </c>
      <c r="CQ10" s="7">
        <f>VC_NEW2!CL3</f>
        <v>0</v>
      </c>
      <c r="CR10" s="7">
        <f>VC_NEW2!CM3</f>
        <v>0</v>
      </c>
      <c r="CS10" s="7" t="str">
        <f>VC_NEW2!CN3</f>
        <v>L95F</v>
      </c>
      <c r="CT10" s="7">
        <f>VC_NEW2!CO3</f>
        <v>0</v>
      </c>
      <c r="CU10" s="7">
        <f>VC_NEW2!CP3</f>
        <v>0</v>
      </c>
      <c r="CV10" s="7">
        <f>VC_NEW2!CQ3</f>
        <v>0</v>
      </c>
      <c r="CW10" s="7" t="str">
        <f>VC_NEW2!CR3</f>
        <v>nt161InsC</v>
      </c>
      <c r="CX10" s="7">
        <f>VC_NEW2!CS3</f>
        <v>0</v>
      </c>
      <c r="CY10" s="7">
        <f>VC_NEW2!CT3</f>
        <v>0</v>
      </c>
      <c r="CZ10" s="7">
        <f>VC_NEW2!CU3</f>
        <v>0</v>
      </c>
      <c r="DA10" s="7">
        <f>VC_NEW2!CV3</f>
        <v>0</v>
      </c>
      <c r="DB10" s="7">
        <f>VC_NEW2!CW3</f>
        <v>0</v>
      </c>
      <c r="DC10" s="7">
        <f>VC_NEW2!CX3</f>
        <v>0</v>
      </c>
      <c r="DD10" s="7">
        <f>VC_NEW2!CY3</f>
        <v>0</v>
      </c>
      <c r="DE10" s="7">
        <f>VC_NEW2!CZ3</f>
        <v>0</v>
      </c>
      <c r="DF10" s="7" t="str">
        <f>VC_NEW2!DA3</f>
        <v>R82H</v>
      </c>
      <c r="DG10" s="7">
        <f>VC_NEW2!DB3</f>
        <v>0</v>
      </c>
      <c r="DH10" s="7">
        <f>VC_NEW2!DC3</f>
        <v>0</v>
      </c>
      <c r="DI10" s="7">
        <f>VC_NEW2!DD3</f>
        <v>0</v>
      </c>
      <c r="DJ10" s="7">
        <f>VC_NEW2!DE3</f>
        <v>0</v>
      </c>
      <c r="DK10" s="7">
        <f>VC_NEW2!DF3</f>
        <v>0</v>
      </c>
      <c r="DL10" s="7">
        <f>VC_NEW2!DG3</f>
        <v>0</v>
      </c>
      <c r="DM10" s="7">
        <f>VC_NEW2!DH3</f>
        <v>0</v>
      </c>
      <c r="DN10" s="7">
        <f>VC_NEW2!DI3</f>
        <v>0</v>
      </c>
      <c r="DO10" s="7">
        <f>VC_NEW2!DJ3</f>
        <v>0</v>
      </c>
      <c r="DP10" s="7">
        <f>VC_NEW2!DK3</f>
        <v>0</v>
      </c>
      <c r="DQ10" s="7">
        <f>VC_NEW2!DL3</f>
        <v>0</v>
      </c>
      <c r="DR10" s="7">
        <f>VC_NEW2!DM3</f>
        <v>0</v>
      </c>
      <c r="DS10" s="7">
        <f>VC_NEW2!DN3</f>
        <v>0</v>
      </c>
      <c r="DT10" s="7">
        <f>VC_NEW2!DO3</f>
        <v>0</v>
      </c>
      <c r="DU10" s="7">
        <f>VC_NEW2!DP3</f>
        <v>0</v>
      </c>
      <c r="DV10" s="7">
        <f>VC_NEW2!DQ3</f>
        <v>0</v>
      </c>
      <c r="DW10" s="7">
        <f>VC_NEW2!DR3</f>
        <v>0</v>
      </c>
      <c r="DX10" s="7">
        <f>VC_NEW2!DS3</f>
        <v>0</v>
      </c>
      <c r="DY10" s="7">
        <f>VC_NEW2!DT3</f>
        <v>0</v>
      </c>
      <c r="DZ10" s="7">
        <f>VC_NEW2!DU3</f>
        <v>0</v>
      </c>
      <c r="EA10" s="7">
        <f>VC_NEW2!DV3</f>
        <v>0</v>
      </c>
      <c r="EB10" s="7">
        <f>VC_NEW2!DW3</f>
        <v>0</v>
      </c>
      <c r="EC10" s="7">
        <f>VC_NEW2!DX3</f>
        <v>0</v>
      </c>
      <c r="ED10" s="7">
        <f>VC_NEW2!DY3</f>
        <v>0</v>
      </c>
      <c r="EE10" s="7">
        <f>VC_NEW2!DZ3</f>
        <v>0</v>
      </c>
      <c r="EF10" s="7">
        <f>VC_NEW2!EA3</f>
        <v>0</v>
      </c>
      <c r="EG10" s="7">
        <f>VC_NEW2!EB3</f>
        <v>0</v>
      </c>
      <c r="EH10" s="7">
        <f>VC_NEW2!EC3</f>
        <v>0</v>
      </c>
      <c r="EI10" s="7">
        <f>VC_NEW2!ED3</f>
        <v>0</v>
      </c>
      <c r="EJ10" s="7">
        <f>VC_NEW2!EE3</f>
        <v>0</v>
      </c>
      <c r="EK10" s="7" t="str">
        <f>VC_NEW2!EF3</f>
        <v>nt217∆1</v>
      </c>
      <c r="EL10" s="7">
        <f>VC_NEW2!EG3</f>
        <v>0</v>
      </c>
      <c r="EM10" s="7">
        <f>VC_NEW2!EH3</f>
        <v>0</v>
      </c>
      <c r="EN10" s="7">
        <f>VC_NEW2!EI3</f>
        <v>0</v>
      </c>
      <c r="EO10" s="7">
        <f>VC_NEW2!EJ3</f>
        <v>0</v>
      </c>
      <c r="EP10" s="7">
        <f>VC_NEW2!EK3</f>
        <v>0</v>
      </c>
      <c r="EQ10" s="7">
        <f>VC_NEW2!EL3</f>
        <v>0</v>
      </c>
      <c r="ER10" s="7">
        <f>VC_NEW2!EM3</f>
        <v>0</v>
      </c>
      <c r="ES10" s="7">
        <f>VC_NEW2!EN3</f>
        <v>0</v>
      </c>
      <c r="ET10" s="7">
        <f>VC_NEW2!EO3</f>
        <v>0</v>
      </c>
      <c r="EU10" s="7">
        <f>VC_NEW2!EP3</f>
        <v>0</v>
      </c>
      <c r="EV10" s="7">
        <f>VC_NEW2!EQ3</f>
        <v>0</v>
      </c>
      <c r="EW10" s="7" t="str">
        <f>VC_NEW2!ER3</f>
        <v xml:space="preserve">N79S </v>
      </c>
      <c r="EX10" s="7">
        <f>VC_NEW2!ES3</f>
        <v>0</v>
      </c>
      <c r="EY10" s="7">
        <f>VC_NEW2!ET3</f>
        <v>0</v>
      </c>
      <c r="EZ10" s="7">
        <f>VC_NEW2!EU3</f>
        <v>0</v>
      </c>
      <c r="FA10" s="7">
        <f>VC_NEW2!EV3</f>
        <v>0</v>
      </c>
      <c r="FB10" s="7">
        <f>VC_NEW2!EW3</f>
        <v>0</v>
      </c>
      <c r="FC10" s="7">
        <f>VC_NEW2!EX3</f>
        <v>0</v>
      </c>
      <c r="FD10" s="7">
        <f>VC_NEW2!EY3</f>
        <v>0</v>
      </c>
      <c r="FE10" s="7">
        <f>VC_NEW2!EZ3</f>
        <v>0</v>
      </c>
      <c r="FF10" s="7">
        <f>VC_NEW2!FA3</f>
        <v>0</v>
      </c>
      <c r="FG10" s="7">
        <f>VC_NEW2!FB3</f>
        <v>0</v>
      </c>
      <c r="FH10" s="7">
        <f>VC_NEW2!FC3</f>
        <v>0</v>
      </c>
      <c r="FI10" s="7">
        <f>VC_NEW2!FD3</f>
        <v>0</v>
      </c>
      <c r="FJ10" s="7">
        <f>VC_NEW2!FE3</f>
        <v>0</v>
      </c>
      <c r="FK10" s="7">
        <f>VC_NEW2!FF3</f>
        <v>0</v>
      </c>
      <c r="FL10" s="7">
        <f>VC_NEW2!FG3</f>
        <v>0</v>
      </c>
      <c r="FM10" s="7">
        <f>VC_NEW2!FH3</f>
        <v>0</v>
      </c>
      <c r="FN10" s="7">
        <f>VC_NEW2!FI3</f>
        <v>0</v>
      </c>
      <c r="FO10" s="7">
        <f>VC_NEW2!FJ3</f>
        <v>0</v>
      </c>
      <c r="FP10" s="7">
        <f>VC_NEW2!FK3</f>
        <v>0</v>
      </c>
      <c r="FQ10" s="7">
        <f>VC_NEW2!FL3</f>
        <v>0</v>
      </c>
      <c r="FR10" s="7" t="str">
        <f>VC_NEW2!FM3</f>
        <v>Q49X</v>
      </c>
      <c r="FS10" s="7">
        <f>VC_NEW2!FN3</f>
        <v>0</v>
      </c>
      <c r="FT10" s="7">
        <f>VC_NEW2!FO3</f>
        <v>0</v>
      </c>
      <c r="FU10" s="7">
        <f>VC_NEW2!FP3</f>
        <v>0</v>
      </c>
      <c r="FV10" s="7">
        <f>VC_NEW2!FQ3</f>
        <v>0</v>
      </c>
      <c r="FW10" s="7" t="str">
        <f>VC_NEW2!FR3</f>
        <v>aa90∆4</v>
      </c>
      <c r="FX10" s="7">
        <f>VC_NEW2!FS3</f>
        <v>0</v>
      </c>
      <c r="FY10" s="7">
        <f>VC_NEW2!FT3</f>
        <v>0</v>
      </c>
      <c r="FZ10" s="7">
        <f>VC_NEW2!FU3</f>
        <v>0</v>
      </c>
      <c r="GA10" s="7">
        <f>VC_NEW2!FV3</f>
        <v>0</v>
      </c>
      <c r="GB10" s="7">
        <f>VC_NEW2!FW3</f>
        <v>0</v>
      </c>
      <c r="GC10" s="7">
        <f>VC_NEW2!FX3</f>
        <v>0</v>
      </c>
      <c r="GD10" s="7">
        <f>VC_NEW2!FY3</f>
        <v>0</v>
      </c>
      <c r="GE10" s="7">
        <f>VC_NEW2!FZ3</f>
        <v>0</v>
      </c>
      <c r="GF10" s="7">
        <f>VC_NEW2!GA3</f>
        <v>0</v>
      </c>
      <c r="GG10" s="7">
        <f>VC_NEW2!GB3</f>
        <v>0</v>
      </c>
      <c r="GH10" s="7">
        <f>VC_NEW2!GC3</f>
        <v>0</v>
      </c>
      <c r="GI10" s="7">
        <f>VC_NEW2!GD3</f>
        <v>0</v>
      </c>
      <c r="GJ10" s="7">
        <f>VC_NEW2!GE3</f>
        <v>0</v>
      </c>
      <c r="GK10" s="7">
        <f>VC_NEW2!GF3</f>
        <v>0</v>
      </c>
      <c r="GL10" s="7">
        <f>VC_NEW2!GG3</f>
        <v>0</v>
      </c>
      <c r="GM10" s="7">
        <f>VC_NEW2!GH3</f>
        <v>0</v>
      </c>
      <c r="GN10" s="7">
        <f>VC_NEW2!GI3</f>
        <v>0</v>
      </c>
      <c r="GO10" s="7">
        <f>VC_NEW2!GJ3</f>
        <v>0</v>
      </c>
      <c r="GP10" s="7">
        <f>VC_NEW2!GK3</f>
        <v>0</v>
      </c>
      <c r="GQ10" s="7">
        <f>VC_NEW2!GL3</f>
        <v>0</v>
      </c>
      <c r="GR10" s="7">
        <f>VC_NEW2!GM3</f>
        <v>0</v>
      </c>
      <c r="GS10" s="7">
        <f>VC_NEW2!GN3</f>
        <v>0</v>
      </c>
      <c r="GT10" s="7">
        <f>VC_NEW2!GO3</f>
        <v>0</v>
      </c>
      <c r="GU10" s="7">
        <f>VC_NEW2!GP3</f>
        <v>0</v>
      </c>
      <c r="GV10" s="7">
        <f>VC_NEW2!GQ3</f>
        <v>0</v>
      </c>
      <c r="GW10" s="7">
        <f>VC_NEW2!GR3</f>
        <v>0</v>
      </c>
      <c r="GX10" s="7">
        <f>VC_NEW2!GS3</f>
        <v>0</v>
      </c>
      <c r="GY10" s="7">
        <f>VC_NEW2!GT3</f>
        <v>0</v>
      </c>
      <c r="GZ10" s="7">
        <f>VC_NEW2!GU3</f>
        <v>0</v>
      </c>
      <c r="HA10" s="7">
        <f>VC_NEW2!GV3</f>
        <v>0</v>
      </c>
      <c r="HB10" s="7" t="str">
        <f>VC_NEW2!GW3</f>
        <v>nt492InsACCC</v>
      </c>
      <c r="HC10" s="7">
        <f>VC_NEW2!GX3</f>
        <v>0</v>
      </c>
    </row>
    <row r="11" spans="1:211" s="7" customFormat="1" ht="15" hidden="1" customHeight="1" x14ac:dyDescent="0.25">
      <c r="A11" s="36" t="s">
        <v>5</v>
      </c>
      <c r="B11" s="37" t="s">
        <v>6</v>
      </c>
      <c r="C11" s="38" t="s">
        <v>4</v>
      </c>
      <c r="D11" s="37" t="s">
        <v>76</v>
      </c>
      <c r="E11" s="37" t="s">
        <v>138</v>
      </c>
      <c r="F11" s="37" t="s">
        <v>74</v>
      </c>
      <c r="G11" s="39" t="s">
        <v>136</v>
      </c>
      <c r="H11" s="7">
        <f>VC_NEW2!C3</f>
        <v>0</v>
      </c>
      <c r="I11" s="7">
        <f>VC_NEW2!D3</f>
        <v>0</v>
      </c>
      <c r="J11" s="7">
        <f>VC_NEW2!E3</f>
        <v>0</v>
      </c>
      <c r="K11" s="7">
        <f>VC_NEW2!F3</f>
        <v>0</v>
      </c>
      <c r="L11" s="7">
        <f>VC_NEW2!G3</f>
        <v>0</v>
      </c>
      <c r="M11" s="7">
        <f>VC_NEW2!H3</f>
        <v>0</v>
      </c>
      <c r="N11" s="7">
        <f>VC_NEW2!I3</f>
        <v>0</v>
      </c>
      <c r="O11" s="7">
        <f>VC_NEW2!J3</f>
        <v>0</v>
      </c>
      <c r="P11" s="7">
        <f>VC_NEW2!K3</f>
        <v>0</v>
      </c>
      <c r="Q11" s="7">
        <f>VC_NEW2!L3</f>
        <v>0</v>
      </c>
      <c r="R11" s="7">
        <f>VC_NEW2!M3</f>
        <v>0</v>
      </c>
      <c r="S11" s="7">
        <f>VC_NEW2!N3</f>
        <v>0</v>
      </c>
      <c r="T11" s="7">
        <f>VC_NEW2!O3</f>
        <v>0</v>
      </c>
      <c r="U11" s="7">
        <f>VC_NEW2!P3</f>
        <v>0</v>
      </c>
      <c r="V11" s="7">
        <f>VC_NEW2!Q3</f>
        <v>0</v>
      </c>
      <c r="W11" s="7">
        <f>VC_NEW2!R3</f>
        <v>0</v>
      </c>
      <c r="X11" s="7">
        <f>VC_NEW2!S3</f>
        <v>0</v>
      </c>
      <c r="Y11" s="7">
        <f>VC_NEW2!T3</f>
        <v>0</v>
      </c>
      <c r="Z11" s="7">
        <f>VC_NEW2!U3</f>
        <v>0</v>
      </c>
      <c r="AA11" s="7">
        <f>VC_NEW2!V3</f>
        <v>0</v>
      </c>
      <c r="AB11" s="7" t="str">
        <f>VC_NEW2!W3</f>
        <v xml:space="preserve">S92N </v>
      </c>
      <c r="AC11" s="7" t="str">
        <f>VC_NEW2!X3</f>
        <v>aa11∆4</v>
      </c>
      <c r="AD11" s="7">
        <f>VC_NEW2!Y3</f>
        <v>0</v>
      </c>
      <c r="AE11" s="7">
        <f>VC_NEW2!Z3</f>
        <v>0</v>
      </c>
      <c r="AF11" s="7">
        <f>VC_NEW2!AA3</f>
        <v>0</v>
      </c>
      <c r="AG11" s="7">
        <f>VC_NEW2!AB3</f>
        <v>0</v>
      </c>
      <c r="AH11" s="7">
        <f>VC_NEW2!AC3</f>
        <v>0</v>
      </c>
      <c r="AI11" s="7">
        <f>VC_NEW2!AD3</f>
        <v>0</v>
      </c>
      <c r="AJ11" s="7">
        <f>VC_NEW2!AE3</f>
        <v>0</v>
      </c>
      <c r="AK11" s="7" t="str">
        <f>VC_NEW2!AF3</f>
        <v xml:space="preserve">L102P </v>
      </c>
      <c r="AL11" s="7">
        <f>VC_NEW2!AG3</f>
        <v>0</v>
      </c>
      <c r="AM11" s="7">
        <f>VC_NEW2!AH3</f>
        <v>0</v>
      </c>
      <c r="AN11" s="7">
        <f>VC_NEW2!AI3</f>
        <v>0</v>
      </c>
      <c r="AO11" s="7" t="str">
        <f>VC_NEW2!AJ3</f>
        <v>nt402∆11</v>
      </c>
      <c r="AP11" s="7">
        <f>VC_NEW2!AK3</f>
        <v>0</v>
      </c>
      <c r="AQ11" s="7">
        <f>VC_NEW2!AL3</f>
        <v>0</v>
      </c>
      <c r="AR11" s="7">
        <f>VC_NEW2!AM3</f>
        <v>0</v>
      </c>
      <c r="AS11" s="7">
        <f>VC_NEW2!AN3</f>
        <v>0</v>
      </c>
      <c r="AT11" s="7">
        <f>VC_NEW2!AO3</f>
        <v>0</v>
      </c>
      <c r="AU11" s="7">
        <f>VC_NEW2!AP3</f>
        <v>0</v>
      </c>
      <c r="AV11" s="7">
        <f>VC_NEW2!AQ3</f>
        <v>0</v>
      </c>
      <c r="AW11" s="7">
        <f>VC_NEW2!AR3</f>
        <v>0</v>
      </c>
      <c r="AX11" s="7">
        <f>VC_NEW2!AS3</f>
        <v>0</v>
      </c>
      <c r="AY11" s="7">
        <f>VC_NEW2!AT3</f>
        <v>0</v>
      </c>
      <c r="AZ11" s="7">
        <f>VC_NEW2!AU3</f>
        <v>0</v>
      </c>
      <c r="BA11" s="7">
        <f>VC_NEW2!AV3</f>
        <v>0</v>
      </c>
      <c r="BB11" s="7" t="str">
        <f>VC_NEW2!AW3</f>
        <v xml:space="preserve">L95F </v>
      </c>
      <c r="BC11" s="7">
        <f>VC_NEW2!AX3</f>
        <v>0</v>
      </c>
      <c r="BD11" s="7">
        <f>VC_NEW2!AY3</f>
        <v>0</v>
      </c>
      <c r="BE11" s="7">
        <f>VC_NEW2!AZ3</f>
        <v>0</v>
      </c>
      <c r="BF11" s="7">
        <f>VC_NEW2!BA3</f>
        <v>0</v>
      </c>
      <c r="BG11" s="7">
        <f>VC_NEW2!BB3</f>
        <v>0</v>
      </c>
      <c r="BH11" s="7">
        <f>VC_NEW2!BC3</f>
        <v>0</v>
      </c>
      <c r="BI11" s="7">
        <f>VC_NEW2!BD3</f>
        <v>0</v>
      </c>
      <c r="BJ11" s="7">
        <f>VC_NEW2!BE3</f>
        <v>0</v>
      </c>
      <c r="BK11" s="7">
        <f>VC_NEW2!BF3</f>
        <v>0</v>
      </c>
      <c r="BL11" s="7">
        <f>VC_NEW2!BG3</f>
        <v>0</v>
      </c>
      <c r="BM11" s="7">
        <f>VC_NEW2!BH3</f>
        <v>0</v>
      </c>
      <c r="BN11" s="7" t="str">
        <f>VC_NEW2!BI3</f>
        <v>nt81InsT</v>
      </c>
      <c r="BO11" s="7">
        <f>VC_NEW2!BJ3</f>
        <v>0</v>
      </c>
      <c r="BP11" s="7">
        <f>VC_NEW2!BK3</f>
        <v>0</v>
      </c>
      <c r="BQ11" s="7">
        <f>VC_NEW2!BL3</f>
        <v>0</v>
      </c>
      <c r="BR11" s="7">
        <f>VC_NEW2!BM3</f>
        <v>0</v>
      </c>
      <c r="BS11" s="7">
        <f>VC_NEW2!BN3</f>
        <v>0</v>
      </c>
      <c r="BT11" s="7">
        <f>VC_NEW2!BO3</f>
        <v>0</v>
      </c>
      <c r="BU11" s="7">
        <f>VC_NEW2!BP3</f>
        <v>0</v>
      </c>
      <c r="BV11" s="7">
        <f>VC_NEW2!BQ3</f>
        <v>0</v>
      </c>
      <c r="BW11" s="7">
        <f>VC_NEW2!BR3</f>
        <v>0</v>
      </c>
      <c r="BX11" s="7">
        <f>VC_NEW2!BS3</f>
        <v>0</v>
      </c>
      <c r="BY11" s="7">
        <f>VC_NEW2!BT3</f>
        <v>0</v>
      </c>
      <c r="BZ11" s="7">
        <f>VC_NEW2!BU3</f>
        <v>0</v>
      </c>
      <c r="CA11" s="7" t="str">
        <f>VC_NEW2!BV3</f>
        <v>nt266InsG</v>
      </c>
      <c r="CB11" s="7">
        <f>VC_NEW2!BW3</f>
        <v>0</v>
      </c>
      <c r="CC11" s="7">
        <f>VC_NEW2!BX3</f>
        <v>0</v>
      </c>
      <c r="CD11" s="7">
        <f>VC_NEW2!BY3</f>
        <v>0</v>
      </c>
      <c r="CE11" s="7">
        <f>VC_NEW2!BZ3</f>
        <v>0</v>
      </c>
      <c r="CF11" s="7" t="str">
        <f>VC_NEW2!CA3</f>
        <v xml:space="preserve">R73L </v>
      </c>
      <c r="CG11" s="7">
        <f>VC_NEW2!CB3</f>
        <v>0</v>
      </c>
      <c r="CH11" s="7">
        <f>VC_NEW2!CC3</f>
        <v>0</v>
      </c>
      <c r="CI11" s="7">
        <f>VC_NEW2!CD3</f>
        <v>0</v>
      </c>
      <c r="CJ11" s="7">
        <f>VC_NEW2!CE3</f>
        <v>0</v>
      </c>
      <c r="CK11" s="7">
        <f>VC_NEW2!CF3</f>
        <v>0</v>
      </c>
      <c r="CL11" s="7">
        <f>VC_NEW2!CG3</f>
        <v>0</v>
      </c>
      <c r="CM11" s="7">
        <f>VC_NEW2!CH3</f>
        <v>0</v>
      </c>
      <c r="CN11" s="7">
        <f>VC_NEW2!CI3</f>
        <v>0</v>
      </c>
      <c r="CO11" s="7">
        <f>VC_NEW2!CJ3</f>
        <v>0</v>
      </c>
      <c r="CP11" s="7">
        <f>VC_NEW2!CK3</f>
        <v>0</v>
      </c>
      <c r="CQ11" s="7">
        <f>VC_NEW2!CL3</f>
        <v>0</v>
      </c>
      <c r="CR11" s="7">
        <f>VC_NEW2!CM3</f>
        <v>0</v>
      </c>
      <c r="CS11" s="7" t="str">
        <f>VC_NEW2!CN3</f>
        <v>L95F</v>
      </c>
      <c r="CT11" s="7">
        <f>VC_NEW2!CO3</f>
        <v>0</v>
      </c>
      <c r="CU11" s="7">
        <f>VC_NEW2!CP3</f>
        <v>0</v>
      </c>
      <c r="CV11" s="7">
        <f>VC_NEW2!CQ3</f>
        <v>0</v>
      </c>
      <c r="CW11" s="7" t="str">
        <f>VC_NEW2!CR3</f>
        <v>nt161InsC</v>
      </c>
      <c r="CX11" s="7">
        <f>VC_NEW2!CS3</f>
        <v>0</v>
      </c>
      <c r="CY11" s="7">
        <f>VC_NEW2!CT3</f>
        <v>0</v>
      </c>
      <c r="CZ11" s="7">
        <f>VC_NEW2!CU3</f>
        <v>0</v>
      </c>
      <c r="DA11" s="7">
        <f>VC_NEW2!CV3</f>
        <v>0</v>
      </c>
      <c r="DB11" s="7">
        <f>VC_NEW2!CW3</f>
        <v>0</v>
      </c>
      <c r="DC11" s="7">
        <f>VC_NEW2!CX3</f>
        <v>0</v>
      </c>
      <c r="DD11" s="7">
        <f>VC_NEW2!CY3</f>
        <v>0</v>
      </c>
      <c r="DE11" s="7">
        <f>VC_NEW2!CZ3</f>
        <v>0</v>
      </c>
      <c r="DF11" s="7" t="str">
        <f>VC_NEW2!DA3</f>
        <v>R82H</v>
      </c>
      <c r="DG11" s="7">
        <f>VC_NEW2!DB3</f>
        <v>0</v>
      </c>
      <c r="DH11" s="7">
        <f>VC_NEW2!DC3</f>
        <v>0</v>
      </c>
      <c r="DI11" s="7">
        <f>VC_NEW2!DD3</f>
        <v>0</v>
      </c>
      <c r="DJ11" s="7">
        <f>VC_NEW2!DE3</f>
        <v>0</v>
      </c>
      <c r="DK11" s="7">
        <f>VC_NEW2!DF3</f>
        <v>0</v>
      </c>
      <c r="DL11" s="7">
        <f>VC_NEW2!DG3</f>
        <v>0</v>
      </c>
      <c r="DM11" s="7">
        <f>VC_NEW2!DH3</f>
        <v>0</v>
      </c>
      <c r="DN11" s="7">
        <f>VC_NEW2!DI3</f>
        <v>0</v>
      </c>
      <c r="DO11" s="7">
        <f>VC_NEW2!DJ3</f>
        <v>0</v>
      </c>
      <c r="DP11" s="7">
        <f>VC_NEW2!DK3</f>
        <v>0</v>
      </c>
      <c r="DQ11" s="7">
        <f>VC_NEW2!DL3</f>
        <v>0</v>
      </c>
      <c r="DR11" s="7">
        <f>VC_NEW2!DM3</f>
        <v>0</v>
      </c>
      <c r="DS11" s="7">
        <f>VC_NEW2!DN3</f>
        <v>0</v>
      </c>
      <c r="DT11" s="7">
        <f>VC_NEW2!DO3</f>
        <v>0</v>
      </c>
      <c r="DU11" s="7">
        <f>VC_NEW2!DP3</f>
        <v>0</v>
      </c>
      <c r="DV11" s="7">
        <f>VC_NEW2!DQ3</f>
        <v>0</v>
      </c>
      <c r="DW11" s="7">
        <f>VC_NEW2!DR3</f>
        <v>0</v>
      </c>
      <c r="DX11" s="7">
        <f>VC_NEW2!DS3</f>
        <v>0</v>
      </c>
      <c r="DY11" s="7">
        <f>VC_NEW2!DT3</f>
        <v>0</v>
      </c>
      <c r="DZ11" s="7">
        <f>VC_NEW2!DU3</f>
        <v>0</v>
      </c>
      <c r="EA11" s="7">
        <f>VC_NEW2!DV3</f>
        <v>0</v>
      </c>
      <c r="EB11" s="7">
        <f>VC_NEW2!DW3</f>
        <v>0</v>
      </c>
      <c r="EC11" s="7">
        <f>VC_NEW2!DX3</f>
        <v>0</v>
      </c>
      <c r="ED11" s="7">
        <f>VC_NEW2!DY3</f>
        <v>0</v>
      </c>
      <c r="EE11" s="7">
        <f>VC_NEW2!DZ3</f>
        <v>0</v>
      </c>
      <c r="EF11" s="7">
        <f>VC_NEW2!EA3</f>
        <v>0</v>
      </c>
      <c r="EG11" s="7">
        <f>VC_NEW2!EB3</f>
        <v>0</v>
      </c>
      <c r="EH11" s="7">
        <f>VC_NEW2!EC3</f>
        <v>0</v>
      </c>
      <c r="EI11" s="7">
        <f>VC_NEW2!ED3</f>
        <v>0</v>
      </c>
      <c r="EJ11" s="7">
        <f>VC_NEW2!EE3</f>
        <v>0</v>
      </c>
      <c r="EK11" s="7" t="str">
        <f>VC_NEW2!EF3</f>
        <v>nt217∆1</v>
      </c>
      <c r="EL11" s="7">
        <f>VC_NEW2!EG3</f>
        <v>0</v>
      </c>
      <c r="EM11" s="7">
        <f>VC_NEW2!EH3</f>
        <v>0</v>
      </c>
      <c r="EN11" s="7">
        <f>VC_NEW2!EI3</f>
        <v>0</v>
      </c>
      <c r="EO11" s="7">
        <f>VC_NEW2!EJ3</f>
        <v>0</v>
      </c>
      <c r="EP11" s="7">
        <f>VC_NEW2!EK3</f>
        <v>0</v>
      </c>
      <c r="EQ11" s="7">
        <f>VC_NEW2!EL3</f>
        <v>0</v>
      </c>
      <c r="ER11" s="7">
        <f>VC_NEW2!EM3</f>
        <v>0</v>
      </c>
      <c r="ES11" s="7">
        <f>VC_NEW2!EN3</f>
        <v>0</v>
      </c>
      <c r="ET11" s="7">
        <f>VC_NEW2!EO3</f>
        <v>0</v>
      </c>
      <c r="EU11" s="7">
        <f>VC_NEW2!EP3</f>
        <v>0</v>
      </c>
      <c r="EV11" s="7">
        <f>VC_NEW2!EQ3</f>
        <v>0</v>
      </c>
      <c r="EW11" s="7" t="str">
        <f>VC_NEW2!ER3</f>
        <v xml:space="preserve">N79S </v>
      </c>
      <c r="EX11" s="7">
        <f>VC_NEW2!ES3</f>
        <v>0</v>
      </c>
      <c r="EY11" s="7">
        <f>VC_NEW2!ET3</f>
        <v>0</v>
      </c>
      <c r="EZ11" s="7">
        <f>VC_NEW2!EU3</f>
        <v>0</v>
      </c>
      <c r="FA11" s="7">
        <f>VC_NEW2!EV3</f>
        <v>0</v>
      </c>
      <c r="FB11" s="7">
        <f>VC_NEW2!EW3</f>
        <v>0</v>
      </c>
      <c r="FC11" s="7">
        <f>VC_NEW2!EX3</f>
        <v>0</v>
      </c>
      <c r="FD11" s="7">
        <f>VC_NEW2!EY3</f>
        <v>0</v>
      </c>
      <c r="FE11" s="7">
        <f>VC_NEW2!EZ3</f>
        <v>0</v>
      </c>
      <c r="FF11" s="7">
        <f>VC_NEW2!FA3</f>
        <v>0</v>
      </c>
      <c r="FG11" s="7">
        <f>VC_NEW2!FB3</f>
        <v>0</v>
      </c>
      <c r="FH11" s="7">
        <f>VC_NEW2!FC3</f>
        <v>0</v>
      </c>
      <c r="FI11" s="7">
        <f>VC_NEW2!FD3</f>
        <v>0</v>
      </c>
      <c r="FJ11" s="7">
        <f>VC_NEW2!FE3</f>
        <v>0</v>
      </c>
      <c r="FK11" s="7">
        <f>VC_NEW2!FF3</f>
        <v>0</v>
      </c>
      <c r="FL11" s="7">
        <f>VC_NEW2!FG3</f>
        <v>0</v>
      </c>
      <c r="FM11" s="7">
        <f>VC_NEW2!FH3</f>
        <v>0</v>
      </c>
      <c r="FN11" s="7">
        <f>VC_NEW2!FI3</f>
        <v>0</v>
      </c>
      <c r="FO11" s="7">
        <f>VC_NEW2!FJ3</f>
        <v>0</v>
      </c>
      <c r="FP11" s="7">
        <f>VC_NEW2!FK3</f>
        <v>0</v>
      </c>
      <c r="FQ11" s="7">
        <f>VC_NEW2!FL3</f>
        <v>0</v>
      </c>
      <c r="FR11" s="7" t="str">
        <f>VC_NEW2!FM3</f>
        <v>Q49X</v>
      </c>
      <c r="FS11" s="7">
        <f>VC_NEW2!FN3</f>
        <v>0</v>
      </c>
      <c r="FT11" s="7">
        <f>VC_NEW2!FO3</f>
        <v>0</v>
      </c>
      <c r="FU11" s="7">
        <f>VC_NEW2!FP3</f>
        <v>0</v>
      </c>
      <c r="FV11" s="7">
        <f>VC_NEW2!FQ3</f>
        <v>0</v>
      </c>
      <c r="FW11" s="7" t="str">
        <f>VC_NEW2!FR3</f>
        <v>aa90∆4</v>
      </c>
      <c r="FX11" s="7">
        <f>VC_NEW2!FS3</f>
        <v>0</v>
      </c>
      <c r="FY11" s="7">
        <f>VC_NEW2!FT3</f>
        <v>0</v>
      </c>
      <c r="FZ11" s="7">
        <f>VC_NEW2!FU3</f>
        <v>0</v>
      </c>
      <c r="GA11" s="7">
        <f>VC_NEW2!FV3</f>
        <v>0</v>
      </c>
      <c r="GB11" s="7">
        <f>VC_NEW2!FW3</f>
        <v>0</v>
      </c>
      <c r="GC11" s="7">
        <f>VC_NEW2!FX3</f>
        <v>0</v>
      </c>
      <c r="GD11" s="7">
        <f>VC_NEW2!FY3</f>
        <v>0</v>
      </c>
      <c r="GE11" s="7">
        <f>VC_NEW2!FZ3</f>
        <v>0</v>
      </c>
      <c r="GF11" s="7">
        <f>VC_NEW2!GA3</f>
        <v>0</v>
      </c>
      <c r="GG11" s="7">
        <f>VC_NEW2!GB3</f>
        <v>0</v>
      </c>
      <c r="GH11" s="7">
        <f>VC_NEW2!GC3</f>
        <v>0</v>
      </c>
      <c r="GI11" s="7">
        <f>VC_NEW2!GD3</f>
        <v>0</v>
      </c>
      <c r="GJ11" s="7">
        <f>VC_NEW2!GE3</f>
        <v>0</v>
      </c>
      <c r="GK11" s="7">
        <f>VC_NEW2!GF3</f>
        <v>0</v>
      </c>
      <c r="GL11" s="7">
        <f>VC_NEW2!GG3</f>
        <v>0</v>
      </c>
      <c r="GM11" s="7">
        <f>VC_NEW2!GH3</f>
        <v>0</v>
      </c>
      <c r="GN11" s="7">
        <f>VC_NEW2!GI3</f>
        <v>0</v>
      </c>
      <c r="GO11" s="7">
        <f>VC_NEW2!GJ3</f>
        <v>0</v>
      </c>
      <c r="GP11" s="7">
        <f>VC_NEW2!GK3</f>
        <v>0</v>
      </c>
      <c r="GQ11" s="7">
        <f>VC_NEW2!GL3</f>
        <v>0</v>
      </c>
      <c r="GR11" s="7">
        <f>VC_NEW2!GM3</f>
        <v>0</v>
      </c>
      <c r="GS11" s="7">
        <f>VC_NEW2!GN3</f>
        <v>0</v>
      </c>
      <c r="GT11" s="7">
        <f>VC_NEW2!GO3</f>
        <v>0</v>
      </c>
      <c r="GU11" s="7">
        <f>VC_NEW2!GP3</f>
        <v>0</v>
      </c>
      <c r="GV11" s="7">
        <f>VC_NEW2!GQ3</f>
        <v>0</v>
      </c>
      <c r="GW11" s="7">
        <f>VC_NEW2!GR3</f>
        <v>0</v>
      </c>
      <c r="GX11" s="7">
        <f>VC_NEW2!GS3</f>
        <v>0</v>
      </c>
      <c r="GY11" s="7">
        <f>VC_NEW2!GT3</f>
        <v>0</v>
      </c>
      <c r="GZ11" s="7">
        <f>VC_NEW2!GU3</f>
        <v>0</v>
      </c>
      <c r="HA11" s="7">
        <f>VC_NEW2!GV3</f>
        <v>0</v>
      </c>
      <c r="HB11" s="7" t="str">
        <f>VC_NEW2!GW3</f>
        <v>nt492InsACCC</v>
      </c>
      <c r="HC11" s="7">
        <f>VC_NEW2!GX3</f>
        <v>0</v>
      </c>
    </row>
    <row r="12" spans="1:211" s="7" customFormat="1" ht="15.75" hidden="1" customHeight="1" thickBot="1" x14ac:dyDescent="0.3">
      <c r="A12" s="40" t="s">
        <v>5</v>
      </c>
      <c r="B12" s="41" t="s">
        <v>6</v>
      </c>
      <c r="C12" s="42" t="s">
        <v>3</v>
      </c>
      <c r="D12" s="41" t="s">
        <v>76</v>
      </c>
      <c r="E12" s="41" t="s">
        <v>139</v>
      </c>
      <c r="F12" s="41" t="s">
        <v>74</v>
      </c>
      <c r="G12" s="43" t="s">
        <v>136</v>
      </c>
      <c r="H12" s="7">
        <f>VC_NEW2!C3</f>
        <v>0</v>
      </c>
      <c r="I12" s="7">
        <f>VC_NEW2!D3</f>
        <v>0</v>
      </c>
      <c r="J12" s="7">
        <f>VC_NEW2!E3</f>
        <v>0</v>
      </c>
      <c r="K12" s="7">
        <f>VC_NEW2!F3</f>
        <v>0</v>
      </c>
      <c r="L12" s="7">
        <f>VC_NEW2!G3</f>
        <v>0</v>
      </c>
      <c r="M12" s="7">
        <f>VC_NEW2!H3</f>
        <v>0</v>
      </c>
      <c r="N12" s="7">
        <f>VC_NEW2!I3</f>
        <v>0</v>
      </c>
      <c r="O12" s="7">
        <f>VC_NEW2!J3</f>
        <v>0</v>
      </c>
      <c r="P12" s="7">
        <f>VC_NEW2!K3</f>
        <v>0</v>
      </c>
      <c r="Q12" s="7">
        <f>VC_NEW2!L3</f>
        <v>0</v>
      </c>
      <c r="R12" s="7">
        <f>VC_NEW2!M3</f>
        <v>0</v>
      </c>
      <c r="S12" s="7">
        <f>VC_NEW2!N3</f>
        <v>0</v>
      </c>
      <c r="T12" s="7">
        <f>VC_NEW2!O3</f>
        <v>0</v>
      </c>
      <c r="U12" s="7">
        <f>VC_NEW2!P3</f>
        <v>0</v>
      </c>
      <c r="V12" s="7">
        <f>VC_NEW2!Q3</f>
        <v>0</v>
      </c>
      <c r="W12" s="7">
        <f>VC_NEW2!R3</f>
        <v>0</v>
      </c>
      <c r="X12" s="7">
        <f>VC_NEW2!S3</f>
        <v>0</v>
      </c>
      <c r="Y12" s="7">
        <f>VC_NEW2!T3</f>
        <v>0</v>
      </c>
      <c r="Z12" s="7">
        <f>VC_NEW2!U3</f>
        <v>0</v>
      </c>
      <c r="AA12" s="7">
        <f>VC_NEW2!V3</f>
        <v>0</v>
      </c>
      <c r="AB12" s="7" t="str">
        <f>VC_NEW2!W3</f>
        <v xml:space="preserve">S92N </v>
      </c>
      <c r="AC12" s="7" t="str">
        <f>VC_NEW2!X3</f>
        <v>aa11∆4</v>
      </c>
      <c r="AD12" s="7">
        <f>VC_NEW2!Y3</f>
        <v>0</v>
      </c>
      <c r="AE12" s="7">
        <f>VC_NEW2!Z3</f>
        <v>0</v>
      </c>
      <c r="AF12" s="7">
        <f>VC_NEW2!AA3</f>
        <v>0</v>
      </c>
      <c r="AG12" s="7">
        <f>VC_NEW2!AB3</f>
        <v>0</v>
      </c>
      <c r="AH12" s="7">
        <f>VC_NEW2!AC3</f>
        <v>0</v>
      </c>
      <c r="AI12" s="7">
        <f>VC_NEW2!AD3</f>
        <v>0</v>
      </c>
      <c r="AJ12" s="7">
        <f>VC_NEW2!AE3</f>
        <v>0</v>
      </c>
      <c r="AK12" s="7" t="str">
        <f>VC_NEW2!AF3</f>
        <v xml:space="preserve">L102P </v>
      </c>
      <c r="AL12" s="7">
        <f>VC_NEW2!AG3</f>
        <v>0</v>
      </c>
      <c r="AM12" s="7">
        <f>VC_NEW2!AH3</f>
        <v>0</v>
      </c>
      <c r="AN12" s="7">
        <f>VC_NEW2!AI3</f>
        <v>0</v>
      </c>
      <c r="AO12" s="7" t="str">
        <f>VC_NEW2!AJ3</f>
        <v>nt402∆11</v>
      </c>
      <c r="AP12" s="7">
        <f>VC_NEW2!AK3</f>
        <v>0</v>
      </c>
      <c r="AQ12" s="7">
        <f>VC_NEW2!AL3</f>
        <v>0</v>
      </c>
      <c r="AR12" s="7">
        <f>VC_NEW2!AM3</f>
        <v>0</v>
      </c>
      <c r="AS12" s="7">
        <f>VC_NEW2!AN3</f>
        <v>0</v>
      </c>
      <c r="AT12" s="7">
        <f>VC_NEW2!AO3</f>
        <v>0</v>
      </c>
      <c r="AU12" s="7">
        <f>VC_NEW2!AP3</f>
        <v>0</v>
      </c>
      <c r="AV12" s="7">
        <f>VC_NEW2!AQ3</f>
        <v>0</v>
      </c>
      <c r="AW12" s="7">
        <f>VC_NEW2!AR3</f>
        <v>0</v>
      </c>
      <c r="AX12" s="7">
        <f>VC_NEW2!AS3</f>
        <v>0</v>
      </c>
      <c r="AY12" s="7">
        <f>VC_NEW2!AT3</f>
        <v>0</v>
      </c>
      <c r="AZ12" s="7">
        <f>VC_NEW2!AU3</f>
        <v>0</v>
      </c>
      <c r="BA12" s="7">
        <f>VC_NEW2!AV3</f>
        <v>0</v>
      </c>
      <c r="BB12" s="7" t="str">
        <f>VC_NEW2!AW3</f>
        <v xml:space="preserve">L95F </v>
      </c>
      <c r="BC12" s="7">
        <f>VC_NEW2!AX3</f>
        <v>0</v>
      </c>
      <c r="BD12" s="7">
        <f>VC_NEW2!AY3</f>
        <v>0</v>
      </c>
      <c r="BE12" s="7">
        <f>VC_NEW2!AZ3</f>
        <v>0</v>
      </c>
      <c r="BF12" s="7">
        <f>VC_NEW2!BA3</f>
        <v>0</v>
      </c>
      <c r="BG12" s="7">
        <f>VC_NEW2!BB3</f>
        <v>0</v>
      </c>
      <c r="BH12" s="7">
        <f>VC_NEW2!BC3</f>
        <v>0</v>
      </c>
      <c r="BI12" s="7">
        <f>VC_NEW2!BD3</f>
        <v>0</v>
      </c>
      <c r="BJ12" s="7">
        <f>VC_NEW2!BE3</f>
        <v>0</v>
      </c>
      <c r="BK12" s="7">
        <f>VC_NEW2!BF3</f>
        <v>0</v>
      </c>
      <c r="BL12" s="7">
        <f>VC_NEW2!BG3</f>
        <v>0</v>
      </c>
      <c r="BM12" s="7">
        <f>VC_NEW2!BH3</f>
        <v>0</v>
      </c>
      <c r="BN12" s="7" t="str">
        <f>VC_NEW2!BI3</f>
        <v>nt81InsT</v>
      </c>
      <c r="BO12" s="7">
        <f>VC_NEW2!BJ3</f>
        <v>0</v>
      </c>
      <c r="BP12" s="7">
        <f>VC_NEW2!BK3</f>
        <v>0</v>
      </c>
      <c r="BQ12" s="7">
        <f>VC_NEW2!BL3</f>
        <v>0</v>
      </c>
      <c r="BR12" s="7">
        <f>VC_NEW2!BM3</f>
        <v>0</v>
      </c>
      <c r="BS12" s="7">
        <f>VC_NEW2!BN3</f>
        <v>0</v>
      </c>
      <c r="BT12" s="7">
        <f>VC_NEW2!BO3</f>
        <v>0</v>
      </c>
      <c r="BU12" s="7">
        <f>VC_NEW2!BP3</f>
        <v>0</v>
      </c>
      <c r="BV12" s="7">
        <f>VC_NEW2!BQ3</f>
        <v>0</v>
      </c>
      <c r="BW12" s="7">
        <f>VC_NEW2!BR3</f>
        <v>0</v>
      </c>
      <c r="BX12" s="7">
        <f>VC_NEW2!BS3</f>
        <v>0</v>
      </c>
      <c r="BY12" s="7">
        <f>VC_NEW2!BT3</f>
        <v>0</v>
      </c>
      <c r="BZ12" s="7">
        <f>VC_NEW2!BU3</f>
        <v>0</v>
      </c>
      <c r="CA12" s="7" t="str">
        <f>VC_NEW2!BV3</f>
        <v>nt266InsG</v>
      </c>
      <c r="CB12" s="7">
        <f>VC_NEW2!BW3</f>
        <v>0</v>
      </c>
      <c r="CC12" s="7">
        <f>VC_NEW2!BX3</f>
        <v>0</v>
      </c>
      <c r="CD12" s="7">
        <f>VC_NEW2!BY3</f>
        <v>0</v>
      </c>
      <c r="CE12" s="7">
        <f>VC_NEW2!BZ3</f>
        <v>0</v>
      </c>
      <c r="CF12" s="7" t="str">
        <f>VC_NEW2!CA3</f>
        <v xml:space="preserve">R73L </v>
      </c>
      <c r="CG12" s="7">
        <f>VC_NEW2!CB3</f>
        <v>0</v>
      </c>
      <c r="CH12" s="7">
        <f>VC_NEW2!CC3</f>
        <v>0</v>
      </c>
      <c r="CI12" s="7">
        <f>VC_NEW2!CD3</f>
        <v>0</v>
      </c>
      <c r="CJ12" s="7">
        <f>VC_NEW2!CE3</f>
        <v>0</v>
      </c>
      <c r="CK12" s="7">
        <f>VC_NEW2!CF3</f>
        <v>0</v>
      </c>
      <c r="CL12" s="7">
        <f>VC_NEW2!CG3</f>
        <v>0</v>
      </c>
      <c r="CM12" s="7">
        <f>VC_NEW2!CH3</f>
        <v>0</v>
      </c>
      <c r="CN12" s="7">
        <f>VC_NEW2!CI3</f>
        <v>0</v>
      </c>
      <c r="CO12" s="7">
        <f>VC_NEW2!CJ3</f>
        <v>0</v>
      </c>
      <c r="CP12" s="7">
        <f>VC_NEW2!CK3</f>
        <v>0</v>
      </c>
      <c r="CQ12" s="7">
        <f>VC_NEW2!CL3</f>
        <v>0</v>
      </c>
      <c r="CR12" s="7">
        <f>VC_NEW2!CM3</f>
        <v>0</v>
      </c>
      <c r="CS12" s="7" t="str">
        <f>VC_NEW2!CN3</f>
        <v>L95F</v>
      </c>
      <c r="CT12" s="7">
        <f>VC_NEW2!CO3</f>
        <v>0</v>
      </c>
      <c r="CU12" s="7">
        <f>VC_NEW2!CP3</f>
        <v>0</v>
      </c>
      <c r="CV12" s="7">
        <f>VC_NEW2!CQ3</f>
        <v>0</v>
      </c>
      <c r="CW12" s="7" t="str">
        <f>VC_NEW2!CR3</f>
        <v>nt161InsC</v>
      </c>
      <c r="CX12" s="7">
        <f>VC_NEW2!CS3</f>
        <v>0</v>
      </c>
      <c r="CY12" s="7">
        <f>VC_NEW2!CT3</f>
        <v>0</v>
      </c>
      <c r="CZ12" s="7">
        <f>VC_NEW2!CU3</f>
        <v>0</v>
      </c>
      <c r="DA12" s="7">
        <f>VC_NEW2!CV3</f>
        <v>0</v>
      </c>
      <c r="DB12" s="7">
        <f>VC_NEW2!CW3</f>
        <v>0</v>
      </c>
      <c r="DC12" s="7">
        <f>VC_NEW2!CX3</f>
        <v>0</v>
      </c>
      <c r="DD12" s="7">
        <f>VC_NEW2!CY3</f>
        <v>0</v>
      </c>
      <c r="DE12" s="7">
        <f>VC_NEW2!CZ3</f>
        <v>0</v>
      </c>
      <c r="DF12" s="7" t="str">
        <f>VC_NEW2!DA3</f>
        <v>R82H</v>
      </c>
      <c r="DG12" s="7">
        <f>VC_NEW2!DB3</f>
        <v>0</v>
      </c>
      <c r="DH12" s="7">
        <f>VC_NEW2!DC3</f>
        <v>0</v>
      </c>
      <c r="DI12" s="7">
        <f>VC_NEW2!DD3</f>
        <v>0</v>
      </c>
      <c r="DJ12" s="7">
        <f>VC_NEW2!DE3</f>
        <v>0</v>
      </c>
      <c r="DK12" s="7">
        <f>VC_NEW2!DF3</f>
        <v>0</v>
      </c>
      <c r="DL12" s="7">
        <f>VC_NEW2!DG3</f>
        <v>0</v>
      </c>
      <c r="DM12" s="7">
        <f>VC_NEW2!DH3</f>
        <v>0</v>
      </c>
      <c r="DN12" s="7">
        <f>VC_NEW2!DI3</f>
        <v>0</v>
      </c>
      <c r="DO12" s="7">
        <f>VC_NEW2!DJ3</f>
        <v>0</v>
      </c>
      <c r="DP12" s="7">
        <f>VC_NEW2!DK3</f>
        <v>0</v>
      </c>
      <c r="DQ12" s="7">
        <f>VC_NEW2!DL3</f>
        <v>0</v>
      </c>
      <c r="DR12" s="7">
        <f>VC_NEW2!DM3</f>
        <v>0</v>
      </c>
      <c r="DS12" s="7">
        <f>VC_NEW2!DN3</f>
        <v>0</v>
      </c>
      <c r="DT12" s="7">
        <f>VC_NEW2!DO3</f>
        <v>0</v>
      </c>
      <c r="DU12" s="7">
        <f>VC_NEW2!DP3</f>
        <v>0</v>
      </c>
      <c r="DV12" s="7">
        <f>VC_NEW2!DQ3</f>
        <v>0</v>
      </c>
      <c r="DW12" s="7">
        <f>VC_NEW2!DR3</f>
        <v>0</v>
      </c>
      <c r="DX12" s="7">
        <f>VC_NEW2!DS3</f>
        <v>0</v>
      </c>
      <c r="DY12" s="7">
        <f>VC_NEW2!DT3</f>
        <v>0</v>
      </c>
      <c r="DZ12" s="7">
        <f>VC_NEW2!DU3</f>
        <v>0</v>
      </c>
      <c r="EA12" s="7">
        <f>VC_NEW2!DV3</f>
        <v>0</v>
      </c>
      <c r="EB12" s="7">
        <f>VC_NEW2!DW3</f>
        <v>0</v>
      </c>
      <c r="EC12" s="7">
        <f>VC_NEW2!DX3</f>
        <v>0</v>
      </c>
      <c r="ED12" s="7">
        <f>VC_NEW2!DY3</f>
        <v>0</v>
      </c>
      <c r="EE12" s="7">
        <f>VC_NEW2!DZ3</f>
        <v>0</v>
      </c>
      <c r="EF12" s="7">
        <f>VC_NEW2!EA3</f>
        <v>0</v>
      </c>
      <c r="EG12" s="7">
        <f>VC_NEW2!EB3</f>
        <v>0</v>
      </c>
      <c r="EH12" s="7">
        <f>VC_NEW2!EC3</f>
        <v>0</v>
      </c>
      <c r="EI12" s="7">
        <f>VC_NEW2!ED3</f>
        <v>0</v>
      </c>
      <c r="EJ12" s="7">
        <f>VC_NEW2!EE3</f>
        <v>0</v>
      </c>
      <c r="EK12" s="7" t="str">
        <f>VC_NEW2!EF3</f>
        <v>nt217∆1</v>
      </c>
      <c r="EL12" s="7">
        <f>VC_NEW2!EG3</f>
        <v>0</v>
      </c>
      <c r="EM12" s="7">
        <f>VC_NEW2!EH3</f>
        <v>0</v>
      </c>
      <c r="EN12" s="7">
        <f>VC_NEW2!EI3</f>
        <v>0</v>
      </c>
      <c r="EO12" s="7">
        <f>VC_NEW2!EJ3</f>
        <v>0</v>
      </c>
      <c r="EP12" s="7">
        <f>VC_NEW2!EK3</f>
        <v>0</v>
      </c>
      <c r="EQ12" s="7">
        <f>VC_NEW2!EL3</f>
        <v>0</v>
      </c>
      <c r="ER12" s="7">
        <f>VC_NEW2!EM3</f>
        <v>0</v>
      </c>
      <c r="ES12" s="7">
        <f>VC_NEW2!EN3</f>
        <v>0</v>
      </c>
      <c r="ET12" s="7">
        <f>VC_NEW2!EO3</f>
        <v>0</v>
      </c>
      <c r="EU12" s="7">
        <f>VC_NEW2!EP3</f>
        <v>0</v>
      </c>
      <c r="EV12" s="7">
        <f>VC_NEW2!EQ3</f>
        <v>0</v>
      </c>
      <c r="EW12" s="7" t="str">
        <f>VC_NEW2!ER3</f>
        <v xml:space="preserve">N79S </v>
      </c>
      <c r="EX12" s="7">
        <f>VC_NEW2!ES3</f>
        <v>0</v>
      </c>
      <c r="EY12" s="7">
        <f>VC_NEW2!ET3</f>
        <v>0</v>
      </c>
      <c r="EZ12" s="7">
        <f>VC_NEW2!EU3</f>
        <v>0</v>
      </c>
      <c r="FA12" s="7">
        <f>VC_NEW2!EV3</f>
        <v>0</v>
      </c>
      <c r="FB12" s="7">
        <f>VC_NEW2!EW3</f>
        <v>0</v>
      </c>
      <c r="FC12" s="7">
        <f>VC_NEW2!EX3</f>
        <v>0</v>
      </c>
      <c r="FD12" s="7">
        <f>VC_NEW2!EY3</f>
        <v>0</v>
      </c>
      <c r="FE12" s="7">
        <f>VC_NEW2!EZ3</f>
        <v>0</v>
      </c>
      <c r="FF12" s="7">
        <f>VC_NEW2!FA3</f>
        <v>0</v>
      </c>
      <c r="FG12" s="7">
        <f>VC_NEW2!FB3</f>
        <v>0</v>
      </c>
      <c r="FH12" s="7">
        <f>VC_NEW2!FC3</f>
        <v>0</v>
      </c>
      <c r="FI12" s="7">
        <f>VC_NEW2!FD3</f>
        <v>0</v>
      </c>
      <c r="FJ12" s="7">
        <f>VC_NEW2!FE3</f>
        <v>0</v>
      </c>
      <c r="FK12" s="7">
        <f>VC_NEW2!FF3</f>
        <v>0</v>
      </c>
      <c r="FL12" s="7">
        <f>VC_NEW2!FG3</f>
        <v>0</v>
      </c>
      <c r="FM12" s="7">
        <f>VC_NEW2!FH3</f>
        <v>0</v>
      </c>
      <c r="FN12" s="7">
        <f>VC_NEW2!FI3</f>
        <v>0</v>
      </c>
      <c r="FO12" s="7">
        <f>VC_NEW2!FJ3</f>
        <v>0</v>
      </c>
      <c r="FP12" s="7">
        <f>VC_NEW2!FK3</f>
        <v>0</v>
      </c>
      <c r="FQ12" s="7">
        <f>VC_NEW2!FL3</f>
        <v>0</v>
      </c>
      <c r="FR12" s="7" t="str">
        <f>VC_NEW2!FM3</f>
        <v>Q49X</v>
      </c>
      <c r="FS12" s="7">
        <f>VC_NEW2!FN3</f>
        <v>0</v>
      </c>
      <c r="FT12" s="7">
        <f>VC_NEW2!FO3</f>
        <v>0</v>
      </c>
      <c r="FU12" s="7">
        <f>VC_NEW2!FP3</f>
        <v>0</v>
      </c>
      <c r="FV12" s="7">
        <f>VC_NEW2!FQ3</f>
        <v>0</v>
      </c>
      <c r="FW12" s="7" t="str">
        <f>VC_NEW2!FR3</f>
        <v>aa90∆4</v>
      </c>
      <c r="FX12" s="7">
        <f>VC_NEW2!FS3</f>
        <v>0</v>
      </c>
      <c r="FY12" s="7">
        <f>VC_NEW2!FT3</f>
        <v>0</v>
      </c>
      <c r="FZ12" s="7">
        <f>VC_NEW2!FU3</f>
        <v>0</v>
      </c>
      <c r="GA12" s="7">
        <f>VC_NEW2!FV3</f>
        <v>0</v>
      </c>
      <c r="GB12" s="7">
        <f>VC_NEW2!FW3</f>
        <v>0</v>
      </c>
      <c r="GC12" s="7">
        <f>VC_NEW2!FX3</f>
        <v>0</v>
      </c>
      <c r="GD12" s="7">
        <f>VC_NEW2!FY3</f>
        <v>0</v>
      </c>
      <c r="GE12" s="7">
        <f>VC_NEW2!FZ3</f>
        <v>0</v>
      </c>
      <c r="GF12" s="7">
        <f>VC_NEW2!GA3</f>
        <v>0</v>
      </c>
      <c r="GG12" s="7">
        <f>VC_NEW2!GB3</f>
        <v>0</v>
      </c>
      <c r="GH12" s="7">
        <f>VC_NEW2!GC3</f>
        <v>0</v>
      </c>
      <c r="GI12" s="7">
        <f>VC_NEW2!GD3</f>
        <v>0</v>
      </c>
      <c r="GJ12" s="7">
        <f>VC_NEW2!GE3</f>
        <v>0</v>
      </c>
      <c r="GK12" s="7">
        <f>VC_NEW2!GF3</f>
        <v>0</v>
      </c>
      <c r="GL12" s="7">
        <f>VC_NEW2!GG3</f>
        <v>0</v>
      </c>
      <c r="GM12" s="7">
        <f>VC_NEW2!GH3</f>
        <v>0</v>
      </c>
      <c r="GN12" s="7">
        <f>VC_NEW2!GI3</f>
        <v>0</v>
      </c>
      <c r="GO12" s="7">
        <f>VC_NEW2!GJ3</f>
        <v>0</v>
      </c>
      <c r="GP12" s="7">
        <f>VC_NEW2!GK3</f>
        <v>0</v>
      </c>
      <c r="GQ12" s="7">
        <f>VC_NEW2!GL3</f>
        <v>0</v>
      </c>
      <c r="GR12" s="7">
        <f>VC_NEW2!GM3</f>
        <v>0</v>
      </c>
      <c r="GS12" s="7">
        <f>VC_NEW2!GN3</f>
        <v>0</v>
      </c>
      <c r="GT12" s="7">
        <f>VC_NEW2!GO3</f>
        <v>0</v>
      </c>
      <c r="GU12" s="7">
        <f>VC_NEW2!GP3</f>
        <v>0</v>
      </c>
      <c r="GV12" s="7">
        <f>VC_NEW2!GQ3</f>
        <v>0</v>
      </c>
      <c r="GW12" s="7">
        <f>VC_NEW2!GR3</f>
        <v>0</v>
      </c>
      <c r="GX12" s="7">
        <f>VC_NEW2!GS3</f>
        <v>0</v>
      </c>
      <c r="GY12" s="7">
        <f>VC_NEW2!GT3</f>
        <v>0</v>
      </c>
      <c r="GZ12" s="7">
        <f>VC_NEW2!GU3</f>
        <v>0</v>
      </c>
      <c r="HA12" s="7">
        <f>VC_NEW2!GV3</f>
        <v>0</v>
      </c>
      <c r="HB12" s="7" t="str">
        <f>VC_NEW2!GW3</f>
        <v>nt492InsACCC</v>
      </c>
      <c r="HC12" s="7">
        <f>VC_NEW2!GX3</f>
        <v>0</v>
      </c>
    </row>
    <row r="13" spans="1:211" s="1" customFormat="1" ht="15" hidden="1" customHeight="1" x14ac:dyDescent="0.25">
      <c r="A13" s="65" t="s">
        <v>7</v>
      </c>
      <c r="B13" s="66" t="s">
        <v>8</v>
      </c>
      <c r="C13" s="67" t="s">
        <v>1</v>
      </c>
      <c r="D13" s="66" t="s">
        <v>77</v>
      </c>
      <c r="E13" s="45">
        <v>-0.5</v>
      </c>
      <c r="F13" s="66" t="s">
        <v>74</v>
      </c>
      <c r="G13" s="68" t="s">
        <v>137</v>
      </c>
      <c r="H13" s="1">
        <f>VC_NEW2!C4</f>
        <v>0</v>
      </c>
      <c r="I13" s="1">
        <f>VC_NEW2!D4</f>
        <v>0</v>
      </c>
      <c r="J13" s="1">
        <f>VC_NEW2!E4</f>
        <v>0</v>
      </c>
      <c r="K13" s="1">
        <f>VC_NEW2!F4</f>
        <v>0</v>
      </c>
      <c r="L13" s="1">
        <f>VC_NEW2!G4</f>
        <v>0</v>
      </c>
      <c r="M13" s="1">
        <f>VC_NEW2!H4</f>
        <v>0</v>
      </c>
      <c r="N13" s="1">
        <f>VC_NEW2!I4</f>
        <v>0</v>
      </c>
      <c r="O13" s="1">
        <f>VC_NEW2!J4</f>
        <v>0</v>
      </c>
      <c r="P13" s="1">
        <f>VC_NEW2!K4</f>
        <v>0</v>
      </c>
      <c r="Q13" s="1">
        <f>VC_NEW2!L4</f>
        <v>0</v>
      </c>
      <c r="R13" s="1">
        <f>VC_NEW2!M4</f>
        <v>0</v>
      </c>
      <c r="S13" s="1">
        <f>VC_NEW2!N4</f>
        <v>0</v>
      </c>
      <c r="T13" s="1">
        <f>VC_NEW2!O4</f>
        <v>0</v>
      </c>
      <c r="U13" s="1">
        <f>VC_NEW2!P4</f>
        <v>0</v>
      </c>
      <c r="V13" s="1">
        <f>VC_NEW2!Q4</f>
        <v>0</v>
      </c>
      <c r="W13" s="1">
        <f>VC_NEW2!R4</f>
        <v>0</v>
      </c>
      <c r="X13" s="1">
        <f>VC_NEW2!S4</f>
        <v>0</v>
      </c>
      <c r="Y13" s="1">
        <f>VC_NEW2!T4</f>
        <v>0</v>
      </c>
      <c r="Z13" s="1">
        <f>VC_NEW2!U4</f>
        <v>0</v>
      </c>
      <c r="AA13" s="1">
        <f>VC_NEW2!V4</f>
        <v>0</v>
      </c>
      <c r="AB13" s="1">
        <f>VC_NEW2!W4</f>
        <v>0</v>
      </c>
      <c r="AC13" s="1">
        <f>VC_NEW2!X4</f>
        <v>0</v>
      </c>
      <c r="AD13" s="1">
        <f>VC_NEW2!Y4</f>
        <v>0</v>
      </c>
      <c r="AE13" s="1">
        <f>VC_NEW2!Z4</f>
        <v>0</v>
      </c>
      <c r="AF13" s="1">
        <f>VC_NEW2!AA4</f>
        <v>0</v>
      </c>
      <c r="AG13" s="1">
        <f>VC_NEW2!AB4</f>
        <v>0</v>
      </c>
      <c r="AH13" s="1">
        <f>VC_NEW2!AC4</f>
        <v>0</v>
      </c>
      <c r="AI13" s="1">
        <f>VC_NEW2!AD4</f>
        <v>0</v>
      </c>
      <c r="AJ13" s="1">
        <f>VC_NEW2!AE4</f>
        <v>0</v>
      </c>
      <c r="AK13" s="1">
        <f>VC_NEW2!AF4</f>
        <v>0</v>
      </c>
      <c r="AL13" s="1">
        <f>VC_NEW2!AG4</f>
        <v>0</v>
      </c>
      <c r="AM13" s="1">
        <f>VC_NEW2!AH4</f>
        <v>0</v>
      </c>
      <c r="AN13" s="1">
        <f>VC_NEW2!AI4</f>
        <v>0</v>
      </c>
      <c r="AO13" s="1">
        <f>VC_NEW2!AJ4</f>
        <v>0</v>
      </c>
      <c r="AP13" s="1">
        <f>VC_NEW2!AK4</f>
        <v>0</v>
      </c>
      <c r="AQ13" s="1">
        <f>VC_NEW2!AL4</f>
        <v>0</v>
      </c>
      <c r="AR13" s="1">
        <f>VC_NEW2!AM4</f>
        <v>0</v>
      </c>
      <c r="AS13" s="1">
        <f>VC_NEW2!AN4</f>
        <v>0</v>
      </c>
      <c r="AT13" s="1">
        <f>VC_NEW2!AO4</f>
        <v>0</v>
      </c>
      <c r="AU13" s="1">
        <f>VC_NEW2!AP4</f>
        <v>0</v>
      </c>
      <c r="AV13" s="1">
        <f>VC_NEW2!AQ4</f>
        <v>0</v>
      </c>
      <c r="AW13" s="1">
        <f>VC_NEW2!AR4</f>
        <v>0</v>
      </c>
      <c r="AX13" s="1" t="str">
        <f>VC_NEW2!AS4</f>
        <v>I63V</v>
      </c>
      <c r="AY13" s="1">
        <f>VC_NEW2!AT4</f>
        <v>0</v>
      </c>
      <c r="AZ13" s="1">
        <f>VC_NEW2!AU4</f>
        <v>0</v>
      </c>
      <c r="BA13" s="1">
        <f>VC_NEW2!AV4</f>
        <v>0</v>
      </c>
      <c r="BB13" s="1">
        <f>VC_NEW2!AW4</f>
        <v>0</v>
      </c>
      <c r="BC13" s="1">
        <f>VC_NEW2!AX4</f>
        <v>0</v>
      </c>
      <c r="BD13" s="1">
        <f>VC_NEW2!AY4</f>
        <v>0</v>
      </c>
      <c r="BE13" s="1">
        <f>VC_NEW2!AZ4</f>
        <v>0</v>
      </c>
      <c r="BF13" s="1">
        <f>VC_NEW2!BA4</f>
        <v>0</v>
      </c>
      <c r="BG13" s="1">
        <f>VC_NEW2!BB4</f>
        <v>0</v>
      </c>
      <c r="BH13" s="1">
        <f>VC_NEW2!BC4</f>
        <v>0</v>
      </c>
      <c r="BI13" s="1">
        <f>VC_NEW2!BD4</f>
        <v>0</v>
      </c>
      <c r="BJ13" s="1">
        <f>VC_NEW2!BE4</f>
        <v>0</v>
      </c>
      <c r="BK13" s="1">
        <f>VC_NEW2!BF4</f>
        <v>0</v>
      </c>
      <c r="BL13" s="1">
        <f>VC_NEW2!BG4</f>
        <v>0</v>
      </c>
      <c r="BM13" s="1" t="str">
        <f>VC_NEW2!BH4</f>
        <v>K86E</v>
      </c>
      <c r="BN13" s="1">
        <f>VC_NEW2!BI4</f>
        <v>0</v>
      </c>
      <c r="BO13" s="1">
        <f>VC_NEW2!BJ4</f>
        <v>0</v>
      </c>
      <c r="BP13" s="1">
        <f>VC_NEW2!BK4</f>
        <v>0</v>
      </c>
      <c r="BQ13" s="1">
        <f>VC_NEW2!BL4</f>
        <v>0</v>
      </c>
      <c r="BR13" s="1">
        <f>VC_NEW2!BM4</f>
        <v>0</v>
      </c>
      <c r="BS13" s="1">
        <f>VC_NEW2!BN4</f>
        <v>0</v>
      </c>
      <c r="BT13" s="1">
        <f>VC_NEW2!BO4</f>
        <v>0</v>
      </c>
      <c r="BU13" s="1">
        <f>VC_NEW2!BP4</f>
        <v>0</v>
      </c>
      <c r="BV13" s="1">
        <f>VC_NEW2!BQ4</f>
        <v>0</v>
      </c>
      <c r="BW13" s="1">
        <f>VC_NEW2!BR4</f>
        <v>0</v>
      </c>
      <c r="BX13" s="1">
        <f>VC_NEW2!BS4</f>
        <v>0</v>
      </c>
      <c r="BY13" s="1">
        <f>VC_NEW2!BT4</f>
        <v>0</v>
      </c>
      <c r="BZ13" s="1">
        <f>VC_NEW2!BU4</f>
        <v>0</v>
      </c>
      <c r="CA13" s="1">
        <f>VC_NEW2!BV4</f>
        <v>0</v>
      </c>
      <c r="CB13" s="1">
        <f>VC_NEW2!BW4</f>
        <v>0</v>
      </c>
      <c r="CC13" s="1">
        <f>VC_NEW2!BX4</f>
        <v>0</v>
      </c>
      <c r="CD13" s="1">
        <f>VC_NEW2!BY4</f>
        <v>0</v>
      </c>
      <c r="CE13" s="1">
        <f>VC_NEW2!BZ4</f>
        <v>0</v>
      </c>
      <c r="CF13" s="1">
        <f>VC_NEW2!CA4</f>
        <v>0</v>
      </c>
      <c r="CG13" s="1">
        <f>VC_NEW2!CB4</f>
        <v>0</v>
      </c>
      <c r="CH13" s="1">
        <f>VC_NEW2!CC4</f>
        <v>0</v>
      </c>
      <c r="CI13" s="1">
        <f>VC_NEW2!CD4</f>
        <v>0</v>
      </c>
      <c r="CJ13" s="1">
        <f>VC_NEW2!CE4</f>
        <v>0</v>
      </c>
      <c r="CK13" s="1">
        <f>VC_NEW2!CF4</f>
        <v>0</v>
      </c>
      <c r="CL13" s="1">
        <f>VC_NEW2!CG4</f>
        <v>0</v>
      </c>
      <c r="CM13" s="1">
        <f>VC_NEW2!CH4</f>
        <v>0</v>
      </c>
      <c r="CN13" s="1" t="str">
        <f>VC_NEW2!CI4</f>
        <v>Q143P</v>
      </c>
      <c r="CO13" s="1" t="str">
        <f>VC_NEW2!CJ4</f>
        <v>N269S</v>
      </c>
      <c r="CP13" s="1">
        <f>VC_NEW2!CK4</f>
        <v>0</v>
      </c>
      <c r="CQ13" s="1">
        <f>VC_NEW2!CL4</f>
        <v>0</v>
      </c>
      <c r="CR13" s="1">
        <f>VC_NEW2!CM4</f>
        <v>0</v>
      </c>
      <c r="CS13" s="1">
        <f>VC_NEW2!CN4</f>
        <v>0</v>
      </c>
      <c r="CT13" s="1">
        <f>VC_NEW2!CO4</f>
        <v>0</v>
      </c>
      <c r="CU13" s="1">
        <f>VC_NEW2!CP4</f>
        <v>0</v>
      </c>
      <c r="CV13" s="1">
        <f>VC_NEW2!CQ4</f>
        <v>0</v>
      </c>
      <c r="CW13" s="1">
        <f>VC_NEW2!CR4</f>
        <v>0</v>
      </c>
      <c r="CX13" s="1" t="str">
        <f>VC_NEW2!CS4</f>
        <v>A33T</v>
      </c>
      <c r="CY13" s="1">
        <f>VC_NEW2!CT4</f>
        <v>0</v>
      </c>
      <c r="CZ13" s="1">
        <f>VC_NEW2!CU4</f>
        <v>0</v>
      </c>
      <c r="DA13" s="1">
        <f>VC_NEW2!CV4</f>
        <v>0</v>
      </c>
      <c r="DB13" s="1">
        <f>VC_NEW2!CW4</f>
        <v>0</v>
      </c>
      <c r="DC13" s="1">
        <f>VC_NEW2!CX4</f>
        <v>0</v>
      </c>
      <c r="DD13" s="1">
        <f>VC_NEW2!CY4</f>
        <v>0</v>
      </c>
      <c r="DE13" s="1">
        <f>VC_NEW2!CZ4</f>
        <v>0</v>
      </c>
      <c r="DF13" s="1">
        <f>VC_NEW2!DA4</f>
        <v>0</v>
      </c>
      <c r="DG13" s="1">
        <f>VC_NEW2!DB4</f>
        <v>0</v>
      </c>
      <c r="DH13" s="1">
        <f>VC_NEW2!DC4</f>
        <v>0</v>
      </c>
      <c r="DI13" s="1">
        <f>VC_NEW2!DD4</f>
        <v>0</v>
      </c>
      <c r="DJ13" s="1">
        <f>VC_NEW2!DE4</f>
        <v>0</v>
      </c>
      <c r="DK13" s="1" t="str">
        <f>VC_NEW2!DF4</f>
        <v>K86E</v>
      </c>
      <c r="DL13" s="1">
        <f>VC_NEW2!DG4</f>
        <v>0</v>
      </c>
      <c r="DM13" s="1">
        <f>VC_NEW2!DH4</f>
        <v>0</v>
      </c>
      <c r="DN13" s="1">
        <f>VC_NEW2!DI4</f>
        <v>0</v>
      </c>
      <c r="DO13" s="1">
        <f>VC_NEW2!DJ4</f>
        <v>0</v>
      </c>
      <c r="DP13" s="1">
        <f>VC_NEW2!DK4</f>
        <v>0</v>
      </c>
      <c r="DQ13" s="1" t="str">
        <f>VC_NEW2!DL4</f>
        <v>K76Q</v>
      </c>
      <c r="DR13" s="1">
        <f>VC_NEW2!DM4</f>
        <v>0</v>
      </c>
      <c r="DS13" s="1">
        <f>VC_NEW2!DN4</f>
        <v>0</v>
      </c>
      <c r="DT13" s="1">
        <f>VC_NEW2!DO4</f>
        <v>0</v>
      </c>
      <c r="DU13" s="1" t="str">
        <f>VC_NEW2!DP4</f>
        <v>Q104X</v>
      </c>
      <c r="DV13" s="1">
        <f>VC_NEW2!DQ4</f>
        <v>0</v>
      </c>
      <c r="DW13" s="1">
        <f>VC_NEW2!DR4</f>
        <v>0</v>
      </c>
      <c r="DX13" s="1">
        <f>VC_NEW2!DS4</f>
        <v>0</v>
      </c>
      <c r="DY13" s="1">
        <f>VC_NEW2!DT4</f>
        <v>0</v>
      </c>
      <c r="DZ13" s="1">
        <f>VC_NEW2!DU4</f>
        <v>0</v>
      </c>
      <c r="EA13" s="1">
        <f>VC_NEW2!DV4</f>
        <v>0</v>
      </c>
      <c r="EB13" s="1">
        <f>VC_NEW2!DW4</f>
        <v>0</v>
      </c>
      <c r="EC13" s="1">
        <f>VC_NEW2!DX4</f>
        <v>0</v>
      </c>
      <c r="ED13" s="1" t="str">
        <f>VC_NEW2!DY4</f>
        <v>E53X</v>
      </c>
      <c r="EE13" s="1">
        <f>VC_NEW2!DZ4</f>
        <v>0</v>
      </c>
      <c r="EF13" s="1" t="str">
        <f>VC_NEW2!EA4</f>
        <v>A111T</v>
      </c>
      <c r="EG13" s="1" t="str">
        <f>VC_NEW2!EB4</f>
        <v>A117V</v>
      </c>
      <c r="EH13" s="1">
        <f>VC_NEW2!EC4</f>
        <v>0</v>
      </c>
      <c r="EI13" s="1">
        <f>VC_NEW2!ED4</f>
        <v>0</v>
      </c>
      <c r="EJ13" s="1">
        <f>VC_NEW2!EE4</f>
        <v>0</v>
      </c>
      <c r="EK13" s="1">
        <f>VC_NEW2!EF4</f>
        <v>0</v>
      </c>
      <c r="EL13" s="1">
        <f>VC_NEW2!EG4</f>
        <v>0</v>
      </c>
      <c r="EM13" s="1">
        <f>VC_NEW2!EH4</f>
        <v>0</v>
      </c>
      <c r="EN13" s="1">
        <f>VC_NEW2!EI4</f>
        <v>0</v>
      </c>
      <c r="EO13" s="1">
        <f>VC_NEW2!EJ4</f>
        <v>0</v>
      </c>
      <c r="EP13" s="1">
        <f>VC_NEW2!EK4</f>
        <v>0</v>
      </c>
      <c r="EQ13" s="1">
        <f>VC_NEW2!EL4</f>
        <v>0</v>
      </c>
      <c r="ER13" s="1" t="str">
        <f>VC_NEW2!EM4</f>
        <v>R326Q</v>
      </c>
      <c r="ES13" s="1">
        <f>VC_NEW2!EN4</f>
        <v>0</v>
      </c>
      <c r="ET13" s="1">
        <f>VC_NEW2!EO4</f>
        <v>0</v>
      </c>
      <c r="EU13" s="1">
        <f>VC_NEW2!EP4</f>
        <v>0</v>
      </c>
      <c r="EV13" s="1" t="str">
        <f>VC_NEW2!EQ4</f>
        <v>K86E</v>
      </c>
      <c r="EW13" s="1">
        <f>VC_NEW2!ER4</f>
        <v>0</v>
      </c>
      <c r="EX13" s="1">
        <f>VC_NEW2!ES4</f>
        <v>0</v>
      </c>
      <c r="EY13" s="1">
        <f>VC_NEW2!ET4</f>
        <v>0</v>
      </c>
      <c r="EZ13" s="1">
        <f>VC_NEW2!EU4</f>
        <v>0</v>
      </c>
      <c r="FA13" s="1">
        <f>VC_NEW2!EV4</f>
        <v>0</v>
      </c>
      <c r="FB13" s="1">
        <f>VC_NEW2!EW4</f>
        <v>0</v>
      </c>
      <c r="FC13" s="1">
        <f>VC_NEW2!EX4</f>
        <v>0</v>
      </c>
      <c r="FD13" s="1">
        <f>VC_NEW2!EY4</f>
        <v>0</v>
      </c>
      <c r="FE13" s="1">
        <f>VC_NEW2!EZ4</f>
        <v>0</v>
      </c>
      <c r="FF13" s="1">
        <f>VC_NEW2!FA4</f>
        <v>0</v>
      </c>
      <c r="FG13" s="1">
        <f>VC_NEW2!FB4</f>
        <v>0</v>
      </c>
      <c r="FH13" s="1">
        <f>VC_NEW2!FC4</f>
        <v>0</v>
      </c>
      <c r="FI13" s="1">
        <f>VC_NEW2!FD4</f>
        <v>0</v>
      </c>
      <c r="FJ13" s="1">
        <f>VC_NEW2!FE4</f>
        <v>0</v>
      </c>
      <c r="FK13" s="1">
        <f>VC_NEW2!FF4</f>
        <v>0</v>
      </c>
      <c r="FL13" s="1">
        <f>VC_NEW2!FG4</f>
        <v>0</v>
      </c>
      <c r="FM13" s="1">
        <f>VC_NEW2!FH4</f>
        <v>0</v>
      </c>
      <c r="FN13" s="1">
        <f>VC_NEW2!FI4</f>
        <v>0</v>
      </c>
      <c r="FO13" s="1">
        <f>VC_NEW2!FJ4</f>
        <v>0</v>
      </c>
      <c r="FP13" s="1">
        <f>VC_NEW2!FK4</f>
        <v>0</v>
      </c>
      <c r="FQ13" s="1">
        <f>VC_NEW2!FL4</f>
        <v>0</v>
      </c>
      <c r="FR13" s="1">
        <f>VC_NEW2!FM4</f>
        <v>0</v>
      </c>
      <c r="FS13" s="1">
        <f>VC_NEW2!FN4</f>
        <v>0</v>
      </c>
      <c r="FT13" s="1">
        <f>VC_NEW2!FO4</f>
        <v>0</v>
      </c>
      <c r="FU13" s="1">
        <f>VC_NEW2!FP4</f>
        <v>0</v>
      </c>
      <c r="FV13" s="1">
        <f>VC_NEW2!FQ4</f>
        <v>0</v>
      </c>
      <c r="FW13" s="1">
        <f>VC_NEW2!FR4</f>
        <v>0</v>
      </c>
      <c r="FX13" s="1">
        <f>VC_NEW2!FS4</f>
        <v>0</v>
      </c>
      <c r="FY13" s="1">
        <f>VC_NEW2!FT4</f>
        <v>0</v>
      </c>
      <c r="FZ13" s="1">
        <f>VC_NEW2!FU4</f>
        <v>0</v>
      </c>
      <c r="GA13" s="1">
        <f>VC_NEW2!FV4</f>
        <v>0</v>
      </c>
      <c r="GB13" s="1">
        <f>VC_NEW2!FW4</f>
        <v>0</v>
      </c>
      <c r="GC13" s="1">
        <f>VC_NEW2!FX4</f>
        <v>0</v>
      </c>
      <c r="GD13" s="1">
        <f>VC_NEW2!FY4</f>
        <v>0</v>
      </c>
      <c r="GE13" s="1">
        <f>VC_NEW2!FZ4</f>
        <v>0</v>
      </c>
      <c r="GF13" s="1">
        <f>VC_NEW2!GA4</f>
        <v>0</v>
      </c>
      <c r="GG13" s="1">
        <f>VC_NEW2!GB4</f>
        <v>0</v>
      </c>
      <c r="GH13" s="1">
        <f>VC_NEW2!GC4</f>
        <v>0</v>
      </c>
      <c r="GI13" s="1">
        <f>VC_NEW2!GD4</f>
        <v>0</v>
      </c>
      <c r="GJ13" s="1">
        <f>VC_NEW2!GE4</f>
        <v>0</v>
      </c>
      <c r="GK13" s="1">
        <f>VC_NEW2!GF4</f>
        <v>0</v>
      </c>
      <c r="GL13" s="1">
        <f>VC_NEW2!GG4</f>
        <v>0</v>
      </c>
      <c r="GM13" s="1">
        <f>VC_NEW2!GH4</f>
        <v>0</v>
      </c>
      <c r="GN13" s="1">
        <f>VC_NEW2!GI4</f>
        <v>0</v>
      </c>
      <c r="GO13" s="1">
        <f>VC_NEW2!GJ4</f>
        <v>0</v>
      </c>
      <c r="GP13" s="1">
        <f>VC_NEW2!GK4</f>
        <v>0</v>
      </c>
      <c r="GQ13" s="1">
        <f>VC_NEW2!GL4</f>
        <v>0</v>
      </c>
      <c r="GR13" s="1">
        <f>VC_NEW2!GM4</f>
        <v>0</v>
      </c>
      <c r="GS13" s="1">
        <f>VC_NEW2!GN4</f>
        <v>0</v>
      </c>
      <c r="GT13" s="1">
        <f>VC_NEW2!GO4</f>
        <v>0</v>
      </c>
      <c r="GU13" s="1" t="str">
        <f>VC_NEW2!GP4</f>
        <v>N269S</v>
      </c>
      <c r="GV13" s="1">
        <f>VC_NEW2!GQ4</f>
        <v>0</v>
      </c>
      <c r="GW13" s="1">
        <f>VC_NEW2!GR4</f>
        <v>0</v>
      </c>
      <c r="GX13" s="1">
        <f>VC_NEW2!GS4</f>
        <v>0</v>
      </c>
      <c r="GY13" s="1">
        <f>VC_NEW2!GT4</f>
        <v>0</v>
      </c>
      <c r="GZ13" s="1">
        <f>VC_NEW2!GU4</f>
        <v>0</v>
      </c>
      <c r="HA13" s="1">
        <f>VC_NEW2!GV4</f>
        <v>0</v>
      </c>
      <c r="HB13" s="1">
        <f>VC_NEW2!GW4</f>
        <v>0</v>
      </c>
      <c r="HC13" s="1">
        <f>VC_NEW2!GX4</f>
        <v>0</v>
      </c>
    </row>
    <row r="14" spans="1:211" s="1" customFormat="1" ht="15" customHeight="1" x14ac:dyDescent="0.25">
      <c r="A14" s="44" t="s">
        <v>7</v>
      </c>
      <c r="B14" s="45" t="s">
        <v>8</v>
      </c>
      <c r="C14" s="46" t="s">
        <v>2</v>
      </c>
      <c r="D14" s="45" t="s">
        <v>77</v>
      </c>
      <c r="E14" s="45">
        <v>-0.5</v>
      </c>
      <c r="F14" s="45" t="s">
        <v>74</v>
      </c>
      <c r="G14" s="47" t="s">
        <v>137</v>
      </c>
      <c r="H14" s="1">
        <f>VC_NEW2!C4</f>
        <v>0</v>
      </c>
      <c r="I14" s="1">
        <f>VC_NEW2!D4</f>
        <v>0</v>
      </c>
      <c r="J14" s="1">
        <f>VC_NEW2!E4</f>
        <v>0</v>
      </c>
      <c r="K14" s="1">
        <f>VC_NEW2!F4</f>
        <v>0</v>
      </c>
      <c r="L14" s="1">
        <f>VC_NEW2!G4</f>
        <v>0</v>
      </c>
      <c r="M14" s="1">
        <f>VC_NEW2!H4</f>
        <v>0</v>
      </c>
      <c r="N14" s="1">
        <f>VC_NEW2!I4</f>
        <v>0</v>
      </c>
      <c r="O14" s="1">
        <f>VC_NEW2!J4</f>
        <v>0</v>
      </c>
      <c r="P14" s="1">
        <f>VC_NEW2!K4</f>
        <v>0</v>
      </c>
      <c r="Q14" s="1">
        <f>VC_NEW2!L4</f>
        <v>0</v>
      </c>
      <c r="R14" s="1">
        <f>VC_NEW2!M4</f>
        <v>0</v>
      </c>
      <c r="S14" s="1">
        <f>VC_NEW2!N4</f>
        <v>0</v>
      </c>
      <c r="T14" s="1">
        <f>VC_NEW2!O4</f>
        <v>0</v>
      </c>
      <c r="U14" s="1">
        <f>VC_NEW2!P4</f>
        <v>0</v>
      </c>
      <c r="V14" s="1">
        <f>VC_NEW2!Q4</f>
        <v>0</v>
      </c>
      <c r="W14" s="1">
        <f>VC_NEW2!R4</f>
        <v>0</v>
      </c>
      <c r="X14" s="1">
        <f>VC_NEW2!S4</f>
        <v>0</v>
      </c>
      <c r="Y14" s="1">
        <f>VC_NEW2!T4</f>
        <v>0</v>
      </c>
      <c r="Z14" s="1">
        <f>VC_NEW2!U4</f>
        <v>0</v>
      </c>
      <c r="AA14" s="1">
        <f>VC_NEW2!V4</f>
        <v>0</v>
      </c>
      <c r="AB14" s="1">
        <f>VC_NEW2!W4</f>
        <v>0</v>
      </c>
      <c r="AC14" s="1">
        <f>VC_NEW2!X4</f>
        <v>0</v>
      </c>
      <c r="AD14" s="1">
        <f>VC_NEW2!Y4</f>
        <v>0</v>
      </c>
      <c r="AE14" s="1">
        <f>VC_NEW2!Z4</f>
        <v>0</v>
      </c>
      <c r="AF14" s="1">
        <f>VC_NEW2!AA4</f>
        <v>0</v>
      </c>
      <c r="AG14" s="1">
        <f>VC_NEW2!AB4</f>
        <v>0</v>
      </c>
      <c r="AH14" s="1">
        <f>VC_NEW2!AC4</f>
        <v>0</v>
      </c>
      <c r="AI14" s="1">
        <f>VC_NEW2!AD4</f>
        <v>0</v>
      </c>
      <c r="AJ14" s="1">
        <f>VC_NEW2!AE4</f>
        <v>0</v>
      </c>
      <c r="AK14" s="1">
        <f>VC_NEW2!AF4</f>
        <v>0</v>
      </c>
      <c r="AL14" s="1">
        <f>VC_NEW2!AG4</f>
        <v>0</v>
      </c>
      <c r="AM14" s="1">
        <f>VC_NEW2!AH4</f>
        <v>0</v>
      </c>
      <c r="AN14" s="1">
        <f>VC_NEW2!AI4</f>
        <v>0</v>
      </c>
      <c r="AO14" s="1">
        <f>VC_NEW2!AJ4</f>
        <v>0</v>
      </c>
      <c r="AP14" s="1">
        <f>VC_NEW2!AK4</f>
        <v>0</v>
      </c>
      <c r="AQ14" s="1">
        <f>VC_NEW2!AL4</f>
        <v>0</v>
      </c>
      <c r="AR14" s="1">
        <f>VC_NEW2!AM4</f>
        <v>0</v>
      </c>
      <c r="AS14" s="1">
        <f>VC_NEW2!AN4</f>
        <v>0</v>
      </c>
      <c r="AT14" s="1">
        <f>VC_NEW2!AO4</f>
        <v>0</v>
      </c>
      <c r="AU14" s="1">
        <f>VC_NEW2!AP4</f>
        <v>0</v>
      </c>
      <c r="AV14" s="1">
        <f>VC_NEW2!AQ4</f>
        <v>0</v>
      </c>
      <c r="AW14" s="1">
        <f>VC_NEW2!AR4</f>
        <v>0</v>
      </c>
      <c r="AX14" s="1" t="str">
        <f>VC_NEW2!AS4</f>
        <v>I63V</v>
      </c>
      <c r="AY14" s="1">
        <f>VC_NEW2!AT4</f>
        <v>0</v>
      </c>
      <c r="AZ14" s="1">
        <f>VC_NEW2!AU4</f>
        <v>0</v>
      </c>
      <c r="BA14" s="1">
        <f>VC_NEW2!AV4</f>
        <v>0</v>
      </c>
      <c r="BB14" s="1">
        <f>VC_NEW2!AW4</f>
        <v>0</v>
      </c>
      <c r="BC14" s="1">
        <f>VC_NEW2!AX4</f>
        <v>0</v>
      </c>
      <c r="BD14" s="1">
        <f>VC_NEW2!AY4</f>
        <v>0</v>
      </c>
      <c r="BE14" s="1">
        <f>VC_NEW2!AZ4</f>
        <v>0</v>
      </c>
      <c r="BF14" s="1">
        <f>VC_NEW2!BA4</f>
        <v>0</v>
      </c>
      <c r="BG14" s="1">
        <f>VC_NEW2!BB4</f>
        <v>0</v>
      </c>
      <c r="BH14" s="1">
        <f>VC_NEW2!BC4</f>
        <v>0</v>
      </c>
      <c r="BI14" s="1">
        <f>VC_NEW2!BD4</f>
        <v>0</v>
      </c>
      <c r="BJ14" s="1">
        <f>VC_NEW2!BE4</f>
        <v>0</v>
      </c>
      <c r="BK14" s="1">
        <f>VC_NEW2!BF4</f>
        <v>0</v>
      </c>
      <c r="BL14" s="1">
        <f>VC_NEW2!BG4</f>
        <v>0</v>
      </c>
      <c r="BM14" s="1" t="str">
        <f>VC_NEW2!BH4</f>
        <v>K86E</v>
      </c>
      <c r="BN14" s="1">
        <f>VC_NEW2!BI4</f>
        <v>0</v>
      </c>
      <c r="BO14" s="1">
        <f>VC_NEW2!BJ4</f>
        <v>0</v>
      </c>
      <c r="BP14" s="1">
        <f>VC_NEW2!BK4</f>
        <v>0</v>
      </c>
      <c r="BQ14" s="1">
        <f>VC_NEW2!BL4</f>
        <v>0</v>
      </c>
      <c r="BR14" s="1">
        <f>VC_NEW2!BM4</f>
        <v>0</v>
      </c>
      <c r="BS14" s="1">
        <f>VC_NEW2!BN4</f>
        <v>0</v>
      </c>
      <c r="BT14" s="1">
        <f>VC_NEW2!BO4</f>
        <v>0</v>
      </c>
      <c r="BU14" s="1">
        <f>VC_NEW2!BP4</f>
        <v>0</v>
      </c>
      <c r="BV14" s="1">
        <f>VC_NEW2!BQ4</f>
        <v>0</v>
      </c>
      <c r="BW14" s="1">
        <f>VC_NEW2!BR4</f>
        <v>0</v>
      </c>
      <c r="BX14" s="1">
        <f>VC_NEW2!BS4</f>
        <v>0</v>
      </c>
      <c r="BY14" s="1">
        <f>VC_NEW2!BT4</f>
        <v>0</v>
      </c>
      <c r="BZ14" s="1">
        <f>VC_NEW2!BU4</f>
        <v>0</v>
      </c>
      <c r="CA14" s="1">
        <f>VC_NEW2!BV4</f>
        <v>0</v>
      </c>
      <c r="CB14" s="1">
        <f>VC_NEW2!BW4</f>
        <v>0</v>
      </c>
      <c r="CC14" s="1">
        <f>VC_NEW2!BX4</f>
        <v>0</v>
      </c>
      <c r="CD14" s="1">
        <f>VC_NEW2!BY4</f>
        <v>0</v>
      </c>
      <c r="CE14" s="1">
        <f>VC_NEW2!BZ4</f>
        <v>0</v>
      </c>
      <c r="CF14" s="1">
        <f>VC_NEW2!CA4</f>
        <v>0</v>
      </c>
      <c r="CG14" s="1">
        <f>VC_NEW2!CB4</f>
        <v>0</v>
      </c>
      <c r="CH14" s="1">
        <f>VC_NEW2!CC4</f>
        <v>0</v>
      </c>
      <c r="CI14" s="1">
        <f>VC_NEW2!CD4</f>
        <v>0</v>
      </c>
      <c r="CJ14" s="1">
        <f>VC_NEW2!CE4</f>
        <v>0</v>
      </c>
      <c r="CK14" s="1">
        <f>VC_NEW2!CF4</f>
        <v>0</v>
      </c>
      <c r="CL14" s="1">
        <f>VC_NEW2!CG4</f>
        <v>0</v>
      </c>
      <c r="CM14" s="1">
        <f>VC_NEW2!CH4</f>
        <v>0</v>
      </c>
      <c r="CN14" s="1" t="str">
        <f>VC_NEW2!CI4</f>
        <v>Q143P</v>
      </c>
      <c r="CO14" s="1" t="str">
        <f>VC_NEW2!CJ4</f>
        <v>N269S</v>
      </c>
      <c r="CP14" s="1">
        <f>VC_NEW2!CK4</f>
        <v>0</v>
      </c>
      <c r="CQ14" s="1">
        <f>VC_NEW2!CL4</f>
        <v>0</v>
      </c>
      <c r="CR14" s="1">
        <f>VC_NEW2!CM4</f>
        <v>0</v>
      </c>
      <c r="CS14" s="1">
        <f>VC_NEW2!CN4</f>
        <v>0</v>
      </c>
      <c r="CT14" s="1">
        <f>VC_NEW2!CO4</f>
        <v>0</v>
      </c>
      <c r="CU14" s="1">
        <f>VC_NEW2!CP4</f>
        <v>0</v>
      </c>
      <c r="CV14" s="1">
        <f>VC_NEW2!CQ4</f>
        <v>0</v>
      </c>
      <c r="CW14" s="1">
        <f>VC_NEW2!CR4</f>
        <v>0</v>
      </c>
      <c r="CX14" s="1" t="str">
        <f>VC_NEW2!CS4</f>
        <v>A33T</v>
      </c>
      <c r="CY14" s="1">
        <f>VC_NEW2!CT4</f>
        <v>0</v>
      </c>
      <c r="CZ14" s="1">
        <f>VC_NEW2!CU4</f>
        <v>0</v>
      </c>
      <c r="DA14" s="1">
        <f>VC_NEW2!CV4</f>
        <v>0</v>
      </c>
      <c r="DB14" s="1">
        <f>VC_NEW2!CW4</f>
        <v>0</v>
      </c>
      <c r="DC14" s="1">
        <f>VC_NEW2!CX4</f>
        <v>0</v>
      </c>
      <c r="DD14" s="1">
        <f>VC_NEW2!CY4</f>
        <v>0</v>
      </c>
      <c r="DE14" s="1">
        <f>VC_NEW2!CZ4</f>
        <v>0</v>
      </c>
      <c r="DF14" s="1">
        <f>VC_NEW2!DA4</f>
        <v>0</v>
      </c>
      <c r="DG14" s="1">
        <f>VC_NEW2!DB4</f>
        <v>0</v>
      </c>
      <c r="DH14" s="1">
        <f>VC_NEW2!DC4</f>
        <v>0</v>
      </c>
      <c r="DI14" s="1">
        <f>VC_NEW2!DD4</f>
        <v>0</v>
      </c>
      <c r="DJ14" s="1">
        <f>VC_NEW2!DE4</f>
        <v>0</v>
      </c>
      <c r="DK14" s="1" t="str">
        <f>VC_NEW2!DF4</f>
        <v>K86E</v>
      </c>
      <c r="DL14" s="1">
        <f>VC_NEW2!DG4</f>
        <v>0</v>
      </c>
      <c r="DM14" s="1">
        <f>VC_NEW2!DH4</f>
        <v>0</v>
      </c>
      <c r="DN14" s="1">
        <f>VC_NEW2!DI4</f>
        <v>0</v>
      </c>
      <c r="DO14" s="1">
        <f>VC_NEW2!DJ4</f>
        <v>0</v>
      </c>
      <c r="DP14" s="1">
        <f>VC_NEW2!DK4</f>
        <v>0</v>
      </c>
      <c r="DQ14" s="1" t="str">
        <f>VC_NEW2!DL4</f>
        <v>K76Q</v>
      </c>
      <c r="DR14" s="1">
        <f>VC_NEW2!DM4</f>
        <v>0</v>
      </c>
      <c r="DS14" s="1">
        <f>VC_NEW2!DN4</f>
        <v>0</v>
      </c>
      <c r="DT14" s="1">
        <f>VC_NEW2!DO4</f>
        <v>0</v>
      </c>
      <c r="DU14" s="1" t="str">
        <f>VC_NEW2!DP4</f>
        <v>Q104X</v>
      </c>
      <c r="DV14" s="1">
        <f>VC_NEW2!DQ4</f>
        <v>0</v>
      </c>
      <c r="DW14" s="1">
        <f>VC_NEW2!DR4</f>
        <v>0</v>
      </c>
      <c r="DX14" s="1">
        <f>VC_NEW2!DS4</f>
        <v>0</v>
      </c>
      <c r="DY14" s="1">
        <f>VC_NEW2!DT4</f>
        <v>0</v>
      </c>
      <c r="DZ14" s="1">
        <f>VC_NEW2!DU4</f>
        <v>0</v>
      </c>
      <c r="EA14" s="1">
        <f>VC_NEW2!DV4</f>
        <v>0</v>
      </c>
      <c r="EB14" s="1">
        <f>VC_NEW2!DW4</f>
        <v>0</v>
      </c>
      <c r="EC14" s="1">
        <f>VC_NEW2!DX4</f>
        <v>0</v>
      </c>
      <c r="ED14" s="1" t="str">
        <f>VC_NEW2!DY4</f>
        <v>E53X</v>
      </c>
      <c r="EE14" s="1">
        <f>VC_NEW2!DZ4</f>
        <v>0</v>
      </c>
      <c r="EF14" s="1" t="str">
        <f>VC_NEW2!EA4</f>
        <v>A111T</v>
      </c>
      <c r="EG14" s="1" t="str">
        <f>VC_NEW2!EB4</f>
        <v>A117V</v>
      </c>
      <c r="EH14" s="1">
        <f>VC_NEW2!EC4</f>
        <v>0</v>
      </c>
      <c r="EI14" s="1">
        <f>VC_NEW2!ED4</f>
        <v>0</v>
      </c>
      <c r="EJ14" s="1">
        <f>VC_NEW2!EE4</f>
        <v>0</v>
      </c>
      <c r="EK14" s="1">
        <f>VC_NEW2!EF4</f>
        <v>0</v>
      </c>
      <c r="EL14" s="1">
        <f>VC_NEW2!EG4</f>
        <v>0</v>
      </c>
      <c r="EM14" s="1">
        <f>VC_NEW2!EH4</f>
        <v>0</v>
      </c>
      <c r="EN14" s="1">
        <f>VC_NEW2!EI4</f>
        <v>0</v>
      </c>
      <c r="EO14" s="1">
        <f>VC_NEW2!EJ4</f>
        <v>0</v>
      </c>
      <c r="EP14" s="1">
        <f>VC_NEW2!EK4</f>
        <v>0</v>
      </c>
      <c r="EQ14" s="1">
        <f>VC_NEW2!EL4</f>
        <v>0</v>
      </c>
      <c r="ER14" s="1" t="str">
        <f>VC_NEW2!EM4</f>
        <v>R326Q</v>
      </c>
      <c r="ES14" s="1">
        <f>VC_NEW2!EN4</f>
        <v>0</v>
      </c>
      <c r="ET14" s="1">
        <f>VC_NEW2!EO4</f>
        <v>0</v>
      </c>
      <c r="EU14" s="1">
        <f>VC_NEW2!EP4</f>
        <v>0</v>
      </c>
      <c r="EV14" s="1" t="str">
        <f>VC_NEW2!EQ4</f>
        <v>K86E</v>
      </c>
      <c r="EW14" s="1">
        <f>VC_NEW2!ER4</f>
        <v>0</v>
      </c>
      <c r="EX14" s="1">
        <f>VC_NEW2!ES4</f>
        <v>0</v>
      </c>
      <c r="EY14" s="1">
        <f>VC_NEW2!ET4</f>
        <v>0</v>
      </c>
      <c r="EZ14" s="1">
        <f>VC_NEW2!EU4</f>
        <v>0</v>
      </c>
      <c r="FA14" s="1">
        <f>VC_NEW2!EV4</f>
        <v>0</v>
      </c>
      <c r="FB14" s="1">
        <f>VC_NEW2!EW4</f>
        <v>0</v>
      </c>
      <c r="FC14" s="1">
        <f>VC_NEW2!EX4</f>
        <v>0</v>
      </c>
      <c r="FD14" s="1">
        <f>VC_NEW2!EY4</f>
        <v>0</v>
      </c>
      <c r="FE14" s="1">
        <f>VC_NEW2!EZ4</f>
        <v>0</v>
      </c>
      <c r="FF14" s="1">
        <f>VC_NEW2!FA4</f>
        <v>0</v>
      </c>
      <c r="FG14" s="1">
        <f>VC_NEW2!FB4</f>
        <v>0</v>
      </c>
      <c r="FH14" s="1">
        <f>VC_NEW2!FC4</f>
        <v>0</v>
      </c>
      <c r="FI14" s="1">
        <f>VC_NEW2!FD4</f>
        <v>0</v>
      </c>
      <c r="FJ14" s="1">
        <f>VC_NEW2!FE4</f>
        <v>0</v>
      </c>
      <c r="FK14" s="1">
        <f>VC_NEW2!FF4</f>
        <v>0</v>
      </c>
      <c r="FL14" s="1">
        <f>VC_NEW2!FG4</f>
        <v>0</v>
      </c>
      <c r="FM14" s="1">
        <f>VC_NEW2!FH4</f>
        <v>0</v>
      </c>
      <c r="FN14" s="1">
        <f>VC_NEW2!FI4</f>
        <v>0</v>
      </c>
      <c r="FO14" s="1">
        <f>VC_NEW2!FJ4</f>
        <v>0</v>
      </c>
      <c r="FP14" s="1">
        <f>VC_NEW2!FK4</f>
        <v>0</v>
      </c>
      <c r="FQ14" s="1">
        <f>VC_NEW2!FL4</f>
        <v>0</v>
      </c>
      <c r="FR14" s="1">
        <f>VC_NEW2!FM4</f>
        <v>0</v>
      </c>
      <c r="FS14" s="1">
        <f>VC_NEW2!FN4</f>
        <v>0</v>
      </c>
      <c r="FT14" s="1">
        <f>VC_NEW2!FO4</f>
        <v>0</v>
      </c>
      <c r="FU14" s="1">
        <f>VC_NEW2!FP4</f>
        <v>0</v>
      </c>
      <c r="FV14" s="1">
        <f>VC_NEW2!FQ4</f>
        <v>0</v>
      </c>
      <c r="FW14" s="1">
        <f>VC_NEW2!FR4</f>
        <v>0</v>
      </c>
      <c r="FX14" s="1">
        <f>VC_NEW2!FS4</f>
        <v>0</v>
      </c>
      <c r="FY14" s="1">
        <f>VC_NEW2!FT4</f>
        <v>0</v>
      </c>
      <c r="FZ14" s="1">
        <f>VC_NEW2!FU4</f>
        <v>0</v>
      </c>
      <c r="GA14" s="1">
        <f>VC_NEW2!FV4</f>
        <v>0</v>
      </c>
      <c r="GB14" s="1">
        <f>VC_NEW2!FW4</f>
        <v>0</v>
      </c>
      <c r="GC14" s="1">
        <f>VC_NEW2!FX4</f>
        <v>0</v>
      </c>
      <c r="GD14" s="1">
        <f>VC_NEW2!FY4</f>
        <v>0</v>
      </c>
      <c r="GE14" s="1">
        <f>VC_NEW2!FZ4</f>
        <v>0</v>
      </c>
      <c r="GF14" s="1">
        <f>VC_NEW2!GA4</f>
        <v>0</v>
      </c>
      <c r="GG14" s="1">
        <f>VC_NEW2!GB4</f>
        <v>0</v>
      </c>
      <c r="GH14" s="1">
        <f>VC_NEW2!GC4</f>
        <v>0</v>
      </c>
      <c r="GI14" s="1">
        <f>VC_NEW2!GD4</f>
        <v>0</v>
      </c>
      <c r="GJ14" s="1">
        <f>VC_NEW2!GE4</f>
        <v>0</v>
      </c>
      <c r="GK14" s="1">
        <f>VC_NEW2!GF4</f>
        <v>0</v>
      </c>
      <c r="GL14" s="1">
        <f>VC_NEW2!GG4</f>
        <v>0</v>
      </c>
      <c r="GM14" s="1">
        <f>VC_NEW2!GH4</f>
        <v>0</v>
      </c>
      <c r="GN14" s="1">
        <f>VC_NEW2!GI4</f>
        <v>0</v>
      </c>
      <c r="GO14" s="1">
        <f>VC_NEW2!GJ4</f>
        <v>0</v>
      </c>
      <c r="GP14" s="1">
        <f>VC_NEW2!GK4</f>
        <v>0</v>
      </c>
      <c r="GQ14" s="1">
        <f>VC_NEW2!GL4</f>
        <v>0</v>
      </c>
      <c r="GR14" s="1">
        <f>VC_NEW2!GM4</f>
        <v>0</v>
      </c>
      <c r="GS14" s="1">
        <f>VC_NEW2!GN4</f>
        <v>0</v>
      </c>
      <c r="GT14" s="1">
        <f>VC_NEW2!GO4</f>
        <v>0</v>
      </c>
      <c r="GU14" s="1" t="str">
        <f>VC_NEW2!GP4</f>
        <v>N269S</v>
      </c>
      <c r="GV14" s="1">
        <f>VC_NEW2!GQ4</f>
        <v>0</v>
      </c>
      <c r="GW14" s="1">
        <f>VC_NEW2!GR4</f>
        <v>0</v>
      </c>
      <c r="GX14" s="1">
        <f>VC_NEW2!GS4</f>
        <v>0</v>
      </c>
      <c r="GY14" s="1">
        <f>VC_NEW2!GT4</f>
        <v>0</v>
      </c>
      <c r="GZ14" s="1">
        <f>VC_NEW2!GU4</f>
        <v>0</v>
      </c>
      <c r="HA14" s="1">
        <f>VC_NEW2!GV4</f>
        <v>0</v>
      </c>
      <c r="HB14" s="1">
        <f>VC_NEW2!GW4</f>
        <v>0</v>
      </c>
      <c r="HC14" s="1">
        <f>VC_NEW2!GX4</f>
        <v>0</v>
      </c>
    </row>
    <row r="15" spans="1:211" s="1" customFormat="1" ht="15" hidden="1" customHeight="1" x14ac:dyDescent="0.25">
      <c r="A15" s="44" t="s">
        <v>7</v>
      </c>
      <c r="B15" s="45" t="s">
        <v>8</v>
      </c>
      <c r="C15" s="46" t="s">
        <v>4</v>
      </c>
      <c r="D15" s="45" t="s">
        <v>77</v>
      </c>
      <c r="E15" s="45">
        <v>-0.5</v>
      </c>
      <c r="F15" s="45" t="s">
        <v>74</v>
      </c>
      <c r="G15" s="47" t="s">
        <v>137</v>
      </c>
      <c r="H15" s="1">
        <f>VC_NEW2!C4</f>
        <v>0</v>
      </c>
      <c r="I15" s="1">
        <f>VC_NEW2!D4</f>
        <v>0</v>
      </c>
      <c r="J15" s="1">
        <f>VC_NEW2!E4</f>
        <v>0</v>
      </c>
      <c r="K15" s="1">
        <f>VC_NEW2!F4</f>
        <v>0</v>
      </c>
      <c r="L15" s="1">
        <f>VC_NEW2!G4</f>
        <v>0</v>
      </c>
      <c r="M15" s="1">
        <f>VC_NEW2!H4</f>
        <v>0</v>
      </c>
      <c r="N15" s="1">
        <f>VC_NEW2!I4</f>
        <v>0</v>
      </c>
      <c r="O15" s="1">
        <f>VC_NEW2!J4</f>
        <v>0</v>
      </c>
      <c r="P15" s="1">
        <f>VC_NEW2!K4</f>
        <v>0</v>
      </c>
      <c r="Q15" s="1">
        <f>VC_NEW2!L4</f>
        <v>0</v>
      </c>
      <c r="R15" s="1">
        <f>VC_NEW2!M4</f>
        <v>0</v>
      </c>
      <c r="S15" s="1">
        <f>VC_NEW2!N4</f>
        <v>0</v>
      </c>
      <c r="T15" s="1">
        <f>VC_NEW2!O4</f>
        <v>0</v>
      </c>
      <c r="U15" s="1">
        <f>VC_NEW2!P4</f>
        <v>0</v>
      </c>
      <c r="V15" s="1">
        <f>VC_NEW2!Q4</f>
        <v>0</v>
      </c>
      <c r="W15" s="1">
        <f>VC_NEW2!R4</f>
        <v>0</v>
      </c>
      <c r="X15" s="1">
        <f>VC_NEW2!S4</f>
        <v>0</v>
      </c>
      <c r="Y15" s="1">
        <f>VC_NEW2!T4</f>
        <v>0</v>
      </c>
      <c r="Z15" s="1">
        <f>VC_NEW2!U4</f>
        <v>0</v>
      </c>
      <c r="AA15" s="1">
        <f>VC_NEW2!V4</f>
        <v>0</v>
      </c>
      <c r="AB15" s="1">
        <f>VC_NEW2!W4</f>
        <v>0</v>
      </c>
      <c r="AC15" s="1">
        <f>VC_NEW2!X4</f>
        <v>0</v>
      </c>
      <c r="AD15" s="1">
        <f>VC_NEW2!Y4</f>
        <v>0</v>
      </c>
      <c r="AE15" s="1">
        <f>VC_NEW2!Z4</f>
        <v>0</v>
      </c>
      <c r="AF15" s="1">
        <f>VC_NEW2!AA4</f>
        <v>0</v>
      </c>
      <c r="AG15" s="1">
        <f>VC_NEW2!AB4</f>
        <v>0</v>
      </c>
      <c r="AH15" s="1">
        <f>VC_NEW2!AC4</f>
        <v>0</v>
      </c>
      <c r="AI15" s="1">
        <f>VC_NEW2!AD4</f>
        <v>0</v>
      </c>
      <c r="AJ15" s="1">
        <f>VC_NEW2!AE4</f>
        <v>0</v>
      </c>
      <c r="AK15" s="1">
        <f>VC_NEW2!AF4</f>
        <v>0</v>
      </c>
      <c r="AL15" s="1">
        <f>VC_NEW2!AG4</f>
        <v>0</v>
      </c>
      <c r="AM15" s="1">
        <f>VC_NEW2!AH4</f>
        <v>0</v>
      </c>
      <c r="AN15" s="1">
        <f>VC_NEW2!AI4</f>
        <v>0</v>
      </c>
      <c r="AO15" s="1">
        <f>VC_NEW2!AJ4</f>
        <v>0</v>
      </c>
      <c r="AP15" s="1">
        <f>VC_NEW2!AK4</f>
        <v>0</v>
      </c>
      <c r="AQ15" s="1">
        <f>VC_NEW2!AL4</f>
        <v>0</v>
      </c>
      <c r="AR15" s="1">
        <f>VC_NEW2!AM4</f>
        <v>0</v>
      </c>
      <c r="AS15" s="1">
        <f>VC_NEW2!AN4</f>
        <v>0</v>
      </c>
      <c r="AT15" s="1">
        <f>VC_NEW2!AO4</f>
        <v>0</v>
      </c>
      <c r="AU15" s="1">
        <f>VC_NEW2!AP4</f>
        <v>0</v>
      </c>
      <c r="AV15" s="1">
        <f>VC_NEW2!AQ4</f>
        <v>0</v>
      </c>
      <c r="AW15" s="1">
        <f>VC_NEW2!AR4</f>
        <v>0</v>
      </c>
      <c r="AX15" s="1" t="str">
        <f>VC_NEW2!AS4</f>
        <v>I63V</v>
      </c>
      <c r="AY15" s="1">
        <f>VC_NEW2!AT4</f>
        <v>0</v>
      </c>
      <c r="AZ15" s="1">
        <f>VC_NEW2!AU4</f>
        <v>0</v>
      </c>
      <c r="BA15" s="1">
        <f>VC_NEW2!AV4</f>
        <v>0</v>
      </c>
      <c r="BB15" s="1">
        <f>VC_NEW2!AW4</f>
        <v>0</v>
      </c>
      <c r="BC15" s="1">
        <f>VC_NEW2!AX4</f>
        <v>0</v>
      </c>
      <c r="BD15" s="1">
        <f>VC_NEW2!AY4</f>
        <v>0</v>
      </c>
      <c r="BE15" s="1">
        <f>VC_NEW2!AZ4</f>
        <v>0</v>
      </c>
      <c r="BF15" s="1">
        <f>VC_NEW2!BA4</f>
        <v>0</v>
      </c>
      <c r="BG15" s="1">
        <f>VC_NEW2!BB4</f>
        <v>0</v>
      </c>
      <c r="BH15" s="1">
        <f>VC_NEW2!BC4</f>
        <v>0</v>
      </c>
      <c r="BI15" s="1">
        <f>VC_NEW2!BD4</f>
        <v>0</v>
      </c>
      <c r="BJ15" s="1">
        <f>VC_NEW2!BE4</f>
        <v>0</v>
      </c>
      <c r="BK15" s="1">
        <f>VC_NEW2!BF4</f>
        <v>0</v>
      </c>
      <c r="BL15" s="1">
        <f>VC_NEW2!BG4</f>
        <v>0</v>
      </c>
      <c r="BM15" s="1" t="str">
        <f>VC_NEW2!BH4</f>
        <v>K86E</v>
      </c>
      <c r="BN15" s="1">
        <f>VC_NEW2!BI4</f>
        <v>0</v>
      </c>
      <c r="BO15" s="1">
        <f>VC_NEW2!BJ4</f>
        <v>0</v>
      </c>
      <c r="BP15" s="1">
        <f>VC_NEW2!BK4</f>
        <v>0</v>
      </c>
      <c r="BQ15" s="1">
        <f>VC_NEW2!BL4</f>
        <v>0</v>
      </c>
      <c r="BR15" s="1">
        <f>VC_NEW2!BM4</f>
        <v>0</v>
      </c>
      <c r="BS15" s="1">
        <f>VC_NEW2!BN4</f>
        <v>0</v>
      </c>
      <c r="BT15" s="1">
        <f>VC_NEW2!BO4</f>
        <v>0</v>
      </c>
      <c r="BU15" s="1">
        <f>VC_NEW2!BP4</f>
        <v>0</v>
      </c>
      <c r="BV15" s="1">
        <f>VC_NEW2!BQ4</f>
        <v>0</v>
      </c>
      <c r="BW15" s="1">
        <f>VC_NEW2!BR4</f>
        <v>0</v>
      </c>
      <c r="BX15" s="1">
        <f>VC_NEW2!BS4</f>
        <v>0</v>
      </c>
      <c r="BY15" s="1">
        <f>VC_NEW2!BT4</f>
        <v>0</v>
      </c>
      <c r="BZ15" s="1">
        <f>VC_NEW2!BU4</f>
        <v>0</v>
      </c>
      <c r="CA15" s="1">
        <f>VC_NEW2!BV4</f>
        <v>0</v>
      </c>
      <c r="CB15" s="1">
        <f>VC_NEW2!BW4</f>
        <v>0</v>
      </c>
      <c r="CC15" s="1">
        <f>VC_NEW2!BX4</f>
        <v>0</v>
      </c>
      <c r="CD15" s="1">
        <f>VC_NEW2!BY4</f>
        <v>0</v>
      </c>
      <c r="CE15" s="1">
        <f>VC_NEW2!BZ4</f>
        <v>0</v>
      </c>
      <c r="CF15" s="1">
        <f>VC_NEW2!CA4</f>
        <v>0</v>
      </c>
      <c r="CG15" s="1">
        <f>VC_NEW2!CB4</f>
        <v>0</v>
      </c>
      <c r="CH15" s="1">
        <f>VC_NEW2!CC4</f>
        <v>0</v>
      </c>
      <c r="CI15" s="1">
        <f>VC_NEW2!CD4</f>
        <v>0</v>
      </c>
      <c r="CJ15" s="1">
        <f>VC_NEW2!CE4</f>
        <v>0</v>
      </c>
      <c r="CK15" s="1">
        <f>VC_NEW2!CF4</f>
        <v>0</v>
      </c>
      <c r="CL15" s="1">
        <f>VC_NEW2!CG4</f>
        <v>0</v>
      </c>
      <c r="CM15" s="1">
        <f>VC_NEW2!CH4</f>
        <v>0</v>
      </c>
      <c r="CN15" s="1" t="str">
        <f>VC_NEW2!CI4</f>
        <v>Q143P</v>
      </c>
      <c r="CO15" s="1" t="str">
        <f>VC_NEW2!CJ4</f>
        <v>N269S</v>
      </c>
      <c r="CP15" s="1">
        <f>VC_NEW2!CK4</f>
        <v>0</v>
      </c>
      <c r="CQ15" s="1">
        <f>VC_NEW2!CL4</f>
        <v>0</v>
      </c>
      <c r="CR15" s="1">
        <f>VC_NEW2!CM4</f>
        <v>0</v>
      </c>
      <c r="CS15" s="1">
        <f>VC_NEW2!CN4</f>
        <v>0</v>
      </c>
      <c r="CT15" s="1">
        <f>VC_NEW2!CO4</f>
        <v>0</v>
      </c>
      <c r="CU15" s="1">
        <f>VC_NEW2!CP4</f>
        <v>0</v>
      </c>
      <c r="CV15" s="1">
        <f>VC_NEW2!CQ4</f>
        <v>0</v>
      </c>
      <c r="CW15" s="1">
        <f>VC_NEW2!CR4</f>
        <v>0</v>
      </c>
      <c r="CX15" s="1" t="str">
        <f>VC_NEW2!CS4</f>
        <v>A33T</v>
      </c>
      <c r="CY15" s="1">
        <f>VC_NEW2!CT4</f>
        <v>0</v>
      </c>
      <c r="CZ15" s="1">
        <f>VC_NEW2!CU4</f>
        <v>0</v>
      </c>
      <c r="DA15" s="1">
        <f>VC_NEW2!CV4</f>
        <v>0</v>
      </c>
      <c r="DB15" s="1">
        <f>VC_NEW2!CW4</f>
        <v>0</v>
      </c>
      <c r="DC15" s="1">
        <f>VC_NEW2!CX4</f>
        <v>0</v>
      </c>
      <c r="DD15" s="1">
        <f>VC_NEW2!CY4</f>
        <v>0</v>
      </c>
      <c r="DE15" s="1">
        <f>VC_NEW2!CZ4</f>
        <v>0</v>
      </c>
      <c r="DF15" s="1">
        <f>VC_NEW2!DA4</f>
        <v>0</v>
      </c>
      <c r="DG15" s="1">
        <f>VC_NEW2!DB4</f>
        <v>0</v>
      </c>
      <c r="DH15" s="1">
        <f>VC_NEW2!DC4</f>
        <v>0</v>
      </c>
      <c r="DI15" s="1">
        <f>VC_NEW2!DD4</f>
        <v>0</v>
      </c>
      <c r="DJ15" s="1">
        <f>VC_NEW2!DE4</f>
        <v>0</v>
      </c>
      <c r="DK15" s="1" t="str">
        <f>VC_NEW2!DF4</f>
        <v>K86E</v>
      </c>
      <c r="DL15" s="1">
        <f>VC_NEW2!DG4</f>
        <v>0</v>
      </c>
      <c r="DM15" s="1">
        <f>VC_NEW2!DH4</f>
        <v>0</v>
      </c>
      <c r="DN15" s="1">
        <f>VC_NEW2!DI4</f>
        <v>0</v>
      </c>
      <c r="DO15" s="1">
        <f>VC_NEW2!DJ4</f>
        <v>0</v>
      </c>
      <c r="DP15" s="1">
        <f>VC_NEW2!DK4</f>
        <v>0</v>
      </c>
      <c r="DQ15" s="1" t="str">
        <f>VC_NEW2!DL4</f>
        <v>K76Q</v>
      </c>
      <c r="DR15" s="1">
        <f>VC_NEW2!DM4</f>
        <v>0</v>
      </c>
      <c r="DS15" s="1">
        <f>VC_NEW2!DN4</f>
        <v>0</v>
      </c>
      <c r="DT15" s="1">
        <f>VC_NEW2!DO4</f>
        <v>0</v>
      </c>
      <c r="DU15" s="1" t="str">
        <f>VC_NEW2!DP4</f>
        <v>Q104X</v>
      </c>
      <c r="DV15" s="1">
        <f>VC_NEW2!DQ4</f>
        <v>0</v>
      </c>
      <c r="DW15" s="1">
        <f>VC_NEW2!DR4</f>
        <v>0</v>
      </c>
      <c r="DX15" s="1">
        <f>VC_NEW2!DS4</f>
        <v>0</v>
      </c>
      <c r="DY15" s="1">
        <f>VC_NEW2!DT4</f>
        <v>0</v>
      </c>
      <c r="DZ15" s="1">
        <f>VC_NEW2!DU4</f>
        <v>0</v>
      </c>
      <c r="EA15" s="1">
        <f>VC_NEW2!DV4</f>
        <v>0</v>
      </c>
      <c r="EB15" s="1">
        <f>VC_NEW2!DW4</f>
        <v>0</v>
      </c>
      <c r="EC15" s="1">
        <f>VC_NEW2!DX4</f>
        <v>0</v>
      </c>
      <c r="ED15" s="1" t="str">
        <f>VC_NEW2!DY4</f>
        <v>E53X</v>
      </c>
      <c r="EE15" s="1">
        <f>VC_NEW2!DZ4</f>
        <v>0</v>
      </c>
      <c r="EF15" s="1" t="str">
        <f>VC_NEW2!EA4</f>
        <v>A111T</v>
      </c>
      <c r="EG15" s="1" t="str">
        <f>VC_NEW2!EB4</f>
        <v>A117V</v>
      </c>
      <c r="EH15" s="1">
        <f>VC_NEW2!EC4</f>
        <v>0</v>
      </c>
      <c r="EI15" s="1">
        <f>VC_NEW2!ED4</f>
        <v>0</v>
      </c>
      <c r="EJ15" s="1">
        <f>VC_NEW2!EE4</f>
        <v>0</v>
      </c>
      <c r="EK15" s="1">
        <f>VC_NEW2!EF4</f>
        <v>0</v>
      </c>
      <c r="EL15" s="1">
        <f>VC_NEW2!EG4</f>
        <v>0</v>
      </c>
      <c r="EM15" s="1">
        <f>VC_NEW2!EH4</f>
        <v>0</v>
      </c>
      <c r="EN15" s="1">
        <f>VC_NEW2!EI4</f>
        <v>0</v>
      </c>
      <c r="EO15" s="1">
        <f>VC_NEW2!EJ4</f>
        <v>0</v>
      </c>
      <c r="EP15" s="1">
        <f>VC_NEW2!EK4</f>
        <v>0</v>
      </c>
      <c r="EQ15" s="1">
        <f>VC_NEW2!EL4</f>
        <v>0</v>
      </c>
      <c r="ER15" s="1" t="str">
        <f>VC_NEW2!EM4</f>
        <v>R326Q</v>
      </c>
      <c r="ES15" s="1">
        <f>VC_NEW2!EN4</f>
        <v>0</v>
      </c>
      <c r="ET15" s="1">
        <f>VC_NEW2!EO4</f>
        <v>0</v>
      </c>
      <c r="EU15" s="1">
        <f>VC_NEW2!EP4</f>
        <v>0</v>
      </c>
      <c r="EV15" s="1" t="str">
        <f>VC_NEW2!EQ4</f>
        <v>K86E</v>
      </c>
      <c r="EW15" s="1">
        <f>VC_NEW2!ER4</f>
        <v>0</v>
      </c>
      <c r="EX15" s="1">
        <f>VC_NEW2!ES4</f>
        <v>0</v>
      </c>
      <c r="EY15" s="1">
        <f>VC_NEW2!ET4</f>
        <v>0</v>
      </c>
      <c r="EZ15" s="1">
        <f>VC_NEW2!EU4</f>
        <v>0</v>
      </c>
      <c r="FA15" s="1">
        <f>VC_NEW2!EV4</f>
        <v>0</v>
      </c>
      <c r="FB15" s="1">
        <f>VC_NEW2!EW4</f>
        <v>0</v>
      </c>
      <c r="FC15" s="1">
        <f>VC_NEW2!EX4</f>
        <v>0</v>
      </c>
      <c r="FD15" s="1">
        <f>VC_NEW2!EY4</f>
        <v>0</v>
      </c>
      <c r="FE15" s="1">
        <f>VC_NEW2!EZ4</f>
        <v>0</v>
      </c>
      <c r="FF15" s="1">
        <f>VC_NEW2!FA4</f>
        <v>0</v>
      </c>
      <c r="FG15" s="1">
        <f>VC_NEW2!FB4</f>
        <v>0</v>
      </c>
      <c r="FH15" s="1">
        <f>VC_NEW2!FC4</f>
        <v>0</v>
      </c>
      <c r="FI15" s="1">
        <f>VC_NEW2!FD4</f>
        <v>0</v>
      </c>
      <c r="FJ15" s="1">
        <f>VC_NEW2!FE4</f>
        <v>0</v>
      </c>
      <c r="FK15" s="1">
        <f>VC_NEW2!FF4</f>
        <v>0</v>
      </c>
      <c r="FL15" s="1">
        <f>VC_NEW2!FG4</f>
        <v>0</v>
      </c>
      <c r="FM15" s="1">
        <f>VC_NEW2!FH4</f>
        <v>0</v>
      </c>
      <c r="FN15" s="1">
        <f>VC_NEW2!FI4</f>
        <v>0</v>
      </c>
      <c r="FO15" s="1">
        <f>VC_NEW2!FJ4</f>
        <v>0</v>
      </c>
      <c r="FP15" s="1">
        <f>VC_NEW2!FK4</f>
        <v>0</v>
      </c>
      <c r="FQ15" s="1">
        <f>VC_NEW2!FL4</f>
        <v>0</v>
      </c>
      <c r="FR15" s="1">
        <f>VC_NEW2!FM4</f>
        <v>0</v>
      </c>
      <c r="FS15" s="1">
        <f>VC_NEW2!FN4</f>
        <v>0</v>
      </c>
      <c r="FT15" s="1">
        <f>VC_NEW2!FO4</f>
        <v>0</v>
      </c>
      <c r="FU15" s="1">
        <f>VC_NEW2!FP4</f>
        <v>0</v>
      </c>
      <c r="FV15" s="1">
        <f>VC_NEW2!FQ4</f>
        <v>0</v>
      </c>
      <c r="FW15" s="1">
        <f>VC_NEW2!FR4</f>
        <v>0</v>
      </c>
      <c r="FX15" s="1">
        <f>VC_NEW2!FS4</f>
        <v>0</v>
      </c>
      <c r="FY15" s="1">
        <f>VC_NEW2!FT4</f>
        <v>0</v>
      </c>
      <c r="FZ15" s="1">
        <f>VC_NEW2!FU4</f>
        <v>0</v>
      </c>
      <c r="GA15" s="1">
        <f>VC_NEW2!FV4</f>
        <v>0</v>
      </c>
      <c r="GB15" s="1">
        <f>VC_NEW2!FW4</f>
        <v>0</v>
      </c>
      <c r="GC15" s="1">
        <f>VC_NEW2!FX4</f>
        <v>0</v>
      </c>
      <c r="GD15" s="1">
        <f>VC_NEW2!FY4</f>
        <v>0</v>
      </c>
      <c r="GE15" s="1">
        <f>VC_NEW2!FZ4</f>
        <v>0</v>
      </c>
      <c r="GF15" s="1">
        <f>VC_NEW2!GA4</f>
        <v>0</v>
      </c>
      <c r="GG15" s="1">
        <f>VC_NEW2!GB4</f>
        <v>0</v>
      </c>
      <c r="GH15" s="1">
        <f>VC_NEW2!GC4</f>
        <v>0</v>
      </c>
      <c r="GI15" s="1">
        <f>VC_NEW2!GD4</f>
        <v>0</v>
      </c>
      <c r="GJ15" s="1">
        <f>VC_NEW2!GE4</f>
        <v>0</v>
      </c>
      <c r="GK15" s="1">
        <f>VC_NEW2!GF4</f>
        <v>0</v>
      </c>
      <c r="GL15" s="1">
        <f>VC_NEW2!GG4</f>
        <v>0</v>
      </c>
      <c r="GM15" s="1">
        <f>VC_NEW2!GH4</f>
        <v>0</v>
      </c>
      <c r="GN15" s="1">
        <f>VC_NEW2!GI4</f>
        <v>0</v>
      </c>
      <c r="GO15" s="1">
        <f>VC_NEW2!GJ4</f>
        <v>0</v>
      </c>
      <c r="GP15" s="1">
        <f>VC_NEW2!GK4</f>
        <v>0</v>
      </c>
      <c r="GQ15" s="1">
        <f>VC_NEW2!GL4</f>
        <v>0</v>
      </c>
      <c r="GR15" s="1">
        <f>VC_NEW2!GM4</f>
        <v>0</v>
      </c>
      <c r="GS15" s="1">
        <f>VC_NEW2!GN4</f>
        <v>0</v>
      </c>
      <c r="GT15" s="1">
        <f>VC_NEW2!GO4</f>
        <v>0</v>
      </c>
      <c r="GU15" s="1" t="str">
        <f>VC_NEW2!GP4</f>
        <v>N269S</v>
      </c>
      <c r="GV15" s="1">
        <f>VC_NEW2!GQ4</f>
        <v>0</v>
      </c>
      <c r="GW15" s="1">
        <f>VC_NEW2!GR4</f>
        <v>0</v>
      </c>
      <c r="GX15" s="1">
        <f>VC_NEW2!GS4</f>
        <v>0</v>
      </c>
      <c r="GY15" s="1">
        <f>VC_NEW2!GT4</f>
        <v>0</v>
      </c>
      <c r="GZ15" s="1">
        <f>VC_NEW2!GU4</f>
        <v>0</v>
      </c>
      <c r="HA15" s="1">
        <f>VC_NEW2!GV4</f>
        <v>0</v>
      </c>
      <c r="HB15" s="1">
        <f>VC_NEW2!GW4</f>
        <v>0</v>
      </c>
      <c r="HC15" s="1">
        <f>VC_NEW2!GX4</f>
        <v>0</v>
      </c>
    </row>
    <row r="16" spans="1:211" s="1" customFormat="1" ht="15" hidden="1" customHeight="1" x14ac:dyDescent="0.25">
      <c r="A16" s="44" t="s">
        <v>7</v>
      </c>
      <c r="B16" s="45" t="s">
        <v>8</v>
      </c>
      <c r="C16" s="46" t="s">
        <v>3</v>
      </c>
      <c r="D16" s="45" t="s">
        <v>77</v>
      </c>
      <c r="E16" s="45">
        <v>-0.25</v>
      </c>
      <c r="F16" s="45" t="s">
        <v>74</v>
      </c>
      <c r="G16" s="47" t="s">
        <v>137</v>
      </c>
      <c r="H16" s="1">
        <f>VC_NEW2!C4</f>
        <v>0</v>
      </c>
      <c r="I16" s="1">
        <f>VC_NEW2!D4</f>
        <v>0</v>
      </c>
      <c r="J16" s="1">
        <f>VC_NEW2!E4</f>
        <v>0</v>
      </c>
      <c r="K16" s="1">
        <f>VC_NEW2!F4</f>
        <v>0</v>
      </c>
      <c r="L16" s="1">
        <f>VC_NEW2!G4</f>
        <v>0</v>
      </c>
      <c r="M16" s="1">
        <f>VC_NEW2!H4</f>
        <v>0</v>
      </c>
      <c r="N16" s="1">
        <f>VC_NEW2!I4</f>
        <v>0</v>
      </c>
      <c r="O16" s="1">
        <f>VC_NEW2!J4</f>
        <v>0</v>
      </c>
      <c r="P16" s="1">
        <f>VC_NEW2!K4</f>
        <v>0</v>
      </c>
      <c r="Q16" s="1">
        <f>VC_NEW2!L4</f>
        <v>0</v>
      </c>
      <c r="R16" s="1">
        <f>VC_NEW2!M4</f>
        <v>0</v>
      </c>
      <c r="S16" s="1">
        <f>VC_NEW2!N4</f>
        <v>0</v>
      </c>
      <c r="T16" s="1">
        <f>VC_NEW2!O4</f>
        <v>0</v>
      </c>
      <c r="U16" s="1">
        <f>VC_NEW2!P4</f>
        <v>0</v>
      </c>
      <c r="V16" s="1">
        <f>VC_NEW2!Q4</f>
        <v>0</v>
      </c>
      <c r="W16" s="1">
        <f>VC_NEW2!R4</f>
        <v>0</v>
      </c>
      <c r="X16" s="1">
        <f>VC_NEW2!S4</f>
        <v>0</v>
      </c>
      <c r="Y16" s="1">
        <f>VC_NEW2!T4</f>
        <v>0</v>
      </c>
      <c r="Z16" s="1">
        <f>VC_NEW2!U4</f>
        <v>0</v>
      </c>
      <c r="AA16" s="1">
        <f>VC_NEW2!V4</f>
        <v>0</v>
      </c>
      <c r="AB16" s="1">
        <f>VC_NEW2!W4</f>
        <v>0</v>
      </c>
      <c r="AC16" s="1">
        <f>VC_NEW2!X4</f>
        <v>0</v>
      </c>
      <c r="AD16" s="1">
        <f>VC_NEW2!Y4</f>
        <v>0</v>
      </c>
      <c r="AE16" s="1">
        <f>VC_NEW2!Z4</f>
        <v>0</v>
      </c>
      <c r="AF16" s="1">
        <f>VC_NEW2!AA4</f>
        <v>0</v>
      </c>
      <c r="AG16" s="1">
        <f>VC_NEW2!AB4</f>
        <v>0</v>
      </c>
      <c r="AH16" s="1">
        <f>VC_NEW2!AC4</f>
        <v>0</v>
      </c>
      <c r="AI16" s="1">
        <f>VC_NEW2!AD4</f>
        <v>0</v>
      </c>
      <c r="AJ16" s="1">
        <f>VC_NEW2!AE4</f>
        <v>0</v>
      </c>
      <c r="AK16" s="1">
        <f>VC_NEW2!AF4</f>
        <v>0</v>
      </c>
      <c r="AL16" s="1">
        <f>VC_NEW2!AG4</f>
        <v>0</v>
      </c>
      <c r="AM16" s="1">
        <f>VC_NEW2!AH4</f>
        <v>0</v>
      </c>
      <c r="AN16" s="1">
        <f>VC_NEW2!AI4</f>
        <v>0</v>
      </c>
      <c r="AO16" s="1">
        <f>VC_NEW2!AJ4</f>
        <v>0</v>
      </c>
      <c r="AP16" s="1">
        <f>VC_NEW2!AK4</f>
        <v>0</v>
      </c>
      <c r="AQ16" s="1">
        <f>VC_NEW2!AL4</f>
        <v>0</v>
      </c>
      <c r="AR16" s="1">
        <f>VC_NEW2!AM4</f>
        <v>0</v>
      </c>
      <c r="AS16" s="1">
        <f>VC_NEW2!AN4</f>
        <v>0</v>
      </c>
      <c r="AT16" s="1">
        <f>VC_NEW2!AO4</f>
        <v>0</v>
      </c>
      <c r="AU16" s="1">
        <f>VC_NEW2!AP4</f>
        <v>0</v>
      </c>
      <c r="AV16" s="1">
        <f>VC_NEW2!AQ4</f>
        <v>0</v>
      </c>
      <c r="AW16" s="1">
        <f>VC_NEW2!AR4</f>
        <v>0</v>
      </c>
      <c r="AX16" s="1" t="str">
        <f>VC_NEW2!AS4</f>
        <v>I63V</v>
      </c>
      <c r="AY16" s="1">
        <f>VC_NEW2!AT4</f>
        <v>0</v>
      </c>
      <c r="AZ16" s="1">
        <f>VC_NEW2!AU4</f>
        <v>0</v>
      </c>
      <c r="BA16" s="1">
        <f>VC_NEW2!AV4</f>
        <v>0</v>
      </c>
      <c r="BB16" s="1">
        <f>VC_NEW2!AW4</f>
        <v>0</v>
      </c>
      <c r="BC16" s="1">
        <f>VC_NEW2!AX4</f>
        <v>0</v>
      </c>
      <c r="BD16" s="1">
        <f>VC_NEW2!AY4</f>
        <v>0</v>
      </c>
      <c r="BE16" s="1">
        <f>VC_NEW2!AZ4</f>
        <v>0</v>
      </c>
      <c r="BF16" s="1">
        <f>VC_NEW2!BA4</f>
        <v>0</v>
      </c>
      <c r="BG16" s="1">
        <f>VC_NEW2!BB4</f>
        <v>0</v>
      </c>
      <c r="BH16" s="1">
        <f>VC_NEW2!BC4</f>
        <v>0</v>
      </c>
      <c r="BI16" s="1">
        <f>VC_NEW2!BD4</f>
        <v>0</v>
      </c>
      <c r="BJ16" s="1">
        <f>VC_NEW2!BE4</f>
        <v>0</v>
      </c>
      <c r="BK16" s="1">
        <f>VC_NEW2!BF4</f>
        <v>0</v>
      </c>
      <c r="BL16" s="1">
        <f>VC_NEW2!BG4</f>
        <v>0</v>
      </c>
      <c r="BM16" s="1" t="str">
        <f>VC_NEW2!BH4</f>
        <v>K86E</v>
      </c>
      <c r="BN16" s="1">
        <f>VC_NEW2!BI4</f>
        <v>0</v>
      </c>
      <c r="BO16" s="1">
        <f>VC_NEW2!BJ4</f>
        <v>0</v>
      </c>
      <c r="BP16" s="1">
        <f>VC_NEW2!BK4</f>
        <v>0</v>
      </c>
      <c r="BQ16" s="1">
        <f>VC_NEW2!BL4</f>
        <v>0</v>
      </c>
      <c r="BR16" s="1">
        <f>VC_NEW2!BM4</f>
        <v>0</v>
      </c>
      <c r="BS16" s="1">
        <f>VC_NEW2!BN4</f>
        <v>0</v>
      </c>
      <c r="BT16" s="1">
        <f>VC_NEW2!BO4</f>
        <v>0</v>
      </c>
      <c r="BU16" s="1">
        <f>VC_NEW2!BP4</f>
        <v>0</v>
      </c>
      <c r="BV16" s="1">
        <f>VC_NEW2!BQ4</f>
        <v>0</v>
      </c>
      <c r="BW16" s="1">
        <f>VC_NEW2!BR4</f>
        <v>0</v>
      </c>
      <c r="BX16" s="1">
        <f>VC_NEW2!BS4</f>
        <v>0</v>
      </c>
      <c r="BY16" s="1">
        <f>VC_NEW2!BT4</f>
        <v>0</v>
      </c>
      <c r="BZ16" s="1">
        <f>VC_NEW2!BU4</f>
        <v>0</v>
      </c>
      <c r="CA16" s="1">
        <f>VC_NEW2!BV4</f>
        <v>0</v>
      </c>
      <c r="CB16" s="1">
        <f>VC_NEW2!BW4</f>
        <v>0</v>
      </c>
      <c r="CC16" s="1">
        <f>VC_NEW2!BX4</f>
        <v>0</v>
      </c>
      <c r="CD16" s="1">
        <f>VC_NEW2!BY4</f>
        <v>0</v>
      </c>
      <c r="CE16" s="1">
        <f>VC_NEW2!BZ4</f>
        <v>0</v>
      </c>
      <c r="CF16" s="1">
        <f>VC_NEW2!CA4</f>
        <v>0</v>
      </c>
      <c r="CG16" s="1">
        <f>VC_NEW2!CB4</f>
        <v>0</v>
      </c>
      <c r="CH16" s="1">
        <f>VC_NEW2!CC4</f>
        <v>0</v>
      </c>
      <c r="CI16" s="1">
        <f>VC_NEW2!CD4</f>
        <v>0</v>
      </c>
      <c r="CJ16" s="1">
        <f>VC_NEW2!CE4</f>
        <v>0</v>
      </c>
      <c r="CK16" s="1">
        <f>VC_NEW2!CF4</f>
        <v>0</v>
      </c>
      <c r="CL16" s="1">
        <f>VC_NEW2!CG4</f>
        <v>0</v>
      </c>
      <c r="CM16" s="1">
        <f>VC_NEW2!CH4</f>
        <v>0</v>
      </c>
      <c r="CN16" s="1" t="str">
        <f>VC_NEW2!CI4</f>
        <v>Q143P</v>
      </c>
      <c r="CO16" s="1" t="str">
        <f>VC_NEW2!CJ4</f>
        <v>N269S</v>
      </c>
      <c r="CP16" s="1">
        <f>VC_NEW2!CK4</f>
        <v>0</v>
      </c>
      <c r="CQ16" s="1">
        <f>VC_NEW2!CL4</f>
        <v>0</v>
      </c>
      <c r="CR16" s="1">
        <f>VC_NEW2!CM4</f>
        <v>0</v>
      </c>
      <c r="CS16" s="1">
        <f>VC_NEW2!CN4</f>
        <v>0</v>
      </c>
      <c r="CT16" s="1">
        <f>VC_NEW2!CO4</f>
        <v>0</v>
      </c>
      <c r="CU16" s="1">
        <f>VC_NEW2!CP4</f>
        <v>0</v>
      </c>
      <c r="CV16" s="1">
        <f>VC_NEW2!CQ4</f>
        <v>0</v>
      </c>
      <c r="CW16" s="1">
        <f>VC_NEW2!CR4</f>
        <v>0</v>
      </c>
      <c r="CX16" s="1" t="str">
        <f>VC_NEW2!CS4</f>
        <v>A33T</v>
      </c>
      <c r="CY16" s="1">
        <f>VC_NEW2!CT4</f>
        <v>0</v>
      </c>
      <c r="CZ16" s="1">
        <f>VC_NEW2!CU4</f>
        <v>0</v>
      </c>
      <c r="DA16" s="1">
        <f>VC_NEW2!CV4</f>
        <v>0</v>
      </c>
      <c r="DB16" s="1">
        <f>VC_NEW2!CW4</f>
        <v>0</v>
      </c>
      <c r="DC16" s="1">
        <f>VC_NEW2!CX4</f>
        <v>0</v>
      </c>
      <c r="DD16" s="1">
        <f>VC_NEW2!CY4</f>
        <v>0</v>
      </c>
      <c r="DE16" s="1">
        <f>VC_NEW2!CZ4</f>
        <v>0</v>
      </c>
      <c r="DF16" s="1">
        <f>VC_NEW2!DA4</f>
        <v>0</v>
      </c>
      <c r="DG16" s="1">
        <f>VC_NEW2!DB4</f>
        <v>0</v>
      </c>
      <c r="DH16" s="1">
        <f>VC_NEW2!DC4</f>
        <v>0</v>
      </c>
      <c r="DI16" s="1">
        <f>VC_NEW2!DD4</f>
        <v>0</v>
      </c>
      <c r="DJ16" s="1">
        <f>VC_NEW2!DE4</f>
        <v>0</v>
      </c>
      <c r="DK16" s="1" t="str">
        <f>VC_NEW2!DF4</f>
        <v>K86E</v>
      </c>
      <c r="DL16" s="1">
        <f>VC_NEW2!DG4</f>
        <v>0</v>
      </c>
      <c r="DM16" s="1">
        <f>VC_NEW2!DH4</f>
        <v>0</v>
      </c>
      <c r="DN16" s="1">
        <f>VC_NEW2!DI4</f>
        <v>0</v>
      </c>
      <c r="DO16" s="1">
        <f>VC_NEW2!DJ4</f>
        <v>0</v>
      </c>
      <c r="DP16" s="1">
        <f>VC_NEW2!DK4</f>
        <v>0</v>
      </c>
      <c r="DQ16" s="1" t="str">
        <f>VC_NEW2!DL4</f>
        <v>K76Q</v>
      </c>
      <c r="DR16" s="1">
        <f>VC_NEW2!DM4</f>
        <v>0</v>
      </c>
      <c r="DS16" s="1">
        <f>VC_NEW2!DN4</f>
        <v>0</v>
      </c>
      <c r="DT16" s="1">
        <f>VC_NEW2!DO4</f>
        <v>0</v>
      </c>
      <c r="DU16" s="1" t="str">
        <f>VC_NEW2!DP4</f>
        <v>Q104X</v>
      </c>
      <c r="DV16" s="1">
        <f>VC_NEW2!DQ4</f>
        <v>0</v>
      </c>
      <c r="DW16" s="1">
        <f>VC_NEW2!DR4</f>
        <v>0</v>
      </c>
      <c r="DX16" s="1">
        <f>VC_NEW2!DS4</f>
        <v>0</v>
      </c>
      <c r="DY16" s="1">
        <f>VC_NEW2!DT4</f>
        <v>0</v>
      </c>
      <c r="DZ16" s="1">
        <f>VC_NEW2!DU4</f>
        <v>0</v>
      </c>
      <c r="EA16" s="1">
        <f>VC_NEW2!DV4</f>
        <v>0</v>
      </c>
      <c r="EB16" s="1">
        <f>VC_NEW2!DW4</f>
        <v>0</v>
      </c>
      <c r="EC16" s="1">
        <f>VC_NEW2!DX4</f>
        <v>0</v>
      </c>
      <c r="ED16" s="1" t="str">
        <f>VC_NEW2!DY4</f>
        <v>E53X</v>
      </c>
      <c r="EE16" s="1">
        <f>VC_NEW2!DZ4</f>
        <v>0</v>
      </c>
      <c r="EF16" s="1" t="str">
        <f>VC_NEW2!EA4</f>
        <v>A111T</v>
      </c>
      <c r="EG16" s="1" t="str">
        <f>VC_NEW2!EB4</f>
        <v>A117V</v>
      </c>
      <c r="EH16" s="1">
        <f>VC_NEW2!EC4</f>
        <v>0</v>
      </c>
      <c r="EI16" s="1">
        <f>VC_NEW2!ED4</f>
        <v>0</v>
      </c>
      <c r="EJ16" s="1">
        <f>VC_NEW2!EE4</f>
        <v>0</v>
      </c>
      <c r="EK16" s="1">
        <f>VC_NEW2!EF4</f>
        <v>0</v>
      </c>
      <c r="EL16" s="1">
        <f>VC_NEW2!EG4</f>
        <v>0</v>
      </c>
      <c r="EM16" s="1">
        <f>VC_NEW2!EH4</f>
        <v>0</v>
      </c>
      <c r="EN16" s="1">
        <f>VC_NEW2!EI4</f>
        <v>0</v>
      </c>
      <c r="EO16" s="1">
        <f>VC_NEW2!EJ4</f>
        <v>0</v>
      </c>
      <c r="EP16" s="1">
        <f>VC_NEW2!EK4</f>
        <v>0</v>
      </c>
      <c r="EQ16" s="1">
        <f>VC_NEW2!EL4</f>
        <v>0</v>
      </c>
      <c r="ER16" s="1" t="str">
        <f>VC_NEW2!EM4</f>
        <v>R326Q</v>
      </c>
      <c r="ES16" s="1">
        <f>VC_NEW2!EN4</f>
        <v>0</v>
      </c>
      <c r="ET16" s="1">
        <f>VC_NEW2!EO4</f>
        <v>0</v>
      </c>
      <c r="EU16" s="1">
        <f>VC_NEW2!EP4</f>
        <v>0</v>
      </c>
      <c r="EV16" s="1" t="str">
        <f>VC_NEW2!EQ4</f>
        <v>K86E</v>
      </c>
      <c r="EW16" s="1">
        <f>VC_NEW2!ER4</f>
        <v>0</v>
      </c>
      <c r="EX16" s="1">
        <f>VC_NEW2!ES4</f>
        <v>0</v>
      </c>
      <c r="EY16" s="1">
        <f>VC_NEW2!ET4</f>
        <v>0</v>
      </c>
      <c r="EZ16" s="1">
        <f>VC_NEW2!EU4</f>
        <v>0</v>
      </c>
      <c r="FA16" s="1">
        <f>VC_NEW2!EV4</f>
        <v>0</v>
      </c>
      <c r="FB16" s="1">
        <f>VC_NEW2!EW4</f>
        <v>0</v>
      </c>
      <c r="FC16" s="1">
        <f>VC_NEW2!EX4</f>
        <v>0</v>
      </c>
      <c r="FD16" s="1">
        <f>VC_NEW2!EY4</f>
        <v>0</v>
      </c>
      <c r="FE16" s="1">
        <f>VC_NEW2!EZ4</f>
        <v>0</v>
      </c>
      <c r="FF16" s="1">
        <f>VC_NEW2!FA4</f>
        <v>0</v>
      </c>
      <c r="FG16" s="1">
        <f>VC_NEW2!FB4</f>
        <v>0</v>
      </c>
      <c r="FH16" s="1">
        <f>VC_NEW2!FC4</f>
        <v>0</v>
      </c>
      <c r="FI16" s="1">
        <f>VC_NEW2!FD4</f>
        <v>0</v>
      </c>
      <c r="FJ16" s="1">
        <f>VC_NEW2!FE4</f>
        <v>0</v>
      </c>
      <c r="FK16" s="1">
        <f>VC_NEW2!FF4</f>
        <v>0</v>
      </c>
      <c r="FL16" s="1">
        <f>VC_NEW2!FG4</f>
        <v>0</v>
      </c>
      <c r="FM16" s="1">
        <f>VC_NEW2!FH4</f>
        <v>0</v>
      </c>
      <c r="FN16" s="1">
        <f>VC_NEW2!FI4</f>
        <v>0</v>
      </c>
      <c r="FO16" s="1">
        <f>VC_NEW2!FJ4</f>
        <v>0</v>
      </c>
      <c r="FP16" s="1">
        <f>VC_NEW2!FK4</f>
        <v>0</v>
      </c>
      <c r="FQ16" s="1">
        <f>VC_NEW2!FL4</f>
        <v>0</v>
      </c>
      <c r="FR16" s="1">
        <f>VC_NEW2!FM4</f>
        <v>0</v>
      </c>
      <c r="FS16" s="1">
        <f>VC_NEW2!FN4</f>
        <v>0</v>
      </c>
      <c r="FT16" s="1">
        <f>VC_NEW2!FO4</f>
        <v>0</v>
      </c>
      <c r="FU16" s="1">
        <f>VC_NEW2!FP4</f>
        <v>0</v>
      </c>
      <c r="FV16" s="1">
        <f>VC_NEW2!FQ4</f>
        <v>0</v>
      </c>
      <c r="FW16" s="1">
        <f>VC_NEW2!FR4</f>
        <v>0</v>
      </c>
      <c r="FX16" s="1">
        <f>VC_NEW2!FS4</f>
        <v>0</v>
      </c>
      <c r="FY16" s="1">
        <f>VC_NEW2!FT4</f>
        <v>0</v>
      </c>
      <c r="FZ16" s="1">
        <f>VC_NEW2!FU4</f>
        <v>0</v>
      </c>
      <c r="GA16" s="1">
        <f>VC_NEW2!FV4</f>
        <v>0</v>
      </c>
      <c r="GB16" s="1">
        <f>VC_NEW2!FW4</f>
        <v>0</v>
      </c>
      <c r="GC16" s="1">
        <f>VC_NEW2!FX4</f>
        <v>0</v>
      </c>
      <c r="GD16" s="1">
        <f>VC_NEW2!FY4</f>
        <v>0</v>
      </c>
      <c r="GE16" s="1">
        <f>VC_NEW2!FZ4</f>
        <v>0</v>
      </c>
      <c r="GF16" s="1">
        <f>VC_NEW2!GA4</f>
        <v>0</v>
      </c>
      <c r="GG16" s="1">
        <f>VC_NEW2!GB4</f>
        <v>0</v>
      </c>
      <c r="GH16" s="1">
        <f>VC_NEW2!GC4</f>
        <v>0</v>
      </c>
      <c r="GI16" s="1">
        <f>VC_NEW2!GD4</f>
        <v>0</v>
      </c>
      <c r="GJ16" s="1">
        <f>VC_NEW2!GE4</f>
        <v>0</v>
      </c>
      <c r="GK16" s="1">
        <f>VC_NEW2!GF4</f>
        <v>0</v>
      </c>
      <c r="GL16" s="1">
        <f>VC_NEW2!GG4</f>
        <v>0</v>
      </c>
      <c r="GM16" s="1">
        <f>VC_NEW2!GH4</f>
        <v>0</v>
      </c>
      <c r="GN16" s="1">
        <f>VC_NEW2!GI4</f>
        <v>0</v>
      </c>
      <c r="GO16" s="1">
        <f>VC_NEW2!GJ4</f>
        <v>0</v>
      </c>
      <c r="GP16" s="1">
        <f>VC_NEW2!GK4</f>
        <v>0</v>
      </c>
      <c r="GQ16" s="1">
        <f>VC_NEW2!GL4</f>
        <v>0</v>
      </c>
      <c r="GR16" s="1">
        <f>VC_NEW2!GM4</f>
        <v>0</v>
      </c>
      <c r="GS16" s="1">
        <f>VC_NEW2!GN4</f>
        <v>0</v>
      </c>
      <c r="GT16" s="1">
        <f>VC_NEW2!GO4</f>
        <v>0</v>
      </c>
      <c r="GU16" s="1" t="str">
        <f>VC_NEW2!GP4</f>
        <v>N269S</v>
      </c>
      <c r="GV16" s="1">
        <f>VC_NEW2!GQ4</f>
        <v>0</v>
      </c>
      <c r="GW16" s="1">
        <f>VC_NEW2!GR4</f>
        <v>0</v>
      </c>
      <c r="GX16" s="1">
        <f>VC_NEW2!GS4</f>
        <v>0</v>
      </c>
      <c r="GY16" s="1">
        <f>VC_NEW2!GT4</f>
        <v>0</v>
      </c>
      <c r="GZ16" s="1">
        <f>VC_NEW2!GU4</f>
        <v>0</v>
      </c>
      <c r="HA16" s="1">
        <f>VC_NEW2!GV4</f>
        <v>0</v>
      </c>
      <c r="HB16" s="1">
        <f>VC_NEW2!GW4</f>
        <v>0</v>
      </c>
      <c r="HC16" s="1">
        <f>VC_NEW2!GX4</f>
        <v>0</v>
      </c>
    </row>
    <row r="17" spans="1:211" s="7" customFormat="1" ht="15" hidden="1" customHeight="1" x14ac:dyDescent="0.25">
      <c r="A17" s="44" t="s">
        <v>9</v>
      </c>
      <c r="B17" s="45" t="s">
        <v>10</v>
      </c>
      <c r="C17" s="46" t="s">
        <v>1</v>
      </c>
      <c r="D17" s="45" t="s">
        <v>77</v>
      </c>
      <c r="E17" s="45">
        <v>-0.5</v>
      </c>
      <c r="F17" s="45" t="s">
        <v>74</v>
      </c>
      <c r="G17" s="47" t="s">
        <v>137</v>
      </c>
      <c r="H17" s="7">
        <f>VC_NEW2!C5</f>
        <v>0</v>
      </c>
      <c r="I17" s="7">
        <f>VC_NEW2!D5</f>
        <v>0</v>
      </c>
      <c r="J17" s="7">
        <f>VC_NEW2!E5</f>
        <v>0</v>
      </c>
      <c r="K17" s="7">
        <f>VC_NEW2!F5</f>
        <v>0</v>
      </c>
      <c r="L17" s="7">
        <f>VC_NEW2!G5</f>
        <v>0</v>
      </c>
      <c r="M17" s="7">
        <f>VC_NEW2!H5</f>
        <v>0</v>
      </c>
      <c r="N17" s="7">
        <f>VC_NEW2!I5</f>
        <v>0</v>
      </c>
      <c r="O17" s="7">
        <f>VC_NEW2!J5</f>
        <v>0</v>
      </c>
      <c r="P17" s="7">
        <f>VC_NEW2!K5</f>
        <v>0</v>
      </c>
      <c r="Q17" s="7">
        <f>VC_NEW2!L5</f>
        <v>0</v>
      </c>
      <c r="R17" s="7">
        <f>VC_NEW2!M5</f>
        <v>0</v>
      </c>
      <c r="S17" s="7">
        <f>VC_NEW2!N5</f>
        <v>0</v>
      </c>
      <c r="T17" s="7">
        <f>VC_NEW2!O5</f>
        <v>0</v>
      </c>
      <c r="U17" s="7">
        <f>VC_NEW2!P5</f>
        <v>0</v>
      </c>
      <c r="V17" s="7">
        <f>VC_NEW2!Q5</f>
        <v>0</v>
      </c>
      <c r="W17" s="7">
        <f>VC_NEW2!R5</f>
        <v>0</v>
      </c>
      <c r="X17" s="7">
        <f>VC_NEW2!S5</f>
        <v>0</v>
      </c>
      <c r="Y17" s="7">
        <f>VC_NEW2!T5</f>
        <v>0</v>
      </c>
      <c r="Z17" s="7">
        <f>VC_NEW2!U5</f>
        <v>0</v>
      </c>
      <c r="AA17" s="7">
        <f>VC_NEW2!V5</f>
        <v>0</v>
      </c>
      <c r="AB17" s="7">
        <f>VC_NEW2!W5</f>
        <v>0</v>
      </c>
      <c r="AC17" s="7">
        <f>VC_NEW2!X5</f>
        <v>0</v>
      </c>
      <c r="AD17" s="7">
        <f>VC_NEW2!Y5</f>
        <v>0</v>
      </c>
      <c r="AE17" s="7">
        <f>VC_NEW2!Z5</f>
        <v>0</v>
      </c>
      <c r="AF17" s="7">
        <f>VC_NEW2!AA5</f>
        <v>0</v>
      </c>
      <c r="AG17" s="7">
        <f>VC_NEW2!AB5</f>
        <v>0</v>
      </c>
      <c r="AH17" s="7">
        <f>VC_NEW2!AC5</f>
        <v>0</v>
      </c>
      <c r="AI17" s="7">
        <f>VC_NEW2!AD5</f>
        <v>0</v>
      </c>
      <c r="AJ17" s="7">
        <f>VC_NEW2!AE5</f>
        <v>0</v>
      </c>
      <c r="AK17" s="7">
        <f>VC_NEW2!AF5</f>
        <v>0</v>
      </c>
      <c r="AL17" s="7">
        <f>VC_NEW2!AG5</f>
        <v>0</v>
      </c>
      <c r="AM17" s="7" t="str">
        <f>VC_NEW2!AH5</f>
        <v>V1042A</v>
      </c>
      <c r="AN17" s="7">
        <f>VC_NEW2!AI5</f>
        <v>0</v>
      </c>
      <c r="AO17" s="7">
        <f>VC_NEW2!AJ5</f>
        <v>0</v>
      </c>
      <c r="AP17" s="7">
        <f>VC_NEW2!AK5</f>
        <v>0</v>
      </c>
      <c r="AQ17" s="7">
        <f>VC_NEW2!AL5</f>
        <v>0</v>
      </c>
      <c r="AR17" s="7">
        <f>VC_NEW2!AM5</f>
        <v>0</v>
      </c>
      <c r="AS17" s="7">
        <f>VC_NEW2!AN5</f>
        <v>0</v>
      </c>
      <c r="AT17" s="7">
        <f>VC_NEW2!AO5</f>
        <v>0</v>
      </c>
      <c r="AU17" s="7">
        <f>VC_NEW2!AP5</f>
        <v>0</v>
      </c>
      <c r="AV17" s="7">
        <f>VC_NEW2!AQ5</f>
        <v>0</v>
      </c>
      <c r="AW17" s="7">
        <f>VC_NEW2!AR5</f>
        <v>0</v>
      </c>
      <c r="AX17" s="7">
        <f>VC_NEW2!AS5</f>
        <v>0</v>
      </c>
      <c r="AY17" s="7">
        <f>VC_NEW2!AT5</f>
        <v>0</v>
      </c>
      <c r="AZ17" s="7">
        <f>VC_NEW2!AU5</f>
        <v>0</v>
      </c>
      <c r="BA17" s="7">
        <f>VC_NEW2!AV5</f>
        <v>0</v>
      </c>
      <c r="BB17" s="7">
        <f>VC_NEW2!AW5</f>
        <v>0</v>
      </c>
      <c r="BC17" s="7">
        <f>VC_NEW2!AX5</f>
        <v>0</v>
      </c>
      <c r="BD17" s="7">
        <f>VC_NEW2!AY5</f>
        <v>0</v>
      </c>
      <c r="BE17" s="7">
        <f>VC_NEW2!AZ5</f>
        <v>0</v>
      </c>
      <c r="BF17" s="7">
        <f>VC_NEW2!BA5</f>
        <v>0</v>
      </c>
      <c r="BG17" s="7">
        <f>VC_NEW2!BB5</f>
        <v>0</v>
      </c>
      <c r="BH17" s="7">
        <f>VC_NEW2!BC5</f>
        <v>0</v>
      </c>
      <c r="BI17" s="7">
        <f>VC_NEW2!BD5</f>
        <v>0</v>
      </c>
      <c r="BJ17" s="7">
        <f>VC_NEW2!BE5</f>
        <v>0</v>
      </c>
      <c r="BK17" s="7">
        <f>VC_NEW2!BF5</f>
        <v>0</v>
      </c>
      <c r="BL17" s="7">
        <f>VC_NEW2!BG5</f>
        <v>0</v>
      </c>
      <c r="BM17" s="7">
        <f>VC_NEW2!BH5</f>
        <v>0</v>
      </c>
      <c r="BN17" s="7">
        <f>VC_NEW2!BI5</f>
        <v>0</v>
      </c>
      <c r="BO17" s="7" t="str">
        <f>VC_NEW2!BJ5</f>
        <v>E422X</v>
      </c>
      <c r="BP17" s="7">
        <f>VC_NEW2!BK5</f>
        <v>0</v>
      </c>
      <c r="BQ17" s="7" t="str">
        <f>VC_NEW2!BL5</f>
        <v>Q319X</v>
      </c>
      <c r="BR17" s="7">
        <f>VC_NEW2!BM5</f>
        <v>0</v>
      </c>
      <c r="BS17" s="7">
        <f>VC_NEW2!BN5</f>
        <v>0</v>
      </c>
      <c r="BT17" s="7">
        <f>VC_NEW2!BO5</f>
        <v>0</v>
      </c>
      <c r="BU17" s="7">
        <f>VC_NEW2!BP5</f>
        <v>0</v>
      </c>
      <c r="BV17" s="7">
        <f>VC_NEW2!BQ5</f>
        <v>0</v>
      </c>
      <c r="BW17" s="7">
        <f>VC_NEW2!BR5</f>
        <v>0</v>
      </c>
      <c r="BX17" s="7">
        <f>VC_NEW2!BS5</f>
        <v>0</v>
      </c>
      <c r="BY17" s="7">
        <f>VC_NEW2!BT5</f>
        <v>0</v>
      </c>
      <c r="BZ17" s="7">
        <f>VC_NEW2!BU5</f>
        <v>0</v>
      </c>
      <c r="CA17" s="7">
        <f>VC_NEW2!BV5</f>
        <v>0</v>
      </c>
      <c r="CB17" s="7">
        <f>VC_NEW2!BW5</f>
        <v>0</v>
      </c>
      <c r="CC17" s="7">
        <f>VC_NEW2!BX5</f>
        <v>0</v>
      </c>
      <c r="CD17" s="7">
        <f>VC_NEW2!BY5</f>
        <v>0</v>
      </c>
      <c r="CE17" s="7">
        <f>VC_NEW2!BZ5</f>
        <v>0</v>
      </c>
      <c r="CF17" s="7">
        <f>VC_NEW2!CA5</f>
        <v>0</v>
      </c>
      <c r="CG17" s="7">
        <f>VC_NEW2!CB5</f>
        <v>0</v>
      </c>
      <c r="CH17" s="7">
        <f>VC_NEW2!CC5</f>
        <v>0</v>
      </c>
      <c r="CI17" s="7">
        <f>VC_NEW2!CD5</f>
        <v>0</v>
      </c>
      <c r="CJ17" s="7">
        <f>VC_NEW2!CE5</f>
        <v>0</v>
      </c>
      <c r="CK17" s="7" t="str">
        <f>VC_NEW2!CF5</f>
        <v>nt1135∆1</v>
      </c>
      <c r="CL17" s="7">
        <f>VC_NEW2!CG5</f>
        <v>0</v>
      </c>
      <c r="CM17" s="7">
        <f>VC_NEW2!CH5</f>
        <v>0</v>
      </c>
      <c r="CN17" s="7">
        <f>VC_NEW2!CI5</f>
        <v>0</v>
      </c>
      <c r="CO17" s="7">
        <f>VC_NEW2!CJ5</f>
        <v>0</v>
      </c>
      <c r="CP17" s="7">
        <f>VC_NEW2!CK5</f>
        <v>0</v>
      </c>
      <c r="CQ17" s="7" t="str">
        <f>VC_NEW2!CL5</f>
        <v>A735D</v>
      </c>
      <c r="CR17" s="7">
        <f>VC_NEW2!CM5</f>
        <v>0</v>
      </c>
      <c r="CS17" s="7">
        <f>VC_NEW2!CN5</f>
        <v>0</v>
      </c>
      <c r="CT17" s="7">
        <f>VC_NEW2!CO5</f>
        <v>0</v>
      </c>
      <c r="CU17" s="7">
        <f>VC_NEW2!CP5</f>
        <v>0</v>
      </c>
      <c r="CV17" s="7">
        <f>VC_NEW2!CQ5</f>
        <v>0</v>
      </c>
      <c r="CW17" s="7">
        <f>VC_NEW2!CR5</f>
        <v>0</v>
      </c>
      <c r="CX17" s="7">
        <f>VC_NEW2!CS5</f>
        <v>0</v>
      </c>
      <c r="CY17" s="7">
        <f>VC_NEW2!CT5</f>
        <v>0</v>
      </c>
      <c r="CZ17" s="7">
        <f>VC_NEW2!CU5</f>
        <v>0</v>
      </c>
      <c r="DA17" s="7">
        <f>VC_NEW2!CV5</f>
        <v>0</v>
      </c>
      <c r="DB17" s="7">
        <f>VC_NEW2!CW5</f>
        <v>0</v>
      </c>
      <c r="DC17" s="7">
        <f>VC_NEW2!CX5</f>
        <v>0</v>
      </c>
      <c r="DD17" s="7">
        <f>VC_NEW2!CY5</f>
        <v>0</v>
      </c>
      <c r="DE17" s="7">
        <f>VC_NEW2!CZ5</f>
        <v>0</v>
      </c>
      <c r="DF17" s="7">
        <f>VC_NEW2!DA5</f>
        <v>0</v>
      </c>
      <c r="DG17" s="7">
        <f>VC_NEW2!DB5</f>
        <v>0</v>
      </c>
      <c r="DH17" s="7">
        <f>VC_NEW2!DC5</f>
        <v>0</v>
      </c>
      <c r="DI17" s="7">
        <f>VC_NEW2!DD5</f>
        <v>0</v>
      </c>
      <c r="DJ17" s="7">
        <f>VC_NEW2!DE5</f>
        <v>0</v>
      </c>
      <c r="DK17" s="7">
        <f>VC_NEW2!DF5</f>
        <v>0</v>
      </c>
      <c r="DL17" s="7">
        <f>VC_NEW2!DG5</f>
        <v>0</v>
      </c>
      <c r="DM17" s="7">
        <f>VC_NEW2!DH5</f>
        <v>0</v>
      </c>
      <c r="DN17" s="7">
        <f>VC_NEW2!DI5</f>
        <v>0</v>
      </c>
      <c r="DO17" s="7">
        <f>VC_NEW2!DJ5</f>
        <v>0</v>
      </c>
      <c r="DP17" s="7">
        <f>VC_NEW2!DK5</f>
        <v>0</v>
      </c>
      <c r="DQ17" s="7">
        <f>VC_NEW2!DL5</f>
        <v>0</v>
      </c>
      <c r="DR17" s="7">
        <f>VC_NEW2!DM5</f>
        <v>0</v>
      </c>
      <c r="DS17" s="7">
        <f>VC_NEW2!DN5</f>
        <v>0</v>
      </c>
      <c r="DT17" s="7">
        <f>VC_NEW2!DO5</f>
        <v>0</v>
      </c>
      <c r="DU17" s="7">
        <f>VC_NEW2!DP5</f>
        <v>0</v>
      </c>
      <c r="DV17" s="7">
        <f>VC_NEW2!DQ5</f>
        <v>0</v>
      </c>
      <c r="DW17" s="7">
        <f>VC_NEW2!DR5</f>
        <v>0</v>
      </c>
      <c r="DX17" s="7">
        <f>VC_NEW2!DS5</f>
        <v>0</v>
      </c>
      <c r="DY17" s="7">
        <f>VC_NEW2!DT5</f>
        <v>0</v>
      </c>
      <c r="DZ17" s="7">
        <f>VC_NEW2!DU5</f>
        <v>0</v>
      </c>
      <c r="EA17" s="7" t="str">
        <f>VC_NEW2!DV5</f>
        <v>nt881InsGG</v>
      </c>
      <c r="EB17" s="7">
        <f>VC_NEW2!DW5</f>
        <v>0</v>
      </c>
      <c r="EC17" s="7">
        <f>VC_NEW2!DX5</f>
        <v>0</v>
      </c>
      <c r="ED17" s="7">
        <f>VC_NEW2!DY5</f>
        <v>0</v>
      </c>
      <c r="EE17" s="7">
        <f>VC_NEW2!DZ5</f>
        <v>0</v>
      </c>
      <c r="EF17" s="7">
        <f>VC_NEW2!EA5</f>
        <v>0</v>
      </c>
      <c r="EG17" s="7" t="str">
        <f>VC_NEW2!EB5</f>
        <v>nt2936∆1</v>
      </c>
      <c r="EH17" s="7">
        <f>VC_NEW2!EC5</f>
        <v>0</v>
      </c>
      <c r="EI17" s="7">
        <f>VC_NEW2!ED5</f>
        <v>0</v>
      </c>
      <c r="EJ17" s="7">
        <f>VC_NEW2!EE5</f>
        <v>0</v>
      </c>
      <c r="EK17" s="7">
        <f>VC_NEW2!EF5</f>
        <v>0</v>
      </c>
      <c r="EL17" s="7">
        <f>VC_NEW2!EG5</f>
        <v>0</v>
      </c>
      <c r="EM17" s="7">
        <f>VC_NEW2!EH5</f>
        <v>0</v>
      </c>
      <c r="EN17" s="7">
        <f>VC_NEW2!EI5</f>
        <v>0</v>
      </c>
      <c r="EO17" s="7">
        <f>VC_NEW2!EJ5</f>
        <v>0</v>
      </c>
      <c r="EP17" s="7">
        <f>VC_NEW2!EK5</f>
        <v>0</v>
      </c>
      <c r="EQ17" s="7">
        <f>VC_NEW2!EL5</f>
        <v>0</v>
      </c>
      <c r="ER17" s="7">
        <f>VC_NEW2!EM5</f>
        <v>0</v>
      </c>
      <c r="ES17" s="7">
        <f>VC_NEW2!EN5</f>
        <v>0</v>
      </c>
      <c r="ET17" s="7" t="str">
        <f>VC_NEW2!EO5</f>
        <v>nt3018∆5</v>
      </c>
      <c r="EU17" s="7">
        <f>VC_NEW2!EP5</f>
        <v>0</v>
      </c>
      <c r="EV17" s="7">
        <f>VC_NEW2!EQ5</f>
        <v>0</v>
      </c>
      <c r="EW17" s="7" t="str">
        <f>VC_NEW2!ER5</f>
        <v>A707S, I963V</v>
      </c>
      <c r="EX17" s="7">
        <f>VC_NEW2!ES5</f>
        <v>0</v>
      </c>
      <c r="EY17" s="7" t="str">
        <f>VC_NEW2!ET5</f>
        <v>T98A</v>
      </c>
      <c r="EZ17" s="7">
        <f>VC_NEW2!EU5</f>
        <v>0</v>
      </c>
      <c r="FA17" s="7">
        <f>VC_NEW2!EV5</f>
        <v>0</v>
      </c>
      <c r="FB17" s="7" t="str">
        <f>VC_NEW2!EW5</f>
        <v>G860D</v>
      </c>
      <c r="FC17" s="7">
        <f>VC_NEW2!EX5</f>
        <v>0</v>
      </c>
      <c r="FD17" s="7">
        <f>VC_NEW2!EY5</f>
        <v>0</v>
      </c>
      <c r="FE17" s="7">
        <f>VC_NEW2!EZ5</f>
        <v>0</v>
      </c>
      <c r="FF17" s="7">
        <f>VC_NEW2!FA5</f>
        <v>0</v>
      </c>
      <c r="FG17" s="7">
        <f>VC_NEW2!FB5</f>
        <v>0</v>
      </c>
      <c r="FH17" s="7">
        <f>VC_NEW2!FC5</f>
        <v>0</v>
      </c>
      <c r="FI17" s="7">
        <f>VC_NEW2!FD5</f>
        <v>0</v>
      </c>
      <c r="FJ17" s="7">
        <f>VC_NEW2!FE5</f>
        <v>0</v>
      </c>
      <c r="FK17" s="7">
        <f>VC_NEW2!FF5</f>
        <v>0</v>
      </c>
      <c r="FL17" s="7">
        <f>VC_NEW2!FG5</f>
        <v>0</v>
      </c>
      <c r="FM17" s="7">
        <f>VC_NEW2!FH5</f>
        <v>0</v>
      </c>
      <c r="FN17" s="7">
        <f>VC_NEW2!FI5</f>
        <v>0</v>
      </c>
      <c r="FO17" s="7">
        <f>VC_NEW2!FJ5</f>
        <v>0</v>
      </c>
      <c r="FP17" s="7">
        <f>VC_NEW2!FK5</f>
        <v>0</v>
      </c>
      <c r="FQ17" s="7">
        <f>VC_NEW2!FL5</f>
        <v>0</v>
      </c>
      <c r="FR17" s="7">
        <f>VC_NEW2!FM5</f>
        <v>0</v>
      </c>
      <c r="FS17" s="7">
        <f>VC_NEW2!FN5</f>
        <v>0</v>
      </c>
      <c r="FT17" s="7">
        <f>VC_NEW2!FO5</f>
        <v>0</v>
      </c>
      <c r="FU17" s="7">
        <f>VC_NEW2!FP5</f>
        <v>0</v>
      </c>
      <c r="FV17" s="7">
        <f>VC_NEW2!FQ5</f>
        <v>0</v>
      </c>
      <c r="FW17" s="7">
        <f>VC_NEW2!FR5</f>
        <v>0</v>
      </c>
      <c r="FX17" s="7">
        <f>VC_NEW2!FS5</f>
        <v>0</v>
      </c>
      <c r="FY17" s="7">
        <f>VC_NEW2!FT5</f>
        <v>0</v>
      </c>
      <c r="FZ17" s="7">
        <f>VC_NEW2!FU5</f>
        <v>0</v>
      </c>
      <c r="GA17" s="7">
        <f>VC_NEW2!FV5</f>
        <v>0</v>
      </c>
      <c r="GB17" s="7">
        <f>VC_NEW2!FW5</f>
        <v>0</v>
      </c>
      <c r="GC17" s="7">
        <f>VC_NEW2!FX5</f>
        <v>0</v>
      </c>
      <c r="GD17" s="7">
        <f>VC_NEW2!FY5</f>
        <v>0</v>
      </c>
      <c r="GE17" s="7">
        <f>VC_NEW2!FZ5</f>
        <v>0</v>
      </c>
      <c r="GF17" s="7">
        <f>VC_NEW2!GA5</f>
        <v>0</v>
      </c>
      <c r="GG17" s="7">
        <f>VC_NEW2!GB5</f>
        <v>0</v>
      </c>
      <c r="GH17" s="7">
        <f>VC_NEW2!GC5</f>
        <v>0</v>
      </c>
      <c r="GI17" s="7">
        <f>VC_NEW2!GD5</f>
        <v>0</v>
      </c>
      <c r="GJ17" s="7">
        <f>VC_NEW2!GE5</f>
        <v>0</v>
      </c>
      <c r="GK17" s="7">
        <f>VC_NEW2!GF5</f>
        <v>0</v>
      </c>
      <c r="GL17" s="7">
        <f>VC_NEW2!GG5</f>
        <v>0</v>
      </c>
      <c r="GM17" s="7">
        <f>VC_NEW2!GH5</f>
        <v>0</v>
      </c>
      <c r="GN17" s="7">
        <f>VC_NEW2!GI5</f>
        <v>0</v>
      </c>
      <c r="GO17" s="7">
        <f>VC_NEW2!GJ5</f>
        <v>0</v>
      </c>
      <c r="GP17" s="7">
        <f>VC_NEW2!GK5</f>
        <v>0</v>
      </c>
      <c r="GQ17" s="7" t="str">
        <f>VC_NEW2!GL5</f>
        <v>A539T</v>
      </c>
      <c r="GR17" s="7">
        <f>VC_NEW2!GM5</f>
        <v>0</v>
      </c>
      <c r="GS17" s="7">
        <f>VC_NEW2!GN5</f>
        <v>0</v>
      </c>
      <c r="GT17" s="7">
        <f>VC_NEW2!GO5</f>
        <v>0</v>
      </c>
      <c r="GU17" s="7">
        <f>VC_NEW2!GP5</f>
        <v>0</v>
      </c>
      <c r="GV17" s="7">
        <f>VC_NEW2!GQ5</f>
        <v>0</v>
      </c>
      <c r="GW17" s="7">
        <f>VC_NEW2!GR5</f>
        <v>0</v>
      </c>
      <c r="GX17" s="7" t="str">
        <f>VC_NEW2!GS5</f>
        <v>P190L</v>
      </c>
      <c r="GY17" s="7">
        <f>VC_NEW2!GT5</f>
        <v>0</v>
      </c>
      <c r="GZ17" s="7">
        <f>VC_NEW2!GU5</f>
        <v>0</v>
      </c>
      <c r="HA17" s="7">
        <f>VC_NEW2!GV5</f>
        <v>0</v>
      </c>
      <c r="HB17" s="7">
        <f>VC_NEW2!GW5</f>
        <v>0</v>
      </c>
      <c r="HC17" s="7">
        <f>VC_NEW2!GX5</f>
        <v>0</v>
      </c>
    </row>
    <row r="18" spans="1:211" s="7" customFormat="1" ht="15" customHeight="1" x14ac:dyDescent="0.25">
      <c r="A18" s="44" t="s">
        <v>9</v>
      </c>
      <c r="B18" s="45" t="s">
        <v>10</v>
      </c>
      <c r="C18" s="46" t="s">
        <v>2</v>
      </c>
      <c r="D18" s="45" t="s">
        <v>77</v>
      </c>
      <c r="E18" s="45">
        <v>-0.5</v>
      </c>
      <c r="F18" s="45" t="s">
        <v>74</v>
      </c>
      <c r="G18" s="47" t="s">
        <v>137</v>
      </c>
      <c r="H18" s="7">
        <f>VC_NEW2!C5</f>
        <v>0</v>
      </c>
      <c r="I18" s="7">
        <f>VC_NEW2!D5</f>
        <v>0</v>
      </c>
      <c r="J18" s="7">
        <f>VC_NEW2!E5</f>
        <v>0</v>
      </c>
      <c r="K18" s="7">
        <f>VC_NEW2!F5</f>
        <v>0</v>
      </c>
      <c r="L18" s="7">
        <f>VC_NEW2!G5</f>
        <v>0</v>
      </c>
      <c r="M18" s="7">
        <f>VC_NEW2!H5</f>
        <v>0</v>
      </c>
      <c r="N18" s="7">
        <f>VC_NEW2!I5</f>
        <v>0</v>
      </c>
      <c r="O18" s="7">
        <f>VC_NEW2!J5</f>
        <v>0</v>
      </c>
      <c r="P18" s="7">
        <f>VC_NEW2!K5</f>
        <v>0</v>
      </c>
      <c r="Q18" s="7">
        <f>VC_NEW2!L5</f>
        <v>0</v>
      </c>
      <c r="R18" s="7">
        <f>VC_NEW2!M5</f>
        <v>0</v>
      </c>
      <c r="S18" s="7">
        <f>VC_NEW2!N5</f>
        <v>0</v>
      </c>
      <c r="T18" s="7">
        <f>VC_NEW2!O5</f>
        <v>0</v>
      </c>
      <c r="U18" s="7">
        <f>VC_NEW2!P5</f>
        <v>0</v>
      </c>
      <c r="V18" s="7">
        <f>VC_NEW2!Q5</f>
        <v>0</v>
      </c>
      <c r="W18" s="7">
        <f>VC_NEW2!R5</f>
        <v>0</v>
      </c>
      <c r="X18" s="7">
        <f>VC_NEW2!S5</f>
        <v>0</v>
      </c>
      <c r="Y18" s="7">
        <f>VC_NEW2!T5</f>
        <v>0</v>
      </c>
      <c r="Z18" s="7">
        <f>VC_NEW2!U5</f>
        <v>0</v>
      </c>
      <c r="AA18" s="7">
        <f>VC_NEW2!V5</f>
        <v>0</v>
      </c>
      <c r="AB18" s="7">
        <f>VC_NEW2!W5</f>
        <v>0</v>
      </c>
      <c r="AC18" s="7">
        <f>VC_NEW2!X5</f>
        <v>0</v>
      </c>
      <c r="AD18" s="7">
        <f>VC_NEW2!Y5</f>
        <v>0</v>
      </c>
      <c r="AE18" s="7">
        <f>VC_NEW2!Z5</f>
        <v>0</v>
      </c>
      <c r="AF18" s="7">
        <f>VC_NEW2!AA5</f>
        <v>0</v>
      </c>
      <c r="AG18" s="7">
        <f>VC_NEW2!AB5</f>
        <v>0</v>
      </c>
      <c r="AH18" s="7">
        <f>VC_NEW2!AC5</f>
        <v>0</v>
      </c>
      <c r="AI18" s="7">
        <f>VC_NEW2!AD5</f>
        <v>0</v>
      </c>
      <c r="AJ18" s="7">
        <f>VC_NEW2!AE5</f>
        <v>0</v>
      </c>
      <c r="AK18" s="7">
        <f>VC_NEW2!AF5</f>
        <v>0</v>
      </c>
      <c r="AL18" s="7">
        <f>VC_NEW2!AG5</f>
        <v>0</v>
      </c>
      <c r="AM18" s="7" t="str">
        <f>VC_NEW2!AH5</f>
        <v>V1042A</v>
      </c>
      <c r="AN18" s="7">
        <f>VC_NEW2!AI5</f>
        <v>0</v>
      </c>
      <c r="AO18" s="7">
        <f>VC_NEW2!AJ5</f>
        <v>0</v>
      </c>
      <c r="AP18" s="7">
        <f>VC_NEW2!AK5</f>
        <v>0</v>
      </c>
      <c r="AQ18" s="7">
        <f>VC_NEW2!AL5</f>
        <v>0</v>
      </c>
      <c r="AR18" s="7">
        <f>VC_NEW2!AM5</f>
        <v>0</v>
      </c>
      <c r="AS18" s="7">
        <f>VC_NEW2!AN5</f>
        <v>0</v>
      </c>
      <c r="AT18" s="7">
        <f>VC_NEW2!AO5</f>
        <v>0</v>
      </c>
      <c r="AU18" s="7">
        <f>VC_NEW2!AP5</f>
        <v>0</v>
      </c>
      <c r="AV18" s="7">
        <f>VC_NEW2!AQ5</f>
        <v>0</v>
      </c>
      <c r="AW18" s="7">
        <f>VC_NEW2!AR5</f>
        <v>0</v>
      </c>
      <c r="AX18" s="7">
        <f>VC_NEW2!AS5</f>
        <v>0</v>
      </c>
      <c r="AY18" s="7">
        <f>VC_NEW2!AT5</f>
        <v>0</v>
      </c>
      <c r="AZ18" s="7">
        <f>VC_NEW2!AU5</f>
        <v>0</v>
      </c>
      <c r="BA18" s="7">
        <f>VC_NEW2!AV5</f>
        <v>0</v>
      </c>
      <c r="BB18" s="7">
        <f>VC_NEW2!AW5</f>
        <v>0</v>
      </c>
      <c r="BC18" s="7">
        <f>VC_NEW2!AX5</f>
        <v>0</v>
      </c>
      <c r="BD18" s="7">
        <f>VC_NEW2!AY5</f>
        <v>0</v>
      </c>
      <c r="BE18" s="7">
        <f>VC_NEW2!AZ5</f>
        <v>0</v>
      </c>
      <c r="BF18" s="7">
        <f>VC_NEW2!BA5</f>
        <v>0</v>
      </c>
      <c r="BG18" s="7">
        <f>VC_NEW2!BB5</f>
        <v>0</v>
      </c>
      <c r="BH18" s="7">
        <f>VC_NEW2!BC5</f>
        <v>0</v>
      </c>
      <c r="BI18" s="7">
        <f>VC_NEW2!BD5</f>
        <v>0</v>
      </c>
      <c r="BJ18" s="7">
        <f>VC_NEW2!BE5</f>
        <v>0</v>
      </c>
      <c r="BK18" s="7">
        <f>VC_NEW2!BF5</f>
        <v>0</v>
      </c>
      <c r="BL18" s="7">
        <f>VC_NEW2!BG5</f>
        <v>0</v>
      </c>
      <c r="BM18" s="7">
        <f>VC_NEW2!BH5</f>
        <v>0</v>
      </c>
      <c r="BN18" s="7">
        <f>VC_NEW2!BI5</f>
        <v>0</v>
      </c>
      <c r="BO18" s="7" t="str">
        <f>VC_NEW2!BJ5</f>
        <v>E422X</v>
      </c>
      <c r="BP18" s="7">
        <f>VC_NEW2!BK5</f>
        <v>0</v>
      </c>
      <c r="BQ18" s="7" t="str">
        <f>VC_NEW2!BL5</f>
        <v>Q319X</v>
      </c>
      <c r="BR18" s="7">
        <f>VC_NEW2!BM5</f>
        <v>0</v>
      </c>
      <c r="BS18" s="7">
        <f>VC_NEW2!BN5</f>
        <v>0</v>
      </c>
      <c r="BT18" s="7">
        <f>VC_NEW2!BO5</f>
        <v>0</v>
      </c>
      <c r="BU18" s="7">
        <f>VC_NEW2!BP5</f>
        <v>0</v>
      </c>
      <c r="BV18" s="7">
        <f>VC_NEW2!BQ5</f>
        <v>0</v>
      </c>
      <c r="BW18" s="7">
        <f>VC_NEW2!BR5</f>
        <v>0</v>
      </c>
      <c r="BX18" s="7">
        <f>VC_NEW2!BS5</f>
        <v>0</v>
      </c>
      <c r="BY18" s="7">
        <f>VC_NEW2!BT5</f>
        <v>0</v>
      </c>
      <c r="BZ18" s="7">
        <f>VC_NEW2!BU5</f>
        <v>0</v>
      </c>
      <c r="CA18" s="7">
        <f>VC_NEW2!BV5</f>
        <v>0</v>
      </c>
      <c r="CB18" s="7">
        <f>VC_NEW2!BW5</f>
        <v>0</v>
      </c>
      <c r="CC18" s="7">
        <f>VC_NEW2!BX5</f>
        <v>0</v>
      </c>
      <c r="CD18" s="7">
        <f>VC_NEW2!BY5</f>
        <v>0</v>
      </c>
      <c r="CE18" s="7">
        <f>VC_NEW2!BZ5</f>
        <v>0</v>
      </c>
      <c r="CF18" s="7">
        <f>VC_NEW2!CA5</f>
        <v>0</v>
      </c>
      <c r="CG18" s="7">
        <f>VC_NEW2!CB5</f>
        <v>0</v>
      </c>
      <c r="CH18" s="7">
        <f>VC_NEW2!CC5</f>
        <v>0</v>
      </c>
      <c r="CI18" s="7">
        <f>VC_NEW2!CD5</f>
        <v>0</v>
      </c>
      <c r="CJ18" s="7">
        <f>VC_NEW2!CE5</f>
        <v>0</v>
      </c>
      <c r="CK18" s="7" t="str">
        <f>VC_NEW2!CF5</f>
        <v>nt1135∆1</v>
      </c>
      <c r="CL18" s="7">
        <f>VC_NEW2!CG5</f>
        <v>0</v>
      </c>
      <c r="CM18" s="7">
        <f>VC_NEW2!CH5</f>
        <v>0</v>
      </c>
      <c r="CN18" s="7">
        <f>VC_NEW2!CI5</f>
        <v>0</v>
      </c>
      <c r="CO18" s="7">
        <f>VC_NEW2!CJ5</f>
        <v>0</v>
      </c>
      <c r="CP18" s="7">
        <f>VC_NEW2!CK5</f>
        <v>0</v>
      </c>
      <c r="CQ18" s="7" t="str">
        <f>VC_NEW2!CL5</f>
        <v>A735D</v>
      </c>
      <c r="CR18" s="7">
        <f>VC_NEW2!CM5</f>
        <v>0</v>
      </c>
      <c r="CS18" s="7">
        <f>VC_NEW2!CN5</f>
        <v>0</v>
      </c>
      <c r="CT18" s="7">
        <f>VC_NEW2!CO5</f>
        <v>0</v>
      </c>
      <c r="CU18" s="7">
        <f>VC_NEW2!CP5</f>
        <v>0</v>
      </c>
      <c r="CV18" s="7">
        <f>VC_NEW2!CQ5</f>
        <v>0</v>
      </c>
      <c r="CW18" s="7">
        <f>VC_NEW2!CR5</f>
        <v>0</v>
      </c>
      <c r="CX18" s="7">
        <f>VC_NEW2!CS5</f>
        <v>0</v>
      </c>
      <c r="CY18" s="7">
        <f>VC_NEW2!CT5</f>
        <v>0</v>
      </c>
      <c r="CZ18" s="7">
        <f>VC_NEW2!CU5</f>
        <v>0</v>
      </c>
      <c r="DA18" s="7">
        <f>VC_NEW2!CV5</f>
        <v>0</v>
      </c>
      <c r="DB18" s="7">
        <f>VC_NEW2!CW5</f>
        <v>0</v>
      </c>
      <c r="DC18" s="7">
        <f>VC_NEW2!CX5</f>
        <v>0</v>
      </c>
      <c r="DD18" s="7">
        <f>VC_NEW2!CY5</f>
        <v>0</v>
      </c>
      <c r="DE18" s="7">
        <f>VC_NEW2!CZ5</f>
        <v>0</v>
      </c>
      <c r="DF18" s="7">
        <f>VC_NEW2!DA5</f>
        <v>0</v>
      </c>
      <c r="DG18" s="7">
        <f>VC_NEW2!DB5</f>
        <v>0</v>
      </c>
      <c r="DH18" s="7">
        <f>VC_NEW2!DC5</f>
        <v>0</v>
      </c>
      <c r="DI18" s="7">
        <f>VC_NEW2!DD5</f>
        <v>0</v>
      </c>
      <c r="DJ18" s="7">
        <f>VC_NEW2!DE5</f>
        <v>0</v>
      </c>
      <c r="DK18" s="7">
        <f>VC_NEW2!DF5</f>
        <v>0</v>
      </c>
      <c r="DL18" s="7">
        <f>VC_NEW2!DG5</f>
        <v>0</v>
      </c>
      <c r="DM18" s="7">
        <f>VC_NEW2!DH5</f>
        <v>0</v>
      </c>
      <c r="DN18" s="7">
        <f>VC_NEW2!DI5</f>
        <v>0</v>
      </c>
      <c r="DO18" s="7">
        <f>VC_NEW2!DJ5</f>
        <v>0</v>
      </c>
      <c r="DP18" s="7">
        <f>VC_NEW2!DK5</f>
        <v>0</v>
      </c>
      <c r="DQ18" s="7">
        <f>VC_NEW2!DL5</f>
        <v>0</v>
      </c>
      <c r="DR18" s="7">
        <f>VC_NEW2!DM5</f>
        <v>0</v>
      </c>
      <c r="DS18" s="7">
        <f>VC_NEW2!DN5</f>
        <v>0</v>
      </c>
      <c r="DT18" s="7">
        <f>VC_NEW2!DO5</f>
        <v>0</v>
      </c>
      <c r="DU18" s="7">
        <f>VC_NEW2!DP5</f>
        <v>0</v>
      </c>
      <c r="DV18" s="7">
        <f>VC_NEW2!DQ5</f>
        <v>0</v>
      </c>
      <c r="DW18" s="7">
        <f>VC_NEW2!DR5</f>
        <v>0</v>
      </c>
      <c r="DX18" s="7">
        <f>VC_NEW2!DS5</f>
        <v>0</v>
      </c>
      <c r="DY18" s="7">
        <f>VC_NEW2!DT5</f>
        <v>0</v>
      </c>
      <c r="DZ18" s="7">
        <f>VC_NEW2!DU5</f>
        <v>0</v>
      </c>
      <c r="EA18" s="7" t="str">
        <f>VC_NEW2!DV5</f>
        <v>nt881InsGG</v>
      </c>
      <c r="EB18" s="7">
        <f>VC_NEW2!DW5</f>
        <v>0</v>
      </c>
      <c r="EC18" s="7">
        <f>VC_NEW2!DX5</f>
        <v>0</v>
      </c>
      <c r="ED18" s="7">
        <f>VC_NEW2!DY5</f>
        <v>0</v>
      </c>
      <c r="EE18" s="7">
        <f>VC_NEW2!DZ5</f>
        <v>0</v>
      </c>
      <c r="EF18" s="7">
        <f>VC_NEW2!EA5</f>
        <v>0</v>
      </c>
      <c r="EG18" s="7" t="str">
        <f>VC_NEW2!EB5</f>
        <v>nt2936∆1</v>
      </c>
      <c r="EH18" s="7">
        <f>VC_NEW2!EC5</f>
        <v>0</v>
      </c>
      <c r="EI18" s="7">
        <f>VC_NEW2!ED5</f>
        <v>0</v>
      </c>
      <c r="EJ18" s="7">
        <f>VC_NEW2!EE5</f>
        <v>0</v>
      </c>
      <c r="EK18" s="7">
        <f>VC_NEW2!EF5</f>
        <v>0</v>
      </c>
      <c r="EL18" s="7">
        <f>VC_NEW2!EG5</f>
        <v>0</v>
      </c>
      <c r="EM18" s="7">
        <f>VC_NEW2!EH5</f>
        <v>0</v>
      </c>
      <c r="EN18" s="7">
        <f>VC_NEW2!EI5</f>
        <v>0</v>
      </c>
      <c r="EO18" s="7">
        <f>VC_NEW2!EJ5</f>
        <v>0</v>
      </c>
      <c r="EP18" s="7">
        <f>VC_NEW2!EK5</f>
        <v>0</v>
      </c>
      <c r="EQ18" s="7">
        <f>VC_NEW2!EL5</f>
        <v>0</v>
      </c>
      <c r="ER18" s="7">
        <f>VC_NEW2!EM5</f>
        <v>0</v>
      </c>
      <c r="ES18" s="7">
        <f>VC_NEW2!EN5</f>
        <v>0</v>
      </c>
      <c r="ET18" s="7" t="str">
        <f>VC_NEW2!EO5</f>
        <v>nt3018∆5</v>
      </c>
      <c r="EU18" s="7">
        <f>VC_NEW2!EP5</f>
        <v>0</v>
      </c>
      <c r="EV18" s="7">
        <f>VC_NEW2!EQ5</f>
        <v>0</v>
      </c>
      <c r="EW18" s="7" t="str">
        <f>VC_NEW2!ER5</f>
        <v>A707S, I963V</v>
      </c>
      <c r="EX18" s="7">
        <f>VC_NEW2!ES5</f>
        <v>0</v>
      </c>
      <c r="EY18" s="7" t="str">
        <f>VC_NEW2!ET5</f>
        <v>T98A</v>
      </c>
      <c r="EZ18" s="7">
        <f>VC_NEW2!EU5</f>
        <v>0</v>
      </c>
      <c r="FA18" s="7">
        <f>VC_NEW2!EV5</f>
        <v>0</v>
      </c>
      <c r="FB18" s="7" t="str">
        <f>VC_NEW2!EW5</f>
        <v>G860D</v>
      </c>
      <c r="FC18" s="7">
        <f>VC_NEW2!EX5</f>
        <v>0</v>
      </c>
      <c r="FD18" s="7">
        <f>VC_NEW2!EY5</f>
        <v>0</v>
      </c>
      <c r="FE18" s="7">
        <f>VC_NEW2!EZ5</f>
        <v>0</v>
      </c>
      <c r="FF18" s="7">
        <f>VC_NEW2!FA5</f>
        <v>0</v>
      </c>
      <c r="FG18" s="7">
        <f>VC_NEW2!FB5</f>
        <v>0</v>
      </c>
      <c r="FH18" s="7">
        <f>VC_NEW2!FC5</f>
        <v>0</v>
      </c>
      <c r="FI18" s="7">
        <f>VC_NEW2!FD5</f>
        <v>0</v>
      </c>
      <c r="FJ18" s="7">
        <f>VC_NEW2!FE5</f>
        <v>0</v>
      </c>
      <c r="FK18" s="7">
        <f>VC_NEW2!FF5</f>
        <v>0</v>
      </c>
      <c r="FL18" s="7">
        <f>VC_NEW2!FG5</f>
        <v>0</v>
      </c>
      <c r="FM18" s="7">
        <f>VC_NEW2!FH5</f>
        <v>0</v>
      </c>
      <c r="FN18" s="7">
        <f>VC_NEW2!FI5</f>
        <v>0</v>
      </c>
      <c r="FO18" s="7">
        <f>VC_NEW2!FJ5</f>
        <v>0</v>
      </c>
      <c r="FP18" s="7">
        <f>VC_NEW2!FK5</f>
        <v>0</v>
      </c>
      <c r="FQ18" s="7">
        <f>VC_NEW2!FL5</f>
        <v>0</v>
      </c>
      <c r="FR18" s="7">
        <f>VC_NEW2!FM5</f>
        <v>0</v>
      </c>
      <c r="FS18" s="7">
        <f>VC_NEW2!FN5</f>
        <v>0</v>
      </c>
      <c r="FT18" s="7">
        <f>VC_NEW2!FO5</f>
        <v>0</v>
      </c>
      <c r="FU18" s="7">
        <f>VC_NEW2!FP5</f>
        <v>0</v>
      </c>
      <c r="FV18" s="7">
        <f>VC_NEW2!FQ5</f>
        <v>0</v>
      </c>
      <c r="FW18" s="7">
        <f>VC_NEW2!FR5</f>
        <v>0</v>
      </c>
      <c r="FX18" s="7">
        <f>VC_NEW2!FS5</f>
        <v>0</v>
      </c>
      <c r="FY18" s="7">
        <f>VC_NEW2!FT5</f>
        <v>0</v>
      </c>
      <c r="FZ18" s="7">
        <f>VC_NEW2!FU5</f>
        <v>0</v>
      </c>
      <c r="GA18" s="7">
        <f>VC_NEW2!FV5</f>
        <v>0</v>
      </c>
      <c r="GB18" s="7">
        <f>VC_NEW2!FW5</f>
        <v>0</v>
      </c>
      <c r="GC18" s="7">
        <f>VC_NEW2!FX5</f>
        <v>0</v>
      </c>
      <c r="GD18" s="7">
        <f>VC_NEW2!FY5</f>
        <v>0</v>
      </c>
      <c r="GE18" s="7">
        <f>VC_NEW2!FZ5</f>
        <v>0</v>
      </c>
      <c r="GF18" s="7">
        <f>VC_NEW2!GA5</f>
        <v>0</v>
      </c>
      <c r="GG18" s="7">
        <f>VC_NEW2!GB5</f>
        <v>0</v>
      </c>
      <c r="GH18" s="7">
        <f>VC_NEW2!GC5</f>
        <v>0</v>
      </c>
      <c r="GI18" s="7">
        <f>VC_NEW2!GD5</f>
        <v>0</v>
      </c>
      <c r="GJ18" s="7">
        <f>VC_NEW2!GE5</f>
        <v>0</v>
      </c>
      <c r="GK18" s="7">
        <f>VC_NEW2!GF5</f>
        <v>0</v>
      </c>
      <c r="GL18" s="7">
        <f>VC_NEW2!GG5</f>
        <v>0</v>
      </c>
      <c r="GM18" s="7">
        <f>VC_NEW2!GH5</f>
        <v>0</v>
      </c>
      <c r="GN18" s="7">
        <f>VC_NEW2!GI5</f>
        <v>0</v>
      </c>
      <c r="GO18" s="7">
        <f>VC_NEW2!GJ5</f>
        <v>0</v>
      </c>
      <c r="GP18" s="7">
        <f>VC_NEW2!GK5</f>
        <v>0</v>
      </c>
      <c r="GQ18" s="7" t="str">
        <f>VC_NEW2!GL5</f>
        <v>A539T</v>
      </c>
      <c r="GR18" s="7">
        <f>VC_NEW2!GM5</f>
        <v>0</v>
      </c>
      <c r="GS18" s="7">
        <f>VC_NEW2!GN5</f>
        <v>0</v>
      </c>
      <c r="GT18" s="7">
        <f>VC_NEW2!GO5</f>
        <v>0</v>
      </c>
      <c r="GU18" s="7">
        <f>VC_NEW2!GP5</f>
        <v>0</v>
      </c>
      <c r="GV18" s="7">
        <f>VC_NEW2!GQ5</f>
        <v>0</v>
      </c>
      <c r="GW18" s="7">
        <f>VC_NEW2!GR5</f>
        <v>0</v>
      </c>
      <c r="GX18" s="7" t="str">
        <f>VC_NEW2!GS5</f>
        <v>P190L</v>
      </c>
      <c r="GY18" s="7">
        <f>VC_NEW2!GT5</f>
        <v>0</v>
      </c>
      <c r="GZ18" s="7">
        <f>VC_NEW2!GU5</f>
        <v>0</v>
      </c>
      <c r="HA18" s="7">
        <f>VC_NEW2!GV5</f>
        <v>0</v>
      </c>
      <c r="HB18" s="7">
        <f>VC_NEW2!GW5</f>
        <v>0</v>
      </c>
      <c r="HC18" s="7">
        <f>VC_NEW2!GX5</f>
        <v>0</v>
      </c>
    </row>
    <row r="19" spans="1:211" s="7" customFormat="1" ht="15" hidden="1" customHeight="1" x14ac:dyDescent="0.25">
      <c r="A19" s="44" t="s">
        <v>9</v>
      </c>
      <c r="B19" s="45" t="s">
        <v>10</v>
      </c>
      <c r="C19" s="46" t="s">
        <v>4</v>
      </c>
      <c r="D19" s="45" t="s">
        <v>77</v>
      </c>
      <c r="E19" s="45">
        <v>-0.5</v>
      </c>
      <c r="F19" s="45" t="s">
        <v>74</v>
      </c>
      <c r="G19" s="47" t="s">
        <v>137</v>
      </c>
      <c r="H19" s="7">
        <f>VC_NEW2!C5</f>
        <v>0</v>
      </c>
      <c r="I19" s="7">
        <f>VC_NEW2!D5</f>
        <v>0</v>
      </c>
      <c r="J19" s="7">
        <f>VC_NEW2!E5</f>
        <v>0</v>
      </c>
      <c r="K19" s="7">
        <f>VC_NEW2!F5</f>
        <v>0</v>
      </c>
      <c r="L19" s="7">
        <f>VC_NEW2!G5</f>
        <v>0</v>
      </c>
      <c r="M19" s="7">
        <f>VC_NEW2!H5</f>
        <v>0</v>
      </c>
      <c r="N19" s="7">
        <f>VC_NEW2!I5</f>
        <v>0</v>
      </c>
      <c r="O19" s="7">
        <f>VC_NEW2!J5</f>
        <v>0</v>
      </c>
      <c r="P19" s="7">
        <f>VC_NEW2!K5</f>
        <v>0</v>
      </c>
      <c r="Q19" s="7">
        <f>VC_NEW2!L5</f>
        <v>0</v>
      </c>
      <c r="R19" s="7">
        <f>VC_NEW2!M5</f>
        <v>0</v>
      </c>
      <c r="S19" s="7">
        <f>VC_NEW2!N5</f>
        <v>0</v>
      </c>
      <c r="T19" s="7">
        <f>VC_NEW2!O5</f>
        <v>0</v>
      </c>
      <c r="U19" s="7">
        <f>VC_NEW2!P5</f>
        <v>0</v>
      </c>
      <c r="V19" s="7">
        <f>VC_NEW2!Q5</f>
        <v>0</v>
      </c>
      <c r="W19" s="7">
        <f>VC_NEW2!R5</f>
        <v>0</v>
      </c>
      <c r="X19" s="7">
        <f>VC_NEW2!S5</f>
        <v>0</v>
      </c>
      <c r="Y19" s="7">
        <f>VC_NEW2!T5</f>
        <v>0</v>
      </c>
      <c r="Z19" s="7">
        <f>VC_NEW2!U5</f>
        <v>0</v>
      </c>
      <c r="AA19" s="7">
        <f>VC_NEW2!V5</f>
        <v>0</v>
      </c>
      <c r="AB19" s="7">
        <f>VC_NEW2!W5</f>
        <v>0</v>
      </c>
      <c r="AC19" s="7">
        <f>VC_NEW2!X5</f>
        <v>0</v>
      </c>
      <c r="AD19" s="7">
        <f>VC_NEW2!Y5</f>
        <v>0</v>
      </c>
      <c r="AE19" s="7">
        <f>VC_NEW2!Z5</f>
        <v>0</v>
      </c>
      <c r="AF19" s="7">
        <f>VC_NEW2!AA5</f>
        <v>0</v>
      </c>
      <c r="AG19" s="7">
        <f>VC_NEW2!AB5</f>
        <v>0</v>
      </c>
      <c r="AH19" s="7">
        <f>VC_NEW2!AC5</f>
        <v>0</v>
      </c>
      <c r="AI19" s="7">
        <f>VC_NEW2!AD5</f>
        <v>0</v>
      </c>
      <c r="AJ19" s="7">
        <f>VC_NEW2!AE5</f>
        <v>0</v>
      </c>
      <c r="AK19" s="7">
        <f>VC_NEW2!AF5</f>
        <v>0</v>
      </c>
      <c r="AL19" s="7">
        <f>VC_NEW2!AG5</f>
        <v>0</v>
      </c>
      <c r="AM19" s="7" t="str">
        <f>VC_NEW2!AH5</f>
        <v>V1042A</v>
      </c>
      <c r="AN19" s="7">
        <f>VC_NEW2!AI5</f>
        <v>0</v>
      </c>
      <c r="AO19" s="7">
        <f>VC_NEW2!AJ5</f>
        <v>0</v>
      </c>
      <c r="AP19" s="7">
        <f>VC_NEW2!AK5</f>
        <v>0</v>
      </c>
      <c r="AQ19" s="7">
        <f>VC_NEW2!AL5</f>
        <v>0</v>
      </c>
      <c r="AR19" s="7">
        <f>VC_NEW2!AM5</f>
        <v>0</v>
      </c>
      <c r="AS19" s="7">
        <f>VC_NEW2!AN5</f>
        <v>0</v>
      </c>
      <c r="AT19" s="7">
        <f>VC_NEW2!AO5</f>
        <v>0</v>
      </c>
      <c r="AU19" s="7">
        <f>VC_NEW2!AP5</f>
        <v>0</v>
      </c>
      <c r="AV19" s="7">
        <f>VC_NEW2!AQ5</f>
        <v>0</v>
      </c>
      <c r="AW19" s="7">
        <f>VC_NEW2!AR5</f>
        <v>0</v>
      </c>
      <c r="AX19" s="7">
        <f>VC_NEW2!AS5</f>
        <v>0</v>
      </c>
      <c r="AY19" s="7">
        <f>VC_NEW2!AT5</f>
        <v>0</v>
      </c>
      <c r="AZ19" s="7">
        <f>VC_NEW2!AU5</f>
        <v>0</v>
      </c>
      <c r="BA19" s="7">
        <f>VC_NEW2!AV5</f>
        <v>0</v>
      </c>
      <c r="BB19" s="7">
        <f>VC_NEW2!AW5</f>
        <v>0</v>
      </c>
      <c r="BC19" s="7">
        <f>VC_NEW2!AX5</f>
        <v>0</v>
      </c>
      <c r="BD19" s="7">
        <f>VC_NEW2!AY5</f>
        <v>0</v>
      </c>
      <c r="BE19" s="7">
        <f>VC_NEW2!AZ5</f>
        <v>0</v>
      </c>
      <c r="BF19" s="7">
        <f>VC_NEW2!BA5</f>
        <v>0</v>
      </c>
      <c r="BG19" s="7">
        <f>VC_NEW2!BB5</f>
        <v>0</v>
      </c>
      <c r="BH19" s="7">
        <f>VC_NEW2!BC5</f>
        <v>0</v>
      </c>
      <c r="BI19" s="7">
        <f>VC_NEW2!BD5</f>
        <v>0</v>
      </c>
      <c r="BJ19" s="7">
        <f>VC_NEW2!BE5</f>
        <v>0</v>
      </c>
      <c r="BK19" s="7">
        <f>VC_NEW2!BF5</f>
        <v>0</v>
      </c>
      <c r="BL19" s="7">
        <f>VC_NEW2!BG5</f>
        <v>0</v>
      </c>
      <c r="BM19" s="7">
        <f>VC_NEW2!BH5</f>
        <v>0</v>
      </c>
      <c r="BN19" s="7">
        <f>VC_NEW2!BI5</f>
        <v>0</v>
      </c>
      <c r="BO19" s="7" t="str">
        <f>VC_NEW2!BJ5</f>
        <v>E422X</v>
      </c>
      <c r="BP19" s="7">
        <f>VC_NEW2!BK5</f>
        <v>0</v>
      </c>
      <c r="BQ19" s="7" t="str">
        <f>VC_NEW2!BL5</f>
        <v>Q319X</v>
      </c>
      <c r="BR19" s="7">
        <f>VC_NEW2!BM5</f>
        <v>0</v>
      </c>
      <c r="BS19" s="7">
        <f>VC_NEW2!BN5</f>
        <v>0</v>
      </c>
      <c r="BT19" s="7">
        <f>VC_NEW2!BO5</f>
        <v>0</v>
      </c>
      <c r="BU19" s="7">
        <f>VC_NEW2!BP5</f>
        <v>0</v>
      </c>
      <c r="BV19" s="7">
        <f>VC_NEW2!BQ5</f>
        <v>0</v>
      </c>
      <c r="BW19" s="7">
        <f>VC_NEW2!BR5</f>
        <v>0</v>
      </c>
      <c r="BX19" s="7">
        <f>VC_NEW2!BS5</f>
        <v>0</v>
      </c>
      <c r="BY19" s="7">
        <f>VC_NEW2!BT5</f>
        <v>0</v>
      </c>
      <c r="BZ19" s="7">
        <f>VC_NEW2!BU5</f>
        <v>0</v>
      </c>
      <c r="CA19" s="7">
        <f>VC_NEW2!BV5</f>
        <v>0</v>
      </c>
      <c r="CB19" s="7">
        <f>VC_NEW2!BW5</f>
        <v>0</v>
      </c>
      <c r="CC19" s="7">
        <f>VC_NEW2!BX5</f>
        <v>0</v>
      </c>
      <c r="CD19" s="7">
        <f>VC_NEW2!BY5</f>
        <v>0</v>
      </c>
      <c r="CE19" s="7">
        <f>VC_NEW2!BZ5</f>
        <v>0</v>
      </c>
      <c r="CF19" s="7">
        <f>VC_NEW2!CA5</f>
        <v>0</v>
      </c>
      <c r="CG19" s="7">
        <f>VC_NEW2!CB5</f>
        <v>0</v>
      </c>
      <c r="CH19" s="7">
        <f>VC_NEW2!CC5</f>
        <v>0</v>
      </c>
      <c r="CI19" s="7">
        <f>VC_NEW2!CD5</f>
        <v>0</v>
      </c>
      <c r="CJ19" s="7">
        <f>VC_NEW2!CE5</f>
        <v>0</v>
      </c>
      <c r="CK19" s="7" t="str">
        <f>VC_NEW2!CF5</f>
        <v>nt1135∆1</v>
      </c>
      <c r="CL19" s="7">
        <f>VC_NEW2!CG5</f>
        <v>0</v>
      </c>
      <c r="CM19" s="7">
        <f>VC_NEW2!CH5</f>
        <v>0</v>
      </c>
      <c r="CN19" s="7">
        <f>VC_NEW2!CI5</f>
        <v>0</v>
      </c>
      <c r="CO19" s="7">
        <f>VC_NEW2!CJ5</f>
        <v>0</v>
      </c>
      <c r="CP19" s="7">
        <f>VC_NEW2!CK5</f>
        <v>0</v>
      </c>
      <c r="CQ19" s="7" t="str">
        <f>VC_NEW2!CL5</f>
        <v>A735D</v>
      </c>
      <c r="CR19" s="7">
        <f>VC_NEW2!CM5</f>
        <v>0</v>
      </c>
      <c r="CS19" s="7">
        <f>VC_NEW2!CN5</f>
        <v>0</v>
      </c>
      <c r="CT19" s="7">
        <f>VC_NEW2!CO5</f>
        <v>0</v>
      </c>
      <c r="CU19" s="7">
        <f>VC_NEW2!CP5</f>
        <v>0</v>
      </c>
      <c r="CV19" s="7">
        <f>VC_NEW2!CQ5</f>
        <v>0</v>
      </c>
      <c r="CW19" s="7">
        <f>VC_NEW2!CR5</f>
        <v>0</v>
      </c>
      <c r="CX19" s="7">
        <f>VC_NEW2!CS5</f>
        <v>0</v>
      </c>
      <c r="CY19" s="7">
        <f>VC_NEW2!CT5</f>
        <v>0</v>
      </c>
      <c r="CZ19" s="7">
        <f>VC_NEW2!CU5</f>
        <v>0</v>
      </c>
      <c r="DA19" s="7">
        <f>VC_NEW2!CV5</f>
        <v>0</v>
      </c>
      <c r="DB19" s="7">
        <f>VC_NEW2!CW5</f>
        <v>0</v>
      </c>
      <c r="DC19" s="7">
        <f>VC_NEW2!CX5</f>
        <v>0</v>
      </c>
      <c r="DD19" s="7">
        <f>VC_NEW2!CY5</f>
        <v>0</v>
      </c>
      <c r="DE19" s="7">
        <f>VC_NEW2!CZ5</f>
        <v>0</v>
      </c>
      <c r="DF19" s="7">
        <f>VC_NEW2!DA5</f>
        <v>0</v>
      </c>
      <c r="DG19" s="7">
        <f>VC_NEW2!DB5</f>
        <v>0</v>
      </c>
      <c r="DH19" s="7">
        <f>VC_NEW2!DC5</f>
        <v>0</v>
      </c>
      <c r="DI19" s="7">
        <f>VC_NEW2!DD5</f>
        <v>0</v>
      </c>
      <c r="DJ19" s="7">
        <f>VC_NEW2!DE5</f>
        <v>0</v>
      </c>
      <c r="DK19" s="7">
        <f>VC_NEW2!DF5</f>
        <v>0</v>
      </c>
      <c r="DL19" s="7">
        <f>VC_NEW2!DG5</f>
        <v>0</v>
      </c>
      <c r="DM19" s="7">
        <f>VC_NEW2!DH5</f>
        <v>0</v>
      </c>
      <c r="DN19" s="7">
        <f>VC_NEW2!DI5</f>
        <v>0</v>
      </c>
      <c r="DO19" s="7">
        <f>VC_NEW2!DJ5</f>
        <v>0</v>
      </c>
      <c r="DP19" s="7">
        <f>VC_NEW2!DK5</f>
        <v>0</v>
      </c>
      <c r="DQ19" s="7">
        <f>VC_NEW2!DL5</f>
        <v>0</v>
      </c>
      <c r="DR19" s="7">
        <f>VC_NEW2!DM5</f>
        <v>0</v>
      </c>
      <c r="DS19" s="7">
        <f>VC_NEW2!DN5</f>
        <v>0</v>
      </c>
      <c r="DT19" s="7">
        <f>VC_NEW2!DO5</f>
        <v>0</v>
      </c>
      <c r="DU19" s="7">
        <f>VC_NEW2!DP5</f>
        <v>0</v>
      </c>
      <c r="DV19" s="7">
        <f>VC_NEW2!DQ5</f>
        <v>0</v>
      </c>
      <c r="DW19" s="7">
        <f>VC_NEW2!DR5</f>
        <v>0</v>
      </c>
      <c r="DX19" s="7">
        <f>VC_NEW2!DS5</f>
        <v>0</v>
      </c>
      <c r="DY19" s="7">
        <f>VC_NEW2!DT5</f>
        <v>0</v>
      </c>
      <c r="DZ19" s="7">
        <f>VC_NEW2!DU5</f>
        <v>0</v>
      </c>
      <c r="EA19" s="7" t="str">
        <f>VC_NEW2!DV5</f>
        <v>nt881InsGG</v>
      </c>
      <c r="EB19" s="7">
        <f>VC_NEW2!DW5</f>
        <v>0</v>
      </c>
      <c r="EC19" s="7">
        <f>VC_NEW2!DX5</f>
        <v>0</v>
      </c>
      <c r="ED19" s="7">
        <f>VC_NEW2!DY5</f>
        <v>0</v>
      </c>
      <c r="EE19" s="7">
        <f>VC_NEW2!DZ5</f>
        <v>0</v>
      </c>
      <c r="EF19" s="7">
        <f>VC_NEW2!EA5</f>
        <v>0</v>
      </c>
      <c r="EG19" s="7" t="str">
        <f>VC_NEW2!EB5</f>
        <v>nt2936∆1</v>
      </c>
      <c r="EH19" s="7">
        <f>VC_NEW2!EC5</f>
        <v>0</v>
      </c>
      <c r="EI19" s="7">
        <f>VC_NEW2!ED5</f>
        <v>0</v>
      </c>
      <c r="EJ19" s="7">
        <f>VC_NEW2!EE5</f>
        <v>0</v>
      </c>
      <c r="EK19" s="7">
        <f>VC_NEW2!EF5</f>
        <v>0</v>
      </c>
      <c r="EL19" s="7">
        <f>VC_NEW2!EG5</f>
        <v>0</v>
      </c>
      <c r="EM19" s="7">
        <f>VC_NEW2!EH5</f>
        <v>0</v>
      </c>
      <c r="EN19" s="7">
        <f>VC_NEW2!EI5</f>
        <v>0</v>
      </c>
      <c r="EO19" s="7">
        <f>VC_NEW2!EJ5</f>
        <v>0</v>
      </c>
      <c r="EP19" s="7">
        <f>VC_NEW2!EK5</f>
        <v>0</v>
      </c>
      <c r="EQ19" s="7">
        <f>VC_NEW2!EL5</f>
        <v>0</v>
      </c>
      <c r="ER19" s="7">
        <f>VC_NEW2!EM5</f>
        <v>0</v>
      </c>
      <c r="ES19" s="7">
        <f>VC_NEW2!EN5</f>
        <v>0</v>
      </c>
      <c r="ET19" s="7" t="str">
        <f>VC_NEW2!EO5</f>
        <v>nt3018∆5</v>
      </c>
      <c r="EU19" s="7">
        <f>VC_NEW2!EP5</f>
        <v>0</v>
      </c>
      <c r="EV19" s="7">
        <f>VC_NEW2!EQ5</f>
        <v>0</v>
      </c>
      <c r="EW19" s="7" t="str">
        <f>VC_NEW2!ER5</f>
        <v>A707S, I963V</v>
      </c>
      <c r="EX19" s="7">
        <f>VC_NEW2!ES5</f>
        <v>0</v>
      </c>
      <c r="EY19" s="7" t="str">
        <f>VC_NEW2!ET5</f>
        <v>T98A</v>
      </c>
      <c r="EZ19" s="7">
        <f>VC_NEW2!EU5</f>
        <v>0</v>
      </c>
      <c r="FA19" s="7">
        <f>VC_NEW2!EV5</f>
        <v>0</v>
      </c>
      <c r="FB19" s="7" t="str">
        <f>VC_NEW2!EW5</f>
        <v>G860D</v>
      </c>
      <c r="FC19" s="7">
        <f>VC_NEW2!EX5</f>
        <v>0</v>
      </c>
      <c r="FD19" s="7">
        <f>VC_NEW2!EY5</f>
        <v>0</v>
      </c>
      <c r="FE19" s="7">
        <f>VC_NEW2!EZ5</f>
        <v>0</v>
      </c>
      <c r="FF19" s="7">
        <f>VC_NEW2!FA5</f>
        <v>0</v>
      </c>
      <c r="FG19" s="7">
        <f>VC_NEW2!FB5</f>
        <v>0</v>
      </c>
      <c r="FH19" s="7">
        <f>VC_NEW2!FC5</f>
        <v>0</v>
      </c>
      <c r="FI19" s="7">
        <f>VC_NEW2!FD5</f>
        <v>0</v>
      </c>
      <c r="FJ19" s="7">
        <f>VC_NEW2!FE5</f>
        <v>0</v>
      </c>
      <c r="FK19" s="7">
        <f>VC_NEW2!FF5</f>
        <v>0</v>
      </c>
      <c r="FL19" s="7">
        <f>VC_NEW2!FG5</f>
        <v>0</v>
      </c>
      <c r="FM19" s="7">
        <f>VC_NEW2!FH5</f>
        <v>0</v>
      </c>
      <c r="FN19" s="7">
        <f>VC_NEW2!FI5</f>
        <v>0</v>
      </c>
      <c r="FO19" s="7">
        <f>VC_NEW2!FJ5</f>
        <v>0</v>
      </c>
      <c r="FP19" s="7">
        <f>VC_NEW2!FK5</f>
        <v>0</v>
      </c>
      <c r="FQ19" s="7">
        <f>VC_NEW2!FL5</f>
        <v>0</v>
      </c>
      <c r="FR19" s="7">
        <f>VC_NEW2!FM5</f>
        <v>0</v>
      </c>
      <c r="FS19" s="7">
        <f>VC_NEW2!FN5</f>
        <v>0</v>
      </c>
      <c r="FT19" s="7">
        <f>VC_NEW2!FO5</f>
        <v>0</v>
      </c>
      <c r="FU19" s="7">
        <f>VC_NEW2!FP5</f>
        <v>0</v>
      </c>
      <c r="FV19" s="7">
        <f>VC_NEW2!FQ5</f>
        <v>0</v>
      </c>
      <c r="FW19" s="7">
        <f>VC_NEW2!FR5</f>
        <v>0</v>
      </c>
      <c r="FX19" s="7">
        <f>VC_NEW2!FS5</f>
        <v>0</v>
      </c>
      <c r="FY19" s="7">
        <f>VC_NEW2!FT5</f>
        <v>0</v>
      </c>
      <c r="FZ19" s="7">
        <f>VC_NEW2!FU5</f>
        <v>0</v>
      </c>
      <c r="GA19" s="7">
        <f>VC_NEW2!FV5</f>
        <v>0</v>
      </c>
      <c r="GB19" s="7">
        <f>VC_NEW2!FW5</f>
        <v>0</v>
      </c>
      <c r="GC19" s="7">
        <f>VC_NEW2!FX5</f>
        <v>0</v>
      </c>
      <c r="GD19" s="7">
        <f>VC_NEW2!FY5</f>
        <v>0</v>
      </c>
      <c r="GE19" s="7">
        <f>VC_NEW2!FZ5</f>
        <v>0</v>
      </c>
      <c r="GF19" s="7">
        <f>VC_NEW2!GA5</f>
        <v>0</v>
      </c>
      <c r="GG19" s="7">
        <f>VC_NEW2!GB5</f>
        <v>0</v>
      </c>
      <c r="GH19" s="7">
        <f>VC_NEW2!GC5</f>
        <v>0</v>
      </c>
      <c r="GI19" s="7">
        <f>VC_NEW2!GD5</f>
        <v>0</v>
      </c>
      <c r="GJ19" s="7">
        <f>VC_NEW2!GE5</f>
        <v>0</v>
      </c>
      <c r="GK19" s="7">
        <f>VC_NEW2!GF5</f>
        <v>0</v>
      </c>
      <c r="GL19" s="7">
        <f>VC_NEW2!GG5</f>
        <v>0</v>
      </c>
      <c r="GM19" s="7">
        <f>VC_NEW2!GH5</f>
        <v>0</v>
      </c>
      <c r="GN19" s="7">
        <f>VC_NEW2!GI5</f>
        <v>0</v>
      </c>
      <c r="GO19" s="7">
        <f>VC_NEW2!GJ5</f>
        <v>0</v>
      </c>
      <c r="GP19" s="7">
        <f>VC_NEW2!GK5</f>
        <v>0</v>
      </c>
      <c r="GQ19" s="7" t="str">
        <f>VC_NEW2!GL5</f>
        <v>A539T</v>
      </c>
      <c r="GR19" s="7">
        <f>VC_NEW2!GM5</f>
        <v>0</v>
      </c>
      <c r="GS19" s="7">
        <f>VC_NEW2!GN5</f>
        <v>0</v>
      </c>
      <c r="GT19" s="7">
        <f>VC_NEW2!GO5</f>
        <v>0</v>
      </c>
      <c r="GU19" s="7">
        <f>VC_NEW2!GP5</f>
        <v>0</v>
      </c>
      <c r="GV19" s="7">
        <f>VC_NEW2!GQ5</f>
        <v>0</v>
      </c>
      <c r="GW19" s="7">
        <f>VC_NEW2!GR5</f>
        <v>0</v>
      </c>
      <c r="GX19" s="7" t="str">
        <f>VC_NEW2!GS5</f>
        <v>P190L</v>
      </c>
      <c r="GY19" s="7">
        <f>VC_NEW2!GT5</f>
        <v>0</v>
      </c>
      <c r="GZ19" s="7">
        <f>VC_NEW2!GU5</f>
        <v>0</v>
      </c>
      <c r="HA19" s="7">
        <f>VC_NEW2!GV5</f>
        <v>0</v>
      </c>
      <c r="HB19" s="7">
        <f>VC_NEW2!GW5</f>
        <v>0</v>
      </c>
      <c r="HC19" s="7">
        <f>VC_NEW2!GX5</f>
        <v>0</v>
      </c>
    </row>
    <row r="20" spans="1:211" s="7" customFormat="1" ht="15" hidden="1" customHeight="1" x14ac:dyDescent="0.25">
      <c r="A20" s="44" t="s">
        <v>9</v>
      </c>
      <c r="B20" s="45" t="s">
        <v>10</v>
      </c>
      <c r="C20" s="46" t="s">
        <v>3</v>
      </c>
      <c r="D20" s="45" t="s">
        <v>77</v>
      </c>
      <c r="E20" s="45">
        <v>-0.25</v>
      </c>
      <c r="F20" s="45" t="s">
        <v>74</v>
      </c>
      <c r="G20" s="47" t="s">
        <v>137</v>
      </c>
      <c r="H20" s="7">
        <f>VC_NEW2!C5</f>
        <v>0</v>
      </c>
      <c r="I20" s="7">
        <f>VC_NEW2!D5</f>
        <v>0</v>
      </c>
      <c r="J20" s="7">
        <f>VC_NEW2!E5</f>
        <v>0</v>
      </c>
      <c r="K20" s="7">
        <f>VC_NEW2!F5</f>
        <v>0</v>
      </c>
      <c r="L20" s="7">
        <f>VC_NEW2!G5</f>
        <v>0</v>
      </c>
      <c r="M20" s="7">
        <f>VC_NEW2!H5</f>
        <v>0</v>
      </c>
      <c r="N20" s="7">
        <f>VC_NEW2!I5</f>
        <v>0</v>
      </c>
      <c r="O20" s="7">
        <f>VC_NEW2!J5</f>
        <v>0</v>
      </c>
      <c r="P20" s="7">
        <f>VC_NEW2!K5</f>
        <v>0</v>
      </c>
      <c r="Q20" s="7">
        <f>VC_NEW2!L5</f>
        <v>0</v>
      </c>
      <c r="R20" s="7">
        <f>VC_NEW2!M5</f>
        <v>0</v>
      </c>
      <c r="S20" s="7">
        <f>VC_NEW2!N5</f>
        <v>0</v>
      </c>
      <c r="T20" s="7">
        <f>VC_NEW2!O5</f>
        <v>0</v>
      </c>
      <c r="U20" s="7">
        <f>VC_NEW2!P5</f>
        <v>0</v>
      </c>
      <c r="V20" s="7">
        <f>VC_NEW2!Q5</f>
        <v>0</v>
      </c>
      <c r="W20" s="7">
        <f>VC_NEW2!R5</f>
        <v>0</v>
      </c>
      <c r="X20" s="7">
        <f>VC_NEW2!S5</f>
        <v>0</v>
      </c>
      <c r="Y20" s="7">
        <f>VC_NEW2!T5</f>
        <v>0</v>
      </c>
      <c r="Z20" s="7">
        <f>VC_NEW2!U5</f>
        <v>0</v>
      </c>
      <c r="AA20" s="7">
        <f>VC_NEW2!V5</f>
        <v>0</v>
      </c>
      <c r="AB20" s="7">
        <f>VC_NEW2!W5</f>
        <v>0</v>
      </c>
      <c r="AC20" s="7">
        <f>VC_NEW2!X5</f>
        <v>0</v>
      </c>
      <c r="AD20" s="7">
        <f>VC_NEW2!Y5</f>
        <v>0</v>
      </c>
      <c r="AE20" s="7">
        <f>VC_NEW2!Z5</f>
        <v>0</v>
      </c>
      <c r="AF20" s="7">
        <f>VC_NEW2!AA5</f>
        <v>0</v>
      </c>
      <c r="AG20" s="7">
        <f>VC_NEW2!AB5</f>
        <v>0</v>
      </c>
      <c r="AH20" s="7">
        <f>VC_NEW2!AC5</f>
        <v>0</v>
      </c>
      <c r="AI20" s="7">
        <f>VC_NEW2!AD5</f>
        <v>0</v>
      </c>
      <c r="AJ20" s="7">
        <f>VC_NEW2!AE5</f>
        <v>0</v>
      </c>
      <c r="AK20" s="7">
        <f>VC_NEW2!AF5</f>
        <v>0</v>
      </c>
      <c r="AL20" s="7">
        <f>VC_NEW2!AG5</f>
        <v>0</v>
      </c>
      <c r="AM20" s="7" t="str">
        <f>VC_NEW2!AH5</f>
        <v>V1042A</v>
      </c>
      <c r="AN20" s="7">
        <f>VC_NEW2!AI5</f>
        <v>0</v>
      </c>
      <c r="AO20" s="7">
        <f>VC_NEW2!AJ5</f>
        <v>0</v>
      </c>
      <c r="AP20" s="7">
        <f>VC_NEW2!AK5</f>
        <v>0</v>
      </c>
      <c r="AQ20" s="7">
        <f>VC_NEW2!AL5</f>
        <v>0</v>
      </c>
      <c r="AR20" s="7">
        <f>VC_NEW2!AM5</f>
        <v>0</v>
      </c>
      <c r="AS20" s="7">
        <f>VC_NEW2!AN5</f>
        <v>0</v>
      </c>
      <c r="AT20" s="7">
        <f>VC_NEW2!AO5</f>
        <v>0</v>
      </c>
      <c r="AU20" s="7">
        <f>VC_NEW2!AP5</f>
        <v>0</v>
      </c>
      <c r="AV20" s="7">
        <f>VC_NEW2!AQ5</f>
        <v>0</v>
      </c>
      <c r="AW20" s="7">
        <f>VC_NEW2!AR5</f>
        <v>0</v>
      </c>
      <c r="AX20" s="7">
        <f>VC_NEW2!AS5</f>
        <v>0</v>
      </c>
      <c r="AY20" s="7">
        <f>VC_NEW2!AT5</f>
        <v>0</v>
      </c>
      <c r="AZ20" s="7">
        <f>VC_NEW2!AU5</f>
        <v>0</v>
      </c>
      <c r="BA20" s="7">
        <f>VC_NEW2!AV5</f>
        <v>0</v>
      </c>
      <c r="BB20" s="7">
        <f>VC_NEW2!AW5</f>
        <v>0</v>
      </c>
      <c r="BC20" s="7">
        <f>VC_NEW2!AX5</f>
        <v>0</v>
      </c>
      <c r="BD20" s="7">
        <f>VC_NEW2!AY5</f>
        <v>0</v>
      </c>
      <c r="BE20" s="7">
        <f>VC_NEW2!AZ5</f>
        <v>0</v>
      </c>
      <c r="BF20" s="7">
        <f>VC_NEW2!BA5</f>
        <v>0</v>
      </c>
      <c r="BG20" s="7">
        <f>VC_NEW2!BB5</f>
        <v>0</v>
      </c>
      <c r="BH20" s="7">
        <f>VC_NEW2!BC5</f>
        <v>0</v>
      </c>
      <c r="BI20" s="7">
        <f>VC_NEW2!BD5</f>
        <v>0</v>
      </c>
      <c r="BJ20" s="7">
        <f>VC_NEW2!BE5</f>
        <v>0</v>
      </c>
      <c r="BK20" s="7">
        <f>VC_NEW2!BF5</f>
        <v>0</v>
      </c>
      <c r="BL20" s="7">
        <f>VC_NEW2!BG5</f>
        <v>0</v>
      </c>
      <c r="BM20" s="7">
        <f>VC_NEW2!BH5</f>
        <v>0</v>
      </c>
      <c r="BN20" s="7">
        <f>VC_NEW2!BI5</f>
        <v>0</v>
      </c>
      <c r="BO20" s="7" t="str">
        <f>VC_NEW2!BJ5</f>
        <v>E422X</v>
      </c>
      <c r="BP20" s="7">
        <f>VC_NEW2!BK5</f>
        <v>0</v>
      </c>
      <c r="BQ20" s="7" t="str">
        <f>VC_NEW2!BL5</f>
        <v>Q319X</v>
      </c>
      <c r="BR20" s="7">
        <f>VC_NEW2!BM5</f>
        <v>0</v>
      </c>
      <c r="BS20" s="7">
        <f>VC_NEW2!BN5</f>
        <v>0</v>
      </c>
      <c r="BT20" s="7">
        <f>VC_NEW2!BO5</f>
        <v>0</v>
      </c>
      <c r="BU20" s="7">
        <f>VC_NEW2!BP5</f>
        <v>0</v>
      </c>
      <c r="BV20" s="7">
        <f>VC_NEW2!BQ5</f>
        <v>0</v>
      </c>
      <c r="BW20" s="7">
        <f>VC_NEW2!BR5</f>
        <v>0</v>
      </c>
      <c r="BX20" s="7">
        <f>VC_NEW2!BS5</f>
        <v>0</v>
      </c>
      <c r="BY20" s="7">
        <f>VC_NEW2!BT5</f>
        <v>0</v>
      </c>
      <c r="BZ20" s="7">
        <f>VC_NEW2!BU5</f>
        <v>0</v>
      </c>
      <c r="CA20" s="7">
        <f>VC_NEW2!BV5</f>
        <v>0</v>
      </c>
      <c r="CB20" s="7">
        <f>VC_NEW2!BW5</f>
        <v>0</v>
      </c>
      <c r="CC20" s="7">
        <f>VC_NEW2!BX5</f>
        <v>0</v>
      </c>
      <c r="CD20" s="7">
        <f>VC_NEW2!BY5</f>
        <v>0</v>
      </c>
      <c r="CE20" s="7">
        <f>VC_NEW2!BZ5</f>
        <v>0</v>
      </c>
      <c r="CF20" s="7">
        <f>VC_NEW2!CA5</f>
        <v>0</v>
      </c>
      <c r="CG20" s="7">
        <f>VC_NEW2!CB5</f>
        <v>0</v>
      </c>
      <c r="CH20" s="7">
        <f>VC_NEW2!CC5</f>
        <v>0</v>
      </c>
      <c r="CI20" s="7">
        <f>VC_NEW2!CD5</f>
        <v>0</v>
      </c>
      <c r="CJ20" s="7">
        <f>VC_NEW2!CE5</f>
        <v>0</v>
      </c>
      <c r="CK20" s="7" t="str">
        <f>VC_NEW2!CF5</f>
        <v>nt1135∆1</v>
      </c>
      <c r="CL20" s="7">
        <f>VC_NEW2!CG5</f>
        <v>0</v>
      </c>
      <c r="CM20" s="7">
        <f>VC_NEW2!CH5</f>
        <v>0</v>
      </c>
      <c r="CN20" s="7">
        <f>VC_NEW2!CI5</f>
        <v>0</v>
      </c>
      <c r="CO20" s="7">
        <f>VC_NEW2!CJ5</f>
        <v>0</v>
      </c>
      <c r="CP20" s="7">
        <f>VC_NEW2!CK5</f>
        <v>0</v>
      </c>
      <c r="CQ20" s="7" t="str">
        <f>VC_NEW2!CL5</f>
        <v>A735D</v>
      </c>
      <c r="CR20" s="7">
        <f>VC_NEW2!CM5</f>
        <v>0</v>
      </c>
      <c r="CS20" s="7">
        <f>VC_NEW2!CN5</f>
        <v>0</v>
      </c>
      <c r="CT20" s="7">
        <f>VC_NEW2!CO5</f>
        <v>0</v>
      </c>
      <c r="CU20" s="7">
        <f>VC_NEW2!CP5</f>
        <v>0</v>
      </c>
      <c r="CV20" s="7">
        <f>VC_NEW2!CQ5</f>
        <v>0</v>
      </c>
      <c r="CW20" s="7">
        <f>VC_NEW2!CR5</f>
        <v>0</v>
      </c>
      <c r="CX20" s="7">
        <f>VC_NEW2!CS5</f>
        <v>0</v>
      </c>
      <c r="CY20" s="7">
        <f>VC_NEW2!CT5</f>
        <v>0</v>
      </c>
      <c r="CZ20" s="7">
        <f>VC_NEW2!CU5</f>
        <v>0</v>
      </c>
      <c r="DA20" s="7">
        <f>VC_NEW2!CV5</f>
        <v>0</v>
      </c>
      <c r="DB20" s="7">
        <f>VC_NEW2!CW5</f>
        <v>0</v>
      </c>
      <c r="DC20" s="7">
        <f>VC_NEW2!CX5</f>
        <v>0</v>
      </c>
      <c r="DD20" s="7">
        <f>VC_NEW2!CY5</f>
        <v>0</v>
      </c>
      <c r="DE20" s="7">
        <f>VC_NEW2!CZ5</f>
        <v>0</v>
      </c>
      <c r="DF20" s="7">
        <f>VC_NEW2!DA5</f>
        <v>0</v>
      </c>
      <c r="DG20" s="7">
        <f>VC_NEW2!DB5</f>
        <v>0</v>
      </c>
      <c r="DH20" s="7">
        <f>VC_NEW2!DC5</f>
        <v>0</v>
      </c>
      <c r="DI20" s="7">
        <f>VC_NEW2!DD5</f>
        <v>0</v>
      </c>
      <c r="DJ20" s="7">
        <f>VC_NEW2!DE5</f>
        <v>0</v>
      </c>
      <c r="DK20" s="7">
        <f>VC_NEW2!DF5</f>
        <v>0</v>
      </c>
      <c r="DL20" s="7">
        <f>VC_NEW2!DG5</f>
        <v>0</v>
      </c>
      <c r="DM20" s="7">
        <f>VC_NEW2!DH5</f>
        <v>0</v>
      </c>
      <c r="DN20" s="7">
        <f>VC_NEW2!DI5</f>
        <v>0</v>
      </c>
      <c r="DO20" s="7">
        <f>VC_NEW2!DJ5</f>
        <v>0</v>
      </c>
      <c r="DP20" s="7">
        <f>VC_NEW2!DK5</f>
        <v>0</v>
      </c>
      <c r="DQ20" s="7">
        <f>VC_NEW2!DL5</f>
        <v>0</v>
      </c>
      <c r="DR20" s="7">
        <f>VC_NEW2!DM5</f>
        <v>0</v>
      </c>
      <c r="DS20" s="7">
        <f>VC_NEW2!DN5</f>
        <v>0</v>
      </c>
      <c r="DT20" s="7">
        <f>VC_NEW2!DO5</f>
        <v>0</v>
      </c>
      <c r="DU20" s="7">
        <f>VC_NEW2!DP5</f>
        <v>0</v>
      </c>
      <c r="DV20" s="7">
        <f>VC_NEW2!DQ5</f>
        <v>0</v>
      </c>
      <c r="DW20" s="7">
        <f>VC_NEW2!DR5</f>
        <v>0</v>
      </c>
      <c r="DX20" s="7">
        <f>VC_NEW2!DS5</f>
        <v>0</v>
      </c>
      <c r="DY20" s="7">
        <f>VC_NEW2!DT5</f>
        <v>0</v>
      </c>
      <c r="DZ20" s="7">
        <f>VC_NEW2!DU5</f>
        <v>0</v>
      </c>
      <c r="EA20" s="7" t="str">
        <f>VC_NEW2!DV5</f>
        <v>nt881InsGG</v>
      </c>
      <c r="EB20" s="7">
        <f>VC_NEW2!DW5</f>
        <v>0</v>
      </c>
      <c r="EC20" s="7">
        <f>VC_NEW2!DX5</f>
        <v>0</v>
      </c>
      <c r="ED20" s="7">
        <f>VC_NEW2!DY5</f>
        <v>0</v>
      </c>
      <c r="EE20" s="7">
        <f>VC_NEW2!DZ5</f>
        <v>0</v>
      </c>
      <c r="EF20" s="7">
        <f>VC_NEW2!EA5</f>
        <v>0</v>
      </c>
      <c r="EG20" s="7" t="str">
        <f>VC_NEW2!EB5</f>
        <v>nt2936∆1</v>
      </c>
      <c r="EH20" s="7">
        <f>VC_NEW2!EC5</f>
        <v>0</v>
      </c>
      <c r="EI20" s="7">
        <f>VC_NEW2!ED5</f>
        <v>0</v>
      </c>
      <c r="EJ20" s="7">
        <f>VC_NEW2!EE5</f>
        <v>0</v>
      </c>
      <c r="EK20" s="7">
        <f>VC_NEW2!EF5</f>
        <v>0</v>
      </c>
      <c r="EL20" s="7">
        <f>VC_NEW2!EG5</f>
        <v>0</v>
      </c>
      <c r="EM20" s="7">
        <f>VC_NEW2!EH5</f>
        <v>0</v>
      </c>
      <c r="EN20" s="7">
        <f>VC_NEW2!EI5</f>
        <v>0</v>
      </c>
      <c r="EO20" s="7">
        <f>VC_NEW2!EJ5</f>
        <v>0</v>
      </c>
      <c r="EP20" s="7">
        <f>VC_NEW2!EK5</f>
        <v>0</v>
      </c>
      <c r="EQ20" s="7">
        <f>VC_NEW2!EL5</f>
        <v>0</v>
      </c>
      <c r="ER20" s="7">
        <f>VC_NEW2!EM5</f>
        <v>0</v>
      </c>
      <c r="ES20" s="7">
        <f>VC_NEW2!EN5</f>
        <v>0</v>
      </c>
      <c r="ET20" s="7" t="str">
        <f>VC_NEW2!EO5</f>
        <v>nt3018∆5</v>
      </c>
      <c r="EU20" s="7">
        <f>VC_NEW2!EP5</f>
        <v>0</v>
      </c>
      <c r="EV20" s="7">
        <f>VC_NEW2!EQ5</f>
        <v>0</v>
      </c>
      <c r="EW20" s="7" t="str">
        <f>VC_NEW2!ER5</f>
        <v>A707S, I963V</v>
      </c>
      <c r="EX20" s="7">
        <f>VC_NEW2!ES5</f>
        <v>0</v>
      </c>
      <c r="EY20" s="7" t="str">
        <f>VC_NEW2!ET5</f>
        <v>T98A</v>
      </c>
      <c r="EZ20" s="7">
        <f>VC_NEW2!EU5</f>
        <v>0</v>
      </c>
      <c r="FA20" s="7">
        <f>VC_NEW2!EV5</f>
        <v>0</v>
      </c>
      <c r="FB20" s="7" t="str">
        <f>VC_NEW2!EW5</f>
        <v>G860D</v>
      </c>
      <c r="FC20" s="7">
        <f>VC_NEW2!EX5</f>
        <v>0</v>
      </c>
      <c r="FD20" s="7">
        <f>VC_NEW2!EY5</f>
        <v>0</v>
      </c>
      <c r="FE20" s="7">
        <f>VC_NEW2!EZ5</f>
        <v>0</v>
      </c>
      <c r="FF20" s="7">
        <f>VC_NEW2!FA5</f>
        <v>0</v>
      </c>
      <c r="FG20" s="7">
        <f>VC_NEW2!FB5</f>
        <v>0</v>
      </c>
      <c r="FH20" s="7">
        <f>VC_NEW2!FC5</f>
        <v>0</v>
      </c>
      <c r="FI20" s="7">
        <f>VC_NEW2!FD5</f>
        <v>0</v>
      </c>
      <c r="FJ20" s="7">
        <f>VC_NEW2!FE5</f>
        <v>0</v>
      </c>
      <c r="FK20" s="7">
        <f>VC_NEW2!FF5</f>
        <v>0</v>
      </c>
      <c r="FL20" s="7">
        <f>VC_NEW2!FG5</f>
        <v>0</v>
      </c>
      <c r="FM20" s="7">
        <f>VC_NEW2!FH5</f>
        <v>0</v>
      </c>
      <c r="FN20" s="7">
        <f>VC_NEW2!FI5</f>
        <v>0</v>
      </c>
      <c r="FO20" s="7">
        <f>VC_NEW2!FJ5</f>
        <v>0</v>
      </c>
      <c r="FP20" s="7">
        <f>VC_NEW2!FK5</f>
        <v>0</v>
      </c>
      <c r="FQ20" s="7">
        <f>VC_NEW2!FL5</f>
        <v>0</v>
      </c>
      <c r="FR20" s="7">
        <f>VC_NEW2!FM5</f>
        <v>0</v>
      </c>
      <c r="FS20" s="7">
        <f>VC_NEW2!FN5</f>
        <v>0</v>
      </c>
      <c r="FT20" s="7">
        <f>VC_NEW2!FO5</f>
        <v>0</v>
      </c>
      <c r="FU20" s="7">
        <f>VC_NEW2!FP5</f>
        <v>0</v>
      </c>
      <c r="FV20" s="7">
        <f>VC_NEW2!FQ5</f>
        <v>0</v>
      </c>
      <c r="FW20" s="7">
        <f>VC_NEW2!FR5</f>
        <v>0</v>
      </c>
      <c r="FX20" s="7">
        <f>VC_NEW2!FS5</f>
        <v>0</v>
      </c>
      <c r="FY20" s="7">
        <f>VC_NEW2!FT5</f>
        <v>0</v>
      </c>
      <c r="FZ20" s="7">
        <f>VC_NEW2!FU5</f>
        <v>0</v>
      </c>
      <c r="GA20" s="7">
        <f>VC_NEW2!FV5</f>
        <v>0</v>
      </c>
      <c r="GB20" s="7">
        <f>VC_NEW2!FW5</f>
        <v>0</v>
      </c>
      <c r="GC20" s="7">
        <f>VC_NEW2!FX5</f>
        <v>0</v>
      </c>
      <c r="GD20" s="7">
        <f>VC_NEW2!FY5</f>
        <v>0</v>
      </c>
      <c r="GE20" s="7">
        <f>VC_NEW2!FZ5</f>
        <v>0</v>
      </c>
      <c r="GF20" s="7">
        <f>VC_NEW2!GA5</f>
        <v>0</v>
      </c>
      <c r="GG20" s="7">
        <f>VC_NEW2!GB5</f>
        <v>0</v>
      </c>
      <c r="GH20" s="7">
        <f>VC_NEW2!GC5</f>
        <v>0</v>
      </c>
      <c r="GI20" s="7">
        <f>VC_NEW2!GD5</f>
        <v>0</v>
      </c>
      <c r="GJ20" s="7">
        <f>VC_NEW2!GE5</f>
        <v>0</v>
      </c>
      <c r="GK20" s="7">
        <f>VC_NEW2!GF5</f>
        <v>0</v>
      </c>
      <c r="GL20" s="7">
        <f>VC_NEW2!GG5</f>
        <v>0</v>
      </c>
      <c r="GM20" s="7">
        <f>VC_NEW2!GH5</f>
        <v>0</v>
      </c>
      <c r="GN20" s="7">
        <f>VC_NEW2!GI5</f>
        <v>0</v>
      </c>
      <c r="GO20" s="7">
        <f>VC_NEW2!GJ5</f>
        <v>0</v>
      </c>
      <c r="GP20" s="7">
        <f>VC_NEW2!GK5</f>
        <v>0</v>
      </c>
      <c r="GQ20" s="7" t="str">
        <f>VC_NEW2!GL5</f>
        <v>A539T</v>
      </c>
      <c r="GR20" s="7">
        <f>VC_NEW2!GM5</f>
        <v>0</v>
      </c>
      <c r="GS20" s="7">
        <f>VC_NEW2!GN5</f>
        <v>0</v>
      </c>
      <c r="GT20" s="7">
        <f>VC_NEW2!GO5</f>
        <v>0</v>
      </c>
      <c r="GU20" s="7">
        <f>VC_NEW2!GP5</f>
        <v>0</v>
      </c>
      <c r="GV20" s="7">
        <f>VC_NEW2!GQ5</f>
        <v>0</v>
      </c>
      <c r="GW20" s="7">
        <f>VC_NEW2!GR5</f>
        <v>0</v>
      </c>
      <c r="GX20" s="7" t="str">
        <f>VC_NEW2!GS5</f>
        <v>P190L</v>
      </c>
      <c r="GY20" s="7">
        <f>VC_NEW2!GT5</f>
        <v>0</v>
      </c>
      <c r="GZ20" s="7">
        <f>VC_NEW2!GU5</f>
        <v>0</v>
      </c>
      <c r="HA20" s="7">
        <f>VC_NEW2!GV5</f>
        <v>0</v>
      </c>
      <c r="HB20" s="7">
        <f>VC_NEW2!GW5</f>
        <v>0</v>
      </c>
      <c r="HC20" s="7">
        <f>VC_NEW2!GX5</f>
        <v>0</v>
      </c>
    </row>
    <row r="21" spans="1:211" s="1" customFormat="1" ht="15" hidden="1" customHeight="1" x14ac:dyDescent="0.25">
      <c r="A21" s="73" t="s">
        <v>11</v>
      </c>
      <c r="B21" s="46" t="s">
        <v>12</v>
      </c>
      <c r="C21" s="46" t="s">
        <v>0</v>
      </c>
      <c r="D21" s="46" t="s">
        <v>77</v>
      </c>
      <c r="E21" s="45">
        <v>-0.5</v>
      </c>
      <c r="F21" s="45" t="s">
        <v>74</v>
      </c>
      <c r="G21" s="47" t="s">
        <v>137</v>
      </c>
      <c r="H21" s="1">
        <f>VC_NEW2!C6</f>
        <v>0</v>
      </c>
      <c r="I21" s="1">
        <f>VC_NEW2!D6</f>
        <v>0</v>
      </c>
      <c r="J21" s="1">
        <f>VC_NEW2!E6</f>
        <v>0</v>
      </c>
      <c r="K21" s="1">
        <f>VC_NEW2!F6</f>
        <v>0</v>
      </c>
      <c r="L21" s="1">
        <f>VC_NEW2!G6</f>
        <v>0</v>
      </c>
      <c r="M21" s="1">
        <f>VC_NEW2!H6</f>
        <v>0</v>
      </c>
      <c r="N21" s="1">
        <f>VC_NEW2!I6</f>
        <v>0</v>
      </c>
      <c r="O21" s="1">
        <f>VC_NEW2!J6</f>
        <v>0</v>
      </c>
      <c r="P21" s="1">
        <f>VC_NEW2!K6</f>
        <v>0</v>
      </c>
      <c r="Q21" s="1">
        <f>VC_NEW2!L6</f>
        <v>0</v>
      </c>
      <c r="R21" s="1">
        <f>VC_NEW2!M6</f>
        <v>0</v>
      </c>
      <c r="S21" s="1">
        <f>VC_NEW2!N6</f>
        <v>0</v>
      </c>
      <c r="T21" s="1">
        <f>VC_NEW2!O6</f>
        <v>0</v>
      </c>
      <c r="U21" s="1">
        <f>VC_NEW2!P6</f>
        <v>0</v>
      </c>
      <c r="V21" s="1">
        <f>VC_NEW2!Q6</f>
        <v>0</v>
      </c>
      <c r="W21" s="1">
        <f>VC_NEW2!R6</f>
        <v>0</v>
      </c>
      <c r="X21" s="1">
        <f>VC_NEW2!S6</f>
        <v>0</v>
      </c>
      <c r="Y21" s="1">
        <f>VC_NEW2!T6</f>
        <v>0</v>
      </c>
      <c r="Z21" s="1">
        <f>VC_NEW2!U6</f>
        <v>0</v>
      </c>
      <c r="AA21" s="1">
        <f>VC_NEW2!V6</f>
        <v>0</v>
      </c>
      <c r="AB21" s="1">
        <f>VC_NEW2!W6</f>
        <v>0</v>
      </c>
      <c r="AC21" s="1">
        <f>VC_NEW2!X6</f>
        <v>0</v>
      </c>
      <c r="AD21" s="1">
        <f>VC_NEW2!Y6</f>
        <v>0</v>
      </c>
      <c r="AE21" s="1">
        <f>VC_NEW2!Z6</f>
        <v>0</v>
      </c>
      <c r="AF21" s="1">
        <f>VC_NEW2!AA6</f>
        <v>0</v>
      </c>
      <c r="AG21" s="1">
        <f>VC_NEW2!AB6</f>
        <v>0</v>
      </c>
      <c r="AH21" s="1">
        <f>VC_NEW2!AC6</f>
        <v>0</v>
      </c>
      <c r="AI21" s="1">
        <f>VC_NEW2!AD6</f>
        <v>0</v>
      </c>
      <c r="AJ21" s="1">
        <f>VC_NEW2!AE6</f>
        <v>0</v>
      </c>
      <c r="AK21" s="1">
        <f>VC_NEW2!AF6</f>
        <v>0</v>
      </c>
      <c r="AL21" s="1">
        <f>VC_NEW2!AG6</f>
        <v>0</v>
      </c>
      <c r="AM21" s="1">
        <f>VC_NEW2!AH6</f>
        <v>0</v>
      </c>
      <c r="AN21" s="1">
        <f>VC_NEW2!AI6</f>
        <v>0</v>
      </c>
      <c r="AO21" s="1">
        <f>VC_NEW2!AJ6</f>
        <v>0</v>
      </c>
      <c r="AP21" s="1">
        <f>VC_NEW2!AK6</f>
        <v>0</v>
      </c>
      <c r="AQ21" s="1">
        <f>VC_NEW2!AL6</f>
        <v>0</v>
      </c>
      <c r="AR21" s="1">
        <f>VC_NEW2!AM6</f>
        <v>0</v>
      </c>
      <c r="AS21" s="1">
        <f>VC_NEW2!AN6</f>
        <v>0</v>
      </c>
      <c r="AT21" s="1">
        <f>VC_NEW2!AO6</f>
        <v>0</v>
      </c>
      <c r="AU21" s="1">
        <f>VC_NEW2!AP6</f>
        <v>0</v>
      </c>
      <c r="AV21" s="1">
        <f>VC_NEW2!AQ6</f>
        <v>0</v>
      </c>
      <c r="AW21" s="1">
        <f>VC_NEW2!AR6</f>
        <v>0</v>
      </c>
      <c r="AX21" s="1">
        <f>VC_NEW2!AS6</f>
        <v>0</v>
      </c>
      <c r="AY21" s="1">
        <f>VC_NEW2!AT6</f>
        <v>0</v>
      </c>
      <c r="AZ21" s="1">
        <f>VC_NEW2!AU6</f>
        <v>0</v>
      </c>
      <c r="BA21" s="1">
        <f>VC_NEW2!AV6</f>
        <v>0</v>
      </c>
      <c r="BB21" s="1">
        <f>VC_NEW2!AW6</f>
        <v>0</v>
      </c>
      <c r="BC21" s="1">
        <f>VC_NEW2!AX6</f>
        <v>0</v>
      </c>
      <c r="BD21" s="1">
        <f>VC_NEW2!AY6</f>
        <v>0</v>
      </c>
      <c r="BE21" s="1">
        <f>VC_NEW2!AZ6</f>
        <v>0</v>
      </c>
      <c r="BF21" s="1">
        <f>VC_NEW2!BA6</f>
        <v>0</v>
      </c>
      <c r="BG21" s="1">
        <f>VC_NEW2!BB6</f>
        <v>0</v>
      </c>
      <c r="BH21" s="1">
        <f>VC_NEW2!BC6</f>
        <v>0</v>
      </c>
      <c r="BI21" s="1">
        <f>VC_NEW2!BD6</f>
        <v>0</v>
      </c>
      <c r="BJ21" s="1">
        <f>VC_NEW2!BE6</f>
        <v>0</v>
      </c>
      <c r="BK21" s="1">
        <f>VC_NEW2!BF6</f>
        <v>0</v>
      </c>
      <c r="BL21" s="1">
        <f>VC_NEW2!BG6</f>
        <v>0</v>
      </c>
      <c r="BM21" s="1">
        <f>VC_NEW2!BH6</f>
        <v>0</v>
      </c>
      <c r="BN21" s="1" t="str">
        <f>VC_NEW2!BI6</f>
        <v>nt1451InsC</v>
      </c>
      <c r="BO21" s="1">
        <f>VC_NEW2!BJ6</f>
        <v>0</v>
      </c>
      <c r="BP21" s="1">
        <f>VC_NEW2!BK6</f>
        <v>0</v>
      </c>
      <c r="BQ21" s="1">
        <f>VC_NEW2!BL6</f>
        <v>0</v>
      </c>
      <c r="BR21" s="1">
        <f>VC_NEW2!BM6</f>
        <v>0</v>
      </c>
      <c r="BS21" s="1">
        <f>VC_NEW2!BN6</f>
        <v>0</v>
      </c>
      <c r="BT21" s="1">
        <f>VC_NEW2!BO6</f>
        <v>0</v>
      </c>
      <c r="BU21" s="1">
        <f>VC_NEW2!BP6</f>
        <v>0</v>
      </c>
      <c r="BV21" s="1">
        <f>VC_NEW2!BQ6</f>
        <v>0</v>
      </c>
      <c r="BW21" s="1">
        <f>VC_NEW2!BR6</f>
        <v>0</v>
      </c>
      <c r="BX21" s="1">
        <f>VC_NEW2!BS6</f>
        <v>0</v>
      </c>
      <c r="BY21" s="1">
        <f>VC_NEW2!BT6</f>
        <v>0</v>
      </c>
      <c r="BZ21" s="1">
        <f>VC_NEW2!BU6</f>
        <v>0</v>
      </c>
      <c r="CA21" s="1">
        <f>VC_NEW2!BV6</f>
        <v>0</v>
      </c>
      <c r="CB21" s="1">
        <f>VC_NEW2!BW6</f>
        <v>0</v>
      </c>
      <c r="CC21" s="1">
        <f>VC_NEW2!BX6</f>
        <v>0</v>
      </c>
      <c r="CD21" s="1">
        <f>VC_NEW2!BY6</f>
        <v>0</v>
      </c>
      <c r="CE21" s="1">
        <f>VC_NEW2!BZ6</f>
        <v>0</v>
      </c>
      <c r="CF21" s="1">
        <f>VC_NEW2!CA6</f>
        <v>0</v>
      </c>
      <c r="CG21" s="1">
        <f>VC_NEW2!CB6</f>
        <v>0</v>
      </c>
      <c r="CH21" s="1">
        <f>VC_NEW2!CC6</f>
        <v>0</v>
      </c>
      <c r="CI21" s="1">
        <f>VC_NEW2!CD6</f>
        <v>0</v>
      </c>
      <c r="CJ21" s="1">
        <f>VC_NEW2!CE6</f>
        <v>0</v>
      </c>
      <c r="CK21" s="1">
        <f>VC_NEW2!CF6</f>
        <v>0</v>
      </c>
      <c r="CL21" s="1">
        <f>VC_NEW2!CG6</f>
        <v>0</v>
      </c>
      <c r="CM21" s="1">
        <f>VC_NEW2!CH6</f>
        <v>0</v>
      </c>
      <c r="CN21" s="1">
        <f>VC_NEW2!CI6</f>
        <v>0</v>
      </c>
      <c r="CO21" s="1">
        <f>VC_NEW2!CJ6</f>
        <v>0</v>
      </c>
      <c r="CP21" s="1" t="str">
        <f>VC_NEW2!CK6</f>
        <v>T198P</v>
      </c>
      <c r="CQ21" s="1">
        <f>VC_NEW2!CL6</f>
        <v>0</v>
      </c>
      <c r="CR21" s="1">
        <f>VC_NEW2!CM6</f>
        <v>0</v>
      </c>
      <c r="CS21" s="1">
        <f>VC_NEW2!CN6</f>
        <v>0</v>
      </c>
      <c r="CT21" s="1">
        <f>VC_NEW2!CO6</f>
        <v>0</v>
      </c>
      <c r="CU21" s="1">
        <f>VC_NEW2!CP6</f>
        <v>0</v>
      </c>
      <c r="CV21" s="1" t="str">
        <f>VC_NEW2!CQ6</f>
        <v>T180I</v>
      </c>
      <c r="CW21" s="1">
        <f>VC_NEW2!CR6</f>
        <v>0</v>
      </c>
      <c r="CX21" s="1">
        <f>VC_NEW2!CS6</f>
        <v>0</v>
      </c>
      <c r="CY21" s="1">
        <f>VC_NEW2!CT6</f>
        <v>0</v>
      </c>
      <c r="CZ21" s="1">
        <f>VC_NEW2!CU6</f>
        <v>0</v>
      </c>
      <c r="DA21" s="1">
        <f>VC_NEW2!CV6</f>
        <v>0</v>
      </c>
      <c r="DB21" s="1">
        <f>VC_NEW2!CW6</f>
        <v>0</v>
      </c>
      <c r="DC21" s="1">
        <f>VC_NEW2!CX6</f>
        <v>0</v>
      </c>
      <c r="DD21" s="1">
        <f>VC_NEW2!CY6</f>
        <v>0</v>
      </c>
      <c r="DE21" s="1">
        <f>VC_NEW2!CZ6</f>
        <v>0</v>
      </c>
      <c r="DF21" s="1">
        <f>VC_NEW2!DA6</f>
        <v>0</v>
      </c>
      <c r="DG21" s="1">
        <f>VC_NEW2!DB6</f>
        <v>0</v>
      </c>
      <c r="DH21" s="1">
        <f>VC_NEW2!DC6</f>
        <v>0</v>
      </c>
      <c r="DI21" s="1">
        <f>VC_NEW2!DD6</f>
        <v>0</v>
      </c>
      <c r="DJ21" s="1">
        <f>VC_NEW2!DE6</f>
        <v>0</v>
      </c>
      <c r="DK21" s="1">
        <f>VC_NEW2!DF6</f>
        <v>0</v>
      </c>
      <c r="DL21" s="1">
        <f>VC_NEW2!DG6</f>
        <v>0</v>
      </c>
      <c r="DM21" s="1">
        <f>VC_NEW2!DH6</f>
        <v>0</v>
      </c>
      <c r="DN21" s="1">
        <f>VC_NEW2!DI6</f>
        <v>0</v>
      </c>
      <c r="DO21" s="1">
        <f>VC_NEW2!DJ6</f>
        <v>0</v>
      </c>
      <c r="DP21" s="1">
        <f>VC_NEW2!DK6</f>
        <v>0</v>
      </c>
      <c r="DQ21" s="1">
        <f>VC_NEW2!DL6</f>
        <v>0</v>
      </c>
      <c r="DR21" s="1" t="str">
        <f>VC_NEW2!DM6</f>
        <v>nt501∆5</v>
      </c>
      <c r="DS21" s="1">
        <f>VC_NEW2!DN6</f>
        <v>0</v>
      </c>
      <c r="DT21" s="1">
        <f>VC_NEW2!DO6</f>
        <v>0</v>
      </c>
      <c r="DU21" s="1">
        <f>VC_NEW2!DP6</f>
        <v>0</v>
      </c>
      <c r="DV21" s="1">
        <f>VC_NEW2!DQ6</f>
        <v>0</v>
      </c>
      <c r="DW21" s="1">
        <f>VC_NEW2!DR6</f>
        <v>0</v>
      </c>
      <c r="DX21" s="1">
        <f>VC_NEW2!DS6</f>
        <v>0</v>
      </c>
      <c r="DY21" s="1">
        <f>VC_NEW2!DT6</f>
        <v>0</v>
      </c>
      <c r="DZ21" s="1">
        <f>VC_NEW2!DU6</f>
        <v>0</v>
      </c>
      <c r="EA21" s="1">
        <f>VC_NEW2!DV6</f>
        <v>0</v>
      </c>
      <c r="EB21" s="1">
        <f>VC_NEW2!DW6</f>
        <v>0</v>
      </c>
      <c r="EC21" s="1">
        <f>VC_NEW2!DX6</f>
        <v>0</v>
      </c>
      <c r="ED21" s="1">
        <f>VC_NEW2!DY6</f>
        <v>0</v>
      </c>
      <c r="EE21" s="1">
        <f>VC_NEW2!DZ6</f>
        <v>0</v>
      </c>
      <c r="EF21" s="1">
        <f>VC_NEW2!EA6</f>
        <v>0</v>
      </c>
      <c r="EG21" s="1">
        <f>VC_NEW2!EB6</f>
        <v>0</v>
      </c>
      <c r="EH21" s="1">
        <f>VC_NEW2!EC6</f>
        <v>0</v>
      </c>
      <c r="EI21" s="1">
        <f>VC_NEW2!ED6</f>
        <v>0</v>
      </c>
      <c r="EJ21" s="1">
        <f>VC_NEW2!EE6</f>
        <v>0</v>
      </c>
      <c r="EK21" s="1">
        <f>VC_NEW2!EF6</f>
        <v>0</v>
      </c>
      <c r="EL21" s="1">
        <f>VC_NEW2!EG6</f>
        <v>0</v>
      </c>
      <c r="EM21" s="1">
        <f>VC_NEW2!EH6</f>
        <v>0</v>
      </c>
      <c r="EN21" s="1">
        <f>VC_NEW2!EI6</f>
        <v>0</v>
      </c>
      <c r="EO21" s="1">
        <f>VC_NEW2!EJ6</f>
        <v>0</v>
      </c>
      <c r="EP21" s="1">
        <f>VC_NEW2!EK6</f>
        <v>0</v>
      </c>
      <c r="EQ21" s="1">
        <f>VC_NEW2!EL6</f>
        <v>0</v>
      </c>
      <c r="ER21" s="1">
        <f>VC_NEW2!EM6</f>
        <v>0</v>
      </c>
      <c r="ES21" s="1">
        <f>VC_NEW2!EN6</f>
        <v>0</v>
      </c>
      <c r="ET21" s="1">
        <f>VC_NEW2!EO6</f>
        <v>0</v>
      </c>
      <c r="EU21" s="1">
        <f>VC_NEW2!EP6</f>
        <v>0</v>
      </c>
      <c r="EV21" s="1">
        <f>VC_NEW2!EQ6</f>
        <v>0</v>
      </c>
      <c r="EW21" s="1" t="str">
        <f>VC_NEW2!ER6</f>
        <v>Q265E</v>
      </c>
      <c r="EX21" s="1">
        <f>VC_NEW2!ES6</f>
        <v>0</v>
      </c>
      <c r="EY21" s="1">
        <f>VC_NEW2!ET6</f>
        <v>0</v>
      </c>
      <c r="EZ21" s="1">
        <f>VC_NEW2!EU6</f>
        <v>0</v>
      </c>
      <c r="FA21" s="1">
        <f>VC_NEW2!EV6</f>
        <v>0</v>
      </c>
      <c r="FB21" s="1">
        <f>VC_NEW2!EW6</f>
        <v>0</v>
      </c>
      <c r="FC21" s="1">
        <f>VC_NEW2!EX6</f>
        <v>0</v>
      </c>
      <c r="FD21" s="1">
        <f>VC_NEW2!EY6</f>
        <v>0</v>
      </c>
      <c r="FE21" s="1">
        <f>VC_NEW2!EZ6</f>
        <v>0</v>
      </c>
      <c r="FF21" s="1">
        <f>VC_NEW2!FA6</f>
        <v>0</v>
      </c>
      <c r="FG21" s="1">
        <f>VC_NEW2!FB6</f>
        <v>0</v>
      </c>
      <c r="FH21" s="1">
        <f>VC_NEW2!FC6</f>
        <v>0</v>
      </c>
      <c r="FI21" s="1">
        <f>VC_NEW2!FD6</f>
        <v>0</v>
      </c>
      <c r="FJ21" s="1">
        <f>VC_NEW2!FE6</f>
        <v>0</v>
      </c>
      <c r="FK21" s="1">
        <f>VC_NEW2!FF6</f>
        <v>0</v>
      </c>
      <c r="FL21" s="1">
        <f>VC_NEW2!FG6</f>
        <v>0</v>
      </c>
      <c r="FM21" s="1">
        <f>VC_NEW2!FH6</f>
        <v>0</v>
      </c>
      <c r="FN21" s="1">
        <f>VC_NEW2!FI6</f>
        <v>0</v>
      </c>
      <c r="FO21" s="1">
        <f>VC_NEW2!FJ6</f>
        <v>0</v>
      </c>
      <c r="FP21" s="1">
        <f>VC_NEW2!FK6</f>
        <v>0</v>
      </c>
      <c r="FQ21" s="1">
        <f>VC_NEW2!FL6</f>
        <v>0</v>
      </c>
      <c r="FR21" s="1">
        <f>VC_NEW2!FM6</f>
        <v>0</v>
      </c>
      <c r="FS21" s="1">
        <f>VC_NEW2!FN6</f>
        <v>0</v>
      </c>
      <c r="FT21" s="1">
        <f>VC_NEW2!FO6</f>
        <v>0</v>
      </c>
      <c r="FU21" s="1">
        <f>VC_NEW2!FP6</f>
        <v>0</v>
      </c>
      <c r="FV21" s="1">
        <f>VC_NEW2!FQ6</f>
        <v>0</v>
      </c>
      <c r="FW21" s="1">
        <f>VC_NEW2!FR6</f>
        <v>0</v>
      </c>
      <c r="FX21" s="1">
        <f>VC_NEW2!FS6</f>
        <v>0</v>
      </c>
      <c r="FY21" s="1">
        <f>VC_NEW2!FT6</f>
        <v>0</v>
      </c>
      <c r="FZ21" s="1">
        <f>VC_NEW2!FU6</f>
        <v>0</v>
      </c>
      <c r="GA21" s="1">
        <f>VC_NEW2!FV6</f>
        <v>0</v>
      </c>
      <c r="GB21" s="1">
        <f>VC_NEW2!FW6</f>
        <v>0</v>
      </c>
      <c r="GC21" s="1">
        <f>VC_NEW2!FX6</f>
        <v>0</v>
      </c>
      <c r="GD21" s="1">
        <f>VC_NEW2!FY6</f>
        <v>0</v>
      </c>
      <c r="GE21" s="1">
        <f>VC_NEW2!FZ6</f>
        <v>0</v>
      </c>
      <c r="GF21" s="1">
        <f>VC_NEW2!GA6</f>
        <v>0</v>
      </c>
      <c r="GG21" s="1">
        <f>VC_NEW2!GB6</f>
        <v>0</v>
      </c>
      <c r="GH21" s="1">
        <f>VC_NEW2!GC6</f>
        <v>0</v>
      </c>
      <c r="GI21" s="1">
        <f>VC_NEW2!GD6</f>
        <v>0</v>
      </c>
      <c r="GJ21" s="1">
        <f>VC_NEW2!GE6</f>
        <v>0</v>
      </c>
      <c r="GK21" s="1">
        <f>VC_NEW2!GF6</f>
        <v>0</v>
      </c>
      <c r="GL21" s="1">
        <f>VC_NEW2!GG6</f>
        <v>0</v>
      </c>
      <c r="GM21" s="1">
        <f>VC_NEW2!GH6</f>
        <v>0</v>
      </c>
      <c r="GN21" s="1">
        <f>VC_NEW2!GI6</f>
        <v>0</v>
      </c>
      <c r="GO21" s="1">
        <f>VC_NEW2!GJ6</f>
        <v>0</v>
      </c>
      <c r="GP21" s="1">
        <f>VC_NEW2!GK6</f>
        <v>0</v>
      </c>
      <c r="GQ21" s="1">
        <f>VC_NEW2!GL6</f>
        <v>0</v>
      </c>
      <c r="GR21" s="1">
        <f>VC_NEW2!GM6</f>
        <v>0</v>
      </c>
      <c r="GS21" s="1">
        <f>VC_NEW2!GN6</f>
        <v>0</v>
      </c>
      <c r="GT21" s="1">
        <f>VC_NEW2!GO6</f>
        <v>0</v>
      </c>
      <c r="GU21" s="1">
        <f>VC_NEW2!GP6</f>
        <v>0</v>
      </c>
      <c r="GV21" s="1">
        <f>VC_NEW2!GQ6</f>
        <v>0</v>
      </c>
      <c r="GW21" s="1">
        <f>VC_NEW2!GR6</f>
        <v>0</v>
      </c>
      <c r="GX21" s="1">
        <f>VC_NEW2!GS6</f>
        <v>0</v>
      </c>
      <c r="GY21" s="1">
        <f>VC_NEW2!GT6</f>
        <v>0</v>
      </c>
      <c r="GZ21" s="1">
        <f>VC_NEW2!GU6</f>
        <v>0</v>
      </c>
      <c r="HA21" s="1">
        <f>VC_NEW2!GV6</f>
        <v>0</v>
      </c>
      <c r="HB21" s="1">
        <f>VC_NEW2!GW6</f>
        <v>0</v>
      </c>
      <c r="HC21" s="1">
        <f>VC_NEW2!GX6</f>
        <v>0</v>
      </c>
    </row>
    <row r="22" spans="1:211" s="1" customFormat="1" ht="15" hidden="1" customHeight="1" x14ac:dyDescent="0.25">
      <c r="A22" s="44" t="s">
        <v>11</v>
      </c>
      <c r="B22" s="45" t="s">
        <v>12</v>
      </c>
      <c r="C22" s="46" t="s">
        <v>1</v>
      </c>
      <c r="D22" s="45" t="s">
        <v>77</v>
      </c>
      <c r="E22" s="45">
        <v>-0.5</v>
      </c>
      <c r="F22" s="45" t="s">
        <v>74</v>
      </c>
      <c r="G22" s="47" t="s">
        <v>137</v>
      </c>
      <c r="H22" s="1">
        <f>VC_NEW2!C6</f>
        <v>0</v>
      </c>
      <c r="I22" s="1">
        <f>VC_NEW2!D6</f>
        <v>0</v>
      </c>
      <c r="J22" s="1">
        <f>VC_NEW2!E6</f>
        <v>0</v>
      </c>
      <c r="K22" s="1">
        <f>VC_NEW2!F6</f>
        <v>0</v>
      </c>
      <c r="L22" s="1">
        <f>VC_NEW2!G6</f>
        <v>0</v>
      </c>
      <c r="M22" s="1">
        <f>VC_NEW2!H6</f>
        <v>0</v>
      </c>
      <c r="N22" s="1">
        <f>VC_NEW2!I6</f>
        <v>0</v>
      </c>
      <c r="O22" s="1">
        <f>VC_NEW2!J6</f>
        <v>0</v>
      </c>
      <c r="P22" s="1">
        <f>VC_NEW2!K6</f>
        <v>0</v>
      </c>
      <c r="Q22" s="1">
        <f>VC_NEW2!L6</f>
        <v>0</v>
      </c>
      <c r="R22" s="1">
        <f>VC_NEW2!M6</f>
        <v>0</v>
      </c>
      <c r="S22" s="1">
        <f>VC_NEW2!N6</f>
        <v>0</v>
      </c>
      <c r="T22" s="1">
        <f>VC_NEW2!O6</f>
        <v>0</v>
      </c>
      <c r="U22" s="1">
        <f>VC_NEW2!P6</f>
        <v>0</v>
      </c>
      <c r="V22" s="1">
        <f>VC_NEW2!Q6</f>
        <v>0</v>
      </c>
      <c r="W22" s="1">
        <f>VC_NEW2!R6</f>
        <v>0</v>
      </c>
      <c r="X22" s="1">
        <f>VC_NEW2!S6</f>
        <v>0</v>
      </c>
      <c r="Y22" s="1">
        <f>VC_NEW2!T6</f>
        <v>0</v>
      </c>
      <c r="Z22" s="1">
        <f>VC_NEW2!U6</f>
        <v>0</v>
      </c>
      <c r="AA22" s="1">
        <f>VC_NEW2!V6</f>
        <v>0</v>
      </c>
      <c r="AB22" s="1">
        <f>VC_NEW2!W6</f>
        <v>0</v>
      </c>
      <c r="AC22" s="1">
        <f>VC_NEW2!X6</f>
        <v>0</v>
      </c>
      <c r="AD22" s="1">
        <f>VC_NEW2!Y6</f>
        <v>0</v>
      </c>
      <c r="AE22" s="1">
        <f>VC_NEW2!Z6</f>
        <v>0</v>
      </c>
      <c r="AF22" s="1">
        <f>VC_NEW2!AA6</f>
        <v>0</v>
      </c>
      <c r="AG22" s="1">
        <f>VC_NEW2!AB6</f>
        <v>0</v>
      </c>
      <c r="AH22" s="1">
        <f>VC_NEW2!AC6</f>
        <v>0</v>
      </c>
      <c r="AI22" s="1">
        <f>VC_NEW2!AD6</f>
        <v>0</v>
      </c>
      <c r="AJ22" s="1">
        <f>VC_NEW2!AE6</f>
        <v>0</v>
      </c>
      <c r="AK22" s="1">
        <f>VC_NEW2!AF6</f>
        <v>0</v>
      </c>
      <c r="AL22" s="1">
        <f>VC_NEW2!AG6</f>
        <v>0</v>
      </c>
      <c r="AM22" s="1">
        <f>VC_NEW2!AH6</f>
        <v>0</v>
      </c>
      <c r="AN22" s="1">
        <f>VC_NEW2!AI6</f>
        <v>0</v>
      </c>
      <c r="AO22" s="1">
        <f>VC_NEW2!AJ6</f>
        <v>0</v>
      </c>
      <c r="AP22" s="1">
        <f>VC_NEW2!AK6</f>
        <v>0</v>
      </c>
      <c r="AQ22" s="1">
        <f>VC_NEW2!AL6</f>
        <v>0</v>
      </c>
      <c r="AR22" s="1">
        <f>VC_NEW2!AM6</f>
        <v>0</v>
      </c>
      <c r="AS22" s="1">
        <f>VC_NEW2!AN6</f>
        <v>0</v>
      </c>
      <c r="AT22" s="1">
        <f>VC_NEW2!AO6</f>
        <v>0</v>
      </c>
      <c r="AU22" s="1">
        <f>VC_NEW2!AP6</f>
        <v>0</v>
      </c>
      <c r="AV22" s="1">
        <f>VC_NEW2!AQ6</f>
        <v>0</v>
      </c>
      <c r="AW22" s="1">
        <f>VC_NEW2!AR6</f>
        <v>0</v>
      </c>
      <c r="AX22" s="1">
        <f>VC_NEW2!AS6</f>
        <v>0</v>
      </c>
      <c r="AY22" s="1">
        <f>VC_NEW2!AT6</f>
        <v>0</v>
      </c>
      <c r="AZ22" s="1">
        <f>VC_NEW2!AU6</f>
        <v>0</v>
      </c>
      <c r="BA22" s="1">
        <f>VC_NEW2!AV6</f>
        <v>0</v>
      </c>
      <c r="BB22" s="1">
        <f>VC_NEW2!AW6</f>
        <v>0</v>
      </c>
      <c r="BC22" s="1">
        <f>VC_NEW2!AX6</f>
        <v>0</v>
      </c>
      <c r="BD22" s="1">
        <f>VC_NEW2!AY6</f>
        <v>0</v>
      </c>
      <c r="BE22" s="1">
        <f>VC_NEW2!AZ6</f>
        <v>0</v>
      </c>
      <c r="BF22" s="1">
        <f>VC_NEW2!BA6</f>
        <v>0</v>
      </c>
      <c r="BG22" s="1">
        <f>VC_NEW2!BB6</f>
        <v>0</v>
      </c>
      <c r="BH22" s="1">
        <f>VC_NEW2!BC6</f>
        <v>0</v>
      </c>
      <c r="BI22" s="1">
        <f>VC_NEW2!BD6</f>
        <v>0</v>
      </c>
      <c r="BJ22" s="1">
        <f>VC_NEW2!BE6</f>
        <v>0</v>
      </c>
      <c r="BK22" s="1">
        <f>VC_NEW2!BF6</f>
        <v>0</v>
      </c>
      <c r="BL22" s="1">
        <f>VC_NEW2!BG6</f>
        <v>0</v>
      </c>
      <c r="BM22" s="1">
        <f>VC_NEW2!BH6</f>
        <v>0</v>
      </c>
      <c r="BN22" s="1" t="str">
        <f>VC_NEW2!BI6</f>
        <v>nt1451InsC</v>
      </c>
      <c r="BO22" s="1">
        <f>VC_NEW2!BJ6</f>
        <v>0</v>
      </c>
      <c r="BP22" s="1">
        <f>VC_NEW2!BK6</f>
        <v>0</v>
      </c>
      <c r="BQ22" s="1">
        <f>VC_NEW2!BL6</f>
        <v>0</v>
      </c>
      <c r="BR22" s="1">
        <f>VC_NEW2!BM6</f>
        <v>0</v>
      </c>
      <c r="BS22" s="1">
        <f>VC_NEW2!BN6</f>
        <v>0</v>
      </c>
      <c r="BT22" s="1">
        <f>VC_NEW2!BO6</f>
        <v>0</v>
      </c>
      <c r="BU22" s="1">
        <f>VC_NEW2!BP6</f>
        <v>0</v>
      </c>
      <c r="BV22" s="1">
        <f>VC_NEW2!BQ6</f>
        <v>0</v>
      </c>
      <c r="BW22" s="1">
        <f>VC_NEW2!BR6</f>
        <v>0</v>
      </c>
      <c r="BX22" s="1">
        <f>VC_NEW2!BS6</f>
        <v>0</v>
      </c>
      <c r="BY22" s="1">
        <f>VC_NEW2!BT6</f>
        <v>0</v>
      </c>
      <c r="BZ22" s="1">
        <f>VC_NEW2!BU6</f>
        <v>0</v>
      </c>
      <c r="CA22" s="1">
        <f>VC_NEW2!BV6</f>
        <v>0</v>
      </c>
      <c r="CB22" s="1">
        <f>VC_NEW2!BW6</f>
        <v>0</v>
      </c>
      <c r="CC22" s="1">
        <f>VC_NEW2!BX6</f>
        <v>0</v>
      </c>
      <c r="CD22" s="1">
        <f>VC_NEW2!BY6</f>
        <v>0</v>
      </c>
      <c r="CE22" s="1">
        <f>VC_NEW2!BZ6</f>
        <v>0</v>
      </c>
      <c r="CF22" s="1">
        <f>VC_NEW2!CA6</f>
        <v>0</v>
      </c>
      <c r="CG22" s="1">
        <f>VC_NEW2!CB6</f>
        <v>0</v>
      </c>
      <c r="CH22" s="1">
        <f>VC_NEW2!CC6</f>
        <v>0</v>
      </c>
      <c r="CI22" s="1">
        <f>VC_NEW2!CD6</f>
        <v>0</v>
      </c>
      <c r="CJ22" s="1">
        <f>VC_NEW2!CE6</f>
        <v>0</v>
      </c>
      <c r="CK22" s="1">
        <f>VC_NEW2!CF6</f>
        <v>0</v>
      </c>
      <c r="CL22" s="1">
        <f>VC_NEW2!CG6</f>
        <v>0</v>
      </c>
      <c r="CM22" s="1">
        <f>VC_NEW2!CH6</f>
        <v>0</v>
      </c>
      <c r="CN22" s="1">
        <f>VC_NEW2!CI6</f>
        <v>0</v>
      </c>
      <c r="CO22" s="1">
        <f>VC_NEW2!CJ6</f>
        <v>0</v>
      </c>
      <c r="CP22" s="1" t="str">
        <f>VC_NEW2!CK6</f>
        <v>T198P</v>
      </c>
      <c r="CQ22" s="1">
        <f>VC_NEW2!CL6</f>
        <v>0</v>
      </c>
      <c r="CR22" s="1">
        <f>VC_NEW2!CM6</f>
        <v>0</v>
      </c>
      <c r="CS22" s="1">
        <f>VC_NEW2!CN6</f>
        <v>0</v>
      </c>
      <c r="CT22" s="1">
        <f>VC_NEW2!CO6</f>
        <v>0</v>
      </c>
      <c r="CU22" s="1">
        <f>VC_NEW2!CP6</f>
        <v>0</v>
      </c>
      <c r="CV22" s="1" t="str">
        <f>VC_NEW2!CQ6</f>
        <v>T180I</v>
      </c>
      <c r="CW22" s="1">
        <f>VC_NEW2!CR6</f>
        <v>0</v>
      </c>
      <c r="CX22" s="1">
        <f>VC_NEW2!CS6</f>
        <v>0</v>
      </c>
      <c r="CY22" s="1">
        <f>VC_NEW2!CT6</f>
        <v>0</v>
      </c>
      <c r="CZ22" s="1">
        <f>VC_NEW2!CU6</f>
        <v>0</v>
      </c>
      <c r="DA22" s="1">
        <f>VC_NEW2!CV6</f>
        <v>0</v>
      </c>
      <c r="DB22" s="1">
        <f>VC_NEW2!CW6</f>
        <v>0</v>
      </c>
      <c r="DC22" s="1">
        <f>VC_NEW2!CX6</f>
        <v>0</v>
      </c>
      <c r="DD22" s="1">
        <f>VC_NEW2!CY6</f>
        <v>0</v>
      </c>
      <c r="DE22" s="1">
        <f>VC_NEW2!CZ6</f>
        <v>0</v>
      </c>
      <c r="DF22" s="1">
        <f>VC_NEW2!DA6</f>
        <v>0</v>
      </c>
      <c r="DG22" s="1">
        <f>VC_NEW2!DB6</f>
        <v>0</v>
      </c>
      <c r="DH22" s="1">
        <f>VC_NEW2!DC6</f>
        <v>0</v>
      </c>
      <c r="DI22" s="1">
        <f>VC_NEW2!DD6</f>
        <v>0</v>
      </c>
      <c r="DJ22" s="1">
        <f>VC_NEW2!DE6</f>
        <v>0</v>
      </c>
      <c r="DK22" s="1">
        <f>VC_NEW2!DF6</f>
        <v>0</v>
      </c>
      <c r="DL22" s="1">
        <f>VC_NEW2!DG6</f>
        <v>0</v>
      </c>
      <c r="DM22" s="1">
        <f>VC_NEW2!DH6</f>
        <v>0</v>
      </c>
      <c r="DN22" s="1">
        <f>VC_NEW2!DI6</f>
        <v>0</v>
      </c>
      <c r="DO22" s="1">
        <f>VC_NEW2!DJ6</f>
        <v>0</v>
      </c>
      <c r="DP22" s="1">
        <f>VC_NEW2!DK6</f>
        <v>0</v>
      </c>
      <c r="DQ22" s="1">
        <f>VC_NEW2!DL6</f>
        <v>0</v>
      </c>
      <c r="DR22" s="1" t="str">
        <f>VC_NEW2!DM6</f>
        <v>nt501∆5</v>
      </c>
      <c r="DS22" s="1">
        <f>VC_NEW2!DN6</f>
        <v>0</v>
      </c>
      <c r="DT22" s="1">
        <f>VC_NEW2!DO6</f>
        <v>0</v>
      </c>
      <c r="DU22" s="1">
        <f>VC_NEW2!DP6</f>
        <v>0</v>
      </c>
      <c r="DV22" s="1">
        <f>VC_NEW2!DQ6</f>
        <v>0</v>
      </c>
      <c r="DW22" s="1">
        <f>VC_NEW2!DR6</f>
        <v>0</v>
      </c>
      <c r="DX22" s="1">
        <f>VC_NEW2!DS6</f>
        <v>0</v>
      </c>
      <c r="DY22" s="1">
        <f>VC_NEW2!DT6</f>
        <v>0</v>
      </c>
      <c r="DZ22" s="1">
        <f>VC_NEW2!DU6</f>
        <v>0</v>
      </c>
      <c r="EA22" s="1">
        <f>VC_NEW2!DV6</f>
        <v>0</v>
      </c>
      <c r="EB22" s="1">
        <f>VC_NEW2!DW6</f>
        <v>0</v>
      </c>
      <c r="EC22" s="1">
        <f>VC_NEW2!DX6</f>
        <v>0</v>
      </c>
      <c r="ED22" s="1">
        <f>VC_NEW2!DY6</f>
        <v>0</v>
      </c>
      <c r="EE22" s="1">
        <f>VC_NEW2!DZ6</f>
        <v>0</v>
      </c>
      <c r="EF22" s="1">
        <f>VC_NEW2!EA6</f>
        <v>0</v>
      </c>
      <c r="EG22" s="1">
        <f>VC_NEW2!EB6</f>
        <v>0</v>
      </c>
      <c r="EH22" s="1">
        <f>VC_NEW2!EC6</f>
        <v>0</v>
      </c>
      <c r="EI22" s="1">
        <f>VC_NEW2!ED6</f>
        <v>0</v>
      </c>
      <c r="EJ22" s="1">
        <f>VC_NEW2!EE6</f>
        <v>0</v>
      </c>
      <c r="EK22" s="1">
        <f>VC_NEW2!EF6</f>
        <v>0</v>
      </c>
      <c r="EL22" s="1">
        <f>VC_NEW2!EG6</f>
        <v>0</v>
      </c>
      <c r="EM22" s="1">
        <f>VC_NEW2!EH6</f>
        <v>0</v>
      </c>
      <c r="EN22" s="1">
        <f>VC_NEW2!EI6</f>
        <v>0</v>
      </c>
      <c r="EO22" s="1">
        <f>VC_NEW2!EJ6</f>
        <v>0</v>
      </c>
      <c r="EP22" s="1">
        <f>VC_NEW2!EK6</f>
        <v>0</v>
      </c>
      <c r="EQ22" s="1">
        <f>VC_NEW2!EL6</f>
        <v>0</v>
      </c>
      <c r="ER22" s="1">
        <f>VC_NEW2!EM6</f>
        <v>0</v>
      </c>
      <c r="ES22" s="1">
        <f>VC_NEW2!EN6</f>
        <v>0</v>
      </c>
      <c r="ET22" s="1">
        <f>VC_NEW2!EO6</f>
        <v>0</v>
      </c>
      <c r="EU22" s="1">
        <f>VC_NEW2!EP6</f>
        <v>0</v>
      </c>
      <c r="EV22" s="1">
        <f>VC_NEW2!EQ6</f>
        <v>0</v>
      </c>
      <c r="EW22" s="1" t="str">
        <f>VC_NEW2!ER6</f>
        <v>Q265E</v>
      </c>
      <c r="EX22" s="1">
        <f>VC_NEW2!ES6</f>
        <v>0</v>
      </c>
      <c r="EY22" s="1">
        <f>VC_NEW2!ET6</f>
        <v>0</v>
      </c>
      <c r="EZ22" s="1">
        <f>VC_NEW2!EU6</f>
        <v>0</v>
      </c>
      <c r="FA22" s="1">
        <f>VC_NEW2!EV6</f>
        <v>0</v>
      </c>
      <c r="FB22" s="1">
        <f>VC_NEW2!EW6</f>
        <v>0</v>
      </c>
      <c r="FC22" s="1">
        <f>VC_NEW2!EX6</f>
        <v>0</v>
      </c>
      <c r="FD22" s="1">
        <f>VC_NEW2!EY6</f>
        <v>0</v>
      </c>
      <c r="FE22" s="1">
        <f>VC_NEW2!EZ6</f>
        <v>0</v>
      </c>
      <c r="FF22" s="1">
        <f>VC_NEW2!FA6</f>
        <v>0</v>
      </c>
      <c r="FG22" s="1">
        <f>VC_NEW2!FB6</f>
        <v>0</v>
      </c>
      <c r="FH22" s="1">
        <f>VC_NEW2!FC6</f>
        <v>0</v>
      </c>
      <c r="FI22" s="1">
        <f>VC_NEW2!FD6</f>
        <v>0</v>
      </c>
      <c r="FJ22" s="1">
        <f>VC_NEW2!FE6</f>
        <v>0</v>
      </c>
      <c r="FK22" s="1">
        <f>VC_NEW2!FF6</f>
        <v>0</v>
      </c>
      <c r="FL22" s="1">
        <f>VC_NEW2!FG6</f>
        <v>0</v>
      </c>
      <c r="FM22" s="1">
        <f>VC_NEW2!FH6</f>
        <v>0</v>
      </c>
      <c r="FN22" s="1">
        <f>VC_NEW2!FI6</f>
        <v>0</v>
      </c>
      <c r="FO22" s="1">
        <f>VC_NEW2!FJ6</f>
        <v>0</v>
      </c>
      <c r="FP22" s="1">
        <f>VC_NEW2!FK6</f>
        <v>0</v>
      </c>
      <c r="FQ22" s="1">
        <f>VC_NEW2!FL6</f>
        <v>0</v>
      </c>
      <c r="FR22" s="1">
        <f>VC_NEW2!FM6</f>
        <v>0</v>
      </c>
      <c r="FS22" s="1">
        <f>VC_NEW2!FN6</f>
        <v>0</v>
      </c>
      <c r="FT22" s="1">
        <f>VC_NEW2!FO6</f>
        <v>0</v>
      </c>
      <c r="FU22" s="1">
        <f>VC_NEW2!FP6</f>
        <v>0</v>
      </c>
      <c r="FV22" s="1">
        <f>VC_NEW2!FQ6</f>
        <v>0</v>
      </c>
      <c r="FW22" s="1">
        <f>VC_NEW2!FR6</f>
        <v>0</v>
      </c>
      <c r="FX22" s="1">
        <f>VC_NEW2!FS6</f>
        <v>0</v>
      </c>
      <c r="FY22" s="1">
        <f>VC_NEW2!FT6</f>
        <v>0</v>
      </c>
      <c r="FZ22" s="1">
        <f>VC_NEW2!FU6</f>
        <v>0</v>
      </c>
      <c r="GA22" s="1">
        <f>VC_NEW2!FV6</f>
        <v>0</v>
      </c>
      <c r="GB22" s="1">
        <f>VC_NEW2!FW6</f>
        <v>0</v>
      </c>
      <c r="GC22" s="1">
        <f>VC_NEW2!FX6</f>
        <v>0</v>
      </c>
      <c r="GD22" s="1">
        <f>VC_NEW2!FY6</f>
        <v>0</v>
      </c>
      <c r="GE22" s="1">
        <f>VC_NEW2!FZ6</f>
        <v>0</v>
      </c>
      <c r="GF22" s="1">
        <f>VC_NEW2!GA6</f>
        <v>0</v>
      </c>
      <c r="GG22" s="1">
        <f>VC_NEW2!GB6</f>
        <v>0</v>
      </c>
      <c r="GH22" s="1">
        <f>VC_NEW2!GC6</f>
        <v>0</v>
      </c>
      <c r="GI22" s="1">
        <f>VC_NEW2!GD6</f>
        <v>0</v>
      </c>
      <c r="GJ22" s="1">
        <f>VC_NEW2!GE6</f>
        <v>0</v>
      </c>
      <c r="GK22" s="1">
        <f>VC_NEW2!GF6</f>
        <v>0</v>
      </c>
      <c r="GL22" s="1">
        <f>VC_NEW2!GG6</f>
        <v>0</v>
      </c>
      <c r="GM22" s="1">
        <f>VC_NEW2!GH6</f>
        <v>0</v>
      </c>
      <c r="GN22" s="1">
        <f>VC_NEW2!GI6</f>
        <v>0</v>
      </c>
      <c r="GO22" s="1">
        <f>VC_NEW2!GJ6</f>
        <v>0</v>
      </c>
      <c r="GP22" s="1">
        <f>VC_NEW2!GK6</f>
        <v>0</v>
      </c>
      <c r="GQ22" s="1">
        <f>VC_NEW2!GL6</f>
        <v>0</v>
      </c>
      <c r="GR22" s="1">
        <f>VC_NEW2!GM6</f>
        <v>0</v>
      </c>
      <c r="GS22" s="1">
        <f>VC_NEW2!GN6</f>
        <v>0</v>
      </c>
      <c r="GT22" s="1">
        <f>VC_NEW2!GO6</f>
        <v>0</v>
      </c>
      <c r="GU22" s="1">
        <f>VC_NEW2!GP6</f>
        <v>0</v>
      </c>
      <c r="GV22" s="1">
        <f>VC_NEW2!GQ6</f>
        <v>0</v>
      </c>
      <c r="GW22" s="1">
        <f>VC_NEW2!GR6</f>
        <v>0</v>
      </c>
      <c r="GX22" s="1">
        <f>VC_NEW2!GS6</f>
        <v>0</v>
      </c>
      <c r="GY22" s="1">
        <f>VC_NEW2!GT6</f>
        <v>0</v>
      </c>
      <c r="GZ22" s="1">
        <f>VC_NEW2!GU6</f>
        <v>0</v>
      </c>
      <c r="HA22" s="1">
        <f>VC_NEW2!GV6</f>
        <v>0</v>
      </c>
      <c r="HB22" s="1">
        <f>VC_NEW2!GW6</f>
        <v>0</v>
      </c>
      <c r="HC22" s="1">
        <f>VC_NEW2!GX6</f>
        <v>0</v>
      </c>
    </row>
    <row r="23" spans="1:211" s="1" customFormat="1" ht="15" customHeight="1" x14ac:dyDescent="0.25">
      <c r="A23" s="44" t="s">
        <v>11</v>
      </c>
      <c r="B23" s="45" t="s">
        <v>12</v>
      </c>
      <c r="C23" s="46" t="s">
        <v>2</v>
      </c>
      <c r="D23" s="45" t="s">
        <v>77</v>
      </c>
      <c r="E23" s="45">
        <v>-0.5</v>
      </c>
      <c r="F23" s="45" t="s">
        <v>74</v>
      </c>
      <c r="G23" s="47" t="s">
        <v>137</v>
      </c>
      <c r="H23" s="1">
        <f>VC_NEW2!C6</f>
        <v>0</v>
      </c>
      <c r="I23" s="1">
        <f>VC_NEW2!D6</f>
        <v>0</v>
      </c>
      <c r="J23" s="1">
        <f>VC_NEW2!E6</f>
        <v>0</v>
      </c>
      <c r="K23" s="1">
        <f>VC_NEW2!F6</f>
        <v>0</v>
      </c>
      <c r="L23" s="1">
        <f>VC_NEW2!G6</f>
        <v>0</v>
      </c>
      <c r="M23" s="1">
        <f>VC_NEW2!H6</f>
        <v>0</v>
      </c>
      <c r="N23" s="1">
        <f>VC_NEW2!I6</f>
        <v>0</v>
      </c>
      <c r="O23" s="1">
        <f>VC_NEW2!J6</f>
        <v>0</v>
      </c>
      <c r="P23" s="1">
        <f>VC_NEW2!K6</f>
        <v>0</v>
      </c>
      <c r="Q23" s="1">
        <f>VC_NEW2!L6</f>
        <v>0</v>
      </c>
      <c r="R23" s="1">
        <f>VC_NEW2!M6</f>
        <v>0</v>
      </c>
      <c r="S23" s="1">
        <f>VC_NEW2!N6</f>
        <v>0</v>
      </c>
      <c r="T23" s="1">
        <f>VC_NEW2!O6</f>
        <v>0</v>
      </c>
      <c r="U23" s="1">
        <f>VC_NEW2!P6</f>
        <v>0</v>
      </c>
      <c r="V23" s="1">
        <f>VC_NEW2!Q6</f>
        <v>0</v>
      </c>
      <c r="W23" s="1">
        <f>VC_NEW2!R6</f>
        <v>0</v>
      </c>
      <c r="X23" s="1">
        <f>VC_NEW2!S6</f>
        <v>0</v>
      </c>
      <c r="Y23" s="1">
        <f>VC_NEW2!T6</f>
        <v>0</v>
      </c>
      <c r="Z23" s="1">
        <f>VC_NEW2!U6</f>
        <v>0</v>
      </c>
      <c r="AA23" s="1">
        <f>VC_NEW2!V6</f>
        <v>0</v>
      </c>
      <c r="AB23" s="1">
        <f>VC_NEW2!W6</f>
        <v>0</v>
      </c>
      <c r="AC23" s="1">
        <f>VC_NEW2!X6</f>
        <v>0</v>
      </c>
      <c r="AD23" s="1">
        <f>VC_NEW2!Y6</f>
        <v>0</v>
      </c>
      <c r="AE23" s="1">
        <f>VC_NEW2!Z6</f>
        <v>0</v>
      </c>
      <c r="AF23" s="1">
        <f>VC_NEW2!AA6</f>
        <v>0</v>
      </c>
      <c r="AG23" s="1">
        <f>VC_NEW2!AB6</f>
        <v>0</v>
      </c>
      <c r="AH23" s="1">
        <f>VC_NEW2!AC6</f>
        <v>0</v>
      </c>
      <c r="AI23" s="1">
        <f>VC_NEW2!AD6</f>
        <v>0</v>
      </c>
      <c r="AJ23" s="1">
        <f>VC_NEW2!AE6</f>
        <v>0</v>
      </c>
      <c r="AK23" s="1">
        <f>VC_NEW2!AF6</f>
        <v>0</v>
      </c>
      <c r="AL23" s="1">
        <f>VC_NEW2!AG6</f>
        <v>0</v>
      </c>
      <c r="AM23" s="1">
        <f>VC_NEW2!AH6</f>
        <v>0</v>
      </c>
      <c r="AN23" s="1">
        <f>VC_NEW2!AI6</f>
        <v>0</v>
      </c>
      <c r="AO23" s="1">
        <f>VC_NEW2!AJ6</f>
        <v>0</v>
      </c>
      <c r="AP23" s="1">
        <f>VC_NEW2!AK6</f>
        <v>0</v>
      </c>
      <c r="AQ23" s="1">
        <f>VC_NEW2!AL6</f>
        <v>0</v>
      </c>
      <c r="AR23" s="1">
        <f>VC_NEW2!AM6</f>
        <v>0</v>
      </c>
      <c r="AS23" s="1">
        <f>VC_NEW2!AN6</f>
        <v>0</v>
      </c>
      <c r="AT23" s="1">
        <f>VC_NEW2!AO6</f>
        <v>0</v>
      </c>
      <c r="AU23" s="1">
        <f>VC_NEW2!AP6</f>
        <v>0</v>
      </c>
      <c r="AV23" s="1">
        <f>VC_NEW2!AQ6</f>
        <v>0</v>
      </c>
      <c r="AW23" s="1">
        <f>VC_NEW2!AR6</f>
        <v>0</v>
      </c>
      <c r="AX23" s="1">
        <f>VC_NEW2!AS6</f>
        <v>0</v>
      </c>
      <c r="AY23" s="1">
        <f>VC_NEW2!AT6</f>
        <v>0</v>
      </c>
      <c r="AZ23" s="1">
        <f>VC_NEW2!AU6</f>
        <v>0</v>
      </c>
      <c r="BA23" s="1">
        <f>VC_NEW2!AV6</f>
        <v>0</v>
      </c>
      <c r="BB23" s="1">
        <f>VC_NEW2!AW6</f>
        <v>0</v>
      </c>
      <c r="BC23" s="1">
        <f>VC_NEW2!AX6</f>
        <v>0</v>
      </c>
      <c r="BD23" s="1">
        <f>VC_NEW2!AY6</f>
        <v>0</v>
      </c>
      <c r="BE23" s="1">
        <f>VC_NEW2!AZ6</f>
        <v>0</v>
      </c>
      <c r="BF23" s="1">
        <f>VC_NEW2!BA6</f>
        <v>0</v>
      </c>
      <c r="BG23" s="1">
        <f>VC_NEW2!BB6</f>
        <v>0</v>
      </c>
      <c r="BH23" s="1">
        <f>VC_NEW2!BC6</f>
        <v>0</v>
      </c>
      <c r="BI23" s="1">
        <f>VC_NEW2!BD6</f>
        <v>0</v>
      </c>
      <c r="BJ23" s="1">
        <f>VC_NEW2!BE6</f>
        <v>0</v>
      </c>
      <c r="BK23" s="1">
        <f>VC_NEW2!BF6</f>
        <v>0</v>
      </c>
      <c r="BL23" s="1">
        <f>VC_NEW2!BG6</f>
        <v>0</v>
      </c>
      <c r="BM23" s="1">
        <f>VC_NEW2!BH6</f>
        <v>0</v>
      </c>
      <c r="BN23" s="1" t="str">
        <f>VC_NEW2!BI6</f>
        <v>nt1451InsC</v>
      </c>
      <c r="BO23" s="1">
        <f>VC_NEW2!BJ6</f>
        <v>0</v>
      </c>
      <c r="BP23" s="1">
        <f>VC_NEW2!BK6</f>
        <v>0</v>
      </c>
      <c r="BQ23" s="1">
        <f>VC_NEW2!BL6</f>
        <v>0</v>
      </c>
      <c r="BR23" s="1">
        <f>VC_NEW2!BM6</f>
        <v>0</v>
      </c>
      <c r="BS23" s="1">
        <f>VC_NEW2!BN6</f>
        <v>0</v>
      </c>
      <c r="BT23" s="1">
        <f>VC_NEW2!BO6</f>
        <v>0</v>
      </c>
      <c r="BU23" s="1">
        <f>VC_NEW2!BP6</f>
        <v>0</v>
      </c>
      <c r="BV23" s="1">
        <f>VC_NEW2!BQ6</f>
        <v>0</v>
      </c>
      <c r="BW23" s="1">
        <f>VC_NEW2!BR6</f>
        <v>0</v>
      </c>
      <c r="BX23" s="1">
        <f>VC_NEW2!BS6</f>
        <v>0</v>
      </c>
      <c r="BY23" s="1">
        <f>VC_NEW2!BT6</f>
        <v>0</v>
      </c>
      <c r="BZ23" s="1">
        <f>VC_NEW2!BU6</f>
        <v>0</v>
      </c>
      <c r="CA23" s="1">
        <f>VC_NEW2!BV6</f>
        <v>0</v>
      </c>
      <c r="CB23" s="1">
        <f>VC_NEW2!BW6</f>
        <v>0</v>
      </c>
      <c r="CC23" s="1">
        <f>VC_NEW2!BX6</f>
        <v>0</v>
      </c>
      <c r="CD23" s="1">
        <f>VC_NEW2!BY6</f>
        <v>0</v>
      </c>
      <c r="CE23" s="1">
        <f>VC_NEW2!BZ6</f>
        <v>0</v>
      </c>
      <c r="CF23" s="1">
        <f>VC_NEW2!CA6</f>
        <v>0</v>
      </c>
      <c r="CG23" s="1">
        <f>VC_NEW2!CB6</f>
        <v>0</v>
      </c>
      <c r="CH23" s="1">
        <f>VC_NEW2!CC6</f>
        <v>0</v>
      </c>
      <c r="CI23" s="1">
        <f>VC_NEW2!CD6</f>
        <v>0</v>
      </c>
      <c r="CJ23" s="1">
        <f>VC_NEW2!CE6</f>
        <v>0</v>
      </c>
      <c r="CK23" s="1">
        <f>VC_NEW2!CF6</f>
        <v>0</v>
      </c>
      <c r="CL23" s="1">
        <f>VC_NEW2!CG6</f>
        <v>0</v>
      </c>
      <c r="CM23" s="1">
        <f>VC_NEW2!CH6</f>
        <v>0</v>
      </c>
      <c r="CN23" s="1">
        <f>VC_NEW2!CI6</f>
        <v>0</v>
      </c>
      <c r="CO23" s="1">
        <f>VC_NEW2!CJ6</f>
        <v>0</v>
      </c>
      <c r="CP23" s="1" t="str">
        <f>VC_NEW2!CK6</f>
        <v>T198P</v>
      </c>
      <c r="CQ23" s="1">
        <f>VC_NEW2!CL6</f>
        <v>0</v>
      </c>
      <c r="CR23" s="1">
        <f>VC_NEW2!CM6</f>
        <v>0</v>
      </c>
      <c r="CS23" s="1">
        <f>VC_NEW2!CN6</f>
        <v>0</v>
      </c>
      <c r="CT23" s="1">
        <f>VC_NEW2!CO6</f>
        <v>0</v>
      </c>
      <c r="CU23" s="1">
        <f>VC_NEW2!CP6</f>
        <v>0</v>
      </c>
      <c r="CV23" s="1" t="str">
        <f>VC_NEW2!CQ6</f>
        <v>T180I</v>
      </c>
      <c r="CW23" s="1">
        <f>VC_NEW2!CR6</f>
        <v>0</v>
      </c>
      <c r="CX23" s="1">
        <f>VC_NEW2!CS6</f>
        <v>0</v>
      </c>
      <c r="CY23" s="1">
        <f>VC_NEW2!CT6</f>
        <v>0</v>
      </c>
      <c r="CZ23" s="1">
        <f>VC_NEW2!CU6</f>
        <v>0</v>
      </c>
      <c r="DA23" s="1">
        <f>VC_NEW2!CV6</f>
        <v>0</v>
      </c>
      <c r="DB23" s="1">
        <f>VC_NEW2!CW6</f>
        <v>0</v>
      </c>
      <c r="DC23" s="1">
        <f>VC_NEW2!CX6</f>
        <v>0</v>
      </c>
      <c r="DD23" s="1">
        <f>VC_NEW2!CY6</f>
        <v>0</v>
      </c>
      <c r="DE23" s="1">
        <f>VC_NEW2!CZ6</f>
        <v>0</v>
      </c>
      <c r="DF23" s="1">
        <f>VC_NEW2!DA6</f>
        <v>0</v>
      </c>
      <c r="DG23" s="1">
        <f>VC_NEW2!DB6</f>
        <v>0</v>
      </c>
      <c r="DH23" s="1">
        <f>VC_NEW2!DC6</f>
        <v>0</v>
      </c>
      <c r="DI23" s="1">
        <f>VC_NEW2!DD6</f>
        <v>0</v>
      </c>
      <c r="DJ23" s="1">
        <f>VC_NEW2!DE6</f>
        <v>0</v>
      </c>
      <c r="DK23" s="1">
        <f>VC_NEW2!DF6</f>
        <v>0</v>
      </c>
      <c r="DL23" s="1">
        <f>VC_NEW2!DG6</f>
        <v>0</v>
      </c>
      <c r="DM23" s="1">
        <f>VC_NEW2!DH6</f>
        <v>0</v>
      </c>
      <c r="DN23" s="1">
        <f>VC_NEW2!DI6</f>
        <v>0</v>
      </c>
      <c r="DO23" s="1">
        <f>VC_NEW2!DJ6</f>
        <v>0</v>
      </c>
      <c r="DP23" s="1">
        <f>VC_NEW2!DK6</f>
        <v>0</v>
      </c>
      <c r="DQ23" s="1">
        <f>VC_NEW2!DL6</f>
        <v>0</v>
      </c>
      <c r="DR23" s="1" t="str">
        <f>VC_NEW2!DM6</f>
        <v>nt501∆5</v>
      </c>
      <c r="DS23" s="1">
        <f>VC_NEW2!DN6</f>
        <v>0</v>
      </c>
      <c r="DT23" s="1">
        <f>VC_NEW2!DO6</f>
        <v>0</v>
      </c>
      <c r="DU23" s="1">
        <f>VC_NEW2!DP6</f>
        <v>0</v>
      </c>
      <c r="DV23" s="1">
        <f>VC_NEW2!DQ6</f>
        <v>0</v>
      </c>
      <c r="DW23" s="1">
        <f>VC_NEW2!DR6</f>
        <v>0</v>
      </c>
      <c r="DX23" s="1">
        <f>VC_NEW2!DS6</f>
        <v>0</v>
      </c>
      <c r="DY23" s="1">
        <f>VC_NEW2!DT6</f>
        <v>0</v>
      </c>
      <c r="DZ23" s="1">
        <f>VC_NEW2!DU6</f>
        <v>0</v>
      </c>
      <c r="EA23" s="1">
        <f>VC_NEW2!DV6</f>
        <v>0</v>
      </c>
      <c r="EB23" s="1">
        <f>VC_NEW2!DW6</f>
        <v>0</v>
      </c>
      <c r="EC23" s="1">
        <f>VC_NEW2!DX6</f>
        <v>0</v>
      </c>
      <c r="ED23" s="1">
        <f>VC_NEW2!DY6</f>
        <v>0</v>
      </c>
      <c r="EE23" s="1">
        <f>VC_NEW2!DZ6</f>
        <v>0</v>
      </c>
      <c r="EF23" s="1">
        <f>VC_NEW2!EA6</f>
        <v>0</v>
      </c>
      <c r="EG23" s="1">
        <f>VC_NEW2!EB6</f>
        <v>0</v>
      </c>
      <c r="EH23" s="1">
        <f>VC_NEW2!EC6</f>
        <v>0</v>
      </c>
      <c r="EI23" s="1">
        <f>VC_NEW2!ED6</f>
        <v>0</v>
      </c>
      <c r="EJ23" s="1">
        <f>VC_NEW2!EE6</f>
        <v>0</v>
      </c>
      <c r="EK23" s="1">
        <f>VC_NEW2!EF6</f>
        <v>0</v>
      </c>
      <c r="EL23" s="1">
        <f>VC_NEW2!EG6</f>
        <v>0</v>
      </c>
      <c r="EM23" s="1">
        <f>VC_NEW2!EH6</f>
        <v>0</v>
      </c>
      <c r="EN23" s="1">
        <f>VC_NEW2!EI6</f>
        <v>0</v>
      </c>
      <c r="EO23" s="1">
        <f>VC_NEW2!EJ6</f>
        <v>0</v>
      </c>
      <c r="EP23" s="1">
        <f>VC_NEW2!EK6</f>
        <v>0</v>
      </c>
      <c r="EQ23" s="1">
        <f>VC_NEW2!EL6</f>
        <v>0</v>
      </c>
      <c r="ER23" s="1">
        <f>VC_NEW2!EM6</f>
        <v>0</v>
      </c>
      <c r="ES23" s="1">
        <f>VC_NEW2!EN6</f>
        <v>0</v>
      </c>
      <c r="ET23" s="1">
        <f>VC_NEW2!EO6</f>
        <v>0</v>
      </c>
      <c r="EU23" s="1">
        <f>VC_NEW2!EP6</f>
        <v>0</v>
      </c>
      <c r="EV23" s="1">
        <f>VC_NEW2!EQ6</f>
        <v>0</v>
      </c>
      <c r="EW23" s="1" t="str">
        <f>VC_NEW2!ER6</f>
        <v>Q265E</v>
      </c>
      <c r="EX23" s="1">
        <f>VC_NEW2!ES6</f>
        <v>0</v>
      </c>
      <c r="EY23" s="1">
        <f>VC_NEW2!ET6</f>
        <v>0</v>
      </c>
      <c r="EZ23" s="1">
        <f>VC_NEW2!EU6</f>
        <v>0</v>
      </c>
      <c r="FA23" s="1">
        <f>VC_NEW2!EV6</f>
        <v>0</v>
      </c>
      <c r="FB23" s="1">
        <f>VC_NEW2!EW6</f>
        <v>0</v>
      </c>
      <c r="FC23" s="1">
        <f>VC_NEW2!EX6</f>
        <v>0</v>
      </c>
      <c r="FD23" s="1">
        <f>VC_NEW2!EY6</f>
        <v>0</v>
      </c>
      <c r="FE23" s="1">
        <f>VC_NEW2!EZ6</f>
        <v>0</v>
      </c>
      <c r="FF23" s="1">
        <f>VC_NEW2!FA6</f>
        <v>0</v>
      </c>
      <c r="FG23" s="1">
        <f>VC_NEW2!FB6</f>
        <v>0</v>
      </c>
      <c r="FH23" s="1">
        <f>VC_NEW2!FC6</f>
        <v>0</v>
      </c>
      <c r="FI23" s="1">
        <f>VC_NEW2!FD6</f>
        <v>0</v>
      </c>
      <c r="FJ23" s="1">
        <f>VC_NEW2!FE6</f>
        <v>0</v>
      </c>
      <c r="FK23" s="1">
        <f>VC_NEW2!FF6</f>
        <v>0</v>
      </c>
      <c r="FL23" s="1">
        <f>VC_NEW2!FG6</f>
        <v>0</v>
      </c>
      <c r="FM23" s="1">
        <f>VC_NEW2!FH6</f>
        <v>0</v>
      </c>
      <c r="FN23" s="1">
        <f>VC_NEW2!FI6</f>
        <v>0</v>
      </c>
      <c r="FO23" s="1">
        <f>VC_NEW2!FJ6</f>
        <v>0</v>
      </c>
      <c r="FP23" s="1">
        <f>VC_NEW2!FK6</f>
        <v>0</v>
      </c>
      <c r="FQ23" s="1">
        <f>VC_NEW2!FL6</f>
        <v>0</v>
      </c>
      <c r="FR23" s="1">
        <f>VC_NEW2!FM6</f>
        <v>0</v>
      </c>
      <c r="FS23" s="1">
        <f>VC_NEW2!FN6</f>
        <v>0</v>
      </c>
      <c r="FT23" s="1">
        <f>VC_NEW2!FO6</f>
        <v>0</v>
      </c>
      <c r="FU23" s="1">
        <f>VC_NEW2!FP6</f>
        <v>0</v>
      </c>
      <c r="FV23" s="1">
        <f>VC_NEW2!FQ6</f>
        <v>0</v>
      </c>
      <c r="FW23" s="1">
        <f>VC_NEW2!FR6</f>
        <v>0</v>
      </c>
      <c r="FX23" s="1">
        <f>VC_NEW2!FS6</f>
        <v>0</v>
      </c>
      <c r="FY23" s="1">
        <f>VC_NEW2!FT6</f>
        <v>0</v>
      </c>
      <c r="FZ23" s="1">
        <f>VC_NEW2!FU6</f>
        <v>0</v>
      </c>
      <c r="GA23" s="1">
        <f>VC_NEW2!FV6</f>
        <v>0</v>
      </c>
      <c r="GB23" s="1">
        <f>VC_NEW2!FW6</f>
        <v>0</v>
      </c>
      <c r="GC23" s="1">
        <f>VC_NEW2!FX6</f>
        <v>0</v>
      </c>
      <c r="GD23" s="1">
        <f>VC_NEW2!FY6</f>
        <v>0</v>
      </c>
      <c r="GE23" s="1">
        <f>VC_NEW2!FZ6</f>
        <v>0</v>
      </c>
      <c r="GF23" s="1">
        <f>VC_NEW2!GA6</f>
        <v>0</v>
      </c>
      <c r="GG23" s="1">
        <f>VC_NEW2!GB6</f>
        <v>0</v>
      </c>
      <c r="GH23" s="1">
        <f>VC_NEW2!GC6</f>
        <v>0</v>
      </c>
      <c r="GI23" s="1">
        <f>VC_NEW2!GD6</f>
        <v>0</v>
      </c>
      <c r="GJ23" s="1">
        <f>VC_NEW2!GE6</f>
        <v>0</v>
      </c>
      <c r="GK23" s="1">
        <f>VC_NEW2!GF6</f>
        <v>0</v>
      </c>
      <c r="GL23" s="1">
        <f>VC_NEW2!GG6</f>
        <v>0</v>
      </c>
      <c r="GM23" s="1">
        <f>VC_NEW2!GH6</f>
        <v>0</v>
      </c>
      <c r="GN23" s="1">
        <f>VC_NEW2!GI6</f>
        <v>0</v>
      </c>
      <c r="GO23" s="1">
        <f>VC_NEW2!GJ6</f>
        <v>0</v>
      </c>
      <c r="GP23" s="1">
        <f>VC_NEW2!GK6</f>
        <v>0</v>
      </c>
      <c r="GQ23" s="1">
        <f>VC_NEW2!GL6</f>
        <v>0</v>
      </c>
      <c r="GR23" s="1">
        <f>VC_NEW2!GM6</f>
        <v>0</v>
      </c>
      <c r="GS23" s="1">
        <f>VC_NEW2!GN6</f>
        <v>0</v>
      </c>
      <c r="GT23" s="1">
        <f>VC_NEW2!GO6</f>
        <v>0</v>
      </c>
      <c r="GU23" s="1">
        <f>VC_NEW2!GP6</f>
        <v>0</v>
      </c>
      <c r="GV23" s="1">
        <f>VC_NEW2!GQ6</f>
        <v>0</v>
      </c>
      <c r="GW23" s="1">
        <f>VC_NEW2!GR6</f>
        <v>0</v>
      </c>
      <c r="GX23" s="1">
        <f>VC_NEW2!GS6</f>
        <v>0</v>
      </c>
      <c r="GY23" s="1">
        <f>VC_NEW2!GT6</f>
        <v>0</v>
      </c>
      <c r="GZ23" s="1">
        <f>VC_NEW2!GU6</f>
        <v>0</v>
      </c>
      <c r="HA23" s="1">
        <f>VC_NEW2!GV6</f>
        <v>0</v>
      </c>
      <c r="HB23" s="1">
        <f>VC_NEW2!GW6</f>
        <v>0</v>
      </c>
      <c r="HC23" s="1">
        <f>VC_NEW2!GX6</f>
        <v>0</v>
      </c>
    </row>
    <row r="24" spans="1:211" s="1" customFormat="1" ht="15" hidden="1" customHeight="1" x14ac:dyDescent="0.25">
      <c r="A24" s="44" t="s">
        <v>11</v>
      </c>
      <c r="B24" s="45" t="s">
        <v>12</v>
      </c>
      <c r="C24" s="46" t="s">
        <v>4</v>
      </c>
      <c r="D24" s="45" t="s">
        <v>77</v>
      </c>
      <c r="E24" s="45">
        <v>-0.5</v>
      </c>
      <c r="F24" s="45" t="s">
        <v>74</v>
      </c>
      <c r="G24" s="47" t="s">
        <v>137</v>
      </c>
      <c r="H24" s="1">
        <f>VC_NEW2!C6</f>
        <v>0</v>
      </c>
      <c r="I24" s="1">
        <f>VC_NEW2!D6</f>
        <v>0</v>
      </c>
      <c r="J24" s="1">
        <f>VC_NEW2!E6</f>
        <v>0</v>
      </c>
      <c r="K24" s="1">
        <f>VC_NEW2!F6</f>
        <v>0</v>
      </c>
      <c r="L24" s="1">
        <f>VC_NEW2!G6</f>
        <v>0</v>
      </c>
      <c r="M24" s="1">
        <f>VC_NEW2!H6</f>
        <v>0</v>
      </c>
      <c r="N24" s="1">
        <f>VC_NEW2!I6</f>
        <v>0</v>
      </c>
      <c r="O24" s="1">
        <f>VC_NEW2!J6</f>
        <v>0</v>
      </c>
      <c r="P24" s="1">
        <f>VC_NEW2!K6</f>
        <v>0</v>
      </c>
      <c r="Q24" s="1">
        <f>VC_NEW2!L6</f>
        <v>0</v>
      </c>
      <c r="R24" s="1">
        <f>VC_NEW2!M6</f>
        <v>0</v>
      </c>
      <c r="S24" s="1">
        <f>VC_NEW2!N6</f>
        <v>0</v>
      </c>
      <c r="T24" s="1">
        <f>VC_NEW2!O6</f>
        <v>0</v>
      </c>
      <c r="U24" s="1">
        <f>VC_NEW2!P6</f>
        <v>0</v>
      </c>
      <c r="V24" s="1">
        <f>VC_NEW2!Q6</f>
        <v>0</v>
      </c>
      <c r="W24" s="1">
        <f>VC_NEW2!R6</f>
        <v>0</v>
      </c>
      <c r="X24" s="1">
        <f>VC_NEW2!S6</f>
        <v>0</v>
      </c>
      <c r="Y24" s="1">
        <f>VC_NEW2!T6</f>
        <v>0</v>
      </c>
      <c r="Z24" s="1">
        <f>VC_NEW2!U6</f>
        <v>0</v>
      </c>
      <c r="AA24" s="1">
        <f>VC_NEW2!V6</f>
        <v>0</v>
      </c>
      <c r="AB24" s="1">
        <f>VC_NEW2!W6</f>
        <v>0</v>
      </c>
      <c r="AC24" s="1">
        <f>VC_NEW2!X6</f>
        <v>0</v>
      </c>
      <c r="AD24" s="1">
        <f>VC_NEW2!Y6</f>
        <v>0</v>
      </c>
      <c r="AE24" s="1">
        <f>VC_NEW2!Z6</f>
        <v>0</v>
      </c>
      <c r="AF24" s="1">
        <f>VC_NEW2!AA6</f>
        <v>0</v>
      </c>
      <c r="AG24" s="1">
        <f>VC_NEW2!AB6</f>
        <v>0</v>
      </c>
      <c r="AH24" s="1">
        <f>VC_NEW2!AC6</f>
        <v>0</v>
      </c>
      <c r="AI24" s="1">
        <f>VC_NEW2!AD6</f>
        <v>0</v>
      </c>
      <c r="AJ24" s="1">
        <f>VC_NEW2!AE6</f>
        <v>0</v>
      </c>
      <c r="AK24" s="1">
        <f>VC_NEW2!AF6</f>
        <v>0</v>
      </c>
      <c r="AL24" s="1">
        <f>VC_NEW2!AG6</f>
        <v>0</v>
      </c>
      <c r="AM24" s="1">
        <f>VC_NEW2!AH6</f>
        <v>0</v>
      </c>
      <c r="AN24" s="1">
        <f>VC_NEW2!AI6</f>
        <v>0</v>
      </c>
      <c r="AO24" s="1">
        <f>VC_NEW2!AJ6</f>
        <v>0</v>
      </c>
      <c r="AP24" s="1">
        <f>VC_NEW2!AK6</f>
        <v>0</v>
      </c>
      <c r="AQ24" s="1">
        <f>VC_NEW2!AL6</f>
        <v>0</v>
      </c>
      <c r="AR24" s="1">
        <f>VC_NEW2!AM6</f>
        <v>0</v>
      </c>
      <c r="AS24" s="1">
        <f>VC_NEW2!AN6</f>
        <v>0</v>
      </c>
      <c r="AT24" s="1">
        <f>VC_NEW2!AO6</f>
        <v>0</v>
      </c>
      <c r="AU24" s="1">
        <f>VC_NEW2!AP6</f>
        <v>0</v>
      </c>
      <c r="AV24" s="1">
        <f>VC_NEW2!AQ6</f>
        <v>0</v>
      </c>
      <c r="AW24" s="1">
        <f>VC_NEW2!AR6</f>
        <v>0</v>
      </c>
      <c r="AX24" s="1">
        <f>VC_NEW2!AS6</f>
        <v>0</v>
      </c>
      <c r="AY24" s="1">
        <f>VC_NEW2!AT6</f>
        <v>0</v>
      </c>
      <c r="AZ24" s="1">
        <f>VC_NEW2!AU6</f>
        <v>0</v>
      </c>
      <c r="BA24" s="1">
        <f>VC_NEW2!AV6</f>
        <v>0</v>
      </c>
      <c r="BB24" s="1">
        <f>VC_NEW2!AW6</f>
        <v>0</v>
      </c>
      <c r="BC24" s="1">
        <f>VC_NEW2!AX6</f>
        <v>0</v>
      </c>
      <c r="BD24" s="1">
        <f>VC_NEW2!AY6</f>
        <v>0</v>
      </c>
      <c r="BE24" s="1">
        <f>VC_NEW2!AZ6</f>
        <v>0</v>
      </c>
      <c r="BF24" s="1">
        <f>VC_NEW2!BA6</f>
        <v>0</v>
      </c>
      <c r="BG24" s="1">
        <f>VC_NEW2!BB6</f>
        <v>0</v>
      </c>
      <c r="BH24" s="1">
        <f>VC_NEW2!BC6</f>
        <v>0</v>
      </c>
      <c r="BI24" s="1">
        <f>VC_NEW2!BD6</f>
        <v>0</v>
      </c>
      <c r="BJ24" s="1">
        <f>VC_NEW2!BE6</f>
        <v>0</v>
      </c>
      <c r="BK24" s="1">
        <f>VC_NEW2!BF6</f>
        <v>0</v>
      </c>
      <c r="BL24" s="1">
        <f>VC_NEW2!BG6</f>
        <v>0</v>
      </c>
      <c r="BM24" s="1">
        <f>VC_NEW2!BH6</f>
        <v>0</v>
      </c>
      <c r="BN24" s="1" t="str">
        <f>VC_NEW2!BI6</f>
        <v>nt1451InsC</v>
      </c>
      <c r="BO24" s="1">
        <f>VC_NEW2!BJ6</f>
        <v>0</v>
      </c>
      <c r="BP24" s="1">
        <f>VC_NEW2!BK6</f>
        <v>0</v>
      </c>
      <c r="BQ24" s="1">
        <f>VC_NEW2!BL6</f>
        <v>0</v>
      </c>
      <c r="BR24" s="1">
        <f>VC_NEW2!BM6</f>
        <v>0</v>
      </c>
      <c r="BS24" s="1">
        <f>VC_NEW2!BN6</f>
        <v>0</v>
      </c>
      <c r="BT24" s="1">
        <f>VC_NEW2!BO6</f>
        <v>0</v>
      </c>
      <c r="BU24" s="1">
        <f>VC_NEW2!BP6</f>
        <v>0</v>
      </c>
      <c r="BV24" s="1">
        <f>VC_NEW2!BQ6</f>
        <v>0</v>
      </c>
      <c r="BW24" s="1">
        <f>VC_NEW2!BR6</f>
        <v>0</v>
      </c>
      <c r="BX24" s="1">
        <f>VC_NEW2!BS6</f>
        <v>0</v>
      </c>
      <c r="BY24" s="1">
        <f>VC_NEW2!BT6</f>
        <v>0</v>
      </c>
      <c r="BZ24" s="1">
        <f>VC_NEW2!BU6</f>
        <v>0</v>
      </c>
      <c r="CA24" s="1">
        <f>VC_NEW2!BV6</f>
        <v>0</v>
      </c>
      <c r="CB24" s="1">
        <f>VC_NEW2!BW6</f>
        <v>0</v>
      </c>
      <c r="CC24" s="1">
        <f>VC_NEW2!BX6</f>
        <v>0</v>
      </c>
      <c r="CD24" s="1">
        <f>VC_NEW2!BY6</f>
        <v>0</v>
      </c>
      <c r="CE24" s="1">
        <f>VC_NEW2!BZ6</f>
        <v>0</v>
      </c>
      <c r="CF24" s="1">
        <f>VC_NEW2!CA6</f>
        <v>0</v>
      </c>
      <c r="CG24" s="1">
        <f>VC_NEW2!CB6</f>
        <v>0</v>
      </c>
      <c r="CH24" s="1">
        <f>VC_NEW2!CC6</f>
        <v>0</v>
      </c>
      <c r="CI24" s="1">
        <f>VC_NEW2!CD6</f>
        <v>0</v>
      </c>
      <c r="CJ24" s="1">
        <f>VC_NEW2!CE6</f>
        <v>0</v>
      </c>
      <c r="CK24" s="1">
        <f>VC_NEW2!CF6</f>
        <v>0</v>
      </c>
      <c r="CL24" s="1">
        <f>VC_NEW2!CG6</f>
        <v>0</v>
      </c>
      <c r="CM24" s="1">
        <f>VC_NEW2!CH6</f>
        <v>0</v>
      </c>
      <c r="CN24" s="1">
        <f>VC_NEW2!CI6</f>
        <v>0</v>
      </c>
      <c r="CO24" s="1">
        <f>VC_NEW2!CJ6</f>
        <v>0</v>
      </c>
      <c r="CP24" s="1" t="str">
        <f>VC_NEW2!CK6</f>
        <v>T198P</v>
      </c>
      <c r="CQ24" s="1">
        <f>VC_NEW2!CL6</f>
        <v>0</v>
      </c>
      <c r="CR24" s="1">
        <f>VC_NEW2!CM6</f>
        <v>0</v>
      </c>
      <c r="CS24" s="1">
        <f>VC_NEW2!CN6</f>
        <v>0</v>
      </c>
      <c r="CT24" s="1">
        <f>VC_NEW2!CO6</f>
        <v>0</v>
      </c>
      <c r="CU24" s="1">
        <f>VC_NEW2!CP6</f>
        <v>0</v>
      </c>
      <c r="CV24" s="1" t="str">
        <f>VC_NEW2!CQ6</f>
        <v>T180I</v>
      </c>
      <c r="CW24" s="1">
        <f>VC_NEW2!CR6</f>
        <v>0</v>
      </c>
      <c r="CX24" s="1">
        <f>VC_NEW2!CS6</f>
        <v>0</v>
      </c>
      <c r="CY24" s="1">
        <f>VC_NEW2!CT6</f>
        <v>0</v>
      </c>
      <c r="CZ24" s="1">
        <f>VC_NEW2!CU6</f>
        <v>0</v>
      </c>
      <c r="DA24" s="1">
        <f>VC_NEW2!CV6</f>
        <v>0</v>
      </c>
      <c r="DB24" s="1">
        <f>VC_NEW2!CW6</f>
        <v>0</v>
      </c>
      <c r="DC24" s="1">
        <f>VC_NEW2!CX6</f>
        <v>0</v>
      </c>
      <c r="DD24" s="1">
        <f>VC_NEW2!CY6</f>
        <v>0</v>
      </c>
      <c r="DE24" s="1">
        <f>VC_NEW2!CZ6</f>
        <v>0</v>
      </c>
      <c r="DF24" s="1">
        <f>VC_NEW2!DA6</f>
        <v>0</v>
      </c>
      <c r="DG24" s="1">
        <f>VC_NEW2!DB6</f>
        <v>0</v>
      </c>
      <c r="DH24" s="1">
        <f>VC_NEW2!DC6</f>
        <v>0</v>
      </c>
      <c r="DI24" s="1">
        <f>VC_NEW2!DD6</f>
        <v>0</v>
      </c>
      <c r="DJ24" s="1">
        <f>VC_NEW2!DE6</f>
        <v>0</v>
      </c>
      <c r="DK24" s="1">
        <f>VC_NEW2!DF6</f>
        <v>0</v>
      </c>
      <c r="DL24" s="1">
        <f>VC_NEW2!DG6</f>
        <v>0</v>
      </c>
      <c r="DM24" s="1">
        <f>VC_NEW2!DH6</f>
        <v>0</v>
      </c>
      <c r="DN24" s="1">
        <f>VC_NEW2!DI6</f>
        <v>0</v>
      </c>
      <c r="DO24" s="1">
        <f>VC_NEW2!DJ6</f>
        <v>0</v>
      </c>
      <c r="DP24" s="1">
        <f>VC_NEW2!DK6</f>
        <v>0</v>
      </c>
      <c r="DQ24" s="1">
        <f>VC_NEW2!DL6</f>
        <v>0</v>
      </c>
      <c r="DR24" s="1" t="str">
        <f>VC_NEW2!DM6</f>
        <v>nt501∆5</v>
      </c>
      <c r="DS24" s="1">
        <f>VC_NEW2!DN6</f>
        <v>0</v>
      </c>
      <c r="DT24" s="1">
        <f>VC_NEW2!DO6</f>
        <v>0</v>
      </c>
      <c r="DU24" s="1">
        <f>VC_NEW2!DP6</f>
        <v>0</v>
      </c>
      <c r="DV24" s="1">
        <f>VC_NEW2!DQ6</f>
        <v>0</v>
      </c>
      <c r="DW24" s="1">
        <f>VC_NEW2!DR6</f>
        <v>0</v>
      </c>
      <c r="DX24" s="1">
        <f>VC_NEW2!DS6</f>
        <v>0</v>
      </c>
      <c r="DY24" s="1">
        <f>VC_NEW2!DT6</f>
        <v>0</v>
      </c>
      <c r="DZ24" s="1">
        <f>VC_NEW2!DU6</f>
        <v>0</v>
      </c>
      <c r="EA24" s="1">
        <f>VC_NEW2!DV6</f>
        <v>0</v>
      </c>
      <c r="EB24" s="1">
        <f>VC_NEW2!DW6</f>
        <v>0</v>
      </c>
      <c r="EC24" s="1">
        <f>VC_NEW2!DX6</f>
        <v>0</v>
      </c>
      <c r="ED24" s="1">
        <f>VC_NEW2!DY6</f>
        <v>0</v>
      </c>
      <c r="EE24" s="1">
        <f>VC_NEW2!DZ6</f>
        <v>0</v>
      </c>
      <c r="EF24" s="1">
        <f>VC_NEW2!EA6</f>
        <v>0</v>
      </c>
      <c r="EG24" s="1">
        <f>VC_NEW2!EB6</f>
        <v>0</v>
      </c>
      <c r="EH24" s="1">
        <f>VC_NEW2!EC6</f>
        <v>0</v>
      </c>
      <c r="EI24" s="1">
        <f>VC_NEW2!ED6</f>
        <v>0</v>
      </c>
      <c r="EJ24" s="1">
        <f>VC_NEW2!EE6</f>
        <v>0</v>
      </c>
      <c r="EK24" s="1">
        <f>VC_NEW2!EF6</f>
        <v>0</v>
      </c>
      <c r="EL24" s="1">
        <f>VC_NEW2!EG6</f>
        <v>0</v>
      </c>
      <c r="EM24" s="1">
        <f>VC_NEW2!EH6</f>
        <v>0</v>
      </c>
      <c r="EN24" s="1">
        <f>VC_NEW2!EI6</f>
        <v>0</v>
      </c>
      <c r="EO24" s="1">
        <f>VC_NEW2!EJ6</f>
        <v>0</v>
      </c>
      <c r="EP24" s="1">
        <f>VC_NEW2!EK6</f>
        <v>0</v>
      </c>
      <c r="EQ24" s="1">
        <f>VC_NEW2!EL6</f>
        <v>0</v>
      </c>
      <c r="ER24" s="1">
        <f>VC_NEW2!EM6</f>
        <v>0</v>
      </c>
      <c r="ES24" s="1">
        <f>VC_NEW2!EN6</f>
        <v>0</v>
      </c>
      <c r="ET24" s="1">
        <f>VC_NEW2!EO6</f>
        <v>0</v>
      </c>
      <c r="EU24" s="1">
        <f>VC_NEW2!EP6</f>
        <v>0</v>
      </c>
      <c r="EV24" s="1">
        <f>VC_NEW2!EQ6</f>
        <v>0</v>
      </c>
      <c r="EW24" s="1" t="str">
        <f>VC_NEW2!ER6</f>
        <v>Q265E</v>
      </c>
      <c r="EX24" s="1">
        <f>VC_NEW2!ES6</f>
        <v>0</v>
      </c>
      <c r="EY24" s="1">
        <f>VC_NEW2!ET6</f>
        <v>0</v>
      </c>
      <c r="EZ24" s="1">
        <f>VC_NEW2!EU6</f>
        <v>0</v>
      </c>
      <c r="FA24" s="1">
        <f>VC_NEW2!EV6</f>
        <v>0</v>
      </c>
      <c r="FB24" s="1">
        <f>VC_NEW2!EW6</f>
        <v>0</v>
      </c>
      <c r="FC24" s="1">
        <f>VC_NEW2!EX6</f>
        <v>0</v>
      </c>
      <c r="FD24" s="1">
        <f>VC_NEW2!EY6</f>
        <v>0</v>
      </c>
      <c r="FE24" s="1">
        <f>VC_NEW2!EZ6</f>
        <v>0</v>
      </c>
      <c r="FF24" s="1">
        <f>VC_NEW2!FA6</f>
        <v>0</v>
      </c>
      <c r="FG24" s="1">
        <f>VC_NEW2!FB6</f>
        <v>0</v>
      </c>
      <c r="FH24" s="1">
        <f>VC_NEW2!FC6</f>
        <v>0</v>
      </c>
      <c r="FI24" s="1">
        <f>VC_NEW2!FD6</f>
        <v>0</v>
      </c>
      <c r="FJ24" s="1">
        <f>VC_NEW2!FE6</f>
        <v>0</v>
      </c>
      <c r="FK24" s="1">
        <f>VC_NEW2!FF6</f>
        <v>0</v>
      </c>
      <c r="FL24" s="1">
        <f>VC_NEW2!FG6</f>
        <v>0</v>
      </c>
      <c r="FM24" s="1">
        <f>VC_NEW2!FH6</f>
        <v>0</v>
      </c>
      <c r="FN24" s="1">
        <f>VC_NEW2!FI6</f>
        <v>0</v>
      </c>
      <c r="FO24" s="1">
        <f>VC_NEW2!FJ6</f>
        <v>0</v>
      </c>
      <c r="FP24" s="1">
        <f>VC_NEW2!FK6</f>
        <v>0</v>
      </c>
      <c r="FQ24" s="1">
        <f>VC_NEW2!FL6</f>
        <v>0</v>
      </c>
      <c r="FR24" s="1">
        <f>VC_NEW2!FM6</f>
        <v>0</v>
      </c>
      <c r="FS24" s="1">
        <f>VC_NEW2!FN6</f>
        <v>0</v>
      </c>
      <c r="FT24" s="1">
        <f>VC_NEW2!FO6</f>
        <v>0</v>
      </c>
      <c r="FU24" s="1">
        <f>VC_NEW2!FP6</f>
        <v>0</v>
      </c>
      <c r="FV24" s="1">
        <f>VC_NEW2!FQ6</f>
        <v>0</v>
      </c>
      <c r="FW24" s="1">
        <f>VC_NEW2!FR6</f>
        <v>0</v>
      </c>
      <c r="FX24" s="1">
        <f>VC_NEW2!FS6</f>
        <v>0</v>
      </c>
      <c r="FY24" s="1">
        <f>VC_NEW2!FT6</f>
        <v>0</v>
      </c>
      <c r="FZ24" s="1">
        <f>VC_NEW2!FU6</f>
        <v>0</v>
      </c>
      <c r="GA24" s="1">
        <f>VC_NEW2!FV6</f>
        <v>0</v>
      </c>
      <c r="GB24" s="1">
        <f>VC_NEW2!FW6</f>
        <v>0</v>
      </c>
      <c r="GC24" s="1">
        <f>VC_NEW2!FX6</f>
        <v>0</v>
      </c>
      <c r="GD24" s="1">
        <f>VC_NEW2!FY6</f>
        <v>0</v>
      </c>
      <c r="GE24" s="1">
        <f>VC_NEW2!FZ6</f>
        <v>0</v>
      </c>
      <c r="GF24" s="1">
        <f>VC_NEW2!GA6</f>
        <v>0</v>
      </c>
      <c r="GG24" s="1">
        <f>VC_NEW2!GB6</f>
        <v>0</v>
      </c>
      <c r="GH24" s="1">
        <f>VC_NEW2!GC6</f>
        <v>0</v>
      </c>
      <c r="GI24" s="1">
        <f>VC_NEW2!GD6</f>
        <v>0</v>
      </c>
      <c r="GJ24" s="1">
        <f>VC_NEW2!GE6</f>
        <v>0</v>
      </c>
      <c r="GK24" s="1">
        <f>VC_NEW2!GF6</f>
        <v>0</v>
      </c>
      <c r="GL24" s="1">
        <f>VC_NEW2!GG6</f>
        <v>0</v>
      </c>
      <c r="GM24" s="1">
        <f>VC_NEW2!GH6</f>
        <v>0</v>
      </c>
      <c r="GN24" s="1">
        <f>VC_NEW2!GI6</f>
        <v>0</v>
      </c>
      <c r="GO24" s="1">
        <f>VC_NEW2!GJ6</f>
        <v>0</v>
      </c>
      <c r="GP24" s="1">
        <f>VC_NEW2!GK6</f>
        <v>0</v>
      </c>
      <c r="GQ24" s="1">
        <f>VC_NEW2!GL6</f>
        <v>0</v>
      </c>
      <c r="GR24" s="1">
        <f>VC_NEW2!GM6</f>
        <v>0</v>
      </c>
      <c r="GS24" s="1">
        <f>VC_NEW2!GN6</f>
        <v>0</v>
      </c>
      <c r="GT24" s="1">
        <f>VC_NEW2!GO6</f>
        <v>0</v>
      </c>
      <c r="GU24" s="1">
        <f>VC_NEW2!GP6</f>
        <v>0</v>
      </c>
      <c r="GV24" s="1">
        <f>VC_NEW2!GQ6</f>
        <v>0</v>
      </c>
      <c r="GW24" s="1">
        <f>VC_NEW2!GR6</f>
        <v>0</v>
      </c>
      <c r="GX24" s="1">
        <f>VC_NEW2!GS6</f>
        <v>0</v>
      </c>
      <c r="GY24" s="1">
        <f>VC_NEW2!GT6</f>
        <v>0</v>
      </c>
      <c r="GZ24" s="1">
        <f>VC_NEW2!GU6</f>
        <v>0</v>
      </c>
      <c r="HA24" s="1">
        <f>VC_NEW2!GV6</f>
        <v>0</v>
      </c>
      <c r="HB24" s="1">
        <f>VC_NEW2!GW6</f>
        <v>0</v>
      </c>
      <c r="HC24" s="1">
        <f>VC_NEW2!GX6</f>
        <v>0</v>
      </c>
    </row>
    <row r="25" spans="1:211" s="1" customFormat="1" ht="15.75" hidden="1" customHeight="1" thickBot="1" x14ac:dyDescent="0.3">
      <c r="A25" s="69" t="s">
        <v>11</v>
      </c>
      <c r="B25" s="70" t="s">
        <v>12</v>
      </c>
      <c r="C25" s="71" t="s">
        <v>3</v>
      </c>
      <c r="D25" s="70" t="s">
        <v>77</v>
      </c>
      <c r="E25" s="70">
        <v>-0.25</v>
      </c>
      <c r="F25" s="70" t="s">
        <v>74</v>
      </c>
      <c r="G25" s="72" t="s">
        <v>137</v>
      </c>
      <c r="H25" s="1">
        <f>VC_NEW2!C6</f>
        <v>0</v>
      </c>
      <c r="I25" s="1">
        <f>VC_NEW2!D6</f>
        <v>0</v>
      </c>
      <c r="J25" s="1">
        <f>VC_NEW2!E6</f>
        <v>0</v>
      </c>
      <c r="K25" s="1">
        <f>VC_NEW2!F6</f>
        <v>0</v>
      </c>
      <c r="L25" s="1">
        <f>VC_NEW2!G6</f>
        <v>0</v>
      </c>
      <c r="M25" s="1">
        <f>VC_NEW2!H6</f>
        <v>0</v>
      </c>
      <c r="N25" s="1">
        <f>VC_NEW2!I6</f>
        <v>0</v>
      </c>
      <c r="O25" s="1">
        <f>VC_NEW2!J6</f>
        <v>0</v>
      </c>
      <c r="P25" s="1">
        <f>VC_NEW2!K6</f>
        <v>0</v>
      </c>
      <c r="Q25" s="1">
        <f>VC_NEW2!L6</f>
        <v>0</v>
      </c>
      <c r="R25" s="1">
        <f>VC_NEW2!M6</f>
        <v>0</v>
      </c>
      <c r="S25" s="1">
        <f>VC_NEW2!N6</f>
        <v>0</v>
      </c>
      <c r="T25" s="1">
        <f>VC_NEW2!O6</f>
        <v>0</v>
      </c>
      <c r="U25" s="1">
        <f>VC_NEW2!P6</f>
        <v>0</v>
      </c>
      <c r="V25" s="1">
        <f>VC_NEW2!Q6</f>
        <v>0</v>
      </c>
      <c r="W25" s="1">
        <f>VC_NEW2!R6</f>
        <v>0</v>
      </c>
      <c r="X25" s="1">
        <f>VC_NEW2!S6</f>
        <v>0</v>
      </c>
      <c r="Y25" s="1">
        <f>VC_NEW2!T6</f>
        <v>0</v>
      </c>
      <c r="Z25" s="1">
        <f>VC_NEW2!U6</f>
        <v>0</v>
      </c>
      <c r="AA25" s="1">
        <f>VC_NEW2!V6</f>
        <v>0</v>
      </c>
      <c r="AB25" s="1">
        <f>VC_NEW2!W6</f>
        <v>0</v>
      </c>
      <c r="AC25" s="1">
        <f>VC_NEW2!X6</f>
        <v>0</v>
      </c>
      <c r="AD25" s="1">
        <f>VC_NEW2!Y6</f>
        <v>0</v>
      </c>
      <c r="AE25" s="1">
        <f>VC_NEW2!Z6</f>
        <v>0</v>
      </c>
      <c r="AF25" s="1">
        <f>VC_NEW2!AA6</f>
        <v>0</v>
      </c>
      <c r="AG25" s="1">
        <f>VC_NEW2!AB6</f>
        <v>0</v>
      </c>
      <c r="AH25" s="1">
        <f>VC_NEW2!AC6</f>
        <v>0</v>
      </c>
      <c r="AI25" s="1">
        <f>VC_NEW2!AD6</f>
        <v>0</v>
      </c>
      <c r="AJ25" s="1">
        <f>VC_NEW2!AE6</f>
        <v>0</v>
      </c>
      <c r="AK25" s="1">
        <f>VC_NEW2!AF6</f>
        <v>0</v>
      </c>
      <c r="AL25" s="1">
        <f>VC_NEW2!AG6</f>
        <v>0</v>
      </c>
      <c r="AM25" s="1">
        <f>VC_NEW2!AH6</f>
        <v>0</v>
      </c>
      <c r="AN25" s="1">
        <f>VC_NEW2!AI6</f>
        <v>0</v>
      </c>
      <c r="AO25" s="1">
        <f>VC_NEW2!AJ6</f>
        <v>0</v>
      </c>
      <c r="AP25" s="1">
        <f>VC_NEW2!AK6</f>
        <v>0</v>
      </c>
      <c r="AQ25" s="1">
        <f>VC_NEW2!AL6</f>
        <v>0</v>
      </c>
      <c r="AR25" s="1">
        <f>VC_NEW2!AM6</f>
        <v>0</v>
      </c>
      <c r="AS25" s="1">
        <f>VC_NEW2!AN6</f>
        <v>0</v>
      </c>
      <c r="AT25" s="1">
        <f>VC_NEW2!AO6</f>
        <v>0</v>
      </c>
      <c r="AU25" s="1">
        <f>VC_NEW2!AP6</f>
        <v>0</v>
      </c>
      <c r="AV25" s="1">
        <f>VC_NEW2!AQ6</f>
        <v>0</v>
      </c>
      <c r="AW25" s="1">
        <f>VC_NEW2!AR6</f>
        <v>0</v>
      </c>
      <c r="AX25" s="1">
        <f>VC_NEW2!AS6</f>
        <v>0</v>
      </c>
      <c r="AY25" s="1">
        <f>VC_NEW2!AT6</f>
        <v>0</v>
      </c>
      <c r="AZ25" s="1">
        <f>VC_NEW2!AU6</f>
        <v>0</v>
      </c>
      <c r="BA25" s="1">
        <f>VC_NEW2!AV6</f>
        <v>0</v>
      </c>
      <c r="BB25" s="1">
        <f>VC_NEW2!AW6</f>
        <v>0</v>
      </c>
      <c r="BC25" s="1">
        <f>VC_NEW2!AX6</f>
        <v>0</v>
      </c>
      <c r="BD25" s="1">
        <f>VC_NEW2!AY6</f>
        <v>0</v>
      </c>
      <c r="BE25" s="1">
        <f>VC_NEW2!AZ6</f>
        <v>0</v>
      </c>
      <c r="BF25" s="1">
        <f>VC_NEW2!BA6</f>
        <v>0</v>
      </c>
      <c r="BG25" s="1">
        <f>VC_NEW2!BB6</f>
        <v>0</v>
      </c>
      <c r="BH25" s="1">
        <f>VC_NEW2!BC6</f>
        <v>0</v>
      </c>
      <c r="BI25" s="1">
        <f>VC_NEW2!BD6</f>
        <v>0</v>
      </c>
      <c r="BJ25" s="1">
        <f>VC_NEW2!BE6</f>
        <v>0</v>
      </c>
      <c r="BK25" s="1">
        <f>VC_NEW2!BF6</f>
        <v>0</v>
      </c>
      <c r="BL25" s="1">
        <f>VC_NEW2!BG6</f>
        <v>0</v>
      </c>
      <c r="BM25" s="1">
        <f>VC_NEW2!BH6</f>
        <v>0</v>
      </c>
      <c r="BN25" s="1" t="str">
        <f>VC_NEW2!BI6</f>
        <v>nt1451InsC</v>
      </c>
      <c r="BO25" s="1">
        <f>VC_NEW2!BJ6</f>
        <v>0</v>
      </c>
      <c r="BP25" s="1">
        <f>VC_NEW2!BK6</f>
        <v>0</v>
      </c>
      <c r="BQ25" s="1">
        <f>VC_NEW2!BL6</f>
        <v>0</v>
      </c>
      <c r="BR25" s="1">
        <f>VC_NEW2!BM6</f>
        <v>0</v>
      </c>
      <c r="BS25" s="1">
        <f>VC_NEW2!BN6</f>
        <v>0</v>
      </c>
      <c r="BT25" s="1">
        <f>VC_NEW2!BO6</f>
        <v>0</v>
      </c>
      <c r="BU25" s="1">
        <f>VC_NEW2!BP6</f>
        <v>0</v>
      </c>
      <c r="BV25" s="1">
        <f>VC_NEW2!BQ6</f>
        <v>0</v>
      </c>
      <c r="BW25" s="1">
        <f>VC_NEW2!BR6</f>
        <v>0</v>
      </c>
      <c r="BX25" s="1">
        <f>VC_NEW2!BS6</f>
        <v>0</v>
      </c>
      <c r="BY25" s="1">
        <f>VC_NEW2!BT6</f>
        <v>0</v>
      </c>
      <c r="BZ25" s="1">
        <f>VC_NEW2!BU6</f>
        <v>0</v>
      </c>
      <c r="CA25" s="1">
        <f>VC_NEW2!BV6</f>
        <v>0</v>
      </c>
      <c r="CB25" s="1">
        <f>VC_NEW2!BW6</f>
        <v>0</v>
      </c>
      <c r="CC25" s="1">
        <f>VC_NEW2!BX6</f>
        <v>0</v>
      </c>
      <c r="CD25" s="1">
        <f>VC_NEW2!BY6</f>
        <v>0</v>
      </c>
      <c r="CE25" s="1">
        <f>VC_NEW2!BZ6</f>
        <v>0</v>
      </c>
      <c r="CF25" s="1">
        <f>VC_NEW2!CA6</f>
        <v>0</v>
      </c>
      <c r="CG25" s="1">
        <f>VC_NEW2!CB6</f>
        <v>0</v>
      </c>
      <c r="CH25" s="1">
        <f>VC_NEW2!CC6</f>
        <v>0</v>
      </c>
      <c r="CI25" s="1">
        <f>VC_NEW2!CD6</f>
        <v>0</v>
      </c>
      <c r="CJ25" s="1">
        <f>VC_NEW2!CE6</f>
        <v>0</v>
      </c>
      <c r="CK25" s="1">
        <f>VC_NEW2!CF6</f>
        <v>0</v>
      </c>
      <c r="CL25" s="1">
        <f>VC_NEW2!CG6</f>
        <v>0</v>
      </c>
      <c r="CM25" s="1">
        <f>VC_NEW2!CH6</f>
        <v>0</v>
      </c>
      <c r="CN25" s="1">
        <f>VC_NEW2!CI6</f>
        <v>0</v>
      </c>
      <c r="CO25" s="1">
        <f>VC_NEW2!CJ6</f>
        <v>0</v>
      </c>
      <c r="CP25" s="1" t="str">
        <f>VC_NEW2!CK6</f>
        <v>T198P</v>
      </c>
      <c r="CQ25" s="1">
        <f>VC_NEW2!CL6</f>
        <v>0</v>
      </c>
      <c r="CR25" s="1">
        <f>VC_NEW2!CM6</f>
        <v>0</v>
      </c>
      <c r="CS25" s="1">
        <f>VC_NEW2!CN6</f>
        <v>0</v>
      </c>
      <c r="CT25" s="1">
        <f>VC_NEW2!CO6</f>
        <v>0</v>
      </c>
      <c r="CU25" s="1">
        <f>VC_NEW2!CP6</f>
        <v>0</v>
      </c>
      <c r="CV25" s="1" t="str">
        <f>VC_NEW2!CQ6</f>
        <v>T180I</v>
      </c>
      <c r="CW25" s="1">
        <f>VC_NEW2!CR6</f>
        <v>0</v>
      </c>
      <c r="CX25" s="1">
        <f>VC_NEW2!CS6</f>
        <v>0</v>
      </c>
      <c r="CY25" s="1">
        <f>VC_NEW2!CT6</f>
        <v>0</v>
      </c>
      <c r="CZ25" s="1">
        <f>VC_NEW2!CU6</f>
        <v>0</v>
      </c>
      <c r="DA25" s="1">
        <f>VC_NEW2!CV6</f>
        <v>0</v>
      </c>
      <c r="DB25" s="1">
        <f>VC_NEW2!CW6</f>
        <v>0</v>
      </c>
      <c r="DC25" s="1">
        <f>VC_NEW2!CX6</f>
        <v>0</v>
      </c>
      <c r="DD25" s="1">
        <f>VC_NEW2!CY6</f>
        <v>0</v>
      </c>
      <c r="DE25" s="1">
        <f>VC_NEW2!CZ6</f>
        <v>0</v>
      </c>
      <c r="DF25" s="1">
        <f>VC_NEW2!DA6</f>
        <v>0</v>
      </c>
      <c r="DG25" s="1">
        <f>VC_NEW2!DB6</f>
        <v>0</v>
      </c>
      <c r="DH25" s="1">
        <f>VC_NEW2!DC6</f>
        <v>0</v>
      </c>
      <c r="DI25" s="1">
        <f>VC_NEW2!DD6</f>
        <v>0</v>
      </c>
      <c r="DJ25" s="1">
        <f>VC_NEW2!DE6</f>
        <v>0</v>
      </c>
      <c r="DK25" s="1">
        <f>VC_NEW2!DF6</f>
        <v>0</v>
      </c>
      <c r="DL25" s="1">
        <f>VC_NEW2!DG6</f>
        <v>0</v>
      </c>
      <c r="DM25" s="1">
        <f>VC_NEW2!DH6</f>
        <v>0</v>
      </c>
      <c r="DN25" s="1">
        <f>VC_NEW2!DI6</f>
        <v>0</v>
      </c>
      <c r="DO25" s="1">
        <f>VC_NEW2!DJ6</f>
        <v>0</v>
      </c>
      <c r="DP25" s="1">
        <f>VC_NEW2!DK6</f>
        <v>0</v>
      </c>
      <c r="DQ25" s="1">
        <f>VC_NEW2!DL6</f>
        <v>0</v>
      </c>
      <c r="DR25" s="1" t="str">
        <f>VC_NEW2!DM6</f>
        <v>nt501∆5</v>
      </c>
      <c r="DS25" s="1">
        <f>VC_NEW2!DN6</f>
        <v>0</v>
      </c>
      <c r="DT25" s="1">
        <f>VC_NEW2!DO6</f>
        <v>0</v>
      </c>
      <c r="DU25" s="1">
        <f>VC_NEW2!DP6</f>
        <v>0</v>
      </c>
      <c r="DV25" s="1">
        <f>VC_NEW2!DQ6</f>
        <v>0</v>
      </c>
      <c r="DW25" s="1">
        <f>VC_NEW2!DR6</f>
        <v>0</v>
      </c>
      <c r="DX25" s="1">
        <f>VC_NEW2!DS6</f>
        <v>0</v>
      </c>
      <c r="DY25" s="1">
        <f>VC_NEW2!DT6</f>
        <v>0</v>
      </c>
      <c r="DZ25" s="1">
        <f>VC_NEW2!DU6</f>
        <v>0</v>
      </c>
      <c r="EA25" s="1">
        <f>VC_NEW2!DV6</f>
        <v>0</v>
      </c>
      <c r="EB25" s="1">
        <f>VC_NEW2!DW6</f>
        <v>0</v>
      </c>
      <c r="EC25" s="1">
        <f>VC_NEW2!DX6</f>
        <v>0</v>
      </c>
      <c r="ED25" s="1">
        <f>VC_NEW2!DY6</f>
        <v>0</v>
      </c>
      <c r="EE25" s="1">
        <f>VC_NEW2!DZ6</f>
        <v>0</v>
      </c>
      <c r="EF25" s="1">
        <f>VC_NEW2!EA6</f>
        <v>0</v>
      </c>
      <c r="EG25" s="1">
        <f>VC_NEW2!EB6</f>
        <v>0</v>
      </c>
      <c r="EH25" s="1">
        <f>VC_NEW2!EC6</f>
        <v>0</v>
      </c>
      <c r="EI25" s="1">
        <f>VC_NEW2!ED6</f>
        <v>0</v>
      </c>
      <c r="EJ25" s="1">
        <f>VC_NEW2!EE6</f>
        <v>0</v>
      </c>
      <c r="EK25" s="1">
        <f>VC_NEW2!EF6</f>
        <v>0</v>
      </c>
      <c r="EL25" s="1">
        <f>VC_NEW2!EG6</f>
        <v>0</v>
      </c>
      <c r="EM25" s="1">
        <f>VC_NEW2!EH6</f>
        <v>0</v>
      </c>
      <c r="EN25" s="1">
        <f>VC_NEW2!EI6</f>
        <v>0</v>
      </c>
      <c r="EO25" s="1">
        <f>VC_NEW2!EJ6</f>
        <v>0</v>
      </c>
      <c r="EP25" s="1">
        <f>VC_NEW2!EK6</f>
        <v>0</v>
      </c>
      <c r="EQ25" s="1">
        <f>VC_NEW2!EL6</f>
        <v>0</v>
      </c>
      <c r="ER25" s="1">
        <f>VC_NEW2!EM6</f>
        <v>0</v>
      </c>
      <c r="ES25" s="1">
        <f>VC_NEW2!EN6</f>
        <v>0</v>
      </c>
      <c r="ET25" s="1">
        <f>VC_NEW2!EO6</f>
        <v>0</v>
      </c>
      <c r="EU25" s="1">
        <f>VC_NEW2!EP6</f>
        <v>0</v>
      </c>
      <c r="EV25" s="1">
        <f>VC_NEW2!EQ6</f>
        <v>0</v>
      </c>
      <c r="EW25" s="1" t="str">
        <f>VC_NEW2!ER6</f>
        <v>Q265E</v>
      </c>
      <c r="EX25" s="1">
        <f>VC_NEW2!ES6</f>
        <v>0</v>
      </c>
      <c r="EY25" s="1">
        <f>VC_NEW2!ET6</f>
        <v>0</v>
      </c>
      <c r="EZ25" s="1">
        <f>VC_NEW2!EU6</f>
        <v>0</v>
      </c>
      <c r="FA25" s="1">
        <f>VC_NEW2!EV6</f>
        <v>0</v>
      </c>
      <c r="FB25" s="1">
        <f>VC_NEW2!EW6</f>
        <v>0</v>
      </c>
      <c r="FC25" s="1">
        <f>VC_NEW2!EX6</f>
        <v>0</v>
      </c>
      <c r="FD25" s="1">
        <f>VC_NEW2!EY6</f>
        <v>0</v>
      </c>
      <c r="FE25" s="1">
        <f>VC_NEW2!EZ6</f>
        <v>0</v>
      </c>
      <c r="FF25" s="1">
        <f>VC_NEW2!FA6</f>
        <v>0</v>
      </c>
      <c r="FG25" s="1">
        <f>VC_NEW2!FB6</f>
        <v>0</v>
      </c>
      <c r="FH25" s="1">
        <f>VC_NEW2!FC6</f>
        <v>0</v>
      </c>
      <c r="FI25" s="1">
        <f>VC_NEW2!FD6</f>
        <v>0</v>
      </c>
      <c r="FJ25" s="1">
        <f>VC_NEW2!FE6</f>
        <v>0</v>
      </c>
      <c r="FK25" s="1">
        <f>VC_NEW2!FF6</f>
        <v>0</v>
      </c>
      <c r="FL25" s="1">
        <f>VC_NEW2!FG6</f>
        <v>0</v>
      </c>
      <c r="FM25" s="1">
        <f>VC_NEW2!FH6</f>
        <v>0</v>
      </c>
      <c r="FN25" s="1">
        <f>VC_NEW2!FI6</f>
        <v>0</v>
      </c>
      <c r="FO25" s="1">
        <f>VC_NEW2!FJ6</f>
        <v>0</v>
      </c>
      <c r="FP25" s="1">
        <f>VC_NEW2!FK6</f>
        <v>0</v>
      </c>
      <c r="FQ25" s="1">
        <f>VC_NEW2!FL6</f>
        <v>0</v>
      </c>
      <c r="FR25" s="1">
        <f>VC_NEW2!FM6</f>
        <v>0</v>
      </c>
      <c r="FS25" s="1">
        <f>VC_NEW2!FN6</f>
        <v>0</v>
      </c>
      <c r="FT25" s="1">
        <f>VC_NEW2!FO6</f>
        <v>0</v>
      </c>
      <c r="FU25" s="1">
        <f>VC_NEW2!FP6</f>
        <v>0</v>
      </c>
      <c r="FV25" s="1">
        <f>VC_NEW2!FQ6</f>
        <v>0</v>
      </c>
      <c r="FW25" s="1">
        <f>VC_NEW2!FR6</f>
        <v>0</v>
      </c>
      <c r="FX25" s="1">
        <f>VC_NEW2!FS6</f>
        <v>0</v>
      </c>
      <c r="FY25" s="1">
        <f>VC_NEW2!FT6</f>
        <v>0</v>
      </c>
      <c r="FZ25" s="1">
        <f>VC_NEW2!FU6</f>
        <v>0</v>
      </c>
      <c r="GA25" s="1">
        <f>VC_NEW2!FV6</f>
        <v>0</v>
      </c>
      <c r="GB25" s="1">
        <f>VC_NEW2!FW6</f>
        <v>0</v>
      </c>
      <c r="GC25" s="1">
        <f>VC_NEW2!FX6</f>
        <v>0</v>
      </c>
      <c r="GD25" s="1">
        <f>VC_NEW2!FY6</f>
        <v>0</v>
      </c>
      <c r="GE25" s="1">
        <f>VC_NEW2!FZ6</f>
        <v>0</v>
      </c>
      <c r="GF25" s="1">
        <f>VC_NEW2!GA6</f>
        <v>0</v>
      </c>
      <c r="GG25" s="1">
        <f>VC_NEW2!GB6</f>
        <v>0</v>
      </c>
      <c r="GH25" s="1">
        <f>VC_NEW2!GC6</f>
        <v>0</v>
      </c>
      <c r="GI25" s="1">
        <f>VC_NEW2!GD6</f>
        <v>0</v>
      </c>
      <c r="GJ25" s="1">
        <f>VC_NEW2!GE6</f>
        <v>0</v>
      </c>
      <c r="GK25" s="1">
        <f>VC_NEW2!GF6</f>
        <v>0</v>
      </c>
      <c r="GL25" s="1">
        <f>VC_NEW2!GG6</f>
        <v>0</v>
      </c>
      <c r="GM25" s="1">
        <f>VC_NEW2!GH6</f>
        <v>0</v>
      </c>
      <c r="GN25" s="1">
        <f>VC_NEW2!GI6</f>
        <v>0</v>
      </c>
      <c r="GO25" s="1">
        <f>VC_NEW2!GJ6</f>
        <v>0</v>
      </c>
      <c r="GP25" s="1">
        <f>VC_NEW2!GK6</f>
        <v>0</v>
      </c>
      <c r="GQ25" s="1">
        <f>VC_NEW2!GL6</f>
        <v>0</v>
      </c>
      <c r="GR25" s="1">
        <f>VC_NEW2!GM6</f>
        <v>0</v>
      </c>
      <c r="GS25" s="1">
        <f>VC_NEW2!GN6</f>
        <v>0</v>
      </c>
      <c r="GT25" s="1">
        <f>VC_NEW2!GO6</f>
        <v>0</v>
      </c>
      <c r="GU25" s="1">
        <f>VC_NEW2!GP6</f>
        <v>0</v>
      </c>
      <c r="GV25" s="1">
        <f>VC_NEW2!GQ6</f>
        <v>0</v>
      </c>
      <c r="GW25" s="1">
        <f>VC_NEW2!GR6</f>
        <v>0</v>
      </c>
      <c r="GX25" s="1">
        <f>VC_NEW2!GS6</f>
        <v>0</v>
      </c>
      <c r="GY25" s="1">
        <f>VC_NEW2!GT6</f>
        <v>0</v>
      </c>
      <c r="GZ25" s="1">
        <f>VC_NEW2!GU6</f>
        <v>0</v>
      </c>
      <c r="HA25" s="1">
        <f>VC_NEW2!GV6</f>
        <v>0</v>
      </c>
      <c r="HB25" s="1">
        <f>VC_NEW2!GW6</f>
        <v>0</v>
      </c>
      <c r="HC25" s="1">
        <f>VC_NEW2!GX6</f>
        <v>0</v>
      </c>
    </row>
    <row r="26" spans="1:211" s="7" customFormat="1" ht="15" hidden="1" customHeight="1" x14ac:dyDescent="0.25">
      <c r="A26" s="7" t="s">
        <v>13</v>
      </c>
      <c r="B26" s="7" t="s">
        <v>14</v>
      </c>
      <c r="C26" s="8" t="s">
        <v>1</v>
      </c>
      <c r="D26" s="7" t="s">
        <v>76</v>
      </c>
      <c r="E26" s="7" t="s">
        <v>139</v>
      </c>
      <c r="F26" s="7" t="s">
        <v>74</v>
      </c>
      <c r="G26" s="7" t="s">
        <v>136</v>
      </c>
      <c r="H26" s="7">
        <f>VC_NEW2!C7</f>
        <v>0</v>
      </c>
      <c r="I26" s="7">
        <f>VC_NEW2!D7</f>
        <v>0</v>
      </c>
      <c r="J26" s="7">
        <f>VC_NEW2!E7</f>
        <v>0</v>
      </c>
      <c r="K26" s="7">
        <f>VC_NEW2!F7</f>
        <v>0</v>
      </c>
      <c r="L26" s="7">
        <f>VC_NEW2!G7</f>
        <v>0</v>
      </c>
      <c r="M26" s="7">
        <f>VC_NEW2!H7</f>
        <v>0</v>
      </c>
      <c r="N26" s="7">
        <f>VC_NEW2!I7</f>
        <v>0</v>
      </c>
      <c r="O26" s="7">
        <f>VC_NEW2!J7</f>
        <v>0</v>
      </c>
      <c r="P26" s="7">
        <f>VC_NEW2!K7</f>
        <v>0</v>
      </c>
      <c r="Q26" s="7">
        <f>VC_NEW2!L7</f>
        <v>0</v>
      </c>
      <c r="R26" s="7">
        <f>VC_NEW2!M7</f>
        <v>0</v>
      </c>
      <c r="S26" s="7">
        <f>VC_NEW2!N7</f>
        <v>0</v>
      </c>
      <c r="T26" s="7">
        <f>VC_NEW2!O7</f>
        <v>0</v>
      </c>
      <c r="U26" s="7">
        <f>VC_NEW2!P7</f>
        <v>0</v>
      </c>
      <c r="V26" s="7">
        <f>VC_NEW2!Q7</f>
        <v>0</v>
      </c>
      <c r="W26" s="7">
        <f>VC_NEW2!R7</f>
        <v>0</v>
      </c>
      <c r="X26" s="7">
        <f>VC_NEW2!S7</f>
        <v>0</v>
      </c>
      <c r="Y26" s="7">
        <f>VC_NEW2!T7</f>
        <v>0</v>
      </c>
      <c r="Z26" s="7">
        <f>VC_NEW2!U7</f>
        <v>0</v>
      </c>
      <c r="AA26" s="7">
        <f>VC_NEW2!V7</f>
        <v>0</v>
      </c>
      <c r="AB26" s="7">
        <f>VC_NEW2!W7</f>
        <v>0</v>
      </c>
      <c r="AC26" s="7">
        <f>VC_NEW2!X7</f>
        <v>0</v>
      </c>
      <c r="AD26" s="7">
        <f>VC_NEW2!Y7</f>
        <v>0</v>
      </c>
      <c r="AE26" s="7">
        <f>VC_NEW2!Z7</f>
        <v>0</v>
      </c>
      <c r="AF26" s="7">
        <f>VC_NEW2!AA7</f>
        <v>0</v>
      </c>
      <c r="AG26" s="7">
        <f>VC_NEW2!AB7</f>
        <v>0</v>
      </c>
      <c r="AH26" s="7">
        <f>VC_NEW2!AC7</f>
        <v>0</v>
      </c>
      <c r="AI26" s="7">
        <f>VC_NEW2!AD7</f>
        <v>0</v>
      </c>
      <c r="AJ26" s="7">
        <f>VC_NEW2!AE7</f>
        <v>0</v>
      </c>
      <c r="AK26" s="7">
        <f>VC_NEW2!AF7</f>
        <v>0</v>
      </c>
      <c r="AL26" s="7">
        <f>VC_NEW2!AG7</f>
        <v>0</v>
      </c>
      <c r="AM26" s="7">
        <f>VC_NEW2!AH7</f>
        <v>0</v>
      </c>
      <c r="AN26" s="7">
        <f>VC_NEW2!AI7</f>
        <v>0</v>
      </c>
      <c r="AO26" s="7">
        <f>VC_NEW2!AJ7</f>
        <v>0</v>
      </c>
      <c r="AP26" s="7">
        <f>VC_NEW2!AK7</f>
        <v>0</v>
      </c>
      <c r="AQ26" s="7">
        <f>VC_NEW2!AL7</f>
        <v>0</v>
      </c>
      <c r="AR26" s="7">
        <f>VC_NEW2!AM7</f>
        <v>0</v>
      </c>
      <c r="AS26" s="7">
        <f>VC_NEW2!AN7</f>
        <v>0</v>
      </c>
      <c r="AT26" s="7">
        <f>VC_NEW2!AO7</f>
        <v>0</v>
      </c>
      <c r="AU26" s="7">
        <f>VC_NEW2!AP7</f>
        <v>0</v>
      </c>
      <c r="AV26" s="7">
        <f>VC_NEW2!AQ7</f>
        <v>0</v>
      </c>
      <c r="AW26" s="7">
        <f>VC_NEW2!AR7</f>
        <v>0</v>
      </c>
      <c r="AX26" s="7">
        <f>VC_NEW2!AS7</f>
        <v>0</v>
      </c>
      <c r="AY26" s="7">
        <f>VC_NEW2!AT7</f>
        <v>0</v>
      </c>
      <c r="AZ26" s="7">
        <f>VC_NEW2!AU7</f>
        <v>0</v>
      </c>
      <c r="BA26" s="7">
        <f>VC_NEW2!AV7</f>
        <v>0</v>
      </c>
      <c r="BB26" s="7">
        <f>VC_NEW2!AW7</f>
        <v>0</v>
      </c>
      <c r="BC26" s="7">
        <f>VC_NEW2!AX7</f>
        <v>0</v>
      </c>
      <c r="BD26" s="7">
        <f>VC_NEW2!AY7</f>
        <v>0</v>
      </c>
      <c r="BE26" s="7">
        <f>VC_NEW2!AZ7</f>
        <v>0</v>
      </c>
      <c r="BF26" s="7">
        <f>VC_NEW2!BA7</f>
        <v>0</v>
      </c>
      <c r="BG26" s="7" t="str">
        <f>VC_NEW2!BB7</f>
        <v xml:space="preserve">P55S </v>
      </c>
      <c r="BH26" s="7">
        <f>VC_NEW2!BC7</f>
        <v>0</v>
      </c>
      <c r="BI26" s="7">
        <f>VC_NEW2!BD7</f>
        <v>0</v>
      </c>
      <c r="BJ26" s="7">
        <f>VC_NEW2!BE7</f>
        <v>0</v>
      </c>
      <c r="BK26" s="7">
        <f>VC_NEW2!BF7</f>
        <v>0</v>
      </c>
      <c r="BL26" s="7">
        <f>VC_NEW2!BG7</f>
        <v>0</v>
      </c>
      <c r="BM26" s="7">
        <f>VC_NEW2!BH7</f>
        <v>0</v>
      </c>
      <c r="BN26" s="7">
        <f>VC_NEW2!BI7</f>
        <v>0</v>
      </c>
      <c r="BO26" s="7">
        <f>VC_NEW2!BJ7</f>
        <v>0</v>
      </c>
      <c r="BP26" s="7">
        <f>VC_NEW2!BK7</f>
        <v>0</v>
      </c>
      <c r="BQ26" s="7">
        <f>VC_NEW2!BL7</f>
        <v>0</v>
      </c>
      <c r="BR26" s="7">
        <f>VC_NEW2!BM7</f>
        <v>0</v>
      </c>
      <c r="BS26" s="7">
        <f>VC_NEW2!BN7</f>
        <v>0</v>
      </c>
      <c r="BT26" s="7">
        <f>VC_NEW2!BO7</f>
        <v>0</v>
      </c>
      <c r="BU26" s="7">
        <f>VC_NEW2!BP7</f>
        <v>0</v>
      </c>
      <c r="BV26" s="7">
        <f>VC_NEW2!BQ7</f>
        <v>0</v>
      </c>
      <c r="BW26" s="7">
        <f>VC_NEW2!BR7</f>
        <v>0</v>
      </c>
      <c r="BX26" s="7">
        <f>VC_NEW2!BS7</f>
        <v>0</v>
      </c>
      <c r="BY26" s="7">
        <f>VC_NEW2!BT7</f>
        <v>0</v>
      </c>
      <c r="BZ26" s="7">
        <f>VC_NEW2!BU7</f>
        <v>0</v>
      </c>
      <c r="CA26" s="7">
        <f>VC_NEW2!BV7</f>
        <v>0</v>
      </c>
      <c r="CB26" s="7">
        <f>VC_NEW2!BW7</f>
        <v>0</v>
      </c>
      <c r="CC26" s="7">
        <f>VC_NEW2!BX7</f>
        <v>0</v>
      </c>
      <c r="CD26" s="7">
        <f>VC_NEW2!BY7</f>
        <v>0</v>
      </c>
      <c r="CE26" s="7">
        <f>VC_NEW2!BZ7</f>
        <v>0</v>
      </c>
      <c r="CF26" s="7">
        <f>VC_NEW2!CA7</f>
        <v>0</v>
      </c>
      <c r="CG26" s="7">
        <f>VC_NEW2!CB7</f>
        <v>0</v>
      </c>
      <c r="CH26" s="7">
        <f>VC_NEW2!CC7</f>
        <v>0</v>
      </c>
      <c r="CI26" s="7">
        <f>VC_NEW2!CD7</f>
        <v>0</v>
      </c>
      <c r="CJ26" s="7">
        <f>VC_NEW2!CE7</f>
        <v>0</v>
      </c>
      <c r="CK26" s="7">
        <f>VC_NEW2!CF7</f>
        <v>0</v>
      </c>
      <c r="CL26" s="7">
        <f>VC_NEW2!CG7</f>
        <v>0</v>
      </c>
      <c r="CM26" s="7">
        <f>VC_NEW2!CH7</f>
        <v>0</v>
      </c>
      <c r="CN26" s="7">
        <f>VC_NEW2!CI7</f>
        <v>0</v>
      </c>
      <c r="CO26" s="7">
        <f>VC_NEW2!CJ7</f>
        <v>0</v>
      </c>
      <c r="CP26" s="7">
        <f>VC_NEW2!CK7</f>
        <v>0</v>
      </c>
      <c r="CQ26" s="7">
        <f>VC_NEW2!CL7</f>
        <v>0</v>
      </c>
      <c r="CR26" s="7">
        <f>VC_NEW2!CM7</f>
        <v>0</v>
      </c>
      <c r="CS26" s="7">
        <f>VC_NEW2!CN7</f>
        <v>0</v>
      </c>
      <c r="CT26" s="7">
        <f>VC_NEW2!CO7</f>
        <v>0</v>
      </c>
      <c r="CU26" s="7">
        <f>VC_NEW2!CP7</f>
        <v>0</v>
      </c>
      <c r="CV26" s="7">
        <f>VC_NEW2!CQ7</f>
        <v>0</v>
      </c>
      <c r="CW26" s="7">
        <f>VC_NEW2!CR7</f>
        <v>0</v>
      </c>
      <c r="CX26" s="7">
        <f>VC_NEW2!CS7</f>
        <v>0</v>
      </c>
      <c r="CY26" s="7">
        <f>VC_NEW2!CT7</f>
        <v>0</v>
      </c>
      <c r="CZ26" s="7">
        <f>VC_NEW2!CU7</f>
        <v>0</v>
      </c>
      <c r="DA26" s="7">
        <f>VC_NEW2!CV7</f>
        <v>0</v>
      </c>
      <c r="DB26" s="7">
        <f>VC_NEW2!CW7</f>
        <v>0</v>
      </c>
      <c r="DC26" s="7">
        <f>VC_NEW2!CX7</f>
        <v>0</v>
      </c>
      <c r="DD26" s="7">
        <f>VC_NEW2!CY7</f>
        <v>0</v>
      </c>
      <c r="DE26" s="7">
        <f>VC_NEW2!CZ7</f>
        <v>0</v>
      </c>
      <c r="DF26" s="7">
        <f>VC_NEW2!DA7</f>
        <v>0</v>
      </c>
      <c r="DG26" s="7">
        <f>VC_NEW2!DB7</f>
        <v>0</v>
      </c>
      <c r="DH26" s="7">
        <f>VC_NEW2!DC7</f>
        <v>0</v>
      </c>
      <c r="DI26" s="7">
        <f>VC_NEW2!DD7</f>
        <v>0</v>
      </c>
      <c r="DJ26" s="7">
        <f>VC_NEW2!DE7</f>
        <v>0</v>
      </c>
      <c r="DK26" s="7">
        <f>VC_NEW2!DF7</f>
        <v>0</v>
      </c>
      <c r="DL26" s="7">
        <f>VC_NEW2!DG7</f>
        <v>0</v>
      </c>
      <c r="DM26" s="7">
        <f>VC_NEW2!DH7</f>
        <v>0</v>
      </c>
      <c r="DN26" s="7">
        <f>VC_NEW2!DI7</f>
        <v>0</v>
      </c>
      <c r="DO26" s="7">
        <f>VC_NEW2!DJ7</f>
        <v>0</v>
      </c>
      <c r="DP26" s="7">
        <f>VC_NEW2!DK7</f>
        <v>0</v>
      </c>
      <c r="DQ26" s="7">
        <f>VC_NEW2!DL7</f>
        <v>0</v>
      </c>
      <c r="DR26" s="7">
        <f>VC_NEW2!DM7</f>
        <v>0</v>
      </c>
      <c r="DS26" s="7">
        <f>VC_NEW2!DN7</f>
        <v>0</v>
      </c>
      <c r="DT26" s="7">
        <f>VC_NEW2!DO7</f>
        <v>0</v>
      </c>
      <c r="DU26" s="7" t="str">
        <f>VC_NEW2!DP7</f>
        <v>nt410∆1</v>
      </c>
      <c r="DV26" s="7">
        <f>VC_NEW2!DQ7</f>
        <v>0</v>
      </c>
      <c r="DW26" s="7" t="str">
        <f>VC_NEW2!DR7</f>
        <v>nt410∆1</v>
      </c>
      <c r="DX26" s="7">
        <f>VC_NEW2!DS7</f>
        <v>0</v>
      </c>
      <c r="DY26" s="7">
        <f>VC_NEW2!DT7</f>
        <v>0</v>
      </c>
      <c r="DZ26" s="7">
        <f>VC_NEW2!DU7</f>
        <v>0</v>
      </c>
      <c r="EA26" s="7">
        <f>VC_NEW2!DV7</f>
        <v>0</v>
      </c>
      <c r="EB26" s="7">
        <f>VC_NEW2!DW7</f>
        <v>0</v>
      </c>
      <c r="EC26" s="7">
        <f>VC_NEW2!DX7</f>
        <v>0</v>
      </c>
      <c r="ED26" s="7">
        <f>VC_NEW2!DY7</f>
        <v>0</v>
      </c>
      <c r="EE26" s="7">
        <f>VC_NEW2!DZ7</f>
        <v>0</v>
      </c>
      <c r="EF26" s="7">
        <f>VC_NEW2!EA7</f>
        <v>0</v>
      </c>
      <c r="EG26" s="7">
        <f>VC_NEW2!EB7</f>
        <v>0</v>
      </c>
      <c r="EH26" s="7">
        <f>VC_NEW2!EC7</f>
        <v>0</v>
      </c>
      <c r="EI26" s="7" t="str">
        <f>VC_NEW2!ED7</f>
        <v>Y207X</v>
      </c>
      <c r="EJ26" s="7">
        <f>VC_NEW2!EE7</f>
        <v>0</v>
      </c>
      <c r="EK26" s="7">
        <f>VC_NEW2!EF7</f>
        <v>0</v>
      </c>
      <c r="EL26" s="7">
        <f>VC_NEW2!EG7</f>
        <v>0</v>
      </c>
      <c r="EM26" s="7">
        <f>VC_NEW2!EH7</f>
        <v>0</v>
      </c>
      <c r="EN26" s="7">
        <f>VC_NEW2!EI7</f>
        <v>0</v>
      </c>
      <c r="EO26" s="7">
        <f>VC_NEW2!EJ7</f>
        <v>0</v>
      </c>
      <c r="EP26" s="7">
        <f>VC_NEW2!EK7</f>
        <v>0</v>
      </c>
      <c r="EQ26" s="7">
        <f>VC_NEW2!EL7</f>
        <v>0</v>
      </c>
      <c r="ER26" s="7">
        <f>VC_NEW2!EM7</f>
        <v>0</v>
      </c>
      <c r="ES26" s="7">
        <f>VC_NEW2!EN7</f>
        <v>0</v>
      </c>
      <c r="ET26" s="7">
        <f>VC_NEW2!EO7</f>
        <v>0</v>
      </c>
      <c r="EU26" s="7">
        <f>VC_NEW2!EP7</f>
        <v>0</v>
      </c>
      <c r="EV26" s="7">
        <f>VC_NEW2!EQ7</f>
        <v>0</v>
      </c>
      <c r="EW26" s="7">
        <f>VC_NEW2!ER7</f>
        <v>0</v>
      </c>
      <c r="EX26" s="7">
        <f>VC_NEW2!ES7</f>
        <v>0</v>
      </c>
      <c r="EY26" s="7">
        <f>VC_NEW2!ET7</f>
        <v>0</v>
      </c>
      <c r="EZ26" s="7">
        <f>VC_NEW2!EU7</f>
        <v>0</v>
      </c>
      <c r="FA26" s="7">
        <f>VC_NEW2!EV7</f>
        <v>0</v>
      </c>
      <c r="FB26" s="7">
        <f>VC_NEW2!EW7</f>
        <v>0</v>
      </c>
      <c r="FC26" s="7">
        <f>VC_NEW2!EX7</f>
        <v>0</v>
      </c>
      <c r="FD26" s="7">
        <f>VC_NEW2!EY7</f>
        <v>0</v>
      </c>
      <c r="FE26" s="7" t="str">
        <f>VC_NEW2!EZ7</f>
        <v>L246P</v>
      </c>
      <c r="FF26" s="7">
        <f>VC_NEW2!FA7</f>
        <v>0</v>
      </c>
      <c r="FG26" s="7">
        <f>VC_NEW2!FB7</f>
        <v>0</v>
      </c>
      <c r="FH26" s="7">
        <f>VC_NEW2!FC7</f>
        <v>0</v>
      </c>
      <c r="FI26" s="7">
        <f>VC_NEW2!FD7</f>
        <v>0</v>
      </c>
      <c r="FJ26" s="7">
        <f>VC_NEW2!FE7</f>
        <v>0</v>
      </c>
      <c r="FK26" s="7">
        <f>VC_NEW2!FF7</f>
        <v>0</v>
      </c>
      <c r="FL26" s="7">
        <f>VC_NEW2!FG7</f>
        <v>0</v>
      </c>
      <c r="FM26" s="7">
        <f>VC_NEW2!FH7</f>
        <v>0</v>
      </c>
      <c r="FN26" s="7">
        <f>VC_NEW2!FI7</f>
        <v>0</v>
      </c>
      <c r="FO26" s="7">
        <f>VC_NEW2!FJ7</f>
        <v>0</v>
      </c>
      <c r="FP26" s="7">
        <f>VC_NEW2!FK7</f>
        <v>0</v>
      </c>
      <c r="FQ26" s="7">
        <f>VC_NEW2!FL7</f>
        <v>0</v>
      </c>
      <c r="FR26" s="7">
        <f>VC_NEW2!FM7</f>
        <v>0</v>
      </c>
      <c r="FS26" s="7">
        <f>VC_NEW2!FN7</f>
        <v>0</v>
      </c>
      <c r="FT26" s="7">
        <f>VC_NEW2!FO7</f>
        <v>0</v>
      </c>
      <c r="FU26" s="7">
        <f>VC_NEW2!FP7</f>
        <v>0</v>
      </c>
      <c r="FV26" s="7">
        <f>VC_NEW2!FQ7</f>
        <v>0</v>
      </c>
      <c r="FW26" s="7">
        <f>VC_NEW2!FR7</f>
        <v>0</v>
      </c>
      <c r="FX26" s="7">
        <f>VC_NEW2!FS7</f>
        <v>0</v>
      </c>
      <c r="FY26" s="7">
        <f>VC_NEW2!FT7</f>
        <v>0</v>
      </c>
      <c r="FZ26" s="7">
        <f>VC_NEW2!FU7</f>
        <v>0</v>
      </c>
      <c r="GA26" s="7">
        <f>VC_NEW2!FV7</f>
        <v>0</v>
      </c>
      <c r="GB26" s="7">
        <f>VC_NEW2!FW7</f>
        <v>0</v>
      </c>
      <c r="GC26" s="7">
        <f>VC_NEW2!FX7</f>
        <v>0</v>
      </c>
      <c r="GD26" s="7">
        <f>VC_NEW2!FY7</f>
        <v>0</v>
      </c>
      <c r="GE26" s="7">
        <f>VC_NEW2!FZ7</f>
        <v>0</v>
      </c>
      <c r="GF26" s="7">
        <f>VC_NEW2!GA7</f>
        <v>0</v>
      </c>
      <c r="GG26" s="7">
        <f>VC_NEW2!GB7</f>
        <v>0</v>
      </c>
      <c r="GH26" s="7">
        <f>VC_NEW2!GC7</f>
        <v>0</v>
      </c>
      <c r="GI26" s="7">
        <f>VC_NEW2!GD7</f>
        <v>0</v>
      </c>
      <c r="GJ26" s="7">
        <f>VC_NEW2!GE7</f>
        <v>0</v>
      </c>
      <c r="GK26" s="7">
        <f>VC_NEW2!GF7</f>
        <v>0</v>
      </c>
      <c r="GL26" s="7">
        <f>VC_NEW2!GG7</f>
        <v>0</v>
      </c>
      <c r="GM26" s="7">
        <f>VC_NEW2!GH7</f>
        <v>0</v>
      </c>
      <c r="GN26" s="7">
        <f>VC_NEW2!GI7</f>
        <v>0</v>
      </c>
      <c r="GO26" s="7">
        <f>VC_NEW2!GJ7</f>
        <v>0</v>
      </c>
      <c r="GP26" s="7">
        <f>VC_NEW2!GK7</f>
        <v>0</v>
      </c>
      <c r="GQ26" s="7">
        <f>VC_NEW2!GL7</f>
        <v>0</v>
      </c>
      <c r="GR26" s="7">
        <f>VC_NEW2!GM7</f>
        <v>0</v>
      </c>
      <c r="GS26" s="7">
        <f>VC_NEW2!GN7</f>
        <v>0</v>
      </c>
      <c r="GT26" s="7">
        <f>VC_NEW2!GO7</f>
        <v>0</v>
      </c>
      <c r="GU26" s="7">
        <f>VC_NEW2!GP7</f>
        <v>0</v>
      </c>
      <c r="GV26" s="7">
        <f>VC_NEW2!GQ7</f>
        <v>0</v>
      </c>
      <c r="GW26" s="7">
        <f>VC_NEW2!GR7</f>
        <v>0</v>
      </c>
      <c r="GX26" s="7">
        <f>VC_NEW2!GS7</f>
        <v>0</v>
      </c>
      <c r="GY26" s="7">
        <f>VC_NEW2!GT7</f>
        <v>0</v>
      </c>
      <c r="GZ26" s="7">
        <f>VC_NEW2!GU7</f>
        <v>0</v>
      </c>
      <c r="HA26" s="7">
        <f>VC_NEW2!GV7</f>
        <v>0</v>
      </c>
      <c r="HB26" s="7">
        <f>VC_NEW2!GW7</f>
        <v>0</v>
      </c>
      <c r="HC26" s="7">
        <f>VC_NEW2!GX7</f>
        <v>0</v>
      </c>
    </row>
    <row r="27" spans="1:211" s="2" customFormat="1" ht="15" customHeight="1" x14ac:dyDescent="0.25">
      <c r="A27" s="2" t="s">
        <v>41</v>
      </c>
      <c r="B27" s="2" t="s">
        <v>42</v>
      </c>
      <c r="C27" s="4" t="s">
        <v>2</v>
      </c>
      <c r="D27" s="2" t="s">
        <v>76</v>
      </c>
      <c r="E27" s="2" t="s">
        <v>138</v>
      </c>
      <c r="F27" s="2" t="s">
        <v>74</v>
      </c>
      <c r="G27" s="2" t="s">
        <v>136</v>
      </c>
      <c r="H27" s="1">
        <f>VC_NEW2!C9</f>
        <v>0</v>
      </c>
      <c r="I27" s="1">
        <f>VC_NEW2!D9</f>
        <v>0</v>
      </c>
      <c r="J27" s="1">
        <f>VC_NEW2!E9</f>
        <v>0</v>
      </c>
      <c r="K27" s="1">
        <f>VC_NEW2!F9</f>
        <v>0</v>
      </c>
      <c r="L27" s="1" t="str">
        <f>VC_NEW2!G9</f>
        <v>W138X</v>
      </c>
      <c r="M27" s="1">
        <f>VC_NEW2!H9</f>
        <v>0</v>
      </c>
      <c r="N27" s="1" t="str">
        <f>VC_NEW2!I9</f>
        <v>nt1056∆1</v>
      </c>
      <c r="O27" s="1">
        <f>VC_NEW2!J9</f>
        <v>0</v>
      </c>
      <c r="P27" s="1">
        <f>VC_NEW2!K9</f>
        <v>0</v>
      </c>
      <c r="Q27" s="1">
        <f>VC_NEW2!L9</f>
        <v>0</v>
      </c>
      <c r="R27" s="1">
        <f>VC_NEW2!M9</f>
        <v>0</v>
      </c>
      <c r="S27" s="1">
        <f>VC_NEW2!N9</f>
        <v>0</v>
      </c>
      <c r="T27" s="1">
        <f>VC_NEW2!O9</f>
        <v>0</v>
      </c>
      <c r="U27" s="1">
        <f>VC_NEW2!P9</f>
        <v>0</v>
      </c>
      <c r="V27" s="1">
        <f>VC_NEW2!Q9</f>
        <v>0</v>
      </c>
      <c r="W27" s="1">
        <f>VC_NEW2!R9</f>
        <v>0</v>
      </c>
      <c r="X27" s="1">
        <f>VC_NEW2!S9</f>
        <v>0</v>
      </c>
      <c r="Y27" s="1">
        <f>VC_NEW2!T9</f>
        <v>0</v>
      </c>
      <c r="Z27" s="1">
        <f>VC_NEW2!U9</f>
        <v>0</v>
      </c>
      <c r="AA27" s="1">
        <f>VC_NEW2!V9</f>
        <v>0</v>
      </c>
      <c r="AB27" s="1">
        <f>VC_NEW2!W9</f>
        <v>0</v>
      </c>
      <c r="AC27" s="1">
        <f>VC_NEW2!X9</f>
        <v>0</v>
      </c>
      <c r="AD27" s="1">
        <f>VC_NEW2!Y9</f>
        <v>0</v>
      </c>
      <c r="AE27" s="1" t="str">
        <f>VC_NEW2!Z9</f>
        <v>nt1185∆1</v>
      </c>
      <c r="AF27" s="1">
        <f>VC_NEW2!AA9</f>
        <v>0</v>
      </c>
      <c r="AG27" s="1">
        <f>VC_NEW2!AB9</f>
        <v>0</v>
      </c>
      <c r="AH27" s="1">
        <f>VC_NEW2!AC9</f>
        <v>0</v>
      </c>
      <c r="AI27" s="1">
        <f>VC_NEW2!AD9</f>
        <v>0</v>
      </c>
      <c r="AJ27" s="1">
        <f>VC_NEW2!AE9</f>
        <v>0</v>
      </c>
      <c r="AK27" s="1">
        <f>VC_NEW2!AF9</f>
        <v>0</v>
      </c>
      <c r="AL27" s="1" t="str">
        <f>VC_NEW2!AG9</f>
        <v>nt1206InsC</v>
      </c>
      <c r="AM27" s="1" t="str">
        <f>VC_NEW2!AH9</f>
        <v>aa397∆9</v>
      </c>
      <c r="AN27" s="1">
        <f>VC_NEW2!AI9</f>
        <v>0</v>
      </c>
      <c r="AO27" s="1">
        <f>VC_NEW2!AJ9</f>
        <v>0</v>
      </c>
      <c r="AP27" s="1">
        <f>VC_NEW2!AK9</f>
        <v>0</v>
      </c>
      <c r="AQ27" s="1">
        <f>VC_NEW2!AL9</f>
        <v>0</v>
      </c>
      <c r="AR27" s="1">
        <f>VC_NEW2!AM9</f>
        <v>0</v>
      </c>
      <c r="AS27" s="1" t="str">
        <f>VC_NEW2!AN9</f>
        <v>nt1206InsC</v>
      </c>
      <c r="AT27" s="1" t="str">
        <f>VC_NEW2!AO9</f>
        <v>nt209∆10</v>
      </c>
      <c r="AU27" s="1">
        <f>VC_NEW2!AP9</f>
        <v>0</v>
      </c>
      <c r="AV27" s="1">
        <f>VC_NEW2!AQ9</f>
        <v>0</v>
      </c>
      <c r="AW27" s="1">
        <f>VC_NEW2!AR9</f>
        <v>0</v>
      </c>
      <c r="AX27" s="1">
        <f>VC_NEW2!AS9</f>
        <v>0</v>
      </c>
      <c r="AY27" s="1">
        <f>VC_NEW2!AT9</f>
        <v>0</v>
      </c>
      <c r="AZ27" s="1">
        <f>VC_NEW2!AU9</f>
        <v>0</v>
      </c>
      <c r="BA27" s="1" t="str">
        <f>VC_NEW2!AV9</f>
        <v>Q142X</v>
      </c>
      <c r="BB27" s="1" t="str">
        <f>VC_NEW2!AW9</f>
        <v>nt1206InsC</v>
      </c>
      <c r="BC27" s="1" t="str">
        <f>VC_NEW2!AX9</f>
        <v>Q142X</v>
      </c>
      <c r="BD27" s="1">
        <f>VC_NEW2!AY9</f>
        <v>0</v>
      </c>
      <c r="BE27" s="1">
        <f>VC_NEW2!AZ9</f>
        <v>0</v>
      </c>
      <c r="BF27" s="1">
        <f>VC_NEW2!BA9</f>
        <v>0</v>
      </c>
      <c r="BG27" s="1">
        <f>VC_NEW2!BB9</f>
        <v>0</v>
      </c>
      <c r="BH27" s="1">
        <f>VC_NEW2!BC9</f>
        <v>0</v>
      </c>
      <c r="BI27" s="1">
        <f>VC_NEW2!BD9</f>
        <v>0</v>
      </c>
      <c r="BJ27" s="1">
        <f>VC_NEW2!BE9</f>
        <v>0</v>
      </c>
      <c r="BK27" s="1">
        <f>VC_NEW2!BF9</f>
        <v>0</v>
      </c>
      <c r="BL27" s="1">
        <f>VC_NEW2!BG9</f>
        <v>0</v>
      </c>
      <c r="BM27" s="1">
        <f>VC_NEW2!BH9</f>
        <v>0</v>
      </c>
      <c r="BN27" s="1" t="str">
        <f>VC_NEW2!BI9</f>
        <v>nt438InsC</v>
      </c>
      <c r="BO27" s="1" t="str">
        <f>VC_NEW2!BJ9</f>
        <v>W339X</v>
      </c>
      <c r="BP27" s="1">
        <f>VC_NEW2!BK9</f>
        <v>0</v>
      </c>
      <c r="BQ27" s="1">
        <f>VC_NEW2!BL9</f>
        <v>0</v>
      </c>
      <c r="BR27" s="1">
        <f>VC_NEW2!BM9</f>
        <v>0</v>
      </c>
      <c r="BS27" s="1" t="str">
        <f>VC_NEW2!BN9</f>
        <v>nt199∆1</v>
      </c>
      <c r="BT27" s="1">
        <f>VC_NEW2!BO9</f>
        <v>0</v>
      </c>
      <c r="BU27" s="1">
        <f>VC_NEW2!BP9</f>
        <v>0</v>
      </c>
      <c r="BV27" s="1">
        <f>VC_NEW2!BQ9</f>
        <v>0</v>
      </c>
      <c r="BW27" s="1">
        <f>VC_NEW2!BR9</f>
        <v>0</v>
      </c>
      <c r="BX27" s="1">
        <f>VC_NEW2!BS9</f>
        <v>0</v>
      </c>
      <c r="BY27" s="1">
        <f>VC_NEW2!BT9</f>
        <v>0</v>
      </c>
      <c r="BZ27" s="1">
        <f>VC_NEW2!BU9</f>
        <v>0</v>
      </c>
      <c r="CA27" s="1">
        <f>VC_NEW2!BV9</f>
        <v>0</v>
      </c>
      <c r="CB27" s="1">
        <f>VC_NEW2!BW9</f>
        <v>0</v>
      </c>
      <c r="CC27" s="1">
        <f>VC_NEW2!BX9</f>
        <v>0</v>
      </c>
      <c r="CD27" s="1" t="str">
        <f>VC_NEW2!BY9</f>
        <v>Q142X</v>
      </c>
      <c r="CE27" s="1">
        <f>VC_NEW2!BZ9</f>
        <v>0</v>
      </c>
      <c r="CF27" s="1">
        <f>VC_NEW2!CA9</f>
        <v>0</v>
      </c>
      <c r="CG27" s="1">
        <f>VC_NEW2!CB9</f>
        <v>0</v>
      </c>
      <c r="CH27" s="1">
        <f>VC_NEW2!CC9</f>
        <v>0</v>
      </c>
      <c r="CI27" s="1">
        <f>VC_NEW2!CD9</f>
        <v>0</v>
      </c>
      <c r="CJ27" s="1" t="str">
        <f>VC_NEW2!CE9</f>
        <v>Q142X</v>
      </c>
      <c r="CK27" s="1" t="str">
        <f>VC_NEW2!CF9</f>
        <v>Q142X</v>
      </c>
      <c r="CL27" s="1">
        <f>VC_NEW2!CG9</f>
        <v>0</v>
      </c>
      <c r="CM27" s="1" t="str">
        <f>VC_NEW2!CH9</f>
        <v>W277X</v>
      </c>
      <c r="CN27" s="1">
        <f>VC_NEW2!CI9</f>
        <v>0</v>
      </c>
      <c r="CO27" s="1">
        <f>VC_NEW2!CJ9</f>
        <v>0</v>
      </c>
      <c r="CP27" s="1" t="str">
        <f>VC_NEW2!CK9</f>
        <v>Q142X</v>
      </c>
      <c r="CQ27" s="1" t="str">
        <f>VC_NEW2!CL9</f>
        <v>Q142X</v>
      </c>
      <c r="CR27" s="1">
        <f>VC_NEW2!CM9</f>
        <v>0</v>
      </c>
      <c r="CS27" s="1">
        <f>VC_NEW2!CN9</f>
        <v>0</v>
      </c>
      <c r="CT27" s="1">
        <f>VC_NEW2!CO9</f>
        <v>0</v>
      </c>
      <c r="CU27" s="1">
        <f>VC_NEW2!CP9</f>
        <v>0</v>
      </c>
      <c r="CV27" s="1">
        <f>VC_NEW2!CQ9</f>
        <v>0</v>
      </c>
      <c r="CW27" s="1">
        <f>VC_NEW2!CR9</f>
        <v>0</v>
      </c>
      <c r="CX27" s="1">
        <f>VC_NEW2!CS9</f>
        <v>0</v>
      </c>
      <c r="CY27" s="1">
        <f>VC_NEW2!CT9</f>
        <v>0</v>
      </c>
      <c r="CZ27" s="1">
        <f>VC_NEW2!CU9</f>
        <v>0</v>
      </c>
      <c r="DA27" s="1">
        <f>VC_NEW2!CV9</f>
        <v>0</v>
      </c>
      <c r="DB27" s="1">
        <f>VC_NEW2!CW9</f>
        <v>0</v>
      </c>
      <c r="DC27" s="1">
        <f>VC_NEW2!CX9</f>
        <v>0</v>
      </c>
      <c r="DD27" s="1">
        <f>VC_NEW2!CY9</f>
        <v>0</v>
      </c>
      <c r="DE27" s="1">
        <f>VC_NEW2!CZ9</f>
        <v>0</v>
      </c>
      <c r="DF27" s="1">
        <f>VC_NEW2!DA9</f>
        <v>0</v>
      </c>
      <c r="DG27" s="1">
        <f>VC_NEW2!DB9</f>
        <v>0</v>
      </c>
      <c r="DH27" s="1">
        <f>VC_NEW2!DC9</f>
        <v>0</v>
      </c>
      <c r="DI27" s="1">
        <f>VC_NEW2!DD9</f>
        <v>0</v>
      </c>
      <c r="DJ27" s="1" t="str">
        <f>VC_NEW2!DE9</f>
        <v>nt350InsC</v>
      </c>
      <c r="DK27" s="1">
        <f>VC_NEW2!DF9</f>
        <v>0</v>
      </c>
      <c r="DL27" s="1">
        <f>VC_NEW2!DG9</f>
        <v>0</v>
      </c>
      <c r="DM27" s="1">
        <f>VC_NEW2!DH9</f>
        <v>0</v>
      </c>
      <c r="DN27" s="1">
        <f>VC_NEW2!DI9</f>
        <v>0</v>
      </c>
      <c r="DO27" s="1">
        <f>VC_NEW2!DJ9</f>
        <v>0</v>
      </c>
      <c r="DP27" s="1">
        <f>VC_NEW2!DK9</f>
        <v>0</v>
      </c>
      <c r="DQ27" s="1">
        <f>VC_NEW2!DL9</f>
        <v>0</v>
      </c>
      <c r="DR27" s="1">
        <f>VC_NEW2!DM9</f>
        <v>0</v>
      </c>
      <c r="DS27" s="1">
        <f>VC_NEW2!DN9</f>
        <v>0</v>
      </c>
      <c r="DT27" s="1">
        <f>VC_NEW2!DO9</f>
        <v>0</v>
      </c>
      <c r="DU27" s="1" t="str">
        <f>VC_NEW2!DP9</f>
        <v>W415X</v>
      </c>
      <c r="DV27" s="1">
        <f>VC_NEW2!DQ9</f>
        <v>0</v>
      </c>
      <c r="DW27" s="1" t="str">
        <f>VC_NEW2!DR9</f>
        <v>W415X</v>
      </c>
      <c r="DX27" s="1">
        <f>VC_NEW2!DS9</f>
        <v>0</v>
      </c>
      <c r="DY27" s="1">
        <f>VC_NEW2!DT9</f>
        <v>0</v>
      </c>
      <c r="DZ27" s="1">
        <f>VC_NEW2!DU9</f>
        <v>0</v>
      </c>
      <c r="EA27" s="1" t="str">
        <f>VC_NEW2!DV9</f>
        <v>nt55InsGCACT</v>
      </c>
      <c r="EB27" s="1">
        <f>VC_NEW2!DW9</f>
        <v>0</v>
      </c>
      <c r="EC27" s="1">
        <f>VC_NEW2!DX9</f>
        <v>0</v>
      </c>
      <c r="ED27" s="1">
        <f>VC_NEW2!DY9</f>
        <v>0</v>
      </c>
      <c r="EE27" s="1" t="str">
        <f>VC_NEW2!DZ9</f>
        <v>nt55InsGCACT</v>
      </c>
      <c r="EF27" s="1">
        <f>VC_NEW2!EA9</f>
        <v>0</v>
      </c>
      <c r="EG27" s="1">
        <f>VC_NEW2!EB9</f>
        <v>0</v>
      </c>
      <c r="EH27" s="1" t="str">
        <f>VC_NEW2!EC9</f>
        <v>nt1206InsC</v>
      </c>
      <c r="EI27" s="1">
        <f>VC_NEW2!ED9</f>
        <v>0</v>
      </c>
      <c r="EJ27" s="1" t="str">
        <f>VC_NEW2!EE9</f>
        <v>Y225X</v>
      </c>
      <c r="EK27" s="1">
        <f>VC_NEW2!EF9</f>
        <v>0</v>
      </c>
      <c r="EL27" s="1">
        <f>VC_NEW2!EG9</f>
        <v>0</v>
      </c>
      <c r="EM27" s="1">
        <f>VC_NEW2!EH9</f>
        <v>0</v>
      </c>
      <c r="EN27" s="1">
        <f>VC_NEW2!EI9</f>
        <v>0</v>
      </c>
      <c r="EO27" s="1">
        <f>VC_NEW2!EJ9</f>
        <v>0</v>
      </c>
      <c r="EP27" s="1">
        <f>VC_NEW2!EK9</f>
        <v>0</v>
      </c>
      <c r="EQ27" s="1">
        <f>VC_NEW2!EL9</f>
        <v>0</v>
      </c>
      <c r="ER27" s="1">
        <f>VC_NEW2!EM9</f>
        <v>0</v>
      </c>
      <c r="ES27" s="1">
        <f>VC_NEW2!EN9</f>
        <v>0</v>
      </c>
      <c r="ET27" s="1">
        <f>VC_NEW2!EO9</f>
        <v>0</v>
      </c>
      <c r="EU27" s="1">
        <f>VC_NEW2!EP9</f>
        <v>0</v>
      </c>
      <c r="EV27" s="1">
        <f>VC_NEW2!EQ9</f>
        <v>0</v>
      </c>
      <c r="EW27" s="1">
        <f>VC_NEW2!ER9</f>
        <v>0</v>
      </c>
      <c r="EX27" s="1">
        <f>VC_NEW2!ES9</f>
        <v>0</v>
      </c>
      <c r="EY27" s="1">
        <f>VC_NEW2!ET9</f>
        <v>0</v>
      </c>
      <c r="EZ27" s="1">
        <f>VC_NEW2!EU9</f>
        <v>0</v>
      </c>
      <c r="FA27" s="1" t="str">
        <f>VC_NEW2!EV9</f>
        <v>W417X</v>
      </c>
      <c r="FB27" s="1">
        <f>VC_NEW2!EW9</f>
        <v>0</v>
      </c>
      <c r="FC27" s="1">
        <f>VC_NEW2!EX9</f>
        <v>0</v>
      </c>
      <c r="FD27" s="1">
        <f>VC_NEW2!EY9</f>
        <v>0</v>
      </c>
      <c r="FE27" s="1" t="str">
        <f>VC_NEW2!EZ9</f>
        <v>Q158X</v>
      </c>
      <c r="FF27" s="1">
        <f>VC_NEW2!FA9</f>
        <v>0</v>
      </c>
      <c r="FG27" s="1">
        <f>VC_NEW2!FB9</f>
        <v>0</v>
      </c>
      <c r="FH27" s="1">
        <f>VC_NEW2!FC9</f>
        <v>0</v>
      </c>
      <c r="FI27" s="1">
        <f>VC_NEW2!FD9</f>
        <v>0</v>
      </c>
      <c r="FJ27" s="1">
        <f>VC_NEW2!FE9</f>
        <v>0</v>
      </c>
      <c r="FK27" s="1" t="str">
        <f>VC_NEW2!FF9</f>
        <v>Q422X</v>
      </c>
      <c r="FL27" s="1">
        <f>VC_NEW2!FG9</f>
        <v>0</v>
      </c>
      <c r="FM27" s="1">
        <f>VC_NEW2!FH9</f>
        <v>0</v>
      </c>
      <c r="FN27" s="1">
        <f>VC_NEW2!FI9</f>
        <v>0</v>
      </c>
      <c r="FO27" s="1">
        <f>VC_NEW2!FJ9</f>
        <v>0</v>
      </c>
      <c r="FP27" s="1">
        <f>VC_NEW2!FK9</f>
        <v>0</v>
      </c>
      <c r="FQ27" s="1">
        <f>VC_NEW2!FL9</f>
        <v>0</v>
      </c>
      <c r="FR27" s="1">
        <f>VC_NEW2!FM9</f>
        <v>0</v>
      </c>
      <c r="FS27" s="1">
        <f>VC_NEW2!FN9</f>
        <v>0</v>
      </c>
      <c r="FT27" s="1">
        <f>VC_NEW2!FO9</f>
        <v>0</v>
      </c>
      <c r="FU27" s="1">
        <f>VC_NEW2!FP9</f>
        <v>0</v>
      </c>
      <c r="FV27" s="1">
        <f>VC_NEW2!FQ9</f>
        <v>0</v>
      </c>
      <c r="FW27" s="1">
        <f>VC_NEW2!FR9</f>
        <v>0</v>
      </c>
      <c r="FX27" s="1">
        <f>VC_NEW2!FS9</f>
        <v>0</v>
      </c>
      <c r="FY27" s="1">
        <f>VC_NEW2!FT9</f>
        <v>0</v>
      </c>
      <c r="FZ27" s="1">
        <f>VC_NEW2!FU9</f>
        <v>0</v>
      </c>
      <c r="GA27" s="1" t="str">
        <f>VC_NEW2!FV9</f>
        <v>W277X</v>
      </c>
      <c r="GB27" s="1">
        <f>VC_NEW2!FW9</f>
        <v>0</v>
      </c>
      <c r="GC27" s="1">
        <f>VC_NEW2!FX9</f>
        <v>0</v>
      </c>
      <c r="GD27" s="1">
        <f>VC_NEW2!FY9</f>
        <v>0</v>
      </c>
      <c r="GE27" s="1">
        <f>VC_NEW2!FZ9</f>
        <v>0</v>
      </c>
      <c r="GF27" s="1">
        <f>VC_NEW2!GA9</f>
        <v>0</v>
      </c>
      <c r="GG27" s="1">
        <f>VC_NEW2!GB9</f>
        <v>0</v>
      </c>
      <c r="GH27" s="1">
        <f>VC_NEW2!GC9</f>
        <v>0</v>
      </c>
      <c r="GI27" s="1">
        <f>VC_NEW2!GD9</f>
        <v>0</v>
      </c>
      <c r="GJ27" s="1">
        <f>VC_NEW2!GE9</f>
        <v>0</v>
      </c>
      <c r="GK27" s="1">
        <f>VC_NEW2!GF9</f>
        <v>0</v>
      </c>
      <c r="GL27" s="1">
        <f>VC_NEW2!GG9</f>
        <v>0</v>
      </c>
      <c r="GM27" s="1">
        <f>VC_NEW2!GH9</f>
        <v>0</v>
      </c>
      <c r="GN27" s="1">
        <f>VC_NEW2!GI9</f>
        <v>0</v>
      </c>
      <c r="GO27" s="1">
        <f>VC_NEW2!GJ9</f>
        <v>0</v>
      </c>
      <c r="GP27" s="1">
        <f>VC_NEW2!GK9</f>
        <v>0</v>
      </c>
      <c r="GQ27" s="1">
        <f>VC_NEW2!GL9</f>
        <v>0</v>
      </c>
      <c r="GR27" s="1">
        <f>VC_NEW2!GM9</f>
        <v>0</v>
      </c>
      <c r="GS27" s="1">
        <f>VC_NEW2!GN9</f>
        <v>0</v>
      </c>
      <c r="GT27" s="1">
        <f>VC_NEW2!GO9</f>
        <v>0</v>
      </c>
      <c r="GU27" s="1">
        <f>VC_NEW2!GP9</f>
        <v>0</v>
      </c>
      <c r="GV27" s="1">
        <f>VC_NEW2!GQ9</f>
        <v>0</v>
      </c>
      <c r="GW27" s="1">
        <f>VC_NEW2!GR9</f>
        <v>0</v>
      </c>
      <c r="GX27" s="1" t="str">
        <f>VC_NEW2!GS9</f>
        <v>nt742∆1</v>
      </c>
      <c r="GY27" s="1" t="str">
        <f>VC_NEW2!GT9</f>
        <v>nt991InsAC</v>
      </c>
      <c r="GZ27" s="1">
        <f>VC_NEW2!GU9</f>
        <v>0</v>
      </c>
      <c r="HA27" s="1">
        <f>VC_NEW2!GV9</f>
        <v>0</v>
      </c>
      <c r="HB27" s="1" t="str">
        <f>VC_NEW2!GW9</f>
        <v>Q142X</v>
      </c>
      <c r="HC27" s="1">
        <f>VC_NEW2!GX9</f>
        <v>0</v>
      </c>
    </row>
    <row r="28" spans="1:211" s="7" customFormat="1" ht="15" hidden="1" customHeight="1" x14ac:dyDescent="0.25">
      <c r="A28" s="7" t="s">
        <v>45</v>
      </c>
      <c r="B28" s="7" t="s">
        <v>46</v>
      </c>
      <c r="C28" s="8" t="s">
        <v>0</v>
      </c>
      <c r="D28" s="7" t="s">
        <v>76</v>
      </c>
      <c r="E28" s="7" t="s">
        <v>138</v>
      </c>
      <c r="F28" s="7" t="s">
        <v>73</v>
      </c>
      <c r="G28" s="7" t="s">
        <v>140</v>
      </c>
      <c r="H28" s="7">
        <f>VC_NEW2!C12</f>
        <v>0</v>
      </c>
      <c r="I28" s="7" t="str">
        <f>VC_NEW2!D12</f>
        <v>V238L</v>
      </c>
      <c r="J28" s="7">
        <f>VC_NEW2!E12</f>
        <v>0</v>
      </c>
      <c r="K28" s="7">
        <f>VC_NEW2!F12</f>
        <v>0</v>
      </c>
      <c r="L28" s="7">
        <f>VC_NEW2!G12</f>
        <v>0</v>
      </c>
      <c r="M28" s="7">
        <f>VC_NEW2!H12</f>
        <v>0</v>
      </c>
      <c r="N28" s="7" t="str">
        <f>VC_NEW2!I12</f>
        <v xml:space="preserve">L137P, V216A </v>
      </c>
      <c r="O28" s="7">
        <f>VC_NEW2!J12</f>
        <v>0</v>
      </c>
      <c r="P28" s="7">
        <f>VC_NEW2!K12</f>
        <v>0</v>
      </c>
      <c r="Q28" s="7">
        <f>VC_NEW2!L12</f>
        <v>0</v>
      </c>
      <c r="R28" s="7">
        <f>VC_NEW2!M12</f>
        <v>0</v>
      </c>
      <c r="S28" s="7">
        <f>VC_NEW2!N12</f>
        <v>0</v>
      </c>
      <c r="T28" s="7">
        <f>VC_NEW2!O12</f>
        <v>0</v>
      </c>
      <c r="U28" s="7">
        <f>VC_NEW2!P12</f>
        <v>0</v>
      </c>
      <c r="V28" s="7">
        <f>VC_NEW2!Q12</f>
        <v>0</v>
      </c>
      <c r="W28" s="7">
        <f>VC_NEW2!R12</f>
        <v>0</v>
      </c>
      <c r="X28" s="7">
        <f>VC_NEW2!S12</f>
        <v>0</v>
      </c>
      <c r="Y28" s="7">
        <f>VC_NEW2!T12</f>
        <v>0</v>
      </c>
      <c r="Z28" s="7">
        <f>VC_NEW2!U12</f>
        <v>0</v>
      </c>
      <c r="AA28" s="7">
        <f>VC_NEW2!V12</f>
        <v>0</v>
      </c>
      <c r="AB28" s="7">
        <f>VC_NEW2!W12</f>
        <v>0</v>
      </c>
      <c r="AC28" s="7">
        <f>VC_NEW2!X12</f>
        <v>0</v>
      </c>
      <c r="AD28" s="7">
        <f>VC_NEW2!Y12</f>
        <v>0</v>
      </c>
      <c r="AE28" s="7" t="str">
        <f>VC_NEW2!Z12</f>
        <v>A345T</v>
      </c>
      <c r="AF28" s="7">
        <f>VC_NEW2!AA12</f>
        <v>0</v>
      </c>
      <c r="AG28" s="7">
        <f>VC_NEW2!AB12</f>
        <v>0</v>
      </c>
      <c r="AH28" s="7">
        <f>VC_NEW2!AC12</f>
        <v>0</v>
      </c>
      <c r="AI28" s="7">
        <f>VC_NEW2!AD12</f>
        <v>0</v>
      </c>
      <c r="AJ28" s="7">
        <f>VC_NEW2!AE12</f>
        <v>0</v>
      </c>
      <c r="AK28" s="7">
        <f>VC_NEW2!AF12</f>
        <v>0</v>
      </c>
      <c r="AL28" s="7">
        <f>VC_NEW2!AG12</f>
        <v>0</v>
      </c>
      <c r="AM28" s="7">
        <f>VC_NEW2!AH12</f>
        <v>0</v>
      </c>
      <c r="AN28" s="7">
        <f>VC_NEW2!AI12</f>
        <v>0</v>
      </c>
      <c r="AO28" s="7" t="str">
        <f>VC_NEW2!AJ12</f>
        <v>R83K, V216A</v>
      </c>
      <c r="AP28" s="7">
        <f>VC_NEW2!AK12</f>
        <v>0</v>
      </c>
      <c r="AQ28" s="7">
        <f>VC_NEW2!AL12</f>
        <v>0</v>
      </c>
      <c r="AR28" s="7">
        <f>VC_NEW2!AM12</f>
        <v>0</v>
      </c>
      <c r="AS28" s="7">
        <f>VC_NEW2!AN12</f>
        <v>0</v>
      </c>
      <c r="AT28" s="7">
        <f>VC_NEW2!AO12</f>
        <v>0</v>
      </c>
      <c r="AU28" s="7">
        <f>VC_NEW2!AP12</f>
        <v>0</v>
      </c>
      <c r="AV28" s="7">
        <f>VC_NEW2!AQ12</f>
        <v>0</v>
      </c>
      <c r="AW28" s="7">
        <f>VC_NEW2!AR12</f>
        <v>0</v>
      </c>
      <c r="AX28" s="7">
        <f>VC_NEW2!AS12</f>
        <v>0</v>
      </c>
      <c r="AY28" s="7">
        <f>VC_NEW2!AT12</f>
        <v>0</v>
      </c>
      <c r="AZ28" s="7">
        <f>VC_NEW2!AU12</f>
        <v>0</v>
      </c>
      <c r="BA28" s="7">
        <f>VC_NEW2!AV12</f>
        <v>0</v>
      </c>
      <c r="BB28" s="7">
        <f>VC_NEW2!AW12</f>
        <v>0</v>
      </c>
      <c r="BC28" s="7">
        <f>VC_NEW2!AX12</f>
        <v>0</v>
      </c>
      <c r="BD28" s="7">
        <f>VC_NEW2!AY12</f>
        <v>0</v>
      </c>
      <c r="BE28" s="7">
        <f>VC_NEW2!AZ12</f>
        <v>0</v>
      </c>
      <c r="BF28" s="7">
        <f>VC_NEW2!BA12</f>
        <v>0</v>
      </c>
      <c r="BG28" s="7">
        <f>VC_NEW2!BB12</f>
        <v>0</v>
      </c>
      <c r="BH28" s="7">
        <f>VC_NEW2!BC12</f>
        <v>0</v>
      </c>
      <c r="BI28" s="7">
        <f>VC_NEW2!BD12</f>
        <v>0</v>
      </c>
      <c r="BJ28" s="7" t="str">
        <f>VC_NEW2!BE12</f>
        <v>R385H</v>
      </c>
      <c r="BK28" s="7">
        <f>VC_NEW2!BF12</f>
        <v>0</v>
      </c>
      <c r="BL28" s="7">
        <f>VC_NEW2!BG12</f>
        <v>0</v>
      </c>
      <c r="BM28" s="7">
        <f>VC_NEW2!BH12</f>
        <v>0</v>
      </c>
      <c r="BN28" s="7">
        <f>VC_NEW2!BI12</f>
        <v>0</v>
      </c>
      <c r="BO28" s="7">
        <f>VC_NEW2!BJ12</f>
        <v>0</v>
      </c>
      <c r="BP28" s="7" t="str">
        <f>VC_NEW2!BK12</f>
        <v>aa118∆4</v>
      </c>
      <c r="BQ28" s="7">
        <f>VC_NEW2!BL12</f>
        <v>0</v>
      </c>
      <c r="BR28" s="7" t="str">
        <f>VC_NEW2!BM12</f>
        <v>L137P, nt998∆1</v>
      </c>
      <c r="BS28" s="7">
        <f>VC_NEW2!BN12</f>
        <v>0</v>
      </c>
      <c r="BT28" s="7">
        <f>VC_NEW2!BO12</f>
        <v>0</v>
      </c>
      <c r="BU28" s="7">
        <f>VC_NEW2!BP12</f>
        <v>0</v>
      </c>
      <c r="BV28" s="7">
        <f>VC_NEW2!BQ12</f>
        <v>0</v>
      </c>
      <c r="BW28" s="7">
        <f>VC_NEW2!BR12</f>
        <v>0</v>
      </c>
      <c r="BX28" s="7" t="str">
        <f>VC_NEW2!BS12</f>
        <v>G303R</v>
      </c>
      <c r="BY28" s="7">
        <f>VC_NEW2!BT12</f>
        <v>0</v>
      </c>
      <c r="BZ28" s="7">
        <f>VC_NEW2!BU12</f>
        <v>0</v>
      </c>
      <c r="CA28" s="7">
        <f>VC_NEW2!BV12</f>
        <v>0</v>
      </c>
      <c r="CB28" s="7">
        <f>VC_NEW2!BW12</f>
        <v>0</v>
      </c>
      <c r="CC28" s="7">
        <f>VC_NEW2!BX12</f>
        <v>0</v>
      </c>
      <c r="CD28" s="7">
        <f>VC_NEW2!BY12</f>
        <v>0</v>
      </c>
      <c r="CE28" s="7">
        <f>VC_NEW2!BZ12</f>
        <v>0</v>
      </c>
      <c r="CF28" s="7">
        <f>VC_NEW2!CA12</f>
        <v>0</v>
      </c>
      <c r="CG28" s="7">
        <f>VC_NEW2!CB12</f>
        <v>0</v>
      </c>
      <c r="CH28" s="7">
        <f>VC_NEW2!CC12</f>
        <v>0</v>
      </c>
      <c r="CI28" s="7">
        <f>VC_NEW2!CD12</f>
        <v>0</v>
      </c>
      <c r="CJ28" s="7">
        <f>VC_NEW2!CE12</f>
        <v>0</v>
      </c>
      <c r="CK28" s="7">
        <f>VC_NEW2!CF12</f>
        <v>0</v>
      </c>
      <c r="CL28" s="7">
        <f>VC_NEW2!CG12</f>
        <v>0</v>
      </c>
      <c r="CM28" s="7">
        <f>VC_NEW2!CH12</f>
        <v>0</v>
      </c>
      <c r="CN28" s="7">
        <f>VC_NEW2!CI12</f>
        <v>0</v>
      </c>
      <c r="CO28" s="7">
        <f>VC_NEW2!CJ12</f>
        <v>0</v>
      </c>
      <c r="CP28" s="7">
        <f>VC_NEW2!CK12</f>
        <v>0</v>
      </c>
      <c r="CQ28" s="7">
        <f>VC_NEW2!CL12</f>
        <v>0</v>
      </c>
      <c r="CR28" s="7">
        <f>VC_NEW2!CM12</f>
        <v>0</v>
      </c>
      <c r="CS28" s="7">
        <f>VC_NEW2!CN12</f>
        <v>0</v>
      </c>
      <c r="CT28" s="7">
        <f>VC_NEW2!CO12</f>
        <v>0</v>
      </c>
      <c r="CU28" s="7">
        <f>VC_NEW2!CP12</f>
        <v>0</v>
      </c>
      <c r="CV28" s="7">
        <f>VC_NEW2!CQ12</f>
        <v>0</v>
      </c>
      <c r="CW28" s="7">
        <f>VC_NEW2!CR12</f>
        <v>0</v>
      </c>
      <c r="CX28" s="7">
        <f>VC_NEW2!CS12</f>
        <v>0</v>
      </c>
      <c r="CY28" s="7">
        <f>VC_NEW2!CT12</f>
        <v>0</v>
      </c>
      <c r="CZ28" s="7">
        <f>VC_NEW2!CU12</f>
        <v>0</v>
      </c>
      <c r="DA28" s="7">
        <f>VC_NEW2!CV12</f>
        <v>0</v>
      </c>
      <c r="DB28" s="7">
        <f>VC_NEW2!CW12</f>
        <v>0</v>
      </c>
      <c r="DC28" s="7">
        <f>VC_NEW2!CX12</f>
        <v>0</v>
      </c>
      <c r="DD28" s="7">
        <f>VC_NEW2!CY12</f>
        <v>0</v>
      </c>
      <c r="DE28" s="7">
        <f>VC_NEW2!CZ12</f>
        <v>0</v>
      </c>
      <c r="DF28" s="7">
        <f>VC_NEW2!DA12</f>
        <v>0</v>
      </c>
      <c r="DG28" s="7">
        <f>VC_NEW2!DB12</f>
        <v>0</v>
      </c>
      <c r="DH28" s="7">
        <f>VC_NEW2!DC12</f>
        <v>0</v>
      </c>
      <c r="DI28" s="7">
        <f>VC_NEW2!DD12</f>
        <v>0</v>
      </c>
      <c r="DJ28" s="7">
        <f>VC_NEW2!DE12</f>
        <v>0</v>
      </c>
      <c r="DK28" s="7">
        <f>VC_NEW2!DF12</f>
        <v>0</v>
      </c>
      <c r="DL28" s="7">
        <f>VC_NEW2!DG12</f>
        <v>0</v>
      </c>
      <c r="DM28" s="7">
        <f>VC_NEW2!DH12</f>
        <v>0</v>
      </c>
      <c r="DN28" s="7">
        <f>VC_NEW2!DI12</f>
        <v>0</v>
      </c>
      <c r="DO28" s="7">
        <f>VC_NEW2!DJ12</f>
        <v>0</v>
      </c>
      <c r="DP28" s="7">
        <f>VC_NEW2!DK12</f>
        <v>0</v>
      </c>
      <c r="DQ28" s="7">
        <f>VC_NEW2!DL12</f>
        <v>0</v>
      </c>
      <c r="DR28" s="7">
        <f>VC_NEW2!DM12</f>
        <v>0</v>
      </c>
      <c r="DS28" s="7">
        <f>VC_NEW2!DN12</f>
        <v>0</v>
      </c>
      <c r="DT28" s="7">
        <f>VC_NEW2!DO12</f>
        <v>0</v>
      </c>
      <c r="DU28" s="7">
        <f>VC_NEW2!DP12</f>
        <v>0</v>
      </c>
      <c r="DV28" s="7">
        <f>VC_NEW2!DQ12</f>
        <v>0</v>
      </c>
      <c r="DW28" s="7">
        <f>VC_NEW2!DR12</f>
        <v>0</v>
      </c>
      <c r="DX28" s="7" t="str">
        <f>VC_NEW2!DS12</f>
        <v>V238L</v>
      </c>
      <c r="DY28" s="7" t="str">
        <f>VC_NEW2!DT12</f>
        <v>Y73C</v>
      </c>
      <c r="DZ28" s="7">
        <f>VC_NEW2!DU12</f>
        <v>0</v>
      </c>
      <c r="EA28" s="7">
        <f>VC_NEW2!DV12</f>
        <v>0</v>
      </c>
      <c r="EB28" s="7">
        <f>VC_NEW2!DW12</f>
        <v>0</v>
      </c>
      <c r="EC28" s="7">
        <f>VC_NEW2!DX12</f>
        <v>0</v>
      </c>
      <c r="ED28" s="7" t="str">
        <f>VC_NEW2!DY12</f>
        <v>S33R</v>
      </c>
      <c r="EE28" s="7">
        <f>VC_NEW2!DZ12</f>
        <v>0</v>
      </c>
      <c r="EF28" s="7">
        <f>VC_NEW2!EA12</f>
        <v>0</v>
      </c>
      <c r="EG28" s="7">
        <f>VC_NEW2!EB12</f>
        <v>0</v>
      </c>
      <c r="EH28" s="7">
        <f>VC_NEW2!EC12</f>
        <v>0</v>
      </c>
      <c r="EI28" s="7">
        <f>VC_NEW2!ED12</f>
        <v>0</v>
      </c>
      <c r="EJ28" s="7">
        <f>VC_NEW2!EE12</f>
        <v>0</v>
      </c>
      <c r="EK28" s="7">
        <f>VC_NEW2!EF12</f>
        <v>0</v>
      </c>
      <c r="EL28" s="7">
        <f>VC_NEW2!EG12</f>
        <v>0</v>
      </c>
      <c r="EM28" s="7">
        <f>VC_NEW2!EH12</f>
        <v>0</v>
      </c>
      <c r="EN28" s="7">
        <f>VC_NEW2!EI12</f>
        <v>0</v>
      </c>
      <c r="EO28" s="7">
        <f>VC_NEW2!EJ12</f>
        <v>0</v>
      </c>
      <c r="EP28" s="7">
        <f>VC_NEW2!EK12</f>
        <v>0</v>
      </c>
      <c r="EQ28" s="7">
        <f>VC_NEW2!EL12</f>
        <v>0</v>
      </c>
      <c r="ER28" s="7" t="str">
        <f>VC_NEW2!EM12</f>
        <v>L346P</v>
      </c>
      <c r="ES28" s="7">
        <f>VC_NEW2!EN12</f>
        <v>0</v>
      </c>
      <c r="ET28" s="7">
        <f>VC_NEW2!EO12</f>
        <v>0</v>
      </c>
      <c r="EU28" s="7">
        <f>VC_NEW2!EP12</f>
        <v>0</v>
      </c>
      <c r="EV28" s="7">
        <f>VC_NEW2!EQ12</f>
        <v>0</v>
      </c>
      <c r="EW28" s="7">
        <f>VC_NEW2!ER12</f>
        <v>0</v>
      </c>
      <c r="EX28" s="7">
        <f>VC_NEW2!ES12</f>
        <v>0</v>
      </c>
      <c r="EY28" s="7">
        <f>VC_NEW2!ET12</f>
        <v>0</v>
      </c>
      <c r="EZ28" s="7">
        <f>VC_NEW2!EU12</f>
        <v>0</v>
      </c>
      <c r="FA28" s="7">
        <f>VC_NEW2!EV12</f>
        <v>0</v>
      </c>
      <c r="FB28" s="7">
        <f>VC_NEW2!EW12</f>
        <v>0</v>
      </c>
      <c r="FC28" s="7">
        <f>VC_NEW2!EX12</f>
        <v>0</v>
      </c>
      <c r="FD28" s="7">
        <f>VC_NEW2!EY12</f>
        <v>0</v>
      </c>
      <c r="FE28" s="7" t="str">
        <f>VC_NEW2!EZ12</f>
        <v>V216A</v>
      </c>
      <c r="FF28" s="7">
        <f>VC_NEW2!FA12</f>
        <v>0</v>
      </c>
      <c r="FG28" s="7">
        <f>VC_NEW2!FB12</f>
        <v>0</v>
      </c>
      <c r="FH28" s="7">
        <f>VC_NEW2!FC12</f>
        <v>0</v>
      </c>
      <c r="FI28" s="7" t="str">
        <f>VC_NEW2!FD12</f>
        <v>S277N</v>
      </c>
      <c r="FJ28" s="7">
        <f>VC_NEW2!FE12</f>
        <v>0</v>
      </c>
      <c r="FK28" s="7">
        <f>VC_NEW2!FF12</f>
        <v>0</v>
      </c>
      <c r="FL28" s="7" t="str">
        <f>VC_NEW2!FG12</f>
        <v>R7H</v>
      </c>
      <c r="FM28" s="7">
        <f>VC_NEW2!FH12</f>
        <v>0</v>
      </c>
      <c r="FN28" s="7">
        <f>VC_NEW2!FI12</f>
        <v>0</v>
      </c>
      <c r="FO28" s="7">
        <f>VC_NEW2!FJ12</f>
        <v>0</v>
      </c>
      <c r="FP28" s="7">
        <f>VC_NEW2!FK12</f>
        <v>0</v>
      </c>
      <c r="FQ28" s="7">
        <f>VC_NEW2!FL12</f>
        <v>0</v>
      </c>
      <c r="FR28" s="7">
        <f>VC_NEW2!FM12</f>
        <v>0</v>
      </c>
      <c r="FS28" s="7">
        <f>VC_NEW2!FN12</f>
        <v>0</v>
      </c>
      <c r="FT28" s="7">
        <f>VC_NEW2!FO12</f>
        <v>0</v>
      </c>
      <c r="FU28" s="7">
        <f>VC_NEW2!FP12</f>
        <v>0</v>
      </c>
      <c r="FV28" s="7">
        <f>VC_NEW2!FQ12</f>
        <v>0</v>
      </c>
      <c r="FW28" s="7">
        <f>VC_NEW2!FR12</f>
        <v>0</v>
      </c>
      <c r="FX28" s="7" t="str">
        <f>VC_NEW2!FS12</f>
        <v>D348N</v>
      </c>
      <c r="FY28" s="7">
        <f>VC_NEW2!FT12</f>
        <v>0</v>
      </c>
      <c r="FZ28" s="7">
        <f>VC_NEW2!FU12</f>
        <v>0</v>
      </c>
      <c r="GA28" s="7">
        <f>VC_NEW2!FV12</f>
        <v>0</v>
      </c>
      <c r="GB28" s="7">
        <f>VC_NEW2!FW12</f>
        <v>0</v>
      </c>
      <c r="GC28" s="7" t="str">
        <f>VC_NEW2!FX12</f>
        <v>Q349K</v>
      </c>
      <c r="GD28" s="7">
        <f>VC_NEW2!FY12</f>
        <v>0</v>
      </c>
      <c r="GE28" s="7" t="str">
        <f>VC_NEW2!FZ12</f>
        <v>V238L</v>
      </c>
      <c r="GF28" s="7">
        <f>VC_NEW2!GA12</f>
        <v>0</v>
      </c>
      <c r="GG28" s="7">
        <f>VC_NEW2!GB12</f>
        <v>0</v>
      </c>
      <c r="GH28" s="7" t="str">
        <f>VC_NEW2!GC12</f>
        <v>D351N</v>
      </c>
      <c r="GI28" s="7">
        <f>VC_NEW2!GD12</f>
        <v>0</v>
      </c>
      <c r="GJ28" s="7" t="str">
        <f>VC_NEW2!GE12</f>
        <v xml:space="preserve">A395T </v>
      </c>
      <c r="GK28" s="7" t="str">
        <f>VC_NEW2!GF12</f>
        <v>V152A</v>
      </c>
      <c r="GL28" s="7">
        <f>VC_NEW2!GG12</f>
        <v>0</v>
      </c>
      <c r="GM28" s="7">
        <f>VC_NEW2!GH12</f>
        <v>0</v>
      </c>
      <c r="GN28" s="7">
        <f>VC_NEW2!GI12</f>
        <v>0</v>
      </c>
      <c r="GO28" s="7">
        <f>VC_NEW2!GJ12</f>
        <v>0</v>
      </c>
      <c r="GP28" s="7">
        <f>VC_NEW2!GK12</f>
        <v>0</v>
      </c>
      <c r="GQ28" s="7">
        <f>VC_NEW2!GL12</f>
        <v>0</v>
      </c>
      <c r="GR28" s="7">
        <f>VC_NEW2!GM12</f>
        <v>0</v>
      </c>
      <c r="GS28" s="7">
        <f>VC_NEW2!GN12</f>
        <v>0</v>
      </c>
      <c r="GT28" s="7">
        <f>VC_NEW2!GO12</f>
        <v>0</v>
      </c>
      <c r="GU28" s="7" t="str">
        <f>VC_NEW2!GP12</f>
        <v>A29V</v>
      </c>
      <c r="GV28" s="7">
        <f>VC_NEW2!GQ12</f>
        <v>0</v>
      </c>
      <c r="GW28" s="7">
        <f>VC_NEW2!GR12</f>
        <v>0</v>
      </c>
      <c r="GX28" s="7">
        <f>VC_NEW2!GS12</f>
        <v>0</v>
      </c>
      <c r="GY28" s="7" t="str">
        <f>VC_NEW2!GT12</f>
        <v>L137P</v>
      </c>
      <c r="GZ28" s="7">
        <f>VC_NEW2!GU12</f>
        <v>0</v>
      </c>
      <c r="HA28" s="7">
        <f>VC_NEW2!GV12</f>
        <v>0</v>
      </c>
      <c r="HB28" s="7">
        <f>VC_NEW2!GW12</f>
        <v>0</v>
      </c>
      <c r="HC28" s="7">
        <f>VC_NEW2!GX12</f>
        <v>0</v>
      </c>
    </row>
    <row r="29" spans="1:211" s="7" customFormat="1" ht="15" customHeight="1" x14ac:dyDescent="0.25">
      <c r="A29" s="7" t="s">
        <v>45</v>
      </c>
      <c r="B29" s="7" t="s">
        <v>46</v>
      </c>
      <c r="C29" s="8" t="s">
        <v>2</v>
      </c>
      <c r="D29" s="7" t="s">
        <v>76</v>
      </c>
      <c r="E29" s="7" t="s">
        <v>138</v>
      </c>
      <c r="F29" s="7" t="s">
        <v>73</v>
      </c>
      <c r="G29" s="7" t="s">
        <v>140</v>
      </c>
      <c r="H29" s="7">
        <f>VC_NEW2!C12</f>
        <v>0</v>
      </c>
      <c r="I29" s="7" t="str">
        <f>VC_NEW2!D12</f>
        <v>V238L</v>
      </c>
      <c r="J29" s="7">
        <f>VC_NEW2!E12</f>
        <v>0</v>
      </c>
      <c r="K29" s="7">
        <f>VC_NEW2!F12</f>
        <v>0</v>
      </c>
      <c r="L29" s="7">
        <f>VC_NEW2!G12</f>
        <v>0</v>
      </c>
      <c r="M29" s="7">
        <f>VC_NEW2!H12</f>
        <v>0</v>
      </c>
      <c r="N29" s="7" t="str">
        <f>VC_NEW2!I12</f>
        <v xml:space="preserve">L137P, V216A </v>
      </c>
      <c r="O29" s="7">
        <f>VC_NEW2!J12</f>
        <v>0</v>
      </c>
      <c r="P29" s="7">
        <f>VC_NEW2!K12</f>
        <v>0</v>
      </c>
      <c r="Q29" s="7">
        <f>VC_NEW2!L12</f>
        <v>0</v>
      </c>
      <c r="R29" s="7">
        <f>VC_NEW2!M12</f>
        <v>0</v>
      </c>
      <c r="S29" s="7">
        <f>VC_NEW2!N12</f>
        <v>0</v>
      </c>
      <c r="T29" s="7">
        <f>VC_NEW2!O12</f>
        <v>0</v>
      </c>
      <c r="U29" s="7">
        <f>VC_NEW2!P12</f>
        <v>0</v>
      </c>
      <c r="V29" s="7">
        <f>VC_NEW2!Q12</f>
        <v>0</v>
      </c>
      <c r="W29" s="7">
        <f>VC_NEW2!R12</f>
        <v>0</v>
      </c>
      <c r="X29" s="7">
        <f>VC_NEW2!S12</f>
        <v>0</v>
      </c>
      <c r="Y29" s="7">
        <f>VC_NEW2!T12</f>
        <v>0</v>
      </c>
      <c r="Z29" s="7">
        <f>VC_NEW2!U12</f>
        <v>0</v>
      </c>
      <c r="AA29" s="7">
        <f>VC_NEW2!V12</f>
        <v>0</v>
      </c>
      <c r="AB29" s="7">
        <f>VC_NEW2!W12</f>
        <v>0</v>
      </c>
      <c r="AC29" s="7">
        <f>VC_NEW2!X12</f>
        <v>0</v>
      </c>
      <c r="AD29" s="7">
        <f>VC_NEW2!Y12</f>
        <v>0</v>
      </c>
      <c r="AE29" s="7" t="str">
        <f>VC_NEW2!Z12</f>
        <v>A345T</v>
      </c>
      <c r="AF29" s="7">
        <f>VC_NEW2!AA12</f>
        <v>0</v>
      </c>
      <c r="AG29" s="7">
        <f>VC_NEW2!AB12</f>
        <v>0</v>
      </c>
      <c r="AH29" s="7">
        <f>VC_NEW2!AC12</f>
        <v>0</v>
      </c>
      <c r="AI29" s="7">
        <f>VC_NEW2!AD12</f>
        <v>0</v>
      </c>
      <c r="AJ29" s="7">
        <f>VC_NEW2!AE12</f>
        <v>0</v>
      </c>
      <c r="AK29" s="7">
        <f>VC_NEW2!AF12</f>
        <v>0</v>
      </c>
      <c r="AL29" s="7">
        <f>VC_NEW2!AG12</f>
        <v>0</v>
      </c>
      <c r="AM29" s="7">
        <f>VC_NEW2!AH12</f>
        <v>0</v>
      </c>
      <c r="AN29" s="7">
        <f>VC_NEW2!AI12</f>
        <v>0</v>
      </c>
      <c r="AO29" s="7" t="str">
        <f>VC_NEW2!AJ12</f>
        <v>R83K, V216A</v>
      </c>
      <c r="AP29" s="7">
        <f>VC_NEW2!AK12</f>
        <v>0</v>
      </c>
      <c r="AQ29" s="7">
        <f>VC_NEW2!AL12</f>
        <v>0</v>
      </c>
      <c r="AR29" s="7">
        <f>VC_NEW2!AM12</f>
        <v>0</v>
      </c>
      <c r="AS29" s="7">
        <f>VC_NEW2!AN12</f>
        <v>0</v>
      </c>
      <c r="AT29" s="7">
        <f>VC_NEW2!AO12</f>
        <v>0</v>
      </c>
      <c r="AU29" s="7">
        <f>VC_NEW2!AP12</f>
        <v>0</v>
      </c>
      <c r="AV29" s="7">
        <f>VC_NEW2!AQ12</f>
        <v>0</v>
      </c>
      <c r="AW29" s="7">
        <f>VC_NEW2!AR12</f>
        <v>0</v>
      </c>
      <c r="AX29" s="7">
        <f>VC_NEW2!AS12</f>
        <v>0</v>
      </c>
      <c r="AY29" s="7">
        <f>VC_NEW2!AT12</f>
        <v>0</v>
      </c>
      <c r="AZ29" s="7">
        <f>VC_NEW2!AU12</f>
        <v>0</v>
      </c>
      <c r="BA29" s="7">
        <f>VC_NEW2!AV12</f>
        <v>0</v>
      </c>
      <c r="BB29" s="7">
        <f>VC_NEW2!AW12</f>
        <v>0</v>
      </c>
      <c r="BC29" s="7">
        <f>VC_NEW2!AX12</f>
        <v>0</v>
      </c>
      <c r="BD29" s="7">
        <f>VC_NEW2!AY12</f>
        <v>0</v>
      </c>
      <c r="BE29" s="7">
        <f>VC_NEW2!AZ12</f>
        <v>0</v>
      </c>
      <c r="BF29" s="7">
        <f>VC_NEW2!BA12</f>
        <v>0</v>
      </c>
      <c r="BG29" s="7">
        <f>VC_NEW2!BB12</f>
        <v>0</v>
      </c>
      <c r="BH29" s="7">
        <f>VC_NEW2!BC12</f>
        <v>0</v>
      </c>
      <c r="BI29" s="7">
        <f>VC_NEW2!BD12</f>
        <v>0</v>
      </c>
      <c r="BJ29" s="7" t="str">
        <f>VC_NEW2!BE12</f>
        <v>R385H</v>
      </c>
      <c r="BK29" s="7">
        <f>VC_NEW2!BF12</f>
        <v>0</v>
      </c>
      <c r="BL29" s="7">
        <f>VC_NEW2!BG12</f>
        <v>0</v>
      </c>
      <c r="BM29" s="7">
        <f>VC_NEW2!BH12</f>
        <v>0</v>
      </c>
      <c r="BN29" s="7">
        <f>VC_NEW2!BI12</f>
        <v>0</v>
      </c>
      <c r="BO29" s="7">
        <f>VC_NEW2!BJ12</f>
        <v>0</v>
      </c>
      <c r="BP29" s="7" t="str">
        <f>VC_NEW2!BK12</f>
        <v>aa118∆4</v>
      </c>
      <c r="BQ29" s="7">
        <f>VC_NEW2!BL12</f>
        <v>0</v>
      </c>
      <c r="BR29" s="7" t="str">
        <f>VC_NEW2!BM12</f>
        <v>L137P, nt998∆1</v>
      </c>
      <c r="BS29" s="7">
        <f>VC_NEW2!BN12</f>
        <v>0</v>
      </c>
      <c r="BT29" s="7">
        <f>VC_NEW2!BO12</f>
        <v>0</v>
      </c>
      <c r="BU29" s="7">
        <f>VC_NEW2!BP12</f>
        <v>0</v>
      </c>
      <c r="BV29" s="7">
        <f>VC_NEW2!BQ12</f>
        <v>0</v>
      </c>
      <c r="BW29" s="7">
        <f>VC_NEW2!BR12</f>
        <v>0</v>
      </c>
      <c r="BX29" s="7" t="str">
        <f>VC_NEW2!BS12</f>
        <v>G303R</v>
      </c>
      <c r="BY29" s="7">
        <f>VC_NEW2!BT12</f>
        <v>0</v>
      </c>
      <c r="BZ29" s="7">
        <f>VC_NEW2!BU12</f>
        <v>0</v>
      </c>
      <c r="CA29" s="7">
        <f>VC_NEW2!BV12</f>
        <v>0</v>
      </c>
      <c r="CB29" s="7">
        <f>VC_NEW2!BW12</f>
        <v>0</v>
      </c>
      <c r="CC29" s="7">
        <f>VC_NEW2!BX12</f>
        <v>0</v>
      </c>
      <c r="CD29" s="7">
        <f>VC_NEW2!BY12</f>
        <v>0</v>
      </c>
      <c r="CE29" s="7">
        <f>VC_NEW2!BZ12</f>
        <v>0</v>
      </c>
      <c r="CF29" s="7">
        <f>VC_NEW2!CA12</f>
        <v>0</v>
      </c>
      <c r="CG29" s="7">
        <f>VC_NEW2!CB12</f>
        <v>0</v>
      </c>
      <c r="CH29" s="7">
        <f>VC_NEW2!CC12</f>
        <v>0</v>
      </c>
      <c r="CI29" s="7">
        <f>VC_NEW2!CD12</f>
        <v>0</v>
      </c>
      <c r="CJ29" s="7">
        <f>VC_NEW2!CE12</f>
        <v>0</v>
      </c>
      <c r="CK29" s="7">
        <f>VC_NEW2!CF12</f>
        <v>0</v>
      </c>
      <c r="CL29" s="7">
        <f>VC_NEW2!CG12</f>
        <v>0</v>
      </c>
      <c r="CM29" s="7">
        <f>VC_NEW2!CH12</f>
        <v>0</v>
      </c>
      <c r="CN29" s="7">
        <f>VC_NEW2!CI12</f>
        <v>0</v>
      </c>
      <c r="CO29" s="7">
        <f>VC_NEW2!CJ12</f>
        <v>0</v>
      </c>
      <c r="CP29" s="7">
        <f>VC_NEW2!CK12</f>
        <v>0</v>
      </c>
      <c r="CQ29" s="7">
        <f>VC_NEW2!CL12</f>
        <v>0</v>
      </c>
      <c r="CR29" s="7">
        <f>VC_NEW2!CM12</f>
        <v>0</v>
      </c>
      <c r="CS29" s="7">
        <f>VC_NEW2!CN12</f>
        <v>0</v>
      </c>
      <c r="CT29" s="7">
        <f>VC_NEW2!CO12</f>
        <v>0</v>
      </c>
      <c r="CU29" s="7">
        <f>VC_NEW2!CP12</f>
        <v>0</v>
      </c>
      <c r="CV29" s="7">
        <f>VC_NEW2!CQ12</f>
        <v>0</v>
      </c>
      <c r="CW29" s="7">
        <f>VC_NEW2!CR12</f>
        <v>0</v>
      </c>
      <c r="CX29" s="7">
        <f>VC_NEW2!CS12</f>
        <v>0</v>
      </c>
      <c r="CY29" s="7">
        <f>VC_NEW2!CT12</f>
        <v>0</v>
      </c>
      <c r="CZ29" s="7">
        <f>VC_NEW2!CU12</f>
        <v>0</v>
      </c>
      <c r="DA29" s="7">
        <f>VC_NEW2!CV12</f>
        <v>0</v>
      </c>
      <c r="DB29" s="7">
        <f>VC_NEW2!CW12</f>
        <v>0</v>
      </c>
      <c r="DC29" s="7">
        <f>VC_NEW2!CX12</f>
        <v>0</v>
      </c>
      <c r="DD29" s="7">
        <f>VC_NEW2!CY12</f>
        <v>0</v>
      </c>
      <c r="DE29" s="7">
        <f>VC_NEW2!CZ12</f>
        <v>0</v>
      </c>
      <c r="DF29" s="7">
        <f>VC_NEW2!DA12</f>
        <v>0</v>
      </c>
      <c r="DG29" s="7">
        <f>VC_NEW2!DB12</f>
        <v>0</v>
      </c>
      <c r="DH29" s="7">
        <f>VC_NEW2!DC12</f>
        <v>0</v>
      </c>
      <c r="DI29" s="7">
        <f>VC_NEW2!DD12</f>
        <v>0</v>
      </c>
      <c r="DJ29" s="7">
        <f>VC_NEW2!DE12</f>
        <v>0</v>
      </c>
      <c r="DK29" s="7">
        <f>VC_NEW2!DF12</f>
        <v>0</v>
      </c>
      <c r="DL29" s="7">
        <f>VC_NEW2!DG12</f>
        <v>0</v>
      </c>
      <c r="DM29" s="7">
        <f>VC_NEW2!DH12</f>
        <v>0</v>
      </c>
      <c r="DN29" s="7">
        <f>VC_NEW2!DI12</f>
        <v>0</v>
      </c>
      <c r="DO29" s="7">
        <f>VC_NEW2!DJ12</f>
        <v>0</v>
      </c>
      <c r="DP29" s="7">
        <f>VC_NEW2!DK12</f>
        <v>0</v>
      </c>
      <c r="DQ29" s="7">
        <f>VC_NEW2!DL12</f>
        <v>0</v>
      </c>
      <c r="DR29" s="7">
        <f>VC_NEW2!DM12</f>
        <v>0</v>
      </c>
      <c r="DS29" s="7">
        <f>VC_NEW2!DN12</f>
        <v>0</v>
      </c>
      <c r="DT29" s="7">
        <f>VC_NEW2!DO12</f>
        <v>0</v>
      </c>
      <c r="DU29" s="7">
        <f>VC_NEW2!DP12</f>
        <v>0</v>
      </c>
      <c r="DV29" s="7">
        <f>VC_NEW2!DQ12</f>
        <v>0</v>
      </c>
      <c r="DW29" s="7">
        <f>VC_NEW2!DR12</f>
        <v>0</v>
      </c>
      <c r="DX29" s="7" t="str">
        <f>VC_NEW2!DS12</f>
        <v>V238L</v>
      </c>
      <c r="DY29" s="7" t="str">
        <f>VC_NEW2!DT12</f>
        <v>Y73C</v>
      </c>
      <c r="DZ29" s="7">
        <f>VC_NEW2!DU12</f>
        <v>0</v>
      </c>
      <c r="EA29" s="7">
        <f>VC_NEW2!DV12</f>
        <v>0</v>
      </c>
      <c r="EB29" s="7">
        <f>VC_NEW2!DW12</f>
        <v>0</v>
      </c>
      <c r="EC29" s="7">
        <f>VC_NEW2!DX12</f>
        <v>0</v>
      </c>
      <c r="ED29" s="7" t="str">
        <f>VC_NEW2!DY12</f>
        <v>S33R</v>
      </c>
      <c r="EE29" s="7">
        <f>VC_NEW2!DZ12</f>
        <v>0</v>
      </c>
      <c r="EF29" s="7">
        <f>VC_NEW2!EA12</f>
        <v>0</v>
      </c>
      <c r="EG29" s="7">
        <f>VC_NEW2!EB12</f>
        <v>0</v>
      </c>
      <c r="EH29" s="7">
        <f>VC_NEW2!EC12</f>
        <v>0</v>
      </c>
      <c r="EI29" s="7">
        <f>VC_NEW2!ED12</f>
        <v>0</v>
      </c>
      <c r="EJ29" s="7">
        <f>VC_NEW2!EE12</f>
        <v>0</v>
      </c>
      <c r="EK29" s="7">
        <f>VC_NEW2!EF12</f>
        <v>0</v>
      </c>
      <c r="EL29" s="7">
        <f>VC_NEW2!EG12</f>
        <v>0</v>
      </c>
      <c r="EM29" s="7">
        <f>VC_NEW2!EH12</f>
        <v>0</v>
      </c>
      <c r="EN29" s="7">
        <f>VC_NEW2!EI12</f>
        <v>0</v>
      </c>
      <c r="EO29" s="7">
        <f>VC_NEW2!EJ12</f>
        <v>0</v>
      </c>
      <c r="EP29" s="7">
        <f>VC_NEW2!EK12</f>
        <v>0</v>
      </c>
      <c r="EQ29" s="7">
        <f>VC_NEW2!EL12</f>
        <v>0</v>
      </c>
      <c r="ER29" s="7" t="str">
        <f>VC_NEW2!EM12</f>
        <v>L346P</v>
      </c>
      <c r="ES29" s="7">
        <f>VC_NEW2!EN12</f>
        <v>0</v>
      </c>
      <c r="ET29" s="7">
        <f>VC_NEW2!EO12</f>
        <v>0</v>
      </c>
      <c r="EU29" s="7">
        <f>VC_NEW2!EP12</f>
        <v>0</v>
      </c>
      <c r="EV29" s="7">
        <f>VC_NEW2!EQ12</f>
        <v>0</v>
      </c>
      <c r="EW29" s="7">
        <f>VC_NEW2!ER12</f>
        <v>0</v>
      </c>
      <c r="EX29" s="7">
        <f>VC_NEW2!ES12</f>
        <v>0</v>
      </c>
      <c r="EY29" s="7">
        <f>VC_NEW2!ET12</f>
        <v>0</v>
      </c>
      <c r="EZ29" s="7">
        <f>VC_NEW2!EU12</f>
        <v>0</v>
      </c>
      <c r="FA29" s="7">
        <f>VC_NEW2!EV12</f>
        <v>0</v>
      </c>
      <c r="FB29" s="7">
        <f>VC_NEW2!EW12</f>
        <v>0</v>
      </c>
      <c r="FC29" s="7">
        <f>VC_NEW2!EX12</f>
        <v>0</v>
      </c>
      <c r="FD29" s="7">
        <f>VC_NEW2!EY12</f>
        <v>0</v>
      </c>
      <c r="FE29" s="7" t="str">
        <f>VC_NEW2!EZ12</f>
        <v>V216A</v>
      </c>
      <c r="FF29" s="7">
        <f>VC_NEW2!FA12</f>
        <v>0</v>
      </c>
      <c r="FG29" s="7">
        <f>VC_NEW2!FB12</f>
        <v>0</v>
      </c>
      <c r="FH29" s="7">
        <f>VC_NEW2!FC12</f>
        <v>0</v>
      </c>
      <c r="FI29" s="7" t="str">
        <f>VC_NEW2!FD12</f>
        <v>S277N</v>
      </c>
      <c r="FJ29" s="7">
        <f>VC_NEW2!FE12</f>
        <v>0</v>
      </c>
      <c r="FK29" s="7">
        <f>VC_NEW2!FF12</f>
        <v>0</v>
      </c>
      <c r="FL29" s="7" t="str">
        <f>VC_NEW2!FG12</f>
        <v>R7H</v>
      </c>
      <c r="FM29" s="7">
        <f>VC_NEW2!FH12</f>
        <v>0</v>
      </c>
      <c r="FN29" s="7">
        <f>VC_NEW2!FI12</f>
        <v>0</v>
      </c>
      <c r="FO29" s="7">
        <f>VC_NEW2!FJ12</f>
        <v>0</v>
      </c>
      <c r="FP29" s="7">
        <f>VC_NEW2!FK12</f>
        <v>0</v>
      </c>
      <c r="FQ29" s="7">
        <f>VC_NEW2!FL12</f>
        <v>0</v>
      </c>
      <c r="FR29" s="7">
        <f>VC_NEW2!FM12</f>
        <v>0</v>
      </c>
      <c r="FS29" s="7">
        <f>VC_NEW2!FN12</f>
        <v>0</v>
      </c>
      <c r="FT29" s="7">
        <f>VC_NEW2!FO12</f>
        <v>0</v>
      </c>
      <c r="FU29" s="7">
        <f>VC_NEW2!FP12</f>
        <v>0</v>
      </c>
      <c r="FV29" s="7">
        <f>VC_NEW2!FQ12</f>
        <v>0</v>
      </c>
      <c r="FW29" s="7">
        <f>VC_NEW2!FR12</f>
        <v>0</v>
      </c>
      <c r="FX29" s="7" t="str">
        <f>VC_NEW2!FS12</f>
        <v>D348N</v>
      </c>
      <c r="FY29" s="7">
        <f>VC_NEW2!FT12</f>
        <v>0</v>
      </c>
      <c r="FZ29" s="7">
        <f>VC_NEW2!FU12</f>
        <v>0</v>
      </c>
      <c r="GA29" s="7">
        <f>VC_NEW2!FV12</f>
        <v>0</v>
      </c>
      <c r="GB29" s="7">
        <f>VC_NEW2!FW12</f>
        <v>0</v>
      </c>
      <c r="GC29" s="7" t="str">
        <f>VC_NEW2!FX12</f>
        <v>Q349K</v>
      </c>
      <c r="GD29" s="7">
        <f>VC_NEW2!FY12</f>
        <v>0</v>
      </c>
      <c r="GE29" s="7" t="str">
        <f>VC_NEW2!FZ12</f>
        <v>V238L</v>
      </c>
      <c r="GF29" s="7">
        <f>VC_NEW2!GA12</f>
        <v>0</v>
      </c>
      <c r="GG29" s="7">
        <f>VC_NEW2!GB12</f>
        <v>0</v>
      </c>
      <c r="GH29" s="7" t="str">
        <f>VC_NEW2!GC12</f>
        <v>D351N</v>
      </c>
      <c r="GI29" s="7">
        <f>VC_NEW2!GD12</f>
        <v>0</v>
      </c>
      <c r="GJ29" s="7" t="str">
        <f>VC_NEW2!GE12</f>
        <v xml:space="preserve">A395T </v>
      </c>
      <c r="GK29" s="7" t="str">
        <f>VC_NEW2!GF12</f>
        <v>V152A</v>
      </c>
      <c r="GL29" s="7">
        <f>VC_NEW2!GG12</f>
        <v>0</v>
      </c>
      <c r="GM29" s="7">
        <f>VC_NEW2!GH12</f>
        <v>0</v>
      </c>
      <c r="GN29" s="7">
        <f>VC_NEW2!GI12</f>
        <v>0</v>
      </c>
      <c r="GO29" s="7">
        <f>VC_NEW2!GJ12</f>
        <v>0</v>
      </c>
      <c r="GP29" s="7">
        <f>VC_NEW2!GK12</f>
        <v>0</v>
      </c>
      <c r="GQ29" s="7">
        <f>VC_NEW2!GL12</f>
        <v>0</v>
      </c>
      <c r="GR29" s="7">
        <f>VC_NEW2!GM12</f>
        <v>0</v>
      </c>
      <c r="GS29" s="7">
        <f>VC_NEW2!GN12</f>
        <v>0</v>
      </c>
      <c r="GT29" s="7">
        <f>VC_NEW2!GO12</f>
        <v>0</v>
      </c>
      <c r="GU29" s="7" t="str">
        <f>VC_NEW2!GP12</f>
        <v>A29V</v>
      </c>
      <c r="GV29" s="7">
        <f>VC_NEW2!GQ12</f>
        <v>0</v>
      </c>
      <c r="GW29" s="7">
        <f>VC_NEW2!GR12</f>
        <v>0</v>
      </c>
      <c r="GX29" s="7">
        <f>VC_NEW2!GS12</f>
        <v>0</v>
      </c>
      <c r="GY29" s="7" t="str">
        <f>VC_NEW2!GT12</f>
        <v>L137P</v>
      </c>
      <c r="GZ29" s="7">
        <f>VC_NEW2!GU12</f>
        <v>0</v>
      </c>
      <c r="HA29" s="7">
        <f>VC_NEW2!GV12</f>
        <v>0</v>
      </c>
      <c r="HB29" s="7">
        <f>VC_NEW2!GW12</f>
        <v>0</v>
      </c>
      <c r="HC29" s="7">
        <f>VC_NEW2!GX12</f>
        <v>0</v>
      </c>
    </row>
    <row r="30" spans="1:211" s="7" customFormat="1" ht="15" hidden="1" customHeight="1" x14ac:dyDescent="0.25">
      <c r="A30" s="7" t="s">
        <v>45</v>
      </c>
      <c r="B30" s="7" t="s">
        <v>46</v>
      </c>
      <c r="C30" s="8" t="s">
        <v>4</v>
      </c>
      <c r="D30" s="7" t="s">
        <v>76</v>
      </c>
      <c r="E30" s="7" t="s">
        <v>139</v>
      </c>
      <c r="F30" s="7" t="s">
        <v>73</v>
      </c>
      <c r="G30" s="7" t="s">
        <v>140</v>
      </c>
      <c r="H30" s="7">
        <f>VC_NEW2!C12</f>
        <v>0</v>
      </c>
      <c r="I30" s="7" t="str">
        <f>VC_NEW2!D12</f>
        <v>V238L</v>
      </c>
      <c r="J30" s="7">
        <f>VC_NEW2!E12</f>
        <v>0</v>
      </c>
      <c r="K30" s="7">
        <f>VC_NEW2!F12</f>
        <v>0</v>
      </c>
      <c r="L30" s="7">
        <f>VC_NEW2!G12</f>
        <v>0</v>
      </c>
      <c r="M30" s="7">
        <f>VC_NEW2!H12</f>
        <v>0</v>
      </c>
      <c r="N30" s="7" t="str">
        <f>VC_NEW2!I12</f>
        <v xml:space="preserve">L137P, V216A </v>
      </c>
      <c r="O30" s="7">
        <f>VC_NEW2!J12</f>
        <v>0</v>
      </c>
      <c r="P30" s="7">
        <f>VC_NEW2!K12</f>
        <v>0</v>
      </c>
      <c r="Q30" s="7">
        <f>VC_NEW2!L12</f>
        <v>0</v>
      </c>
      <c r="R30" s="7">
        <f>VC_NEW2!M12</f>
        <v>0</v>
      </c>
      <c r="S30" s="7">
        <f>VC_NEW2!N12</f>
        <v>0</v>
      </c>
      <c r="T30" s="7">
        <f>VC_NEW2!O12</f>
        <v>0</v>
      </c>
      <c r="U30" s="7">
        <f>VC_NEW2!P12</f>
        <v>0</v>
      </c>
      <c r="V30" s="7">
        <f>VC_NEW2!Q12</f>
        <v>0</v>
      </c>
      <c r="W30" s="7">
        <f>VC_NEW2!R12</f>
        <v>0</v>
      </c>
      <c r="X30" s="7">
        <f>VC_NEW2!S12</f>
        <v>0</v>
      </c>
      <c r="Y30" s="7">
        <f>VC_NEW2!T12</f>
        <v>0</v>
      </c>
      <c r="Z30" s="7">
        <f>VC_NEW2!U12</f>
        <v>0</v>
      </c>
      <c r="AA30" s="7">
        <f>VC_NEW2!V12</f>
        <v>0</v>
      </c>
      <c r="AB30" s="7">
        <f>VC_NEW2!W12</f>
        <v>0</v>
      </c>
      <c r="AC30" s="7">
        <f>VC_NEW2!X12</f>
        <v>0</v>
      </c>
      <c r="AD30" s="7">
        <f>VC_NEW2!Y12</f>
        <v>0</v>
      </c>
      <c r="AE30" s="7" t="str">
        <f>VC_NEW2!Z12</f>
        <v>A345T</v>
      </c>
      <c r="AF30" s="7">
        <f>VC_NEW2!AA12</f>
        <v>0</v>
      </c>
      <c r="AG30" s="7">
        <f>VC_NEW2!AB12</f>
        <v>0</v>
      </c>
      <c r="AH30" s="7">
        <f>VC_NEW2!AC12</f>
        <v>0</v>
      </c>
      <c r="AI30" s="7">
        <f>VC_NEW2!AD12</f>
        <v>0</v>
      </c>
      <c r="AJ30" s="7">
        <f>VC_NEW2!AE12</f>
        <v>0</v>
      </c>
      <c r="AK30" s="7">
        <f>VC_NEW2!AF12</f>
        <v>0</v>
      </c>
      <c r="AL30" s="7">
        <f>VC_NEW2!AG12</f>
        <v>0</v>
      </c>
      <c r="AM30" s="7">
        <f>VC_NEW2!AH12</f>
        <v>0</v>
      </c>
      <c r="AN30" s="7">
        <f>VC_NEW2!AI12</f>
        <v>0</v>
      </c>
      <c r="AO30" s="7" t="str">
        <f>VC_NEW2!AJ12</f>
        <v>R83K, V216A</v>
      </c>
      <c r="AP30" s="7">
        <f>VC_NEW2!AK12</f>
        <v>0</v>
      </c>
      <c r="AQ30" s="7">
        <f>VC_NEW2!AL12</f>
        <v>0</v>
      </c>
      <c r="AR30" s="7">
        <f>VC_NEW2!AM12</f>
        <v>0</v>
      </c>
      <c r="AS30" s="7">
        <f>VC_NEW2!AN12</f>
        <v>0</v>
      </c>
      <c r="AT30" s="7">
        <f>VC_NEW2!AO12</f>
        <v>0</v>
      </c>
      <c r="AU30" s="7">
        <f>VC_NEW2!AP12</f>
        <v>0</v>
      </c>
      <c r="AV30" s="7">
        <f>VC_NEW2!AQ12</f>
        <v>0</v>
      </c>
      <c r="AW30" s="7">
        <f>VC_NEW2!AR12</f>
        <v>0</v>
      </c>
      <c r="AX30" s="7">
        <f>VC_NEW2!AS12</f>
        <v>0</v>
      </c>
      <c r="AY30" s="7">
        <f>VC_NEW2!AT12</f>
        <v>0</v>
      </c>
      <c r="AZ30" s="7">
        <f>VC_NEW2!AU12</f>
        <v>0</v>
      </c>
      <c r="BA30" s="7">
        <f>VC_NEW2!AV12</f>
        <v>0</v>
      </c>
      <c r="BB30" s="7">
        <f>VC_NEW2!AW12</f>
        <v>0</v>
      </c>
      <c r="BC30" s="7">
        <f>VC_NEW2!AX12</f>
        <v>0</v>
      </c>
      <c r="BD30" s="7">
        <f>VC_NEW2!AY12</f>
        <v>0</v>
      </c>
      <c r="BE30" s="7">
        <f>VC_NEW2!AZ12</f>
        <v>0</v>
      </c>
      <c r="BF30" s="7">
        <f>VC_NEW2!BA12</f>
        <v>0</v>
      </c>
      <c r="BG30" s="7">
        <f>VC_NEW2!BB12</f>
        <v>0</v>
      </c>
      <c r="BH30" s="7">
        <f>VC_NEW2!BC12</f>
        <v>0</v>
      </c>
      <c r="BI30" s="7">
        <f>VC_NEW2!BD12</f>
        <v>0</v>
      </c>
      <c r="BJ30" s="7" t="str">
        <f>VC_NEW2!BE12</f>
        <v>R385H</v>
      </c>
      <c r="BK30" s="7">
        <f>VC_NEW2!BF12</f>
        <v>0</v>
      </c>
      <c r="BL30" s="7">
        <f>VC_NEW2!BG12</f>
        <v>0</v>
      </c>
      <c r="BM30" s="7">
        <f>VC_NEW2!BH12</f>
        <v>0</v>
      </c>
      <c r="BN30" s="7">
        <f>VC_NEW2!BI12</f>
        <v>0</v>
      </c>
      <c r="BO30" s="7">
        <f>VC_NEW2!BJ12</f>
        <v>0</v>
      </c>
      <c r="BP30" s="7" t="str">
        <f>VC_NEW2!BK12</f>
        <v>aa118∆4</v>
      </c>
      <c r="BQ30" s="7">
        <f>VC_NEW2!BL12</f>
        <v>0</v>
      </c>
      <c r="BR30" s="7" t="str">
        <f>VC_NEW2!BM12</f>
        <v>L137P, nt998∆1</v>
      </c>
      <c r="BS30" s="7">
        <f>VC_NEW2!BN12</f>
        <v>0</v>
      </c>
      <c r="BT30" s="7">
        <f>VC_NEW2!BO12</f>
        <v>0</v>
      </c>
      <c r="BU30" s="7">
        <f>VC_NEW2!BP12</f>
        <v>0</v>
      </c>
      <c r="BV30" s="7">
        <f>VC_NEW2!BQ12</f>
        <v>0</v>
      </c>
      <c r="BW30" s="7">
        <f>VC_NEW2!BR12</f>
        <v>0</v>
      </c>
      <c r="BX30" s="7" t="str">
        <f>VC_NEW2!BS12</f>
        <v>G303R</v>
      </c>
      <c r="BY30" s="7">
        <f>VC_NEW2!BT12</f>
        <v>0</v>
      </c>
      <c r="BZ30" s="7">
        <f>VC_NEW2!BU12</f>
        <v>0</v>
      </c>
      <c r="CA30" s="7">
        <f>VC_NEW2!BV12</f>
        <v>0</v>
      </c>
      <c r="CB30" s="7">
        <f>VC_NEW2!BW12</f>
        <v>0</v>
      </c>
      <c r="CC30" s="7">
        <f>VC_NEW2!BX12</f>
        <v>0</v>
      </c>
      <c r="CD30" s="7">
        <f>VC_NEW2!BY12</f>
        <v>0</v>
      </c>
      <c r="CE30" s="7">
        <f>VC_NEW2!BZ12</f>
        <v>0</v>
      </c>
      <c r="CF30" s="7">
        <f>VC_NEW2!CA12</f>
        <v>0</v>
      </c>
      <c r="CG30" s="7">
        <f>VC_NEW2!CB12</f>
        <v>0</v>
      </c>
      <c r="CH30" s="7">
        <f>VC_NEW2!CC12</f>
        <v>0</v>
      </c>
      <c r="CI30" s="7">
        <f>VC_NEW2!CD12</f>
        <v>0</v>
      </c>
      <c r="CJ30" s="7">
        <f>VC_NEW2!CE12</f>
        <v>0</v>
      </c>
      <c r="CK30" s="7">
        <f>VC_NEW2!CF12</f>
        <v>0</v>
      </c>
      <c r="CL30" s="7">
        <f>VC_NEW2!CG12</f>
        <v>0</v>
      </c>
      <c r="CM30" s="7">
        <f>VC_NEW2!CH12</f>
        <v>0</v>
      </c>
      <c r="CN30" s="7">
        <f>VC_NEW2!CI12</f>
        <v>0</v>
      </c>
      <c r="CO30" s="7">
        <f>VC_NEW2!CJ12</f>
        <v>0</v>
      </c>
      <c r="CP30" s="7">
        <f>VC_NEW2!CK12</f>
        <v>0</v>
      </c>
      <c r="CQ30" s="7">
        <f>VC_NEW2!CL12</f>
        <v>0</v>
      </c>
      <c r="CR30" s="7">
        <f>VC_NEW2!CM12</f>
        <v>0</v>
      </c>
      <c r="CS30" s="7">
        <f>VC_NEW2!CN12</f>
        <v>0</v>
      </c>
      <c r="CT30" s="7">
        <f>VC_NEW2!CO12</f>
        <v>0</v>
      </c>
      <c r="CU30" s="7">
        <f>VC_NEW2!CP12</f>
        <v>0</v>
      </c>
      <c r="CV30" s="7">
        <f>VC_NEW2!CQ12</f>
        <v>0</v>
      </c>
      <c r="CW30" s="7">
        <f>VC_NEW2!CR12</f>
        <v>0</v>
      </c>
      <c r="CX30" s="7">
        <f>VC_NEW2!CS12</f>
        <v>0</v>
      </c>
      <c r="CY30" s="7">
        <f>VC_NEW2!CT12</f>
        <v>0</v>
      </c>
      <c r="CZ30" s="7">
        <f>VC_NEW2!CU12</f>
        <v>0</v>
      </c>
      <c r="DA30" s="7">
        <f>VC_NEW2!CV12</f>
        <v>0</v>
      </c>
      <c r="DB30" s="7">
        <f>VC_NEW2!CW12</f>
        <v>0</v>
      </c>
      <c r="DC30" s="7">
        <f>VC_NEW2!CX12</f>
        <v>0</v>
      </c>
      <c r="DD30" s="7">
        <f>VC_NEW2!CY12</f>
        <v>0</v>
      </c>
      <c r="DE30" s="7">
        <f>VC_NEW2!CZ12</f>
        <v>0</v>
      </c>
      <c r="DF30" s="7">
        <f>VC_NEW2!DA12</f>
        <v>0</v>
      </c>
      <c r="DG30" s="7">
        <f>VC_NEW2!DB12</f>
        <v>0</v>
      </c>
      <c r="DH30" s="7">
        <f>VC_NEW2!DC12</f>
        <v>0</v>
      </c>
      <c r="DI30" s="7">
        <f>VC_NEW2!DD12</f>
        <v>0</v>
      </c>
      <c r="DJ30" s="7">
        <f>VC_NEW2!DE12</f>
        <v>0</v>
      </c>
      <c r="DK30" s="7">
        <f>VC_NEW2!DF12</f>
        <v>0</v>
      </c>
      <c r="DL30" s="7">
        <f>VC_NEW2!DG12</f>
        <v>0</v>
      </c>
      <c r="DM30" s="7">
        <f>VC_NEW2!DH12</f>
        <v>0</v>
      </c>
      <c r="DN30" s="7">
        <f>VC_NEW2!DI12</f>
        <v>0</v>
      </c>
      <c r="DO30" s="7">
        <f>VC_NEW2!DJ12</f>
        <v>0</v>
      </c>
      <c r="DP30" s="7">
        <f>VC_NEW2!DK12</f>
        <v>0</v>
      </c>
      <c r="DQ30" s="7">
        <f>VC_NEW2!DL12</f>
        <v>0</v>
      </c>
      <c r="DR30" s="7">
        <f>VC_NEW2!DM12</f>
        <v>0</v>
      </c>
      <c r="DS30" s="7">
        <f>VC_NEW2!DN12</f>
        <v>0</v>
      </c>
      <c r="DT30" s="7">
        <f>VC_NEW2!DO12</f>
        <v>0</v>
      </c>
      <c r="DU30" s="7">
        <f>VC_NEW2!DP12</f>
        <v>0</v>
      </c>
      <c r="DV30" s="7">
        <f>VC_NEW2!DQ12</f>
        <v>0</v>
      </c>
      <c r="DW30" s="7">
        <f>VC_NEW2!DR12</f>
        <v>0</v>
      </c>
      <c r="DX30" s="7" t="str">
        <f>VC_NEW2!DS12</f>
        <v>V238L</v>
      </c>
      <c r="DY30" s="7" t="str">
        <f>VC_NEW2!DT12</f>
        <v>Y73C</v>
      </c>
      <c r="DZ30" s="7">
        <f>VC_NEW2!DU12</f>
        <v>0</v>
      </c>
      <c r="EA30" s="7">
        <f>VC_NEW2!DV12</f>
        <v>0</v>
      </c>
      <c r="EB30" s="7">
        <f>VC_NEW2!DW12</f>
        <v>0</v>
      </c>
      <c r="EC30" s="7">
        <f>VC_NEW2!DX12</f>
        <v>0</v>
      </c>
      <c r="ED30" s="7" t="str">
        <f>VC_NEW2!DY12</f>
        <v>S33R</v>
      </c>
      <c r="EE30" s="7">
        <f>VC_NEW2!DZ12</f>
        <v>0</v>
      </c>
      <c r="EF30" s="7">
        <f>VC_NEW2!EA12</f>
        <v>0</v>
      </c>
      <c r="EG30" s="7">
        <f>VC_NEW2!EB12</f>
        <v>0</v>
      </c>
      <c r="EH30" s="7">
        <f>VC_NEW2!EC12</f>
        <v>0</v>
      </c>
      <c r="EI30" s="7">
        <f>VC_NEW2!ED12</f>
        <v>0</v>
      </c>
      <c r="EJ30" s="7">
        <f>VC_NEW2!EE12</f>
        <v>0</v>
      </c>
      <c r="EK30" s="7">
        <f>VC_NEW2!EF12</f>
        <v>0</v>
      </c>
      <c r="EL30" s="7">
        <f>VC_NEW2!EG12</f>
        <v>0</v>
      </c>
      <c r="EM30" s="7">
        <f>VC_NEW2!EH12</f>
        <v>0</v>
      </c>
      <c r="EN30" s="7">
        <f>VC_NEW2!EI12</f>
        <v>0</v>
      </c>
      <c r="EO30" s="7">
        <f>VC_NEW2!EJ12</f>
        <v>0</v>
      </c>
      <c r="EP30" s="7">
        <f>VC_NEW2!EK12</f>
        <v>0</v>
      </c>
      <c r="EQ30" s="7">
        <f>VC_NEW2!EL12</f>
        <v>0</v>
      </c>
      <c r="ER30" s="7" t="str">
        <f>VC_NEW2!EM12</f>
        <v>L346P</v>
      </c>
      <c r="ES30" s="7">
        <f>VC_NEW2!EN12</f>
        <v>0</v>
      </c>
      <c r="ET30" s="7">
        <f>VC_NEW2!EO12</f>
        <v>0</v>
      </c>
      <c r="EU30" s="7">
        <f>VC_NEW2!EP12</f>
        <v>0</v>
      </c>
      <c r="EV30" s="7">
        <f>VC_NEW2!EQ12</f>
        <v>0</v>
      </c>
      <c r="EW30" s="7">
        <f>VC_NEW2!ER12</f>
        <v>0</v>
      </c>
      <c r="EX30" s="7">
        <f>VC_NEW2!ES12</f>
        <v>0</v>
      </c>
      <c r="EY30" s="7">
        <f>VC_NEW2!ET12</f>
        <v>0</v>
      </c>
      <c r="EZ30" s="7">
        <f>VC_NEW2!EU12</f>
        <v>0</v>
      </c>
      <c r="FA30" s="7">
        <f>VC_NEW2!EV12</f>
        <v>0</v>
      </c>
      <c r="FB30" s="7">
        <f>VC_NEW2!EW12</f>
        <v>0</v>
      </c>
      <c r="FC30" s="7">
        <f>VC_NEW2!EX12</f>
        <v>0</v>
      </c>
      <c r="FD30" s="7">
        <f>VC_NEW2!EY12</f>
        <v>0</v>
      </c>
      <c r="FE30" s="7" t="str">
        <f>VC_NEW2!EZ12</f>
        <v>V216A</v>
      </c>
      <c r="FF30" s="7">
        <f>VC_NEW2!FA12</f>
        <v>0</v>
      </c>
      <c r="FG30" s="7">
        <f>VC_NEW2!FB12</f>
        <v>0</v>
      </c>
      <c r="FH30" s="7">
        <f>VC_NEW2!FC12</f>
        <v>0</v>
      </c>
      <c r="FI30" s="7" t="str">
        <f>VC_NEW2!FD12</f>
        <v>S277N</v>
      </c>
      <c r="FJ30" s="7">
        <f>VC_NEW2!FE12</f>
        <v>0</v>
      </c>
      <c r="FK30" s="7">
        <f>VC_NEW2!FF12</f>
        <v>0</v>
      </c>
      <c r="FL30" s="7" t="str">
        <f>VC_NEW2!FG12</f>
        <v>R7H</v>
      </c>
      <c r="FM30" s="7">
        <f>VC_NEW2!FH12</f>
        <v>0</v>
      </c>
      <c r="FN30" s="7">
        <f>VC_NEW2!FI12</f>
        <v>0</v>
      </c>
      <c r="FO30" s="7">
        <f>VC_NEW2!FJ12</f>
        <v>0</v>
      </c>
      <c r="FP30" s="7">
        <f>VC_NEW2!FK12</f>
        <v>0</v>
      </c>
      <c r="FQ30" s="7">
        <f>VC_NEW2!FL12</f>
        <v>0</v>
      </c>
      <c r="FR30" s="7">
        <f>VC_NEW2!FM12</f>
        <v>0</v>
      </c>
      <c r="FS30" s="7">
        <f>VC_NEW2!FN12</f>
        <v>0</v>
      </c>
      <c r="FT30" s="7">
        <f>VC_NEW2!FO12</f>
        <v>0</v>
      </c>
      <c r="FU30" s="7">
        <f>VC_NEW2!FP12</f>
        <v>0</v>
      </c>
      <c r="FV30" s="7">
        <f>VC_NEW2!FQ12</f>
        <v>0</v>
      </c>
      <c r="FW30" s="7">
        <f>VC_NEW2!FR12</f>
        <v>0</v>
      </c>
      <c r="FX30" s="7" t="str">
        <f>VC_NEW2!FS12</f>
        <v>D348N</v>
      </c>
      <c r="FY30" s="7">
        <f>VC_NEW2!FT12</f>
        <v>0</v>
      </c>
      <c r="FZ30" s="7">
        <f>VC_NEW2!FU12</f>
        <v>0</v>
      </c>
      <c r="GA30" s="7">
        <f>VC_NEW2!FV12</f>
        <v>0</v>
      </c>
      <c r="GB30" s="7">
        <f>VC_NEW2!FW12</f>
        <v>0</v>
      </c>
      <c r="GC30" s="7" t="str">
        <f>VC_NEW2!FX12</f>
        <v>Q349K</v>
      </c>
      <c r="GD30" s="7">
        <f>VC_NEW2!FY12</f>
        <v>0</v>
      </c>
      <c r="GE30" s="7" t="str">
        <f>VC_NEW2!FZ12</f>
        <v>V238L</v>
      </c>
      <c r="GF30" s="7">
        <f>VC_NEW2!GA12</f>
        <v>0</v>
      </c>
      <c r="GG30" s="7">
        <f>VC_NEW2!GB12</f>
        <v>0</v>
      </c>
      <c r="GH30" s="7" t="str">
        <f>VC_NEW2!GC12</f>
        <v>D351N</v>
      </c>
      <c r="GI30" s="7">
        <f>VC_NEW2!GD12</f>
        <v>0</v>
      </c>
      <c r="GJ30" s="7" t="str">
        <f>VC_NEW2!GE12</f>
        <v xml:space="preserve">A395T </v>
      </c>
      <c r="GK30" s="7" t="str">
        <f>VC_NEW2!GF12</f>
        <v>V152A</v>
      </c>
      <c r="GL30" s="7">
        <f>VC_NEW2!GG12</f>
        <v>0</v>
      </c>
      <c r="GM30" s="7">
        <f>VC_NEW2!GH12</f>
        <v>0</v>
      </c>
      <c r="GN30" s="7">
        <f>VC_NEW2!GI12</f>
        <v>0</v>
      </c>
      <c r="GO30" s="7">
        <f>VC_NEW2!GJ12</f>
        <v>0</v>
      </c>
      <c r="GP30" s="7">
        <f>VC_NEW2!GK12</f>
        <v>0</v>
      </c>
      <c r="GQ30" s="7">
        <f>VC_NEW2!GL12</f>
        <v>0</v>
      </c>
      <c r="GR30" s="7">
        <f>VC_NEW2!GM12</f>
        <v>0</v>
      </c>
      <c r="GS30" s="7">
        <f>VC_NEW2!GN12</f>
        <v>0</v>
      </c>
      <c r="GT30" s="7">
        <f>VC_NEW2!GO12</f>
        <v>0</v>
      </c>
      <c r="GU30" s="7" t="str">
        <f>VC_NEW2!GP12</f>
        <v>A29V</v>
      </c>
      <c r="GV30" s="7">
        <f>VC_NEW2!GQ12</f>
        <v>0</v>
      </c>
      <c r="GW30" s="7">
        <f>VC_NEW2!GR12</f>
        <v>0</v>
      </c>
      <c r="GX30" s="7">
        <f>VC_NEW2!GS12</f>
        <v>0</v>
      </c>
      <c r="GY30" s="7" t="str">
        <f>VC_NEW2!GT12</f>
        <v>L137P</v>
      </c>
      <c r="GZ30" s="7">
        <f>VC_NEW2!GU12</f>
        <v>0</v>
      </c>
      <c r="HA30" s="7">
        <f>VC_NEW2!GV12</f>
        <v>0</v>
      </c>
      <c r="HB30" s="7">
        <f>VC_NEW2!GW12</f>
        <v>0</v>
      </c>
      <c r="HC30" s="7">
        <f>VC_NEW2!GX12</f>
        <v>0</v>
      </c>
    </row>
    <row r="31" spans="1:211" s="1" customFormat="1" ht="15" hidden="1" customHeight="1" thickBot="1" x14ac:dyDescent="0.25">
      <c r="A31" s="1" t="s">
        <v>47</v>
      </c>
      <c r="B31" s="1" t="s">
        <v>48</v>
      </c>
      <c r="C31" s="4" t="s">
        <v>0</v>
      </c>
      <c r="D31" s="1" t="s">
        <v>76</v>
      </c>
      <c r="E31" s="1" t="s">
        <v>138</v>
      </c>
      <c r="F31" s="1" t="s">
        <v>73</v>
      </c>
      <c r="G31" s="1" t="s">
        <v>142</v>
      </c>
      <c r="H31" s="1">
        <f>VC_NEW2!C13</f>
        <v>0</v>
      </c>
      <c r="I31" s="1">
        <f>VC_NEW2!D13</f>
        <v>0</v>
      </c>
      <c r="J31" s="1">
        <f>VC_NEW2!E13</f>
        <v>0</v>
      </c>
      <c r="K31" s="1">
        <f>VC_NEW2!F13</f>
        <v>0</v>
      </c>
      <c r="L31" s="1">
        <f>VC_NEW2!G13</f>
        <v>0</v>
      </c>
      <c r="M31" s="1">
        <f>VC_NEW2!H13</f>
        <v>0</v>
      </c>
      <c r="N31" s="1">
        <f>VC_NEW2!I13</f>
        <v>0</v>
      </c>
      <c r="O31" s="1">
        <f>VC_NEW2!J13</f>
        <v>0</v>
      </c>
      <c r="P31" s="1">
        <f>VC_NEW2!K13</f>
        <v>0</v>
      </c>
      <c r="Q31" s="1">
        <f>VC_NEW2!L13</f>
        <v>0</v>
      </c>
      <c r="R31" s="1">
        <f>VC_NEW2!M13</f>
        <v>0</v>
      </c>
      <c r="S31" s="1">
        <f>VC_NEW2!N13</f>
        <v>0</v>
      </c>
      <c r="T31" s="1">
        <f>VC_NEW2!O13</f>
        <v>0</v>
      </c>
      <c r="U31" s="1">
        <f>VC_NEW2!P13</f>
        <v>0</v>
      </c>
      <c r="V31" s="1">
        <f>VC_NEW2!Q13</f>
        <v>0</v>
      </c>
      <c r="W31" s="1">
        <f>VC_NEW2!R13</f>
        <v>0</v>
      </c>
      <c r="X31" s="1">
        <f>VC_NEW2!S13</f>
        <v>0</v>
      </c>
      <c r="Y31" s="1">
        <f>VC_NEW2!T13</f>
        <v>0</v>
      </c>
      <c r="Z31" s="1">
        <f>VC_NEW2!U13</f>
        <v>0</v>
      </c>
      <c r="AA31" s="1">
        <f>VC_NEW2!V13</f>
        <v>0</v>
      </c>
      <c r="AB31" s="1">
        <f>VC_NEW2!W13</f>
        <v>0</v>
      </c>
      <c r="AC31" s="1">
        <f>VC_NEW2!X13</f>
        <v>0</v>
      </c>
      <c r="AD31" s="1">
        <f>VC_NEW2!Y13</f>
        <v>0</v>
      </c>
      <c r="AE31" s="1">
        <f>VC_NEW2!Z13</f>
        <v>0</v>
      </c>
      <c r="AF31" s="1">
        <f>VC_NEW2!AA13</f>
        <v>0</v>
      </c>
      <c r="AG31" s="1">
        <f>VC_NEW2!AB13</f>
        <v>0</v>
      </c>
      <c r="AH31" s="1">
        <f>VC_NEW2!AC13</f>
        <v>0</v>
      </c>
      <c r="AI31" s="1">
        <f>VC_NEW2!AD13</f>
        <v>0</v>
      </c>
      <c r="AJ31" s="1">
        <f>VC_NEW2!AE13</f>
        <v>0</v>
      </c>
      <c r="AK31" s="1">
        <f>VC_NEW2!AF13</f>
        <v>0</v>
      </c>
      <c r="AL31" s="1">
        <f>VC_NEW2!AG13</f>
        <v>0</v>
      </c>
      <c r="AM31" s="1">
        <f>VC_NEW2!AH13</f>
        <v>0</v>
      </c>
      <c r="AN31" s="1">
        <f>VC_NEW2!AI13</f>
        <v>0</v>
      </c>
      <c r="AO31" s="1">
        <f>VC_NEW2!AJ13</f>
        <v>0</v>
      </c>
      <c r="AP31" s="1">
        <f>VC_NEW2!AK13</f>
        <v>0</v>
      </c>
      <c r="AQ31" s="1">
        <f>VC_NEW2!AL13</f>
        <v>0</v>
      </c>
      <c r="AR31" s="1">
        <f>VC_NEW2!AM13</f>
        <v>0</v>
      </c>
      <c r="AS31" s="1">
        <f>VC_NEW2!AN13</f>
        <v>0</v>
      </c>
      <c r="AT31" s="1">
        <f>VC_NEW2!AO13</f>
        <v>0</v>
      </c>
      <c r="AU31" s="1">
        <f>VC_NEW2!AP13</f>
        <v>0</v>
      </c>
      <c r="AV31" s="1">
        <f>VC_NEW2!AQ13</f>
        <v>0</v>
      </c>
      <c r="AW31" s="1">
        <f>VC_NEW2!AR13</f>
        <v>0</v>
      </c>
      <c r="AX31" s="1">
        <f>VC_NEW2!AS13</f>
        <v>0</v>
      </c>
      <c r="AY31" s="1">
        <f>VC_NEW2!AT13</f>
        <v>0</v>
      </c>
      <c r="AZ31" s="1">
        <f>VC_NEW2!AU13</f>
        <v>0</v>
      </c>
      <c r="BA31" s="1">
        <f>VC_NEW2!AV13</f>
        <v>0</v>
      </c>
      <c r="BB31" s="1">
        <f>VC_NEW2!AW13</f>
        <v>0</v>
      </c>
      <c r="BC31" s="1">
        <f>VC_NEW2!AX13</f>
        <v>0</v>
      </c>
      <c r="BD31" s="1">
        <f>VC_NEW2!AY13</f>
        <v>0</v>
      </c>
      <c r="BE31" s="1">
        <f>VC_NEW2!AZ13</f>
        <v>0</v>
      </c>
      <c r="BF31" s="1">
        <f>VC_NEW2!BA13</f>
        <v>0</v>
      </c>
      <c r="BG31" s="1">
        <f>VC_NEW2!BB13</f>
        <v>0</v>
      </c>
      <c r="BH31" s="1">
        <f>VC_NEW2!BC13</f>
        <v>0</v>
      </c>
      <c r="BI31" s="1">
        <f>VC_NEW2!BD13</f>
        <v>0</v>
      </c>
      <c r="BJ31" s="1">
        <f>VC_NEW2!BE13</f>
        <v>0</v>
      </c>
      <c r="BK31" s="1">
        <f>VC_NEW2!BF13</f>
        <v>0</v>
      </c>
      <c r="BL31" s="1">
        <f>VC_NEW2!BG13</f>
        <v>0</v>
      </c>
      <c r="BM31" s="1">
        <f>VC_NEW2!BH13</f>
        <v>0</v>
      </c>
      <c r="BN31" s="1">
        <f>VC_NEW2!BI13</f>
        <v>0</v>
      </c>
      <c r="BO31" s="1">
        <f>VC_NEW2!BJ13</f>
        <v>0</v>
      </c>
      <c r="BP31" s="1">
        <f>VC_NEW2!BK13</f>
        <v>0</v>
      </c>
      <c r="BQ31" s="1">
        <f>VC_NEW2!BL13</f>
        <v>0</v>
      </c>
      <c r="BR31" s="1">
        <f>VC_NEW2!BM13</f>
        <v>0</v>
      </c>
      <c r="BS31" s="1">
        <f>VC_NEW2!BN13</f>
        <v>0</v>
      </c>
      <c r="BT31" s="1" t="str">
        <f>VC_NEW2!BO13</f>
        <v>L90I</v>
      </c>
      <c r="BU31" s="1">
        <f>VC_NEW2!BP13</f>
        <v>0</v>
      </c>
      <c r="BV31" s="1">
        <f>VC_NEW2!BQ13</f>
        <v>0</v>
      </c>
      <c r="BW31" s="1">
        <f>VC_NEW2!BR13</f>
        <v>0</v>
      </c>
      <c r="BX31" s="1">
        <f>VC_NEW2!BS13</f>
        <v>0</v>
      </c>
      <c r="BY31" s="1">
        <f>VC_NEW2!BT13</f>
        <v>0</v>
      </c>
      <c r="BZ31" s="1">
        <f>VC_NEW2!BU13</f>
        <v>0</v>
      </c>
      <c r="CA31" s="1">
        <f>VC_NEW2!BV13</f>
        <v>0</v>
      </c>
      <c r="CB31" s="1">
        <f>VC_NEW2!BW13</f>
        <v>0</v>
      </c>
      <c r="CC31" s="1">
        <f>VC_NEW2!BX13</f>
        <v>0</v>
      </c>
      <c r="CD31" s="1">
        <f>VC_NEW2!BY13</f>
        <v>0</v>
      </c>
      <c r="CE31" s="1">
        <f>VC_NEW2!BZ13</f>
        <v>0</v>
      </c>
      <c r="CF31" s="1">
        <f>VC_NEW2!CA13</f>
        <v>0</v>
      </c>
      <c r="CG31" s="1">
        <f>VC_NEW2!CB13</f>
        <v>0</v>
      </c>
      <c r="CH31" s="1">
        <f>VC_NEW2!CC13</f>
        <v>0</v>
      </c>
      <c r="CI31" s="1">
        <f>VC_NEW2!CD13</f>
        <v>0</v>
      </c>
      <c r="CJ31" s="1">
        <f>VC_NEW2!CE13</f>
        <v>0</v>
      </c>
      <c r="CK31" s="1">
        <f>VC_NEW2!CF13</f>
        <v>0</v>
      </c>
      <c r="CL31" s="1">
        <f>VC_NEW2!CG13</f>
        <v>0</v>
      </c>
      <c r="CM31" s="1">
        <f>VC_NEW2!CH13</f>
        <v>0</v>
      </c>
      <c r="CN31" s="1">
        <f>VC_NEW2!CI13</f>
        <v>0</v>
      </c>
      <c r="CO31" s="1">
        <f>VC_NEW2!CJ13</f>
        <v>0</v>
      </c>
      <c r="CP31" s="1">
        <f>VC_NEW2!CK13</f>
        <v>0</v>
      </c>
      <c r="CQ31" s="1">
        <f>VC_NEW2!CL13</f>
        <v>0</v>
      </c>
      <c r="CR31" s="1">
        <f>VC_NEW2!CM13</f>
        <v>0</v>
      </c>
      <c r="CS31" s="1">
        <f>VC_NEW2!CN13</f>
        <v>0</v>
      </c>
      <c r="CT31" s="1">
        <f>VC_NEW2!CO13</f>
        <v>0</v>
      </c>
      <c r="CU31" s="1">
        <f>VC_NEW2!CP13</f>
        <v>0</v>
      </c>
      <c r="CV31" s="1">
        <f>VC_NEW2!CQ13</f>
        <v>0</v>
      </c>
      <c r="CW31" s="1">
        <f>VC_NEW2!CR13</f>
        <v>0</v>
      </c>
      <c r="CX31" s="1">
        <f>VC_NEW2!CS13</f>
        <v>0</v>
      </c>
      <c r="CY31" s="1">
        <f>VC_NEW2!CT13</f>
        <v>0</v>
      </c>
      <c r="CZ31" s="1">
        <f>VC_NEW2!CU13</f>
        <v>0</v>
      </c>
      <c r="DA31" s="1">
        <f>VC_NEW2!CV13</f>
        <v>0</v>
      </c>
      <c r="DB31" s="1">
        <f>VC_NEW2!CW13</f>
        <v>0</v>
      </c>
      <c r="DC31" s="1">
        <f>VC_NEW2!CX13</f>
        <v>0</v>
      </c>
      <c r="DD31" s="1">
        <f>VC_NEW2!CY13</f>
        <v>0</v>
      </c>
      <c r="DE31" s="1">
        <f>VC_NEW2!CZ13</f>
        <v>0</v>
      </c>
      <c r="DF31" s="1">
        <f>VC_NEW2!DA13</f>
        <v>0</v>
      </c>
      <c r="DG31" s="1">
        <f>VC_NEW2!DB13</f>
        <v>0</v>
      </c>
      <c r="DH31" s="1">
        <f>VC_NEW2!DC13</f>
        <v>0</v>
      </c>
      <c r="DI31" s="1">
        <f>VC_NEW2!DD13</f>
        <v>0</v>
      </c>
      <c r="DJ31" s="1">
        <f>VC_NEW2!DE13</f>
        <v>0</v>
      </c>
      <c r="DK31" s="1">
        <f>VC_NEW2!DF13</f>
        <v>0</v>
      </c>
      <c r="DL31" s="1">
        <f>VC_NEW2!DG13</f>
        <v>0</v>
      </c>
      <c r="DM31" s="1">
        <f>VC_NEW2!DH13</f>
        <v>0</v>
      </c>
      <c r="DN31" s="1">
        <f>VC_NEW2!DI13</f>
        <v>0</v>
      </c>
      <c r="DO31" s="1" t="str">
        <f>VC_NEW2!DJ13</f>
        <v>aa214∆1</v>
      </c>
      <c r="DP31" s="1">
        <f>VC_NEW2!DK13</f>
        <v>0</v>
      </c>
      <c r="DQ31" s="1">
        <f>VC_NEW2!DL13</f>
        <v>0</v>
      </c>
      <c r="DR31" s="1">
        <f>VC_NEW2!DM13</f>
        <v>0</v>
      </c>
      <c r="DS31" s="1">
        <f>VC_NEW2!DN13</f>
        <v>0</v>
      </c>
      <c r="DT31" s="1">
        <f>VC_NEW2!DO13</f>
        <v>0</v>
      </c>
      <c r="DU31" s="1">
        <f>VC_NEW2!DP13</f>
        <v>0</v>
      </c>
      <c r="DV31" s="1">
        <f>VC_NEW2!DQ13</f>
        <v>0</v>
      </c>
      <c r="DW31" s="1">
        <f>VC_NEW2!DR13</f>
        <v>0</v>
      </c>
      <c r="DX31" s="1">
        <f>VC_NEW2!DS13</f>
        <v>0</v>
      </c>
      <c r="DY31" s="1">
        <f>VC_NEW2!DT13</f>
        <v>0</v>
      </c>
      <c r="DZ31" s="1">
        <f>VC_NEW2!DU13</f>
        <v>0</v>
      </c>
      <c r="EA31" s="1">
        <f>VC_NEW2!DV13</f>
        <v>0</v>
      </c>
      <c r="EB31" s="1">
        <f>VC_NEW2!DW13</f>
        <v>0</v>
      </c>
      <c r="EC31" s="1">
        <f>VC_NEW2!DX13</f>
        <v>0</v>
      </c>
      <c r="ED31" s="1">
        <f>VC_NEW2!DY13</f>
        <v>0</v>
      </c>
      <c r="EE31" s="1">
        <f>VC_NEW2!DZ13</f>
        <v>0</v>
      </c>
      <c r="EF31" s="1">
        <f>VC_NEW2!EA13</f>
        <v>0</v>
      </c>
      <c r="EG31" s="1">
        <f>VC_NEW2!EB13</f>
        <v>0</v>
      </c>
      <c r="EH31" s="1">
        <f>VC_NEW2!EC13</f>
        <v>0</v>
      </c>
      <c r="EI31" s="1">
        <f>VC_NEW2!ED13</f>
        <v>0</v>
      </c>
      <c r="EJ31" s="1">
        <f>VC_NEW2!EE13</f>
        <v>0</v>
      </c>
      <c r="EK31" s="1">
        <f>VC_NEW2!EF13</f>
        <v>0</v>
      </c>
      <c r="EL31" s="1">
        <f>VC_NEW2!EG13</f>
        <v>0</v>
      </c>
      <c r="EM31" s="1">
        <f>VC_NEW2!EH13</f>
        <v>0</v>
      </c>
      <c r="EN31" s="1">
        <f>VC_NEW2!EI13</f>
        <v>0</v>
      </c>
      <c r="EO31" s="1">
        <f>VC_NEW2!EJ13</f>
        <v>0</v>
      </c>
      <c r="EP31" s="1">
        <f>VC_NEW2!EK13</f>
        <v>0</v>
      </c>
      <c r="EQ31" s="1">
        <f>VC_NEW2!EL13</f>
        <v>0</v>
      </c>
      <c r="ER31" s="1">
        <f>VC_NEW2!EM13</f>
        <v>0</v>
      </c>
      <c r="ES31" s="1">
        <f>VC_NEW2!EN13</f>
        <v>0</v>
      </c>
      <c r="ET31" s="1">
        <f>VC_NEW2!EO13</f>
        <v>0</v>
      </c>
      <c r="EU31" s="1">
        <f>VC_NEW2!EP13</f>
        <v>0</v>
      </c>
      <c r="EV31" s="1">
        <f>VC_NEW2!EQ13</f>
        <v>0</v>
      </c>
      <c r="EW31" s="1">
        <f>VC_NEW2!ER13</f>
        <v>0</v>
      </c>
      <c r="EX31" s="1">
        <f>VC_NEW2!ES13</f>
        <v>0</v>
      </c>
      <c r="EY31" s="1">
        <f>VC_NEW2!ET13</f>
        <v>0</v>
      </c>
      <c r="EZ31" s="1">
        <f>VC_NEW2!EU13</f>
        <v>0</v>
      </c>
      <c r="FA31" s="1">
        <f>VC_NEW2!EV13</f>
        <v>0</v>
      </c>
      <c r="FB31" s="1">
        <f>VC_NEW2!EW13</f>
        <v>0</v>
      </c>
      <c r="FC31" s="1">
        <f>VC_NEW2!EX13</f>
        <v>0</v>
      </c>
      <c r="FD31" s="1">
        <f>VC_NEW2!EY13</f>
        <v>0</v>
      </c>
      <c r="FE31" s="1">
        <f>VC_NEW2!EZ13</f>
        <v>0</v>
      </c>
      <c r="FF31" s="1">
        <f>VC_NEW2!FA13</f>
        <v>0</v>
      </c>
      <c r="FG31" s="1">
        <f>VC_NEW2!FB13</f>
        <v>0</v>
      </c>
      <c r="FH31" s="1">
        <f>VC_NEW2!FC13</f>
        <v>0</v>
      </c>
      <c r="FI31" s="1">
        <f>VC_NEW2!FD13</f>
        <v>0</v>
      </c>
      <c r="FJ31" s="1">
        <f>VC_NEW2!FE13</f>
        <v>0</v>
      </c>
      <c r="FK31" s="1">
        <f>VC_NEW2!FF13</f>
        <v>0</v>
      </c>
      <c r="FL31" s="1">
        <f>VC_NEW2!FG13</f>
        <v>0</v>
      </c>
      <c r="FM31" s="1">
        <f>VC_NEW2!FH13</f>
        <v>0</v>
      </c>
      <c r="FN31" s="1">
        <f>VC_NEW2!FI13</f>
        <v>0</v>
      </c>
      <c r="FO31" s="1">
        <f>VC_NEW2!FJ13</f>
        <v>0</v>
      </c>
      <c r="FP31" s="1">
        <f>VC_NEW2!FK13</f>
        <v>0</v>
      </c>
      <c r="FQ31" s="1">
        <f>VC_NEW2!FL13</f>
        <v>0</v>
      </c>
      <c r="FR31" s="1">
        <f>VC_NEW2!FM13</f>
        <v>0</v>
      </c>
      <c r="FS31" s="1" t="str">
        <f>VC_NEW2!FN13</f>
        <v>P128S</v>
      </c>
      <c r="FT31" s="1">
        <f>VC_NEW2!FO13</f>
        <v>0</v>
      </c>
      <c r="FU31" s="1">
        <f>VC_NEW2!FP13</f>
        <v>0</v>
      </c>
      <c r="FV31" s="1">
        <f>VC_NEW2!FQ13</f>
        <v>0</v>
      </c>
      <c r="FW31" s="1">
        <f>VC_NEW2!FR13</f>
        <v>0</v>
      </c>
      <c r="FX31" s="1">
        <f>VC_NEW2!FS13</f>
        <v>0</v>
      </c>
      <c r="FY31" s="1">
        <f>VC_NEW2!FT13</f>
        <v>0</v>
      </c>
      <c r="FZ31" s="1">
        <f>VC_NEW2!FU13</f>
        <v>0</v>
      </c>
      <c r="GA31" s="1">
        <f>VC_NEW2!FV13</f>
        <v>0</v>
      </c>
      <c r="GB31" s="1">
        <f>VC_NEW2!FW13</f>
        <v>0</v>
      </c>
      <c r="GC31" s="1">
        <f>VC_NEW2!FX13</f>
        <v>0</v>
      </c>
      <c r="GD31" s="1">
        <f>VC_NEW2!FY13</f>
        <v>0</v>
      </c>
      <c r="GE31" s="1">
        <f>VC_NEW2!FZ13</f>
        <v>0</v>
      </c>
      <c r="GF31" s="1">
        <f>VC_NEW2!GA13</f>
        <v>0</v>
      </c>
      <c r="GG31" s="1">
        <f>VC_NEW2!GB13</f>
        <v>0</v>
      </c>
      <c r="GH31" s="1">
        <f>VC_NEW2!GC13</f>
        <v>0</v>
      </c>
      <c r="GI31" s="1">
        <f>VC_NEW2!GD13</f>
        <v>0</v>
      </c>
      <c r="GJ31" s="1">
        <f>VC_NEW2!GE13</f>
        <v>0</v>
      </c>
      <c r="GK31" s="1">
        <f>VC_NEW2!GF13</f>
        <v>0</v>
      </c>
      <c r="GL31" s="1">
        <f>VC_NEW2!GG13</f>
        <v>0</v>
      </c>
      <c r="GM31" s="1">
        <f>VC_NEW2!GH13</f>
        <v>0</v>
      </c>
      <c r="GN31" s="1" t="str">
        <f>VC_NEW2!GI13</f>
        <v>V55I, I80L</v>
      </c>
      <c r="GO31" s="1">
        <f>VC_NEW2!GJ13</f>
        <v>0</v>
      </c>
      <c r="GP31" s="1">
        <f>VC_NEW2!GK13</f>
        <v>0</v>
      </c>
      <c r="GQ31" s="1">
        <f>VC_NEW2!GL13</f>
        <v>0</v>
      </c>
      <c r="GR31" s="1">
        <f>VC_NEW2!GM13</f>
        <v>0</v>
      </c>
      <c r="GS31" s="1">
        <f>VC_NEW2!GN13</f>
        <v>0</v>
      </c>
      <c r="GT31" s="1">
        <f>VC_NEW2!GO13</f>
        <v>0</v>
      </c>
      <c r="GU31" s="1">
        <f>VC_NEW2!GP13</f>
        <v>0</v>
      </c>
      <c r="GV31" s="1">
        <f>VC_NEW2!GQ13</f>
        <v>0</v>
      </c>
      <c r="GW31" s="1">
        <f>VC_NEW2!GR13</f>
        <v>0</v>
      </c>
      <c r="GX31" s="1">
        <f>VC_NEW2!GS13</f>
        <v>0</v>
      </c>
      <c r="GY31" s="1">
        <f>VC_NEW2!GT13</f>
        <v>0</v>
      </c>
      <c r="GZ31" s="1">
        <f>VC_NEW2!GU13</f>
        <v>0</v>
      </c>
      <c r="HA31" s="1">
        <f>VC_NEW2!GV13</f>
        <v>0</v>
      </c>
      <c r="HB31" s="1">
        <f>VC_NEW2!GW13</f>
        <v>0</v>
      </c>
      <c r="HC31" s="1" t="str">
        <f>VC_NEW2!GX13</f>
        <v>R178C</v>
      </c>
    </row>
    <row r="32" spans="1:211" s="1" customFormat="1" ht="15" customHeight="1" x14ac:dyDescent="0.25">
      <c r="A32" s="2" t="s">
        <v>47</v>
      </c>
      <c r="B32" s="1" t="s">
        <v>48</v>
      </c>
      <c r="C32" s="4" t="s">
        <v>2</v>
      </c>
      <c r="D32" s="1" t="s">
        <v>76</v>
      </c>
      <c r="E32" s="1" t="s">
        <v>138</v>
      </c>
      <c r="F32" s="1" t="s">
        <v>73</v>
      </c>
      <c r="G32" s="1" t="s">
        <v>142</v>
      </c>
      <c r="H32" s="1">
        <f>VC_NEW2!C13</f>
        <v>0</v>
      </c>
      <c r="I32" s="1">
        <f>VC_NEW2!D13</f>
        <v>0</v>
      </c>
      <c r="J32" s="1">
        <f>VC_NEW2!E13</f>
        <v>0</v>
      </c>
      <c r="K32" s="1">
        <f>VC_NEW2!F13</f>
        <v>0</v>
      </c>
      <c r="L32" s="1">
        <f>VC_NEW2!G13</f>
        <v>0</v>
      </c>
      <c r="M32" s="1">
        <f>VC_NEW2!H13</f>
        <v>0</v>
      </c>
      <c r="N32" s="1">
        <f>VC_NEW2!I13</f>
        <v>0</v>
      </c>
      <c r="O32" s="1">
        <f>VC_NEW2!J13</f>
        <v>0</v>
      </c>
      <c r="P32" s="1">
        <f>VC_NEW2!K13</f>
        <v>0</v>
      </c>
      <c r="Q32" s="1">
        <f>VC_NEW2!L13</f>
        <v>0</v>
      </c>
      <c r="R32" s="1">
        <f>VC_NEW2!M13</f>
        <v>0</v>
      </c>
      <c r="S32" s="1">
        <f>VC_NEW2!N13</f>
        <v>0</v>
      </c>
      <c r="T32" s="1">
        <f>VC_NEW2!O13</f>
        <v>0</v>
      </c>
      <c r="U32" s="1">
        <f>VC_NEW2!P13</f>
        <v>0</v>
      </c>
      <c r="V32" s="1">
        <f>VC_NEW2!Q13</f>
        <v>0</v>
      </c>
      <c r="W32" s="1">
        <f>VC_NEW2!R13</f>
        <v>0</v>
      </c>
      <c r="X32" s="1">
        <f>VC_NEW2!S13</f>
        <v>0</v>
      </c>
      <c r="Y32" s="1">
        <f>VC_NEW2!T13</f>
        <v>0</v>
      </c>
      <c r="Z32" s="1">
        <f>VC_NEW2!U13</f>
        <v>0</v>
      </c>
      <c r="AA32" s="1">
        <f>VC_NEW2!V13</f>
        <v>0</v>
      </c>
      <c r="AB32" s="1">
        <f>VC_NEW2!W13</f>
        <v>0</v>
      </c>
      <c r="AC32" s="1">
        <f>VC_NEW2!X13</f>
        <v>0</v>
      </c>
      <c r="AD32" s="1">
        <f>VC_NEW2!Y13</f>
        <v>0</v>
      </c>
      <c r="AE32" s="1">
        <f>VC_NEW2!Z13</f>
        <v>0</v>
      </c>
      <c r="AF32" s="1">
        <f>VC_NEW2!AA13</f>
        <v>0</v>
      </c>
      <c r="AG32" s="1">
        <f>VC_NEW2!AB13</f>
        <v>0</v>
      </c>
      <c r="AH32" s="1">
        <f>VC_NEW2!AC13</f>
        <v>0</v>
      </c>
      <c r="AI32" s="1">
        <f>VC_NEW2!AD13</f>
        <v>0</v>
      </c>
      <c r="AJ32" s="1">
        <f>VC_NEW2!AE13</f>
        <v>0</v>
      </c>
      <c r="AK32" s="1">
        <f>VC_NEW2!AF13</f>
        <v>0</v>
      </c>
      <c r="AL32" s="1">
        <f>VC_NEW2!AG13</f>
        <v>0</v>
      </c>
      <c r="AM32" s="1">
        <f>VC_NEW2!AH13</f>
        <v>0</v>
      </c>
      <c r="AN32" s="1">
        <f>VC_NEW2!AI13</f>
        <v>0</v>
      </c>
      <c r="AO32" s="1">
        <f>VC_NEW2!AJ13</f>
        <v>0</v>
      </c>
      <c r="AP32" s="1">
        <f>VC_NEW2!AK13</f>
        <v>0</v>
      </c>
      <c r="AQ32" s="1">
        <f>VC_NEW2!AL13</f>
        <v>0</v>
      </c>
      <c r="AR32" s="1">
        <f>VC_NEW2!AM13</f>
        <v>0</v>
      </c>
      <c r="AS32" s="1">
        <f>VC_NEW2!AN13</f>
        <v>0</v>
      </c>
      <c r="AT32" s="1">
        <f>VC_NEW2!AO13</f>
        <v>0</v>
      </c>
      <c r="AU32" s="1">
        <f>VC_NEW2!AP13</f>
        <v>0</v>
      </c>
      <c r="AV32" s="1">
        <f>VC_NEW2!AQ13</f>
        <v>0</v>
      </c>
      <c r="AW32" s="1">
        <f>VC_NEW2!AR13</f>
        <v>0</v>
      </c>
      <c r="AX32" s="1">
        <f>VC_NEW2!AS13</f>
        <v>0</v>
      </c>
      <c r="AY32" s="1">
        <f>VC_NEW2!AT13</f>
        <v>0</v>
      </c>
      <c r="AZ32" s="1">
        <f>VC_NEW2!AU13</f>
        <v>0</v>
      </c>
      <c r="BA32" s="1">
        <f>VC_NEW2!AV13</f>
        <v>0</v>
      </c>
      <c r="BB32" s="1">
        <f>VC_NEW2!AW13</f>
        <v>0</v>
      </c>
      <c r="BC32" s="1">
        <f>VC_NEW2!AX13</f>
        <v>0</v>
      </c>
      <c r="BD32" s="1">
        <f>VC_NEW2!AY13</f>
        <v>0</v>
      </c>
      <c r="BE32" s="1">
        <f>VC_NEW2!AZ13</f>
        <v>0</v>
      </c>
      <c r="BF32" s="1">
        <f>VC_NEW2!BA13</f>
        <v>0</v>
      </c>
      <c r="BG32" s="1">
        <f>VC_NEW2!BB13</f>
        <v>0</v>
      </c>
      <c r="BH32" s="1">
        <f>VC_NEW2!BC13</f>
        <v>0</v>
      </c>
      <c r="BI32" s="1">
        <f>VC_NEW2!BD13</f>
        <v>0</v>
      </c>
      <c r="BJ32" s="1">
        <f>VC_NEW2!BE13</f>
        <v>0</v>
      </c>
      <c r="BK32" s="1">
        <f>VC_NEW2!BF13</f>
        <v>0</v>
      </c>
      <c r="BL32" s="1">
        <f>VC_NEW2!BG13</f>
        <v>0</v>
      </c>
      <c r="BM32" s="1">
        <f>VC_NEW2!BH13</f>
        <v>0</v>
      </c>
      <c r="BN32" s="1">
        <f>VC_NEW2!BI13</f>
        <v>0</v>
      </c>
      <c r="BO32" s="1">
        <f>VC_NEW2!BJ13</f>
        <v>0</v>
      </c>
      <c r="BP32" s="1">
        <f>VC_NEW2!BK13</f>
        <v>0</v>
      </c>
      <c r="BQ32" s="1">
        <f>VC_NEW2!BL13</f>
        <v>0</v>
      </c>
      <c r="BR32" s="1">
        <f>VC_NEW2!BM13</f>
        <v>0</v>
      </c>
      <c r="BS32" s="1">
        <f>VC_NEW2!BN13</f>
        <v>0</v>
      </c>
      <c r="BT32" s="1" t="str">
        <f>VC_NEW2!BO13</f>
        <v>L90I</v>
      </c>
      <c r="BU32" s="1">
        <f>VC_NEW2!BP13</f>
        <v>0</v>
      </c>
      <c r="BV32" s="1">
        <f>VC_NEW2!BQ13</f>
        <v>0</v>
      </c>
      <c r="BW32" s="1">
        <f>VC_NEW2!BR13</f>
        <v>0</v>
      </c>
      <c r="BX32" s="1">
        <f>VC_NEW2!BS13</f>
        <v>0</v>
      </c>
      <c r="BY32" s="1">
        <f>VC_NEW2!BT13</f>
        <v>0</v>
      </c>
      <c r="BZ32" s="1">
        <f>VC_NEW2!BU13</f>
        <v>0</v>
      </c>
      <c r="CA32" s="1">
        <f>VC_NEW2!BV13</f>
        <v>0</v>
      </c>
      <c r="CB32" s="1">
        <f>VC_NEW2!BW13</f>
        <v>0</v>
      </c>
      <c r="CC32" s="1">
        <f>VC_NEW2!BX13</f>
        <v>0</v>
      </c>
      <c r="CD32" s="1">
        <f>VC_NEW2!BY13</f>
        <v>0</v>
      </c>
      <c r="CE32" s="1">
        <f>VC_NEW2!BZ13</f>
        <v>0</v>
      </c>
      <c r="CF32" s="1">
        <f>VC_NEW2!CA13</f>
        <v>0</v>
      </c>
      <c r="CG32" s="1">
        <f>VC_NEW2!CB13</f>
        <v>0</v>
      </c>
      <c r="CH32" s="1">
        <f>VC_NEW2!CC13</f>
        <v>0</v>
      </c>
      <c r="CI32" s="1">
        <f>VC_NEW2!CD13</f>
        <v>0</v>
      </c>
      <c r="CJ32" s="1">
        <f>VC_NEW2!CE13</f>
        <v>0</v>
      </c>
      <c r="CK32" s="1">
        <f>VC_NEW2!CF13</f>
        <v>0</v>
      </c>
      <c r="CL32" s="1">
        <f>VC_NEW2!CG13</f>
        <v>0</v>
      </c>
      <c r="CM32" s="1">
        <f>VC_NEW2!CH13</f>
        <v>0</v>
      </c>
      <c r="CN32" s="1">
        <f>VC_NEW2!CI13</f>
        <v>0</v>
      </c>
      <c r="CO32" s="1">
        <f>VC_NEW2!CJ13</f>
        <v>0</v>
      </c>
      <c r="CP32" s="1">
        <f>VC_NEW2!CK13</f>
        <v>0</v>
      </c>
      <c r="CQ32" s="1">
        <f>VC_NEW2!CL13</f>
        <v>0</v>
      </c>
      <c r="CR32" s="1">
        <f>VC_NEW2!CM13</f>
        <v>0</v>
      </c>
      <c r="CS32" s="1">
        <f>VC_NEW2!CN13</f>
        <v>0</v>
      </c>
      <c r="CT32" s="1">
        <f>VC_NEW2!CO13</f>
        <v>0</v>
      </c>
      <c r="CU32" s="1">
        <f>VC_NEW2!CP13</f>
        <v>0</v>
      </c>
      <c r="CV32" s="1">
        <f>VC_NEW2!CQ13</f>
        <v>0</v>
      </c>
      <c r="CW32" s="1">
        <f>VC_NEW2!CR13</f>
        <v>0</v>
      </c>
      <c r="CX32" s="1">
        <f>VC_NEW2!CS13</f>
        <v>0</v>
      </c>
      <c r="CY32" s="1">
        <f>VC_NEW2!CT13</f>
        <v>0</v>
      </c>
      <c r="CZ32" s="1">
        <f>VC_NEW2!CU13</f>
        <v>0</v>
      </c>
      <c r="DA32" s="1">
        <f>VC_NEW2!CV13</f>
        <v>0</v>
      </c>
      <c r="DB32" s="1">
        <f>VC_NEW2!CW13</f>
        <v>0</v>
      </c>
      <c r="DC32" s="1">
        <f>VC_NEW2!CX13</f>
        <v>0</v>
      </c>
      <c r="DD32" s="1">
        <f>VC_NEW2!CY13</f>
        <v>0</v>
      </c>
      <c r="DE32" s="1">
        <f>VC_NEW2!CZ13</f>
        <v>0</v>
      </c>
      <c r="DF32" s="1">
        <f>VC_NEW2!DA13</f>
        <v>0</v>
      </c>
      <c r="DG32" s="1">
        <f>VC_NEW2!DB13</f>
        <v>0</v>
      </c>
      <c r="DH32" s="1">
        <f>VC_NEW2!DC13</f>
        <v>0</v>
      </c>
      <c r="DI32" s="1">
        <f>VC_NEW2!DD13</f>
        <v>0</v>
      </c>
      <c r="DJ32" s="1">
        <f>VC_NEW2!DE13</f>
        <v>0</v>
      </c>
      <c r="DK32" s="1">
        <f>VC_NEW2!DF13</f>
        <v>0</v>
      </c>
      <c r="DL32" s="1">
        <f>VC_NEW2!DG13</f>
        <v>0</v>
      </c>
      <c r="DM32" s="1">
        <f>VC_NEW2!DH13</f>
        <v>0</v>
      </c>
      <c r="DN32" s="1">
        <f>VC_NEW2!DI13</f>
        <v>0</v>
      </c>
      <c r="DO32" s="1" t="str">
        <f>VC_NEW2!DJ13</f>
        <v>aa214∆1</v>
      </c>
      <c r="DP32" s="1">
        <f>VC_NEW2!DK13</f>
        <v>0</v>
      </c>
      <c r="DQ32" s="1">
        <f>VC_NEW2!DL13</f>
        <v>0</v>
      </c>
      <c r="DR32" s="1">
        <f>VC_NEW2!DM13</f>
        <v>0</v>
      </c>
      <c r="DS32" s="1">
        <f>VC_NEW2!DN13</f>
        <v>0</v>
      </c>
      <c r="DT32" s="1">
        <f>VC_NEW2!DO13</f>
        <v>0</v>
      </c>
      <c r="DU32" s="1">
        <f>VC_NEW2!DP13</f>
        <v>0</v>
      </c>
      <c r="DV32" s="1">
        <f>VC_NEW2!DQ13</f>
        <v>0</v>
      </c>
      <c r="DW32" s="1">
        <f>VC_NEW2!DR13</f>
        <v>0</v>
      </c>
      <c r="DX32" s="1">
        <f>VC_NEW2!DS13</f>
        <v>0</v>
      </c>
      <c r="DY32" s="1">
        <f>VC_NEW2!DT13</f>
        <v>0</v>
      </c>
      <c r="DZ32" s="1">
        <f>VC_NEW2!DU13</f>
        <v>0</v>
      </c>
      <c r="EA32" s="1">
        <f>VC_NEW2!DV13</f>
        <v>0</v>
      </c>
      <c r="EB32" s="1">
        <f>VC_NEW2!DW13</f>
        <v>0</v>
      </c>
      <c r="EC32" s="1">
        <f>VC_NEW2!DX13</f>
        <v>0</v>
      </c>
      <c r="ED32" s="1">
        <f>VC_NEW2!DY13</f>
        <v>0</v>
      </c>
      <c r="EE32" s="1">
        <f>VC_NEW2!DZ13</f>
        <v>0</v>
      </c>
      <c r="EF32" s="1">
        <f>VC_NEW2!EA13</f>
        <v>0</v>
      </c>
      <c r="EG32" s="1">
        <f>VC_NEW2!EB13</f>
        <v>0</v>
      </c>
      <c r="EH32" s="1">
        <f>VC_NEW2!EC13</f>
        <v>0</v>
      </c>
      <c r="EI32" s="1">
        <f>VC_NEW2!ED13</f>
        <v>0</v>
      </c>
      <c r="EJ32" s="1">
        <f>VC_NEW2!EE13</f>
        <v>0</v>
      </c>
      <c r="EK32" s="1">
        <f>VC_NEW2!EF13</f>
        <v>0</v>
      </c>
      <c r="EL32" s="1">
        <f>VC_NEW2!EG13</f>
        <v>0</v>
      </c>
      <c r="EM32" s="1">
        <f>VC_NEW2!EH13</f>
        <v>0</v>
      </c>
      <c r="EN32" s="1">
        <f>VC_NEW2!EI13</f>
        <v>0</v>
      </c>
      <c r="EO32" s="1">
        <f>VC_NEW2!EJ13</f>
        <v>0</v>
      </c>
      <c r="EP32" s="1">
        <f>VC_NEW2!EK13</f>
        <v>0</v>
      </c>
      <c r="EQ32" s="1">
        <f>VC_NEW2!EL13</f>
        <v>0</v>
      </c>
      <c r="ER32" s="1">
        <f>VC_NEW2!EM13</f>
        <v>0</v>
      </c>
      <c r="ES32" s="1">
        <f>VC_NEW2!EN13</f>
        <v>0</v>
      </c>
      <c r="ET32" s="1">
        <f>VC_NEW2!EO13</f>
        <v>0</v>
      </c>
      <c r="EU32" s="1">
        <f>VC_NEW2!EP13</f>
        <v>0</v>
      </c>
      <c r="EV32" s="1">
        <f>VC_NEW2!EQ13</f>
        <v>0</v>
      </c>
      <c r="EW32" s="1">
        <f>VC_NEW2!ER13</f>
        <v>0</v>
      </c>
      <c r="EX32" s="1">
        <f>VC_NEW2!ES13</f>
        <v>0</v>
      </c>
      <c r="EY32" s="1">
        <f>VC_NEW2!ET13</f>
        <v>0</v>
      </c>
      <c r="EZ32" s="1">
        <f>VC_NEW2!EU13</f>
        <v>0</v>
      </c>
      <c r="FA32" s="1">
        <f>VC_NEW2!EV13</f>
        <v>0</v>
      </c>
      <c r="FB32" s="1">
        <f>VC_NEW2!EW13</f>
        <v>0</v>
      </c>
      <c r="FC32" s="1">
        <f>VC_NEW2!EX13</f>
        <v>0</v>
      </c>
      <c r="FD32" s="1">
        <f>VC_NEW2!EY13</f>
        <v>0</v>
      </c>
      <c r="FE32" s="1">
        <f>VC_NEW2!EZ13</f>
        <v>0</v>
      </c>
      <c r="FF32" s="1">
        <f>VC_NEW2!FA13</f>
        <v>0</v>
      </c>
      <c r="FG32" s="1">
        <f>VC_NEW2!FB13</f>
        <v>0</v>
      </c>
      <c r="FH32" s="1">
        <f>VC_NEW2!FC13</f>
        <v>0</v>
      </c>
      <c r="FI32" s="1">
        <f>VC_NEW2!FD13</f>
        <v>0</v>
      </c>
      <c r="FJ32" s="1">
        <f>VC_NEW2!FE13</f>
        <v>0</v>
      </c>
      <c r="FK32" s="1">
        <f>VC_NEW2!FF13</f>
        <v>0</v>
      </c>
      <c r="FL32" s="1">
        <f>VC_NEW2!FG13</f>
        <v>0</v>
      </c>
      <c r="FM32" s="1">
        <f>VC_NEW2!FH13</f>
        <v>0</v>
      </c>
      <c r="FN32" s="1">
        <f>VC_NEW2!FI13</f>
        <v>0</v>
      </c>
      <c r="FO32" s="1">
        <f>VC_NEW2!FJ13</f>
        <v>0</v>
      </c>
      <c r="FP32" s="1">
        <f>VC_NEW2!FK13</f>
        <v>0</v>
      </c>
      <c r="FQ32" s="1">
        <f>VC_NEW2!FL13</f>
        <v>0</v>
      </c>
      <c r="FR32" s="1">
        <f>VC_NEW2!FM13</f>
        <v>0</v>
      </c>
      <c r="FS32" s="1" t="str">
        <f>VC_NEW2!FN13</f>
        <v>P128S</v>
      </c>
      <c r="FT32" s="1">
        <f>VC_NEW2!FO13</f>
        <v>0</v>
      </c>
      <c r="FU32" s="1">
        <f>VC_NEW2!FP13</f>
        <v>0</v>
      </c>
      <c r="FV32" s="1">
        <f>VC_NEW2!FQ13</f>
        <v>0</v>
      </c>
      <c r="FW32" s="1">
        <f>VC_NEW2!FR13</f>
        <v>0</v>
      </c>
      <c r="FX32" s="1">
        <f>VC_NEW2!FS13</f>
        <v>0</v>
      </c>
      <c r="FY32" s="1">
        <f>VC_NEW2!FT13</f>
        <v>0</v>
      </c>
      <c r="FZ32" s="1">
        <f>VC_NEW2!FU13</f>
        <v>0</v>
      </c>
      <c r="GA32" s="1">
        <f>VC_NEW2!FV13</f>
        <v>0</v>
      </c>
      <c r="GB32" s="1">
        <f>VC_NEW2!FW13</f>
        <v>0</v>
      </c>
      <c r="GC32" s="1">
        <f>VC_NEW2!FX13</f>
        <v>0</v>
      </c>
      <c r="GD32" s="1">
        <f>VC_NEW2!FY13</f>
        <v>0</v>
      </c>
      <c r="GE32" s="1">
        <f>VC_NEW2!FZ13</f>
        <v>0</v>
      </c>
      <c r="GF32" s="1">
        <f>VC_NEW2!GA13</f>
        <v>0</v>
      </c>
      <c r="GG32" s="1">
        <f>VC_NEW2!GB13</f>
        <v>0</v>
      </c>
      <c r="GH32" s="1">
        <f>VC_NEW2!GC13</f>
        <v>0</v>
      </c>
      <c r="GI32" s="1">
        <f>VC_NEW2!GD13</f>
        <v>0</v>
      </c>
      <c r="GJ32" s="1">
        <f>VC_NEW2!GE13</f>
        <v>0</v>
      </c>
      <c r="GK32" s="1">
        <f>VC_NEW2!GF13</f>
        <v>0</v>
      </c>
      <c r="GL32" s="1">
        <f>VC_NEW2!GG13</f>
        <v>0</v>
      </c>
      <c r="GM32" s="1">
        <f>VC_NEW2!GH13</f>
        <v>0</v>
      </c>
      <c r="GN32" s="1" t="str">
        <f>VC_NEW2!GI13</f>
        <v>V55I, I80L</v>
      </c>
      <c r="GO32" s="1">
        <f>VC_NEW2!GJ13</f>
        <v>0</v>
      </c>
      <c r="GP32" s="1">
        <f>VC_NEW2!GK13</f>
        <v>0</v>
      </c>
      <c r="GQ32" s="1">
        <f>VC_NEW2!GL13</f>
        <v>0</v>
      </c>
      <c r="GR32" s="1">
        <f>VC_NEW2!GM13</f>
        <v>0</v>
      </c>
      <c r="GS32" s="1">
        <f>VC_NEW2!GN13</f>
        <v>0</v>
      </c>
      <c r="GT32" s="1">
        <f>VC_NEW2!GO13</f>
        <v>0</v>
      </c>
      <c r="GU32" s="1">
        <f>VC_NEW2!GP13</f>
        <v>0</v>
      </c>
      <c r="GV32" s="1">
        <f>VC_NEW2!GQ13</f>
        <v>0</v>
      </c>
      <c r="GW32" s="1">
        <f>VC_NEW2!GR13</f>
        <v>0</v>
      </c>
      <c r="GX32" s="1">
        <f>VC_NEW2!GS13</f>
        <v>0</v>
      </c>
      <c r="GY32" s="1">
        <f>VC_NEW2!GT13</f>
        <v>0</v>
      </c>
      <c r="GZ32" s="1">
        <f>VC_NEW2!GU13</f>
        <v>0</v>
      </c>
      <c r="HA32" s="1">
        <f>VC_NEW2!GV13</f>
        <v>0</v>
      </c>
      <c r="HB32" s="1">
        <f>VC_NEW2!GW13</f>
        <v>0</v>
      </c>
      <c r="HC32" s="1" t="str">
        <f>VC_NEW2!GX13</f>
        <v>R178C</v>
      </c>
    </row>
    <row r="33" spans="1:211" s="1" customFormat="1" ht="15" hidden="1" customHeight="1" x14ac:dyDescent="0.25">
      <c r="A33" s="2" t="s">
        <v>47</v>
      </c>
      <c r="B33" s="1" t="s">
        <v>48</v>
      </c>
      <c r="C33" s="4" t="s">
        <v>4</v>
      </c>
      <c r="D33" s="1" t="s">
        <v>76</v>
      </c>
      <c r="E33" s="1" t="s">
        <v>139</v>
      </c>
      <c r="F33" s="1" t="s">
        <v>73</v>
      </c>
      <c r="G33" s="1" t="s">
        <v>142</v>
      </c>
      <c r="H33" s="1">
        <f>VC_NEW2!C13</f>
        <v>0</v>
      </c>
      <c r="I33" s="1">
        <f>VC_NEW2!D13</f>
        <v>0</v>
      </c>
      <c r="J33" s="1">
        <f>VC_NEW2!E13</f>
        <v>0</v>
      </c>
      <c r="K33" s="1">
        <f>VC_NEW2!F13</f>
        <v>0</v>
      </c>
      <c r="L33" s="1">
        <f>VC_NEW2!G13</f>
        <v>0</v>
      </c>
      <c r="M33" s="1">
        <f>VC_NEW2!H13</f>
        <v>0</v>
      </c>
      <c r="N33" s="1">
        <f>VC_NEW2!I13</f>
        <v>0</v>
      </c>
      <c r="O33" s="1">
        <f>VC_NEW2!J13</f>
        <v>0</v>
      </c>
      <c r="P33" s="1">
        <f>VC_NEW2!K13</f>
        <v>0</v>
      </c>
      <c r="Q33" s="1">
        <f>VC_NEW2!L13</f>
        <v>0</v>
      </c>
      <c r="R33" s="1">
        <f>VC_NEW2!M13</f>
        <v>0</v>
      </c>
      <c r="S33" s="1">
        <f>VC_NEW2!N13</f>
        <v>0</v>
      </c>
      <c r="T33" s="1">
        <f>VC_NEW2!O13</f>
        <v>0</v>
      </c>
      <c r="U33" s="1">
        <f>VC_NEW2!P13</f>
        <v>0</v>
      </c>
      <c r="V33" s="1">
        <f>VC_NEW2!Q13</f>
        <v>0</v>
      </c>
      <c r="W33" s="1">
        <f>VC_NEW2!R13</f>
        <v>0</v>
      </c>
      <c r="X33" s="1">
        <f>VC_NEW2!S13</f>
        <v>0</v>
      </c>
      <c r="Y33" s="1">
        <f>VC_NEW2!T13</f>
        <v>0</v>
      </c>
      <c r="Z33" s="1">
        <f>VC_NEW2!U13</f>
        <v>0</v>
      </c>
      <c r="AA33" s="1">
        <f>VC_NEW2!V13</f>
        <v>0</v>
      </c>
      <c r="AB33" s="1">
        <f>VC_NEW2!W13</f>
        <v>0</v>
      </c>
      <c r="AC33" s="1">
        <f>VC_NEW2!X13</f>
        <v>0</v>
      </c>
      <c r="AD33" s="1">
        <f>VC_NEW2!Y13</f>
        <v>0</v>
      </c>
      <c r="AE33" s="1">
        <f>VC_NEW2!Z13</f>
        <v>0</v>
      </c>
      <c r="AF33" s="1">
        <f>VC_NEW2!AA13</f>
        <v>0</v>
      </c>
      <c r="AG33" s="1">
        <f>VC_NEW2!AB13</f>
        <v>0</v>
      </c>
      <c r="AH33" s="1">
        <f>VC_NEW2!AC13</f>
        <v>0</v>
      </c>
      <c r="AI33" s="1">
        <f>VC_NEW2!AD13</f>
        <v>0</v>
      </c>
      <c r="AJ33" s="1">
        <f>VC_NEW2!AE13</f>
        <v>0</v>
      </c>
      <c r="AK33" s="1">
        <f>VC_NEW2!AF13</f>
        <v>0</v>
      </c>
      <c r="AL33" s="1">
        <f>VC_NEW2!AG13</f>
        <v>0</v>
      </c>
      <c r="AM33" s="1">
        <f>VC_NEW2!AH13</f>
        <v>0</v>
      </c>
      <c r="AN33" s="1">
        <f>VC_NEW2!AI13</f>
        <v>0</v>
      </c>
      <c r="AO33" s="1">
        <f>VC_NEW2!AJ13</f>
        <v>0</v>
      </c>
      <c r="AP33" s="1">
        <f>VC_NEW2!AK13</f>
        <v>0</v>
      </c>
      <c r="AQ33" s="1">
        <f>VC_NEW2!AL13</f>
        <v>0</v>
      </c>
      <c r="AR33" s="1">
        <f>VC_NEW2!AM13</f>
        <v>0</v>
      </c>
      <c r="AS33" s="1">
        <f>VC_NEW2!AN13</f>
        <v>0</v>
      </c>
      <c r="AT33" s="1">
        <f>VC_NEW2!AO13</f>
        <v>0</v>
      </c>
      <c r="AU33" s="1">
        <f>VC_NEW2!AP13</f>
        <v>0</v>
      </c>
      <c r="AV33" s="1">
        <f>VC_NEW2!AQ13</f>
        <v>0</v>
      </c>
      <c r="AW33" s="1">
        <f>VC_NEW2!AR13</f>
        <v>0</v>
      </c>
      <c r="AX33" s="1">
        <f>VC_NEW2!AS13</f>
        <v>0</v>
      </c>
      <c r="AY33" s="1">
        <f>VC_NEW2!AT13</f>
        <v>0</v>
      </c>
      <c r="AZ33" s="1">
        <f>VC_NEW2!AU13</f>
        <v>0</v>
      </c>
      <c r="BA33" s="1">
        <f>VC_NEW2!AV13</f>
        <v>0</v>
      </c>
      <c r="BB33" s="1">
        <f>VC_NEW2!AW13</f>
        <v>0</v>
      </c>
      <c r="BC33" s="1">
        <f>VC_NEW2!AX13</f>
        <v>0</v>
      </c>
      <c r="BD33" s="1">
        <f>VC_NEW2!AY13</f>
        <v>0</v>
      </c>
      <c r="BE33" s="1">
        <f>VC_NEW2!AZ13</f>
        <v>0</v>
      </c>
      <c r="BF33" s="1">
        <f>VC_NEW2!BA13</f>
        <v>0</v>
      </c>
      <c r="BG33" s="1">
        <f>VC_NEW2!BB13</f>
        <v>0</v>
      </c>
      <c r="BH33" s="1">
        <f>VC_NEW2!BC13</f>
        <v>0</v>
      </c>
      <c r="BI33" s="1">
        <f>VC_NEW2!BD13</f>
        <v>0</v>
      </c>
      <c r="BJ33" s="1">
        <f>VC_NEW2!BE13</f>
        <v>0</v>
      </c>
      <c r="BK33" s="1">
        <f>VC_NEW2!BF13</f>
        <v>0</v>
      </c>
      <c r="BL33" s="1">
        <f>VC_NEW2!BG13</f>
        <v>0</v>
      </c>
      <c r="BM33" s="1">
        <f>VC_NEW2!BH13</f>
        <v>0</v>
      </c>
      <c r="BN33" s="1">
        <f>VC_NEW2!BI13</f>
        <v>0</v>
      </c>
      <c r="BO33" s="1">
        <f>VC_NEW2!BJ13</f>
        <v>0</v>
      </c>
      <c r="BP33" s="1">
        <f>VC_NEW2!BK13</f>
        <v>0</v>
      </c>
      <c r="BQ33" s="1">
        <f>VC_NEW2!BL13</f>
        <v>0</v>
      </c>
      <c r="BR33" s="1">
        <f>VC_NEW2!BM13</f>
        <v>0</v>
      </c>
      <c r="BS33" s="1">
        <f>VC_NEW2!BN13</f>
        <v>0</v>
      </c>
      <c r="BT33" s="1" t="str">
        <f>VC_NEW2!BO13</f>
        <v>L90I</v>
      </c>
      <c r="BU33" s="1">
        <f>VC_NEW2!BP13</f>
        <v>0</v>
      </c>
      <c r="BV33" s="1">
        <f>VC_NEW2!BQ13</f>
        <v>0</v>
      </c>
      <c r="BW33" s="1">
        <f>VC_NEW2!BR13</f>
        <v>0</v>
      </c>
      <c r="BX33" s="1">
        <f>VC_NEW2!BS13</f>
        <v>0</v>
      </c>
      <c r="BY33" s="1">
        <f>VC_NEW2!BT13</f>
        <v>0</v>
      </c>
      <c r="BZ33" s="1">
        <f>VC_NEW2!BU13</f>
        <v>0</v>
      </c>
      <c r="CA33" s="1">
        <f>VC_NEW2!BV13</f>
        <v>0</v>
      </c>
      <c r="CB33" s="1">
        <f>VC_NEW2!BW13</f>
        <v>0</v>
      </c>
      <c r="CC33" s="1">
        <f>VC_NEW2!BX13</f>
        <v>0</v>
      </c>
      <c r="CD33" s="1">
        <f>VC_NEW2!BY13</f>
        <v>0</v>
      </c>
      <c r="CE33" s="1">
        <f>VC_NEW2!BZ13</f>
        <v>0</v>
      </c>
      <c r="CF33" s="1">
        <f>VC_NEW2!CA13</f>
        <v>0</v>
      </c>
      <c r="CG33" s="1">
        <f>VC_NEW2!CB13</f>
        <v>0</v>
      </c>
      <c r="CH33" s="1">
        <f>VC_NEW2!CC13</f>
        <v>0</v>
      </c>
      <c r="CI33" s="1">
        <f>VC_NEW2!CD13</f>
        <v>0</v>
      </c>
      <c r="CJ33" s="1">
        <f>VC_NEW2!CE13</f>
        <v>0</v>
      </c>
      <c r="CK33" s="1">
        <f>VC_NEW2!CF13</f>
        <v>0</v>
      </c>
      <c r="CL33" s="1">
        <f>VC_NEW2!CG13</f>
        <v>0</v>
      </c>
      <c r="CM33" s="1">
        <f>VC_NEW2!CH13</f>
        <v>0</v>
      </c>
      <c r="CN33" s="1">
        <f>VC_NEW2!CI13</f>
        <v>0</v>
      </c>
      <c r="CO33" s="1">
        <f>VC_NEW2!CJ13</f>
        <v>0</v>
      </c>
      <c r="CP33" s="1">
        <f>VC_NEW2!CK13</f>
        <v>0</v>
      </c>
      <c r="CQ33" s="1">
        <f>VC_NEW2!CL13</f>
        <v>0</v>
      </c>
      <c r="CR33" s="1">
        <f>VC_NEW2!CM13</f>
        <v>0</v>
      </c>
      <c r="CS33" s="1">
        <f>VC_NEW2!CN13</f>
        <v>0</v>
      </c>
      <c r="CT33" s="1">
        <f>VC_NEW2!CO13</f>
        <v>0</v>
      </c>
      <c r="CU33" s="1">
        <f>VC_NEW2!CP13</f>
        <v>0</v>
      </c>
      <c r="CV33" s="1">
        <f>VC_NEW2!CQ13</f>
        <v>0</v>
      </c>
      <c r="CW33" s="1">
        <f>VC_NEW2!CR13</f>
        <v>0</v>
      </c>
      <c r="CX33" s="1">
        <f>VC_NEW2!CS13</f>
        <v>0</v>
      </c>
      <c r="CY33" s="1">
        <f>VC_NEW2!CT13</f>
        <v>0</v>
      </c>
      <c r="CZ33" s="1">
        <f>VC_NEW2!CU13</f>
        <v>0</v>
      </c>
      <c r="DA33" s="1">
        <f>VC_NEW2!CV13</f>
        <v>0</v>
      </c>
      <c r="DB33" s="1">
        <f>VC_NEW2!CW13</f>
        <v>0</v>
      </c>
      <c r="DC33" s="1">
        <f>VC_NEW2!CX13</f>
        <v>0</v>
      </c>
      <c r="DD33" s="1">
        <f>VC_NEW2!CY13</f>
        <v>0</v>
      </c>
      <c r="DE33" s="1">
        <f>VC_NEW2!CZ13</f>
        <v>0</v>
      </c>
      <c r="DF33" s="1">
        <f>VC_NEW2!DA13</f>
        <v>0</v>
      </c>
      <c r="DG33" s="1">
        <f>VC_NEW2!DB13</f>
        <v>0</v>
      </c>
      <c r="DH33" s="1">
        <f>VC_NEW2!DC13</f>
        <v>0</v>
      </c>
      <c r="DI33" s="1">
        <f>VC_NEW2!DD13</f>
        <v>0</v>
      </c>
      <c r="DJ33" s="1">
        <f>VC_NEW2!DE13</f>
        <v>0</v>
      </c>
      <c r="DK33" s="1">
        <f>VC_NEW2!DF13</f>
        <v>0</v>
      </c>
      <c r="DL33" s="1">
        <f>VC_NEW2!DG13</f>
        <v>0</v>
      </c>
      <c r="DM33" s="1">
        <f>VC_NEW2!DH13</f>
        <v>0</v>
      </c>
      <c r="DN33" s="1">
        <f>VC_NEW2!DI13</f>
        <v>0</v>
      </c>
      <c r="DO33" s="1" t="str">
        <f>VC_NEW2!DJ13</f>
        <v>aa214∆1</v>
      </c>
      <c r="DP33" s="1">
        <f>VC_NEW2!DK13</f>
        <v>0</v>
      </c>
      <c r="DQ33" s="1">
        <f>VC_NEW2!DL13</f>
        <v>0</v>
      </c>
      <c r="DR33" s="1">
        <f>VC_NEW2!DM13</f>
        <v>0</v>
      </c>
      <c r="DS33" s="1">
        <f>VC_NEW2!DN13</f>
        <v>0</v>
      </c>
      <c r="DT33" s="1">
        <f>VC_NEW2!DO13</f>
        <v>0</v>
      </c>
      <c r="DU33" s="1">
        <f>VC_NEW2!DP13</f>
        <v>0</v>
      </c>
      <c r="DV33" s="1">
        <f>VC_NEW2!DQ13</f>
        <v>0</v>
      </c>
      <c r="DW33" s="1">
        <f>VC_NEW2!DR13</f>
        <v>0</v>
      </c>
      <c r="DX33" s="1">
        <f>VC_NEW2!DS13</f>
        <v>0</v>
      </c>
      <c r="DY33" s="1">
        <f>VC_NEW2!DT13</f>
        <v>0</v>
      </c>
      <c r="DZ33" s="1">
        <f>VC_NEW2!DU13</f>
        <v>0</v>
      </c>
      <c r="EA33" s="1">
        <f>VC_NEW2!DV13</f>
        <v>0</v>
      </c>
      <c r="EB33" s="1">
        <f>VC_NEW2!DW13</f>
        <v>0</v>
      </c>
      <c r="EC33" s="1">
        <f>VC_NEW2!DX13</f>
        <v>0</v>
      </c>
      <c r="ED33" s="1">
        <f>VC_NEW2!DY13</f>
        <v>0</v>
      </c>
      <c r="EE33" s="1">
        <f>VC_NEW2!DZ13</f>
        <v>0</v>
      </c>
      <c r="EF33" s="1">
        <f>VC_NEW2!EA13</f>
        <v>0</v>
      </c>
      <c r="EG33" s="1">
        <f>VC_NEW2!EB13</f>
        <v>0</v>
      </c>
      <c r="EH33" s="1">
        <f>VC_NEW2!EC13</f>
        <v>0</v>
      </c>
      <c r="EI33" s="1">
        <f>VC_NEW2!ED13</f>
        <v>0</v>
      </c>
      <c r="EJ33" s="1">
        <f>VC_NEW2!EE13</f>
        <v>0</v>
      </c>
      <c r="EK33" s="1">
        <f>VC_NEW2!EF13</f>
        <v>0</v>
      </c>
      <c r="EL33" s="1">
        <f>VC_NEW2!EG13</f>
        <v>0</v>
      </c>
      <c r="EM33" s="1">
        <f>VC_NEW2!EH13</f>
        <v>0</v>
      </c>
      <c r="EN33" s="1">
        <f>VC_NEW2!EI13</f>
        <v>0</v>
      </c>
      <c r="EO33" s="1">
        <f>VC_NEW2!EJ13</f>
        <v>0</v>
      </c>
      <c r="EP33" s="1">
        <f>VC_NEW2!EK13</f>
        <v>0</v>
      </c>
      <c r="EQ33" s="1">
        <f>VC_NEW2!EL13</f>
        <v>0</v>
      </c>
      <c r="ER33" s="1">
        <f>VC_NEW2!EM13</f>
        <v>0</v>
      </c>
      <c r="ES33" s="1">
        <f>VC_NEW2!EN13</f>
        <v>0</v>
      </c>
      <c r="ET33" s="1">
        <f>VC_NEW2!EO13</f>
        <v>0</v>
      </c>
      <c r="EU33" s="1">
        <f>VC_NEW2!EP13</f>
        <v>0</v>
      </c>
      <c r="EV33" s="1">
        <f>VC_NEW2!EQ13</f>
        <v>0</v>
      </c>
      <c r="EW33" s="1">
        <f>VC_NEW2!ER13</f>
        <v>0</v>
      </c>
      <c r="EX33" s="1">
        <f>VC_NEW2!ES13</f>
        <v>0</v>
      </c>
      <c r="EY33" s="1">
        <f>VC_NEW2!ET13</f>
        <v>0</v>
      </c>
      <c r="EZ33" s="1">
        <f>VC_NEW2!EU13</f>
        <v>0</v>
      </c>
      <c r="FA33" s="1">
        <f>VC_NEW2!EV13</f>
        <v>0</v>
      </c>
      <c r="FB33" s="1">
        <f>VC_NEW2!EW13</f>
        <v>0</v>
      </c>
      <c r="FC33" s="1">
        <f>VC_NEW2!EX13</f>
        <v>0</v>
      </c>
      <c r="FD33" s="1">
        <f>VC_NEW2!EY13</f>
        <v>0</v>
      </c>
      <c r="FE33" s="1">
        <f>VC_NEW2!EZ13</f>
        <v>0</v>
      </c>
      <c r="FF33" s="1">
        <f>VC_NEW2!FA13</f>
        <v>0</v>
      </c>
      <c r="FG33" s="1">
        <f>VC_NEW2!FB13</f>
        <v>0</v>
      </c>
      <c r="FH33" s="1">
        <f>VC_NEW2!FC13</f>
        <v>0</v>
      </c>
      <c r="FI33" s="1">
        <f>VC_NEW2!FD13</f>
        <v>0</v>
      </c>
      <c r="FJ33" s="1">
        <f>VC_NEW2!FE13</f>
        <v>0</v>
      </c>
      <c r="FK33" s="1">
        <f>VC_NEW2!FF13</f>
        <v>0</v>
      </c>
      <c r="FL33" s="1">
        <f>VC_NEW2!FG13</f>
        <v>0</v>
      </c>
      <c r="FM33" s="1">
        <f>VC_NEW2!FH13</f>
        <v>0</v>
      </c>
      <c r="FN33" s="1">
        <f>VC_NEW2!FI13</f>
        <v>0</v>
      </c>
      <c r="FO33" s="1">
        <f>VC_NEW2!FJ13</f>
        <v>0</v>
      </c>
      <c r="FP33" s="1">
        <f>VC_NEW2!FK13</f>
        <v>0</v>
      </c>
      <c r="FQ33" s="1">
        <f>VC_NEW2!FL13</f>
        <v>0</v>
      </c>
      <c r="FR33" s="1">
        <f>VC_NEW2!FM13</f>
        <v>0</v>
      </c>
      <c r="FS33" s="1" t="str">
        <f>VC_NEW2!FN13</f>
        <v>P128S</v>
      </c>
      <c r="FT33" s="1">
        <f>VC_NEW2!FO13</f>
        <v>0</v>
      </c>
      <c r="FU33" s="1">
        <f>VC_NEW2!FP13</f>
        <v>0</v>
      </c>
      <c r="FV33" s="1">
        <f>VC_NEW2!FQ13</f>
        <v>0</v>
      </c>
      <c r="FW33" s="1">
        <f>VC_NEW2!FR13</f>
        <v>0</v>
      </c>
      <c r="FX33" s="1">
        <f>VC_NEW2!FS13</f>
        <v>0</v>
      </c>
      <c r="FY33" s="1">
        <f>VC_NEW2!FT13</f>
        <v>0</v>
      </c>
      <c r="FZ33" s="1">
        <f>VC_NEW2!FU13</f>
        <v>0</v>
      </c>
      <c r="GA33" s="1">
        <f>VC_NEW2!FV13</f>
        <v>0</v>
      </c>
      <c r="GB33" s="1">
        <f>VC_NEW2!FW13</f>
        <v>0</v>
      </c>
      <c r="GC33" s="1">
        <f>VC_NEW2!FX13</f>
        <v>0</v>
      </c>
      <c r="GD33" s="1">
        <f>VC_NEW2!FY13</f>
        <v>0</v>
      </c>
      <c r="GE33" s="1">
        <f>VC_NEW2!FZ13</f>
        <v>0</v>
      </c>
      <c r="GF33" s="1">
        <f>VC_NEW2!GA13</f>
        <v>0</v>
      </c>
      <c r="GG33" s="1">
        <f>VC_NEW2!GB13</f>
        <v>0</v>
      </c>
      <c r="GH33" s="1">
        <f>VC_NEW2!GC13</f>
        <v>0</v>
      </c>
      <c r="GI33" s="1">
        <f>VC_NEW2!GD13</f>
        <v>0</v>
      </c>
      <c r="GJ33" s="1">
        <f>VC_NEW2!GE13</f>
        <v>0</v>
      </c>
      <c r="GK33" s="1">
        <f>VC_NEW2!GF13</f>
        <v>0</v>
      </c>
      <c r="GL33" s="1">
        <f>VC_NEW2!GG13</f>
        <v>0</v>
      </c>
      <c r="GM33" s="1">
        <f>VC_NEW2!GH13</f>
        <v>0</v>
      </c>
      <c r="GN33" s="1" t="str">
        <f>VC_NEW2!GI13</f>
        <v>V55I, I80L</v>
      </c>
      <c r="GO33" s="1">
        <f>VC_NEW2!GJ13</f>
        <v>0</v>
      </c>
      <c r="GP33" s="1">
        <f>VC_NEW2!GK13</f>
        <v>0</v>
      </c>
      <c r="GQ33" s="1">
        <f>VC_NEW2!GL13</f>
        <v>0</v>
      </c>
      <c r="GR33" s="1">
        <f>VC_NEW2!GM13</f>
        <v>0</v>
      </c>
      <c r="GS33" s="1">
        <f>VC_NEW2!GN13</f>
        <v>0</v>
      </c>
      <c r="GT33" s="1">
        <f>VC_NEW2!GO13</f>
        <v>0</v>
      </c>
      <c r="GU33" s="1">
        <f>VC_NEW2!GP13</f>
        <v>0</v>
      </c>
      <c r="GV33" s="1">
        <f>VC_NEW2!GQ13</f>
        <v>0</v>
      </c>
      <c r="GW33" s="1">
        <f>VC_NEW2!GR13</f>
        <v>0</v>
      </c>
      <c r="GX33" s="1">
        <f>VC_NEW2!GS13</f>
        <v>0</v>
      </c>
      <c r="GY33" s="1">
        <f>VC_NEW2!GT13</f>
        <v>0</v>
      </c>
      <c r="GZ33" s="1">
        <f>VC_NEW2!GU13</f>
        <v>0</v>
      </c>
      <c r="HA33" s="1">
        <f>VC_NEW2!GV13</f>
        <v>0</v>
      </c>
      <c r="HB33" s="1">
        <f>VC_NEW2!GW13</f>
        <v>0</v>
      </c>
      <c r="HC33" s="1" t="str">
        <f>VC_NEW2!GX13</f>
        <v>R178C</v>
      </c>
    </row>
    <row r="34" spans="1:211" s="7" customFormat="1" ht="15" hidden="1" customHeight="1" x14ac:dyDescent="0.25">
      <c r="A34" s="65" t="s">
        <v>49</v>
      </c>
      <c r="B34" s="66" t="s">
        <v>50</v>
      </c>
      <c r="C34" s="67" t="s">
        <v>0</v>
      </c>
      <c r="D34" s="66" t="s">
        <v>77</v>
      </c>
      <c r="E34" s="66">
        <v>-0.5</v>
      </c>
      <c r="F34" s="66" t="s">
        <v>74</v>
      </c>
      <c r="G34" s="68" t="s">
        <v>143</v>
      </c>
      <c r="H34" s="7">
        <f>VC_NEW2!C14</f>
        <v>0</v>
      </c>
      <c r="I34" s="7">
        <f>VC_NEW2!D14</f>
        <v>0</v>
      </c>
      <c r="J34" s="7" t="str">
        <f>VC_NEW2!E14</f>
        <v xml:space="preserve"> A708T   </v>
      </c>
      <c r="K34" s="7">
        <f>VC_NEW2!F14</f>
        <v>0</v>
      </c>
      <c r="L34" s="7" t="str">
        <f>VC_NEW2!G14</f>
        <v xml:space="preserve">D428N  </v>
      </c>
      <c r="M34" s="7" t="str">
        <f>VC_NEW2!H14</f>
        <v xml:space="preserve">L239P   </v>
      </c>
      <c r="N34" s="7">
        <f>VC_NEW2!I14</f>
        <v>0</v>
      </c>
      <c r="O34" s="7">
        <f>VC_NEW2!J14</f>
        <v>0</v>
      </c>
      <c r="P34" s="7">
        <f>VC_NEW2!K14</f>
        <v>0</v>
      </c>
      <c r="Q34" s="7">
        <f>VC_NEW2!L14</f>
        <v>0</v>
      </c>
      <c r="R34" s="7">
        <f>VC_NEW2!M14</f>
        <v>0</v>
      </c>
      <c r="S34" s="7">
        <f>VC_NEW2!N14</f>
        <v>0</v>
      </c>
      <c r="T34" s="7" t="str">
        <f>VC_NEW2!O14</f>
        <v xml:space="preserve">A131T   </v>
      </c>
      <c r="U34" s="7">
        <f>VC_NEW2!P14</f>
        <v>0</v>
      </c>
      <c r="V34" s="7">
        <f>VC_NEW2!Q14</f>
        <v>0</v>
      </c>
      <c r="W34" s="7">
        <f>VC_NEW2!R14</f>
        <v>0</v>
      </c>
      <c r="X34" s="7">
        <f>VC_NEW2!S14</f>
        <v>0</v>
      </c>
      <c r="Y34" s="7">
        <f>VC_NEW2!T14</f>
        <v>0</v>
      </c>
      <c r="Z34" s="7" t="str">
        <f>VC_NEW2!U14</f>
        <v>V875M, N1036S</v>
      </c>
      <c r="AA34" s="7">
        <f>VC_NEW2!V14</f>
        <v>0</v>
      </c>
      <c r="AB34" s="7">
        <f>VC_NEW2!W14</f>
        <v>0</v>
      </c>
      <c r="AC34" s="7">
        <f>VC_NEW2!X14</f>
        <v>0</v>
      </c>
      <c r="AD34" s="7">
        <f>VC_NEW2!Y14</f>
        <v>0</v>
      </c>
      <c r="AE34" s="7" t="str">
        <f>VC_NEW2!Z14</f>
        <v xml:space="preserve"> N709S </v>
      </c>
      <c r="AF34" s="7">
        <f>VC_NEW2!AA14</f>
        <v>0</v>
      </c>
      <c r="AG34" s="7">
        <f>VC_NEW2!AB14</f>
        <v>0</v>
      </c>
      <c r="AH34" s="7" t="str">
        <f>VC_NEW2!AC14</f>
        <v xml:space="preserve">A586T, N709H </v>
      </c>
      <c r="AI34" s="7">
        <f>VC_NEW2!AD14</f>
        <v>0</v>
      </c>
      <c r="AJ34" s="7">
        <f>VC_NEW2!AE14</f>
        <v>0</v>
      </c>
      <c r="AK34" s="7">
        <f>VC_NEW2!AF14</f>
        <v>0</v>
      </c>
      <c r="AL34" s="7">
        <f>VC_NEW2!AG14</f>
        <v>0</v>
      </c>
      <c r="AM34" s="7" t="str">
        <f>VC_NEW2!AH14</f>
        <v xml:space="preserve">R706H </v>
      </c>
      <c r="AN34" s="7">
        <f>VC_NEW2!AI14</f>
        <v>0</v>
      </c>
      <c r="AO34" s="7">
        <f>VC_NEW2!AJ14</f>
        <v>0</v>
      </c>
      <c r="AP34" s="7">
        <f>VC_NEW2!AK14</f>
        <v>0</v>
      </c>
      <c r="AQ34" s="7">
        <f>VC_NEW2!AL14</f>
        <v>0</v>
      </c>
      <c r="AR34" s="7">
        <f>VC_NEW2!AM14</f>
        <v>0</v>
      </c>
      <c r="AS34" s="7">
        <f>VC_NEW2!AN14</f>
        <v>0</v>
      </c>
      <c r="AT34" s="7">
        <f>VC_NEW2!AO14</f>
        <v>0</v>
      </c>
      <c r="AU34" s="7">
        <f>VC_NEW2!AP14</f>
        <v>0</v>
      </c>
      <c r="AV34" s="7">
        <f>VC_NEW2!AQ14</f>
        <v>0</v>
      </c>
      <c r="AW34" s="7">
        <f>VC_NEW2!AR14</f>
        <v>0</v>
      </c>
      <c r="AX34" s="7" t="str">
        <f>VC_NEW2!AS14</f>
        <v xml:space="preserve">A772T  </v>
      </c>
      <c r="AY34" s="7">
        <f>VC_NEW2!AT14</f>
        <v>0</v>
      </c>
      <c r="AZ34" s="7">
        <f>VC_NEW2!AU14</f>
        <v>0</v>
      </c>
      <c r="BA34" s="7">
        <f>VC_NEW2!AV14</f>
        <v>0</v>
      </c>
      <c r="BB34" s="7">
        <f>VC_NEW2!AW14</f>
        <v>0</v>
      </c>
      <c r="BC34" s="7">
        <f>VC_NEW2!AX14</f>
        <v>0</v>
      </c>
      <c r="BD34" s="7">
        <f>VC_NEW2!AY14</f>
        <v>0</v>
      </c>
      <c r="BE34" s="7">
        <f>VC_NEW2!AZ14</f>
        <v>0</v>
      </c>
      <c r="BF34" s="7">
        <f>VC_NEW2!BA14</f>
        <v>0</v>
      </c>
      <c r="BG34" s="7" t="str">
        <f>VC_NEW2!BB14</f>
        <v xml:space="preserve">R251H, I543V  </v>
      </c>
      <c r="BH34" s="7">
        <f>VC_NEW2!BC14</f>
        <v>0</v>
      </c>
      <c r="BI34" s="7">
        <f>VC_NEW2!BD14</f>
        <v>0</v>
      </c>
      <c r="BJ34" s="7">
        <f>VC_NEW2!BE14</f>
        <v>0</v>
      </c>
      <c r="BK34" s="7">
        <f>VC_NEW2!BF14</f>
        <v>0</v>
      </c>
      <c r="BL34" s="7">
        <f>VC_NEW2!BG14</f>
        <v>0</v>
      </c>
      <c r="BM34" s="7">
        <f>VC_NEW2!BH14</f>
        <v>0</v>
      </c>
      <c r="BN34" s="7">
        <f>VC_NEW2!BI14</f>
        <v>0</v>
      </c>
      <c r="BO34" s="7">
        <f>VC_NEW2!BJ14</f>
        <v>0</v>
      </c>
      <c r="BP34" s="7">
        <f>VC_NEW2!BK14</f>
        <v>0</v>
      </c>
      <c r="BQ34" s="7" t="str">
        <f>VC_NEW2!BL14</f>
        <v>G530S</v>
      </c>
      <c r="BR34" s="7" t="str">
        <f>VC_NEW2!BM14</f>
        <v>G530S</v>
      </c>
      <c r="BS34" s="7">
        <f>VC_NEW2!BN14</f>
        <v>0</v>
      </c>
      <c r="BT34" s="7">
        <f>VC_NEW2!BO14</f>
        <v>0</v>
      </c>
      <c r="BU34" s="7">
        <f>VC_NEW2!BP14</f>
        <v>0</v>
      </c>
      <c r="BV34" s="7">
        <f>VC_NEW2!BQ14</f>
        <v>0</v>
      </c>
      <c r="BW34" s="7">
        <f>VC_NEW2!BR14</f>
        <v>0</v>
      </c>
      <c r="BX34" s="7">
        <f>VC_NEW2!BS14</f>
        <v>0</v>
      </c>
      <c r="BY34" s="7">
        <f>VC_NEW2!BT14</f>
        <v>0</v>
      </c>
      <c r="BZ34" s="7">
        <f>VC_NEW2!BU14</f>
        <v>0</v>
      </c>
      <c r="CA34" s="7">
        <f>VC_NEW2!BV14</f>
        <v>0</v>
      </c>
      <c r="CB34" s="7">
        <f>VC_NEW2!BW14</f>
        <v>0</v>
      </c>
      <c r="CC34" s="7">
        <f>VC_NEW2!BX14</f>
        <v>0</v>
      </c>
      <c r="CD34" s="7">
        <f>VC_NEW2!BY14</f>
        <v>0</v>
      </c>
      <c r="CE34" s="7">
        <f>VC_NEW2!BZ14</f>
        <v>0</v>
      </c>
      <c r="CF34" s="7">
        <f>VC_NEW2!CA14</f>
        <v>0</v>
      </c>
      <c r="CG34" s="7">
        <f>VC_NEW2!CB14</f>
        <v>0</v>
      </c>
      <c r="CH34" s="7">
        <f>VC_NEW2!CC14</f>
        <v>0</v>
      </c>
      <c r="CI34" s="7">
        <f>VC_NEW2!CD14</f>
        <v>0</v>
      </c>
      <c r="CJ34" s="7">
        <f>VC_NEW2!CE14</f>
        <v>0</v>
      </c>
      <c r="CK34" s="7">
        <f>VC_NEW2!CF14</f>
        <v>0</v>
      </c>
      <c r="CL34" s="7">
        <f>VC_NEW2!CG14</f>
        <v>0</v>
      </c>
      <c r="CM34" s="7">
        <f>VC_NEW2!CH14</f>
        <v>0</v>
      </c>
      <c r="CN34" s="7">
        <f>VC_NEW2!CI14</f>
        <v>0</v>
      </c>
      <c r="CO34" s="7">
        <f>VC_NEW2!CJ14</f>
        <v>0</v>
      </c>
      <c r="CP34" s="7">
        <f>VC_NEW2!CK14</f>
        <v>0</v>
      </c>
      <c r="CQ34" s="7">
        <f>VC_NEW2!CL14</f>
        <v>0</v>
      </c>
      <c r="CR34" s="7">
        <f>VC_NEW2!CM14</f>
        <v>0</v>
      </c>
      <c r="CS34" s="7">
        <f>VC_NEW2!CN14</f>
        <v>0</v>
      </c>
      <c r="CT34" s="7">
        <f>VC_NEW2!CO14</f>
        <v>0</v>
      </c>
      <c r="CU34" s="7">
        <f>VC_NEW2!CP14</f>
        <v>0</v>
      </c>
      <c r="CV34" s="7">
        <f>VC_NEW2!CQ14</f>
        <v>0</v>
      </c>
      <c r="CW34" s="7">
        <f>VC_NEW2!CR14</f>
        <v>0</v>
      </c>
      <c r="CX34" s="7">
        <f>VC_NEW2!CS14</f>
        <v>0</v>
      </c>
      <c r="CY34" s="7">
        <f>VC_NEW2!CT14</f>
        <v>0</v>
      </c>
      <c r="CZ34" s="7">
        <f>VC_NEW2!CU14</f>
        <v>0</v>
      </c>
      <c r="DA34" s="7">
        <f>VC_NEW2!CV14</f>
        <v>0</v>
      </c>
      <c r="DB34" s="7">
        <f>VC_NEW2!CW14</f>
        <v>0</v>
      </c>
      <c r="DC34" s="7">
        <f>VC_NEW2!CX14</f>
        <v>0</v>
      </c>
      <c r="DD34" s="7" t="str">
        <f>VC_NEW2!CY14</f>
        <v xml:space="preserve">A285T  </v>
      </c>
      <c r="DE34" s="7">
        <f>VC_NEW2!CZ14</f>
        <v>0</v>
      </c>
      <c r="DF34" s="7">
        <f>VC_NEW2!DA14</f>
        <v>0</v>
      </c>
      <c r="DG34" s="7">
        <f>VC_NEW2!DB14</f>
        <v>0</v>
      </c>
      <c r="DH34" s="7">
        <f>VC_NEW2!DC14</f>
        <v>0</v>
      </c>
      <c r="DI34" s="7">
        <f>VC_NEW2!DD14</f>
        <v>0</v>
      </c>
      <c r="DJ34" s="7">
        <f>VC_NEW2!DE14</f>
        <v>0</v>
      </c>
      <c r="DK34" s="7">
        <f>VC_NEW2!DF14</f>
        <v>0</v>
      </c>
      <c r="DL34" s="7">
        <f>VC_NEW2!DG14</f>
        <v>0</v>
      </c>
      <c r="DM34" s="7">
        <f>VC_NEW2!DH14</f>
        <v>0</v>
      </c>
      <c r="DN34" s="7" t="str">
        <f>VC_NEW2!DI14</f>
        <v>DELETED</v>
      </c>
      <c r="DO34" s="7">
        <f>VC_NEW2!DJ14</f>
        <v>0</v>
      </c>
      <c r="DP34" s="7">
        <f>VC_NEW2!DK14</f>
        <v>0</v>
      </c>
      <c r="DQ34" s="7">
        <f>VC_NEW2!DL14</f>
        <v>0</v>
      </c>
      <c r="DR34" s="7">
        <f>VC_NEW2!DM14</f>
        <v>0</v>
      </c>
      <c r="DS34" s="7" t="str">
        <f>VC_NEW2!DN14</f>
        <v>D628H</v>
      </c>
      <c r="DT34" s="7">
        <f>VC_NEW2!DO14</f>
        <v>0</v>
      </c>
      <c r="DU34" s="7">
        <f>VC_NEW2!DP14</f>
        <v>0</v>
      </c>
      <c r="DV34" s="7">
        <f>VC_NEW2!DQ14</f>
        <v>0</v>
      </c>
      <c r="DW34" s="7">
        <f>VC_NEW2!DR14</f>
        <v>0</v>
      </c>
      <c r="DX34" s="7">
        <f>VC_NEW2!DS14</f>
        <v>0</v>
      </c>
      <c r="DY34" s="7">
        <f>VC_NEW2!DT14</f>
        <v>0</v>
      </c>
      <c r="DZ34" s="7" t="str">
        <f>VC_NEW2!DU14</f>
        <v>R1024S</v>
      </c>
      <c r="EA34" s="7">
        <f>VC_NEW2!DV14</f>
        <v>0</v>
      </c>
      <c r="EB34" s="7" t="str">
        <f>VC_NEW2!DW14</f>
        <v xml:space="preserve">R706H </v>
      </c>
      <c r="EC34" s="7">
        <f>VC_NEW2!DX14</f>
        <v>0</v>
      </c>
      <c r="ED34" s="7" t="str">
        <f>VC_NEW2!DY14</f>
        <v xml:space="preserve">T472P   </v>
      </c>
      <c r="EE34" s="7">
        <f>VC_NEW2!DZ14</f>
        <v>0</v>
      </c>
      <c r="EF34" s="7">
        <f>VC_NEW2!EA14</f>
        <v>0</v>
      </c>
      <c r="EG34" s="7">
        <f>VC_NEW2!EB14</f>
        <v>0</v>
      </c>
      <c r="EH34" s="7">
        <f>VC_NEW2!EC14</f>
        <v>0</v>
      </c>
      <c r="EI34" s="7" t="str">
        <f>VC_NEW2!ED14</f>
        <v xml:space="preserve">E505G     </v>
      </c>
      <c r="EJ34" s="7">
        <f>VC_NEW2!EE14</f>
        <v>0</v>
      </c>
      <c r="EK34" s="7">
        <f>VC_NEW2!EF14</f>
        <v>0</v>
      </c>
      <c r="EL34" s="7" t="str">
        <f>VC_NEW2!EG14</f>
        <v>D724V</v>
      </c>
      <c r="EM34" s="7">
        <f>VC_NEW2!EH14</f>
        <v>0</v>
      </c>
      <c r="EN34" s="7">
        <f>VC_NEW2!EI14</f>
        <v>0</v>
      </c>
      <c r="EO34" s="7">
        <f>VC_NEW2!EJ14</f>
        <v>0</v>
      </c>
      <c r="EP34" s="7">
        <f>VC_NEW2!EK14</f>
        <v>0</v>
      </c>
      <c r="EQ34" s="7">
        <f>VC_NEW2!EL14</f>
        <v>0</v>
      </c>
      <c r="ER34" s="7">
        <f>VC_NEW2!EM14</f>
        <v>0</v>
      </c>
      <c r="ES34" s="7">
        <f>VC_NEW2!EN14</f>
        <v>0</v>
      </c>
      <c r="ET34" s="7">
        <f>VC_NEW2!EO14</f>
        <v>0</v>
      </c>
      <c r="EU34" s="7">
        <f>VC_NEW2!EP14</f>
        <v>0</v>
      </c>
      <c r="EV34" s="7">
        <f>VC_NEW2!EQ14</f>
        <v>0</v>
      </c>
      <c r="EW34" s="7" t="str">
        <f>VC_NEW2!ER14</f>
        <v>S48N, T472A, D502G, R519H, Q843R, I849V, A865D</v>
      </c>
      <c r="EX34" s="7">
        <f>VC_NEW2!ES14</f>
        <v>0</v>
      </c>
      <c r="EY34" s="7">
        <f>VC_NEW2!ET14</f>
        <v>0</v>
      </c>
      <c r="EZ34" s="7">
        <f>VC_NEW2!EU14</f>
        <v>0</v>
      </c>
      <c r="FA34" s="7">
        <f>VC_NEW2!EV14</f>
        <v>0</v>
      </c>
      <c r="FB34" s="7">
        <f>VC_NEW2!EW14</f>
        <v>0</v>
      </c>
      <c r="FC34" s="7">
        <f>VC_NEW2!EX14</f>
        <v>0</v>
      </c>
      <c r="FD34" s="7">
        <f>VC_NEW2!EY14</f>
        <v>0</v>
      </c>
      <c r="FE34" s="7">
        <f>VC_NEW2!EZ14</f>
        <v>0</v>
      </c>
      <c r="FF34" s="7">
        <f>VC_NEW2!FA14</f>
        <v>0</v>
      </c>
      <c r="FG34" s="7">
        <f>VC_NEW2!FB14</f>
        <v>0</v>
      </c>
      <c r="FH34" s="7">
        <f>VC_NEW2!FC14</f>
        <v>0</v>
      </c>
      <c r="FI34" s="7">
        <f>VC_NEW2!FD14</f>
        <v>0</v>
      </c>
      <c r="FJ34" s="7">
        <f>VC_NEW2!FE14</f>
        <v>0</v>
      </c>
      <c r="FK34" s="7" t="str">
        <f>VC_NEW2!FF14</f>
        <v xml:space="preserve">A772T  </v>
      </c>
      <c r="FL34" s="7">
        <f>VC_NEW2!FG14</f>
        <v>0</v>
      </c>
      <c r="FM34" s="7">
        <f>VC_NEW2!FH14</f>
        <v>0</v>
      </c>
      <c r="FN34" s="7" t="str">
        <f>VC_NEW2!FI14</f>
        <v xml:space="preserve">R706H </v>
      </c>
      <c r="FO34" s="7" t="str">
        <f>VC_NEW2!FJ14</f>
        <v xml:space="preserve">D428N  </v>
      </c>
      <c r="FP34" s="7">
        <f>VC_NEW2!FK14</f>
        <v>0</v>
      </c>
      <c r="FQ34" s="7">
        <f>VC_NEW2!FL14</f>
        <v>0</v>
      </c>
      <c r="FR34" s="7">
        <f>VC_NEW2!FM14</f>
        <v>0</v>
      </c>
      <c r="FS34" s="7" t="str">
        <f>VC_NEW2!FN14</f>
        <v xml:space="preserve">I531T  </v>
      </c>
      <c r="FT34" s="7">
        <f>VC_NEW2!FO14</f>
        <v>0</v>
      </c>
      <c r="FU34" s="7">
        <f>VC_NEW2!FP14</f>
        <v>0</v>
      </c>
      <c r="FV34" s="7">
        <f>VC_NEW2!FQ14</f>
        <v>0</v>
      </c>
      <c r="FW34" s="7" t="str">
        <f>VC_NEW2!FR14</f>
        <v xml:space="preserve">A772T  </v>
      </c>
      <c r="FX34" s="7">
        <f>VC_NEW2!FS14</f>
        <v>0</v>
      </c>
      <c r="FY34" s="7">
        <f>VC_NEW2!FT14</f>
        <v>0</v>
      </c>
      <c r="FZ34" s="7">
        <f>VC_NEW2!FU14</f>
        <v>0</v>
      </c>
      <c r="GA34" s="7">
        <f>VC_NEW2!FV14</f>
        <v>0</v>
      </c>
      <c r="GB34" s="7">
        <f>VC_NEW2!FW14</f>
        <v>0</v>
      </c>
      <c r="GC34" s="7">
        <f>VC_NEW2!FX14</f>
        <v>0</v>
      </c>
      <c r="GD34" s="7">
        <f>VC_NEW2!FY14</f>
        <v>0</v>
      </c>
      <c r="GE34" s="7">
        <f>VC_NEW2!FZ14</f>
        <v>0</v>
      </c>
      <c r="GF34" s="7">
        <f>VC_NEW2!GA14</f>
        <v>0</v>
      </c>
      <c r="GG34" s="7">
        <f>VC_NEW2!GB14</f>
        <v>0</v>
      </c>
      <c r="GH34" s="7">
        <f>VC_NEW2!GC14</f>
        <v>0</v>
      </c>
      <c r="GI34" s="7">
        <f>VC_NEW2!GD14</f>
        <v>0</v>
      </c>
      <c r="GJ34" s="7">
        <f>VC_NEW2!GE14</f>
        <v>0</v>
      </c>
      <c r="GK34" s="7" t="str">
        <f>VC_NEW2!GF14</f>
        <v xml:space="preserve">T238I </v>
      </c>
      <c r="GL34" s="7">
        <f>VC_NEW2!GG14</f>
        <v>0</v>
      </c>
      <c r="GM34" s="7">
        <f>VC_NEW2!GH14</f>
        <v>0</v>
      </c>
      <c r="GN34" s="7" t="str">
        <f>VC_NEW2!GI14</f>
        <v>G1002A</v>
      </c>
      <c r="GO34" s="7">
        <f>VC_NEW2!GJ14</f>
        <v>0</v>
      </c>
      <c r="GP34" s="7">
        <f>VC_NEW2!GK14</f>
        <v>0</v>
      </c>
      <c r="GQ34" s="7" t="str">
        <f>VC_NEW2!GL14</f>
        <v>T393A</v>
      </c>
      <c r="GR34" s="7">
        <f>VC_NEW2!GM14</f>
        <v>0</v>
      </c>
      <c r="GS34" s="7">
        <f>VC_NEW2!GN14</f>
        <v>0</v>
      </c>
      <c r="GT34" s="7" t="str">
        <f>VC_NEW2!GO14</f>
        <v>A527V, V548M</v>
      </c>
      <c r="GU34" s="7">
        <f>VC_NEW2!GP14</f>
        <v>0</v>
      </c>
      <c r="GV34" s="7">
        <f>VC_NEW2!GQ14</f>
        <v>0</v>
      </c>
      <c r="GW34" s="7">
        <f>VC_NEW2!GR14</f>
        <v>0</v>
      </c>
      <c r="GX34" s="7">
        <f>VC_NEW2!GS14</f>
        <v>0</v>
      </c>
      <c r="GY34" s="7" t="str">
        <f>VC_NEW2!GT14</f>
        <v>G530S</v>
      </c>
      <c r="GZ34" s="7">
        <f>VC_NEW2!GU14</f>
        <v>0</v>
      </c>
      <c r="HA34" s="7" t="str">
        <f>VC_NEW2!GV14</f>
        <v>G530S</v>
      </c>
      <c r="HB34" s="7">
        <f>VC_NEW2!GW14</f>
        <v>0</v>
      </c>
      <c r="HC34" s="7">
        <f>VC_NEW2!GX14</f>
        <v>0</v>
      </c>
    </row>
    <row r="35" spans="1:211" s="7" customFormat="1" ht="15" customHeight="1" x14ac:dyDescent="0.25">
      <c r="A35" s="44" t="s">
        <v>49</v>
      </c>
      <c r="B35" s="45" t="s">
        <v>50</v>
      </c>
      <c r="C35" s="46" t="s">
        <v>2</v>
      </c>
      <c r="D35" s="45" t="s">
        <v>77</v>
      </c>
      <c r="E35" s="45">
        <v>-0.5</v>
      </c>
      <c r="F35" s="45" t="s">
        <v>74</v>
      </c>
      <c r="G35" s="47" t="s">
        <v>143</v>
      </c>
      <c r="H35" s="7">
        <f>VC_NEW2!C14</f>
        <v>0</v>
      </c>
      <c r="I35" s="7">
        <f>VC_NEW2!D14</f>
        <v>0</v>
      </c>
      <c r="J35" s="7" t="str">
        <f>VC_NEW2!E14</f>
        <v xml:space="preserve"> A708T   </v>
      </c>
      <c r="K35" s="7">
        <f>VC_NEW2!F14</f>
        <v>0</v>
      </c>
      <c r="L35" s="7" t="str">
        <f>VC_NEW2!G14</f>
        <v xml:space="preserve">D428N  </v>
      </c>
      <c r="M35" s="7" t="str">
        <f>VC_NEW2!H14</f>
        <v xml:space="preserve">L239P   </v>
      </c>
      <c r="N35" s="7">
        <f>VC_NEW2!I14</f>
        <v>0</v>
      </c>
      <c r="O35" s="7">
        <f>VC_NEW2!J14</f>
        <v>0</v>
      </c>
      <c r="P35" s="7">
        <f>VC_NEW2!K14</f>
        <v>0</v>
      </c>
      <c r="Q35" s="7">
        <f>VC_NEW2!L14</f>
        <v>0</v>
      </c>
      <c r="R35" s="7">
        <f>VC_NEW2!M14</f>
        <v>0</v>
      </c>
      <c r="S35" s="7">
        <f>VC_NEW2!N14</f>
        <v>0</v>
      </c>
      <c r="T35" s="7" t="str">
        <f>VC_NEW2!O14</f>
        <v xml:space="preserve">A131T   </v>
      </c>
      <c r="U35" s="7">
        <f>VC_NEW2!P14</f>
        <v>0</v>
      </c>
      <c r="V35" s="7">
        <f>VC_NEW2!Q14</f>
        <v>0</v>
      </c>
      <c r="W35" s="7">
        <f>VC_NEW2!R14</f>
        <v>0</v>
      </c>
      <c r="X35" s="7">
        <f>VC_NEW2!S14</f>
        <v>0</v>
      </c>
      <c r="Y35" s="7">
        <f>VC_NEW2!T14</f>
        <v>0</v>
      </c>
      <c r="Z35" s="7" t="str">
        <f>VC_NEW2!U14</f>
        <v>V875M, N1036S</v>
      </c>
      <c r="AA35" s="7">
        <f>VC_NEW2!V14</f>
        <v>0</v>
      </c>
      <c r="AB35" s="7">
        <f>VC_NEW2!W14</f>
        <v>0</v>
      </c>
      <c r="AC35" s="7">
        <f>VC_NEW2!X14</f>
        <v>0</v>
      </c>
      <c r="AD35" s="7">
        <f>VC_NEW2!Y14</f>
        <v>0</v>
      </c>
      <c r="AE35" s="7" t="str">
        <f>VC_NEW2!Z14</f>
        <v xml:space="preserve"> N709S </v>
      </c>
      <c r="AF35" s="7">
        <f>VC_NEW2!AA14</f>
        <v>0</v>
      </c>
      <c r="AG35" s="7">
        <f>VC_NEW2!AB14</f>
        <v>0</v>
      </c>
      <c r="AH35" s="7" t="str">
        <f>VC_NEW2!AC14</f>
        <v xml:space="preserve">A586T, N709H </v>
      </c>
      <c r="AI35" s="7">
        <f>VC_NEW2!AD14</f>
        <v>0</v>
      </c>
      <c r="AJ35" s="7">
        <f>VC_NEW2!AE14</f>
        <v>0</v>
      </c>
      <c r="AK35" s="7">
        <f>VC_NEW2!AF14</f>
        <v>0</v>
      </c>
      <c r="AL35" s="7">
        <f>VC_NEW2!AG14</f>
        <v>0</v>
      </c>
      <c r="AM35" s="7" t="str">
        <f>VC_NEW2!AH14</f>
        <v xml:space="preserve">R706H </v>
      </c>
      <c r="AN35" s="7">
        <f>VC_NEW2!AI14</f>
        <v>0</v>
      </c>
      <c r="AO35" s="7">
        <f>VC_NEW2!AJ14</f>
        <v>0</v>
      </c>
      <c r="AP35" s="7">
        <f>VC_NEW2!AK14</f>
        <v>0</v>
      </c>
      <c r="AQ35" s="7">
        <f>VC_NEW2!AL14</f>
        <v>0</v>
      </c>
      <c r="AR35" s="7">
        <f>VC_NEW2!AM14</f>
        <v>0</v>
      </c>
      <c r="AS35" s="7">
        <f>VC_NEW2!AN14</f>
        <v>0</v>
      </c>
      <c r="AT35" s="7">
        <f>VC_NEW2!AO14</f>
        <v>0</v>
      </c>
      <c r="AU35" s="7">
        <f>VC_NEW2!AP14</f>
        <v>0</v>
      </c>
      <c r="AV35" s="7">
        <f>VC_NEW2!AQ14</f>
        <v>0</v>
      </c>
      <c r="AW35" s="7">
        <f>VC_NEW2!AR14</f>
        <v>0</v>
      </c>
      <c r="AX35" s="7" t="str">
        <f>VC_NEW2!AS14</f>
        <v xml:space="preserve">A772T  </v>
      </c>
      <c r="AY35" s="7">
        <f>VC_NEW2!AT14</f>
        <v>0</v>
      </c>
      <c r="AZ35" s="7">
        <f>VC_NEW2!AU14</f>
        <v>0</v>
      </c>
      <c r="BA35" s="7">
        <f>VC_NEW2!AV14</f>
        <v>0</v>
      </c>
      <c r="BB35" s="7">
        <f>VC_NEW2!AW14</f>
        <v>0</v>
      </c>
      <c r="BC35" s="7">
        <f>VC_NEW2!AX14</f>
        <v>0</v>
      </c>
      <c r="BD35" s="7">
        <f>VC_NEW2!AY14</f>
        <v>0</v>
      </c>
      <c r="BE35" s="7">
        <f>VC_NEW2!AZ14</f>
        <v>0</v>
      </c>
      <c r="BF35" s="7">
        <f>VC_NEW2!BA14</f>
        <v>0</v>
      </c>
      <c r="BG35" s="7" t="str">
        <f>VC_NEW2!BB14</f>
        <v xml:space="preserve">R251H, I543V  </v>
      </c>
      <c r="BH35" s="7">
        <f>VC_NEW2!BC14</f>
        <v>0</v>
      </c>
      <c r="BI35" s="7">
        <f>VC_NEW2!BD14</f>
        <v>0</v>
      </c>
      <c r="BJ35" s="7">
        <f>VC_NEW2!BE14</f>
        <v>0</v>
      </c>
      <c r="BK35" s="7">
        <f>VC_NEW2!BF14</f>
        <v>0</v>
      </c>
      <c r="BL35" s="7">
        <f>VC_NEW2!BG14</f>
        <v>0</v>
      </c>
      <c r="BM35" s="7">
        <f>VC_NEW2!BH14</f>
        <v>0</v>
      </c>
      <c r="BN35" s="7">
        <f>VC_NEW2!BI14</f>
        <v>0</v>
      </c>
      <c r="BO35" s="7">
        <f>VC_NEW2!BJ14</f>
        <v>0</v>
      </c>
      <c r="BP35" s="7">
        <f>VC_NEW2!BK14</f>
        <v>0</v>
      </c>
      <c r="BQ35" s="7" t="str">
        <f>VC_NEW2!BL14</f>
        <v>G530S</v>
      </c>
      <c r="BR35" s="7" t="str">
        <f>VC_NEW2!BM14</f>
        <v>G530S</v>
      </c>
      <c r="BS35" s="7">
        <f>VC_NEW2!BN14</f>
        <v>0</v>
      </c>
      <c r="BT35" s="7">
        <f>VC_NEW2!BO14</f>
        <v>0</v>
      </c>
      <c r="BU35" s="7">
        <f>VC_NEW2!BP14</f>
        <v>0</v>
      </c>
      <c r="BV35" s="7">
        <f>VC_NEW2!BQ14</f>
        <v>0</v>
      </c>
      <c r="BW35" s="7">
        <f>VC_NEW2!BR14</f>
        <v>0</v>
      </c>
      <c r="BX35" s="7">
        <f>VC_NEW2!BS14</f>
        <v>0</v>
      </c>
      <c r="BY35" s="7">
        <f>VC_NEW2!BT14</f>
        <v>0</v>
      </c>
      <c r="BZ35" s="7">
        <f>VC_NEW2!BU14</f>
        <v>0</v>
      </c>
      <c r="CA35" s="7">
        <f>VC_NEW2!BV14</f>
        <v>0</v>
      </c>
      <c r="CB35" s="7">
        <f>VC_NEW2!BW14</f>
        <v>0</v>
      </c>
      <c r="CC35" s="7">
        <f>VC_NEW2!BX14</f>
        <v>0</v>
      </c>
      <c r="CD35" s="7">
        <f>VC_NEW2!BY14</f>
        <v>0</v>
      </c>
      <c r="CE35" s="7">
        <f>VC_NEW2!BZ14</f>
        <v>0</v>
      </c>
      <c r="CF35" s="7">
        <f>VC_NEW2!CA14</f>
        <v>0</v>
      </c>
      <c r="CG35" s="7">
        <f>VC_NEW2!CB14</f>
        <v>0</v>
      </c>
      <c r="CH35" s="7">
        <f>VC_NEW2!CC14</f>
        <v>0</v>
      </c>
      <c r="CI35" s="7">
        <f>VC_NEW2!CD14</f>
        <v>0</v>
      </c>
      <c r="CJ35" s="7">
        <f>VC_NEW2!CE14</f>
        <v>0</v>
      </c>
      <c r="CK35" s="7">
        <f>VC_NEW2!CF14</f>
        <v>0</v>
      </c>
      <c r="CL35" s="7">
        <f>VC_NEW2!CG14</f>
        <v>0</v>
      </c>
      <c r="CM35" s="7">
        <f>VC_NEW2!CH14</f>
        <v>0</v>
      </c>
      <c r="CN35" s="7">
        <f>VC_NEW2!CI14</f>
        <v>0</v>
      </c>
      <c r="CO35" s="7">
        <f>VC_NEW2!CJ14</f>
        <v>0</v>
      </c>
      <c r="CP35" s="7">
        <f>VC_NEW2!CK14</f>
        <v>0</v>
      </c>
      <c r="CQ35" s="7">
        <f>VC_NEW2!CL14</f>
        <v>0</v>
      </c>
      <c r="CR35" s="7">
        <f>VC_NEW2!CM14</f>
        <v>0</v>
      </c>
      <c r="CS35" s="7">
        <f>VC_NEW2!CN14</f>
        <v>0</v>
      </c>
      <c r="CT35" s="7">
        <f>VC_NEW2!CO14</f>
        <v>0</v>
      </c>
      <c r="CU35" s="7">
        <f>VC_NEW2!CP14</f>
        <v>0</v>
      </c>
      <c r="CV35" s="7">
        <f>VC_NEW2!CQ14</f>
        <v>0</v>
      </c>
      <c r="CW35" s="7">
        <f>VC_NEW2!CR14</f>
        <v>0</v>
      </c>
      <c r="CX35" s="7">
        <f>VC_NEW2!CS14</f>
        <v>0</v>
      </c>
      <c r="CY35" s="7">
        <f>VC_NEW2!CT14</f>
        <v>0</v>
      </c>
      <c r="CZ35" s="7">
        <f>VC_NEW2!CU14</f>
        <v>0</v>
      </c>
      <c r="DA35" s="7">
        <f>VC_NEW2!CV14</f>
        <v>0</v>
      </c>
      <c r="DB35" s="7">
        <f>VC_NEW2!CW14</f>
        <v>0</v>
      </c>
      <c r="DC35" s="7">
        <f>VC_NEW2!CX14</f>
        <v>0</v>
      </c>
      <c r="DD35" s="7" t="str">
        <f>VC_NEW2!CY14</f>
        <v xml:space="preserve">A285T  </v>
      </c>
      <c r="DE35" s="7">
        <f>VC_NEW2!CZ14</f>
        <v>0</v>
      </c>
      <c r="DF35" s="7">
        <f>VC_NEW2!DA14</f>
        <v>0</v>
      </c>
      <c r="DG35" s="7">
        <f>VC_NEW2!DB14</f>
        <v>0</v>
      </c>
      <c r="DH35" s="7">
        <f>VC_NEW2!DC14</f>
        <v>0</v>
      </c>
      <c r="DI35" s="7">
        <f>VC_NEW2!DD14</f>
        <v>0</v>
      </c>
      <c r="DJ35" s="7">
        <f>VC_NEW2!DE14</f>
        <v>0</v>
      </c>
      <c r="DK35" s="7">
        <f>VC_NEW2!DF14</f>
        <v>0</v>
      </c>
      <c r="DL35" s="7">
        <f>VC_NEW2!DG14</f>
        <v>0</v>
      </c>
      <c r="DM35" s="7">
        <f>VC_NEW2!DH14</f>
        <v>0</v>
      </c>
      <c r="DN35" s="7" t="str">
        <f>VC_NEW2!DI14</f>
        <v>DELETED</v>
      </c>
      <c r="DO35" s="7">
        <f>VC_NEW2!DJ14</f>
        <v>0</v>
      </c>
      <c r="DP35" s="7">
        <f>VC_NEW2!DK14</f>
        <v>0</v>
      </c>
      <c r="DQ35" s="7">
        <f>VC_NEW2!DL14</f>
        <v>0</v>
      </c>
      <c r="DR35" s="7">
        <f>VC_NEW2!DM14</f>
        <v>0</v>
      </c>
      <c r="DS35" s="7" t="str">
        <f>VC_NEW2!DN14</f>
        <v>D628H</v>
      </c>
      <c r="DT35" s="7">
        <f>VC_NEW2!DO14</f>
        <v>0</v>
      </c>
      <c r="DU35" s="7">
        <f>VC_NEW2!DP14</f>
        <v>0</v>
      </c>
      <c r="DV35" s="7">
        <f>VC_NEW2!DQ14</f>
        <v>0</v>
      </c>
      <c r="DW35" s="7">
        <f>VC_NEW2!DR14</f>
        <v>0</v>
      </c>
      <c r="DX35" s="7">
        <f>VC_NEW2!DS14</f>
        <v>0</v>
      </c>
      <c r="DY35" s="7">
        <f>VC_NEW2!DT14</f>
        <v>0</v>
      </c>
      <c r="DZ35" s="7" t="str">
        <f>VC_NEW2!DU14</f>
        <v>R1024S</v>
      </c>
      <c r="EA35" s="7">
        <f>VC_NEW2!DV14</f>
        <v>0</v>
      </c>
      <c r="EB35" s="7" t="str">
        <f>VC_NEW2!DW14</f>
        <v xml:space="preserve">R706H </v>
      </c>
      <c r="EC35" s="7">
        <f>VC_NEW2!DX14</f>
        <v>0</v>
      </c>
      <c r="ED35" s="7" t="str">
        <f>VC_NEW2!DY14</f>
        <v xml:space="preserve">T472P   </v>
      </c>
      <c r="EE35" s="7">
        <f>VC_NEW2!DZ14</f>
        <v>0</v>
      </c>
      <c r="EF35" s="7">
        <f>VC_NEW2!EA14</f>
        <v>0</v>
      </c>
      <c r="EG35" s="7">
        <f>VC_NEW2!EB14</f>
        <v>0</v>
      </c>
      <c r="EH35" s="7">
        <f>VC_NEW2!EC14</f>
        <v>0</v>
      </c>
      <c r="EI35" s="7" t="str">
        <f>VC_NEW2!ED14</f>
        <v xml:space="preserve">E505G     </v>
      </c>
      <c r="EJ35" s="7">
        <f>VC_NEW2!EE14</f>
        <v>0</v>
      </c>
      <c r="EK35" s="7">
        <f>VC_NEW2!EF14</f>
        <v>0</v>
      </c>
      <c r="EL35" s="7" t="str">
        <f>VC_NEW2!EG14</f>
        <v>D724V</v>
      </c>
      <c r="EM35" s="7">
        <f>VC_NEW2!EH14</f>
        <v>0</v>
      </c>
      <c r="EN35" s="7">
        <f>VC_NEW2!EI14</f>
        <v>0</v>
      </c>
      <c r="EO35" s="7">
        <f>VC_NEW2!EJ14</f>
        <v>0</v>
      </c>
      <c r="EP35" s="7">
        <f>VC_NEW2!EK14</f>
        <v>0</v>
      </c>
      <c r="EQ35" s="7">
        <f>VC_NEW2!EL14</f>
        <v>0</v>
      </c>
      <c r="ER35" s="7">
        <f>VC_NEW2!EM14</f>
        <v>0</v>
      </c>
      <c r="ES35" s="7">
        <f>VC_NEW2!EN14</f>
        <v>0</v>
      </c>
      <c r="ET35" s="7">
        <f>VC_NEW2!EO14</f>
        <v>0</v>
      </c>
      <c r="EU35" s="7">
        <f>VC_NEW2!EP14</f>
        <v>0</v>
      </c>
      <c r="EV35" s="7">
        <f>VC_NEW2!EQ14</f>
        <v>0</v>
      </c>
      <c r="EW35" s="7" t="str">
        <f>VC_NEW2!ER14</f>
        <v>S48N, T472A, D502G, R519H, Q843R, I849V, A865D</v>
      </c>
      <c r="EX35" s="7">
        <f>VC_NEW2!ES14</f>
        <v>0</v>
      </c>
      <c r="EY35" s="7">
        <f>VC_NEW2!ET14</f>
        <v>0</v>
      </c>
      <c r="EZ35" s="7">
        <f>VC_NEW2!EU14</f>
        <v>0</v>
      </c>
      <c r="FA35" s="7">
        <f>VC_NEW2!EV14</f>
        <v>0</v>
      </c>
      <c r="FB35" s="7">
        <f>VC_NEW2!EW14</f>
        <v>0</v>
      </c>
      <c r="FC35" s="7">
        <f>VC_NEW2!EX14</f>
        <v>0</v>
      </c>
      <c r="FD35" s="7">
        <f>VC_NEW2!EY14</f>
        <v>0</v>
      </c>
      <c r="FE35" s="7">
        <f>VC_NEW2!EZ14</f>
        <v>0</v>
      </c>
      <c r="FF35" s="7">
        <f>VC_NEW2!FA14</f>
        <v>0</v>
      </c>
      <c r="FG35" s="7">
        <f>VC_NEW2!FB14</f>
        <v>0</v>
      </c>
      <c r="FH35" s="7">
        <f>VC_NEW2!FC14</f>
        <v>0</v>
      </c>
      <c r="FI35" s="7">
        <f>VC_NEW2!FD14</f>
        <v>0</v>
      </c>
      <c r="FJ35" s="7">
        <f>VC_NEW2!FE14</f>
        <v>0</v>
      </c>
      <c r="FK35" s="7" t="str">
        <f>VC_NEW2!FF14</f>
        <v xml:space="preserve">A772T  </v>
      </c>
      <c r="FL35" s="7">
        <f>VC_NEW2!FG14</f>
        <v>0</v>
      </c>
      <c r="FM35" s="7">
        <f>VC_NEW2!FH14</f>
        <v>0</v>
      </c>
      <c r="FN35" s="7" t="str">
        <f>VC_NEW2!FI14</f>
        <v xml:space="preserve">R706H </v>
      </c>
      <c r="FO35" s="7" t="str">
        <f>VC_NEW2!FJ14</f>
        <v xml:space="preserve">D428N  </v>
      </c>
      <c r="FP35" s="7">
        <f>VC_NEW2!FK14</f>
        <v>0</v>
      </c>
      <c r="FQ35" s="7">
        <f>VC_NEW2!FL14</f>
        <v>0</v>
      </c>
      <c r="FR35" s="7">
        <f>VC_NEW2!FM14</f>
        <v>0</v>
      </c>
      <c r="FS35" s="7" t="str">
        <f>VC_NEW2!FN14</f>
        <v xml:space="preserve">I531T  </v>
      </c>
      <c r="FT35" s="7">
        <f>VC_NEW2!FO14</f>
        <v>0</v>
      </c>
      <c r="FU35" s="7">
        <f>VC_NEW2!FP14</f>
        <v>0</v>
      </c>
      <c r="FV35" s="7">
        <f>VC_NEW2!FQ14</f>
        <v>0</v>
      </c>
      <c r="FW35" s="7" t="str">
        <f>VC_NEW2!FR14</f>
        <v xml:space="preserve">A772T  </v>
      </c>
      <c r="FX35" s="7">
        <f>VC_NEW2!FS14</f>
        <v>0</v>
      </c>
      <c r="FY35" s="7">
        <f>VC_NEW2!FT14</f>
        <v>0</v>
      </c>
      <c r="FZ35" s="7">
        <f>VC_NEW2!FU14</f>
        <v>0</v>
      </c>
      <c r="GA35" s="7">
        <f>VC_NEW2!FV14</f>
        <v>0</v>
      </c>
      <c r="GB35" s="7">
        <f>VC_NEW2!FW14</f>
        <v>0</v>
      </c>
      <c r="GC35" s="7">
        <f>VC_NEW2!FX14</f>
        <v>0</v>
      </c>
      <c r="GD35" s="7">
        <f>VC_NEW2!FY14</f>
        <v>0</v>
      </c>
      <c r="GE35" s="7">
        <f>VC_NEW2!FZ14</f>
        <v>0</v>
      </c>
      <c r="GF35" s="7">
        <f>VC_NEW2!GA14</f>
        <v>0</v>
      </c>
      <c r="GG35" s="7">
        <f>VC_NEW2!GB14</f>
        <v>0</v>
      </c>
      <c r="GH35" s="7">
        <f>VC_NEW2!GC14</f>
        <v>0</v>
      </c>
      <c r="GI35" s="7">
        <f>VC_NEW2!GD14</f>
        <v>0</v>
      </c>
      <c r="GJ35" s="7">
        <f>VC_NEW2!GE14</f>
        <v>0</v>
      </c>
      <c r="GK35" s="7" t="str">
        <f>VC_NEW2!GF14</f>
        <v xml:space="preserve">T238I </v>
      </c>
      <c r="GL35" s="7">
        <f>VC_NEW2!GG14</f>
        <v>0</v>
      </c>
      <c r="GM35" s="7">
        <f>VC_NEW2!GH14</f>
        <v>0</v>
      </c>
      <c r="GN35" s="7" t="str">
        <f>VC_NEW2!GI14</f>
        <v>G1002A</v>
      </c>
      <c r="GO35" s="7">
        <f>VC_NEW2!GJ14</f>
        <v>0</v>
      </c>
      <c r="GP35" s="7">
        <f>VC_NEW2!GK14</f>
        <v>0</v>
      </c>
      <c r="GQ35" s="7" t="str">
        <f>VC_NEW2!GL14</f>
        <v>T393A</v>
      </c>
      <c r="GR35" s="7">
        <f>VC_NEW2!GM14</f>
        <v>0</v>
      </c>
      <c r="GS35" s="7">
        <f>VC_NEW2!GN14</f>
        <v>0</v>
      </c>
      <c r="GT35" s="7" t="str">
        <f>VC_NEW2!GO14</f>
        <v>A527V, V548M</v>
      </c>
      <c r="GU35" s="7">
        <f>VC_NEW2!GP14</f>
        <v>0</v>
      </c>
      <c r="GV35" s="7">
        <f>VC_NEW2!GQ14</f>
        <v>0</v>
      </c>
      <c r="GW35" s="7">
        <f>VC_NEW2!GR14</f>
        <v>0</v>
      </c>
      <c r="GX35" s="7">
        <f>VC_NEW2!GS14</f>
        <v>0</v>
      </c>
      <c r="GY35" s="7" t="str">
        <f>VC_NEW2!GT14</f>
        <v>G530S</v>
      </c>
      <c r="GZ35" s="7">
        <f>VC_NEW2!GU14</f>
        <v>0</v>
      </c>
      <c r="HA35" s="7" t="str">
        <f>VC_NEW2!GV14</f>
        <v>G530S</v>
      </c>
      <c r="HB35" s="7">
        <f>VC_NEW2!GW14</f>
        <v>0</v>
      </c>
      <c r="HC35" s="7">
        <f>VC_NEW2!GX14</f>
        <v>0</v>
      </c>
    </row>
    <row r="36" spans="1:211" s="7" customFormat="1" ht="15" hidden="1" customHeight="1" x14ac:dyDescent="0.25">
      <c r="A36" s="44" t="s">
        <v>49</v>
      </c>
      <c r="B36" s="45" t="s">
        <v>50</v>
      </c>
      <c r="C36" s="46" t="s">
        <v>4</v>
      </c>
      <c r="D36" s="45" t="s">
        <v>77</v>
      </c>
      <c r="E36" s="45">
        <v>-0.25</v>
      </c>
      <c r="F36" s="45" t="s">
        <v>74</v>
      </c>
      <c r="G36" s="47" t="s">
        <v>143</v>
      </c>
      <c r="H36" s="7">
        <f>VC_NEW2!C14</f>
        <v>0</v>
      </c>
      <c r="I36" s="7">
        <f>VC_NEW2!D14</f>
        <v>0</v>
      </c>
      <c r="J36" s="7" t="str">
        <f>VC_NEW2!E14</f>
        <v xml:space="preserve"> A708T   </v>
      </c>
      <c r="K36" s="7">
        <f>VC_NEW2!F14</f>
        <v>0</v>
      </c>
      <c r="L36" s="7" t="str">
        <f>VC_NEW2!G14</f>
        <v xml:space="preserve">D428N  </v>
      </c>
      <c r="M36" s="7" t="str">
        <f>VC_NEW2!H14</f>
        <v xml:space="preserve">L239P   </v>
      </c>
      <c r="N36" s="7">
        <f>VC_NEW2!I14</f>
        <v>0</v>
      </c>
      <c r="O36" s="7">
        <f>VC_NEW2!J14</f>
        <v>0</v>
      </c>
      <c r="P36" s="7">
        <f>VC_NEW2!K14</f>
        <v>0</v>
      </c>
      <c r="Q36" s="7">
        <f>VC_NEW2!L14</f>
        <v>0</v>
      </c>
      <c r="R36" s="7">
        <f>VC_NEW2!M14</f>
        <v>0</v>
      </c>
      <c r="S36" s="7">
        <f>VC_NEW2!N14</f>
        <v>0</v>
      </c>
      <c r="T36" s="7" t="str">
        <f>VC_NEW2!O14</f>
        <v xml:space="preserve">A131T   </v>
      </c>
      <c r="U36" s="7">
        <f>VC_NEW2!P14</f>
        <v>0</v>
      </c>
      <c r="V36" s="7">
        <f>VC_NEW2!Q14</f>
        <v>0</v>
      </c>
      <c r="W36" s="7">
        <f>VC_NEW2!R14</f>
        <v>0</v>
      </c>
      <c r="X36" s="7">
        <f>VC_NEW2!S14</f>
        <v>0</v>
      </c>
      <c r="Y36" s="7">
        <f>VC_NEW2!T14</f>
        <v>0</v>
      </c>
      <c r="Z36" s="7" t="str">
        <f>VC_NEW2!U14</f>
        <v>V875M, N1036S</v>
      </c>
      <c r="AA36" s="7">
        <f>VC_NEW2!V14</f>
        <v>0</v>
      </c>
      <c r="AB36" s="7">
        <f>VC_NEW2!W14</f>
        <v>0</v>
      </c>
      <c r="AC36" s="7">
        <f>VC_NEW2!X14</f>
        <v>0</v>
      </c>
      <c r="AD36" s="7">
        <f>VC_NEW2!Y14</f>
        <v>0</v>
      </c>
      <c r="AE36" s="7" t="str">
        <f>VC_NEW2!Z14</f>
        <v xml:space="preserve"> N709S </v>
      </c>
      <c r="AF36" s="7">
        <f>VC_NEW2!AA14</f>
        <v>0</v>
      </c>
      <c r="AG36" s="7">
        <f>VC_NEW2!AB14</f>
        <v>0</v>
      </c>
      <c r="AH36" s="7" t="str">
        <f>VC_NEW2!AC14</f>
        <v xml:space="preserve">A586T, N709H </v>
      </c>
      <c r="AI36" s="7">
        <f>VC_NEW2!AD14</f>
        <v>0</v>
      </c>
      <c r="AJ36" s="7">
        <f>VC_NEW2!AE14</f>
        <v>0</v>
      </c>
      <c r="AK36" s="7">
        <f>VC_NEW2!AF14</f>
        <v>0</v>
      </c>
      <c r="AL36" s="7">
        <f>VC_NEW2!AG14</f>
        <v>0</v>
      </c>
      <c r="AM36" s="7" t="str">
        <f>VC_NEW2!AH14</f>
        <v xml:space="preserve">R706H </v>
      </c>
      <c r="AN36" s="7">
        <f>VC_NEW2!AI14</f>
        <v>0</v>
      </c>
      <c r="AO36" s="7">
        <f>VC_NEW2!AJ14</f>
        <v>0</v>
      </c>
      <c r="AP36" s="7">
        <f>VC_NEW2!AK14</f>
        <v>0</v>
      </c>
      <c r="AQ36" s="7">
        <f>VC_NEW2!AL14</f>
        <v>0</v>
      </c>
      <c r="AR36" s="7">
        <f>VC_NEW2!AM14</f>
        <v>0</v>
      </c>
      <c r="AS36" s="7">
        <f>VC_NEW2!AN14</f>
        <v>0</v>
      </c>
      <c r="AT36" s="7">
        <f>VC_NEW2!AO14</f>
        <v>0</v>
      </c>
      <c r="AU36" s="7">
        <f>VC_NEW2!AP14</f>
        <v>0</v>
      </c>
      <c r="AV36" s="7">
        <f>VC_NEW2!AQ14</f>
        <v>0</v>
      </c>
      <c r="AW36" s="7">
        <f>VC_NEW2!AR14</f>
        <v>0</v>
      </c>
      <c r="AX36" s="7" t="str">
        <f>VC_NEW2!AS14</f>
        <v xml:space="preserve">A772T  </v>
      </c>
      <c r="AY36" s="7">
        <f>VC_NEW2!AT14</f>
        <v>0</v>
      </c>
      <c r="AZ36" s="7">
        <f>VC_NEW2!AU14</f>
        <v>0</v>
      </c>
      <c r="BA36" s="7">
        <f>VC_NEW2!AV14</f>
        <v>0</v>
      </c>
      <c r="BB36" s="7">
        <f>VC_NEW2!AW14</f>
        <v>0</v>
      </c>
      <c r="BC36" s="7">
        <f>VC_NEW2!AX14</f>
        <v>0</v>
      </c>
      <c r="BD36" s="7">
        <f>VC_NEW2!AY14</f>
        <v>0</v>
      </c>
      <c r="BE36" s="7">
        <f>VC_NEW2!AZ14</f>
        <v>0</v>
      </c>
      <c r="BF36" s="7">
        <f>VC_NEW2!BA14</f>
        <v>0</v>
      </c>
      <c r="BG36" s="7" t="str">
        <f>VC_NEW2!BB14</f>
        <v xml:space="preserve">R251H, I543V  </v>
      </c>
      <c r="BH36" s="7">
        <f>VC_NEW2!BC14</f>
        <v>0</v>
      </c>
      <c r="BI36" s="7">
        <f>VC_NEW2!BD14</f>
        <v>0</v>
      </c>
      <c r="BJ36" s="7">
        <f>VC_NEW2!BE14</f>
        <v>0</v>
      </c>
      <c r="BK36" s="7">
        <f>VC_NEW2!BF14</f>
        <v>0</v>
      </c>
      <c r="BL36" s="7">
        <f>VC_NEW2!BG14</f>
        <v>0</v>
      </c>
      <c r="BM36" s="7">
        <f>VC_NEW2!BH14</f>
        <v>0</v>
      </c>
      <c r="BN36" s="7">
        <f>VC_NEW2!BI14</f>
        <v>0</v>
      </c>
      <c r="BO36" s="7">
        <f>VC_NEW2!BJ14</f>
        <v>0</v>
      </c>
      <c r="BP36" s="7">
        <f>VC_NEW2!BK14</f>
        <v>0</v>
      </c>
      <c r="BQ36" s="7" t="str">
        <f>VC_NEW2!BL14</f>
        <v>G530S</v>
      </c>
      <c r="BR36" s="7" t="str">
        <f>VC_NEW2!BM14</f>
        <v>G530S</v>
      </c>
      <c r="BS36" s="7">
        <f>VC_NEW2!BN14</f>
        <v>0</v>
      </c>
      <c r="BT36" s="7">
        <f>VC_NEW2!BO14</f>
        <v>0</v>
      </c>
      <c r="BU36" s="7">
        <f>VC_NEW2!BP14</f>
        <v>0</v>
      </c>
      <c r="BV36" s="7">
        <f>VC_NEW2!BQ14</f>
        <v>0</v>
      </c>
      <c r="BW36" s="7">
        <f>VC_NEW2!BR14</f>
        <v>0</v>
      </c>
      <c r="BX36" s="7">
        <f>VC_NEW2!BS14</f>
        <v>0</v>
      </c>
      <c r="BY36" s="7">
        <f>VC_NEW2!BT14</f>
        <v>0</v>
      </c>
      <c r="BZ36" s="7">
        <f>VC_NEW2!BU14</f>
        <v>0</v>
      </c>
      <c r="CA36" s="7">
        <f>VC_NEW2!BV14</f>
        <v>0</v>
      </c>
      <c r="CB36" s="7">
        <f>VC_NEW2!BW14</f>
        <v>0</v>
      </c>
      <c r="CC36" s="7">
        <f>VC_NEW2!BX14</f>
        <v>0</v>
      </c>
      <c r="CD36" s="7">
        <f>VC_NEW2!BY14</f>
        <v>0</v>
      </c>
      <c r="CE36" s="7">
        <f>VC_NEW2!BZ14</f>
        <v>0</v>
      </c>
      <c r="CF36" s="7">
        <f>VC_NEW2!CA14</f>
        <v>0</v>
      </c>
      <c r="CG36" s="7">
        <f>VC_NEW2!CB14</f>
        <v>0</v>
      </c>
      <c r="CH36" s="7">
        <f>VC_NEW2!CC14</f>
        <v>0</v>
      </c>
      <c r="CI36" s="7">
        <f>VC_NEW2!CD14</f>
        <v>0</v>
      </c>
      <c r="CJ36" s="7">
        <f>VC_NEW2!CE14</f>
        <v>0</v>
      </c>
      <c r="CK36" s="7">
        <f>VC_NEW2!CF14</f>
        <v>0</v>
      </c>
      <c r="CL36" s="7">
        <f>VC_NEW2!CG14</f>
        <v>0</v>
      </c>
      <c r="CM36" s="7">
        <f>VC_NEW2!CH14</f>
        <v>0</v>
      </c>
      <c r="CN36" s="7">
        <f>VC_NEW2!CI14</f>
        <v>0</v>
      </c>
      <c r="CO36" s="7">
        <f>VC_NEW2!CJ14</f>
        <v>0</v>
      </c>
      <c r="CP36" s="7">
        <f>VC_NEW2!CK14</f>
        <v>0</v>
      </c>
      <c r="CQ36" s="7">
        <f>VC_NEW2!CL14</f>
        <v>0</v>
      </c>
      <c r="CR36" s="7">
        <f>VC_NEW2!CM14</f>
        <v>0</v>
      </c>
      <c r="CS36" s="7">
        <f>VC_NEW2!CN14</f>
        <v>0</v>
      </c>
      <c r="CT36" s="7">
        <f>VC_NEW2!CO14</f>
        <v>0</v>
      </c>
      <c r="CU36" s="7">
        <f>VC_NEW2!CP14</f>
        <v>0</v>
      </c>
      <c r="CV36" s="7">
        <f>VC_NEW2!CQ14</f>
        <v>0</v>
      </c>
      <c r="CW36" s="7">
        <f>VC_NEW2!CR14</f>
        <v>0</v>
      </c>
      <c r="CX36" s="7">
        <f>VC_NEW2!CS14</f>
        <v>0</v>
      </c>
      <c r="CY36" s="7">
        <f>VC_NEW2!CT14</f>
        <v>0</v>
      </c>
      <c r="CZ36" s="7">
        <f>VC_NEW2!CU14</f>
        <v>0</v>
      </c>
      <c r="DA36" s="7">
        <f>VC_NEW2!CV14</f>
        <v>0</v>
      </c>
      <c r="DB36" s="7">
        <f>VC_NEW2!CW14</f>
        <v>0</v>
      </c>
      <c r="DC36" s="7">
        <f>VC_NEW2!CX14</f>
        <v>0</v>
      </c>
      <c r="DD36" s="7" t="str">
        <f>VC_NEW2!CY14</f>
        <v xml:space="preserve">A285T  </v>
      </c>
      <c r="DE36" s="7">
        <f>VC_NEW2!CZ14</f>
        <v>0</v>
      </c>
      <c r="DF36" s="7">
        <f>VC_NEW2!DA14</f>
        <v>0</v>
      </c>
      <c r="DG36" s="7">
        <f>VC_NEW2!DB14</f>
        <v>0</v>
      </c>
      <c r="DH36" s="7">
        <f>VC_NEW2!DC14</f>
        <v>0</v>
      </c>
      <c r="DI36" s="7">
        <f>VC_NEW2!DD14</f>
        <v>0</v>
      </c>
      <c r="DJ36" s="7">
        <f>VC_NEW2!DE14</f>
        <v>0</v>
      </c>
      <c r="DK36" s="7">
        <f>VC_NEW2!DF14</f>
        <v>0</v>
      </c>
      <c r="DL36" s="7">
        <f>VC_NEW2!DG14</f>
        <v>0</v>
      </c>
      <c r="DM36" s="7">
        <f>VC_NEW2!DH14</f>
        <v>0</v>
      </c>
      <c r="DN36" s="7" t="str">
        <f>VC_NEW2!DI14</f>
        <v>DELETED</v>
      </c>
      <c r="DO36" s="7">
        <f>VC_NEW2!DJ14</f>
        <v>0</v>
      </c>
      <c r="DP36" s="7">
        <f>VC_NEW2!DK14</f>
        <v>0</v>
      </c>
      <c r="DQ36" s="7">
        <f>VC_NEW2!DL14</f>
        <v>0</v>
      </c>
      <c r="DR36" s="7">
        <f>VC_NEW2!DM14</f>
        <v>0</v>
      </c>
      <c r="DS36" s="7" t="str">
        <f>VC_NEW2!DN14</f>
        <v>D628H</v>
      </c>
      <c r="DT36" s="7">
        <f>VC_NEW2!DO14</f>
        <v>0</v>
      </c>
      <c r="DU36" s="7">
        <f>VC_NEW2!DP14</f>
        <v>0</v>
      </c>
      <c r="DV36" s="7">
        <f>VC_NEW2!DQ14</f>
        <v>0</v>
      </c>
      <c r="DW36" s="7">
        <f>VC_NEW2!DR14</f>
        <v>0</v>
      </c>
      <c r="DX36" s="7">
        <f>VC_NEW2!DS14</f>
        <v>0</v>
      </c>
      <c r="DY36" s="7">
        <f>VC_NEW2!DT14</f>
        <v>0</v>
      </c>
      <c r="DZ36" s="7" t="str">
        <f>VC_NEW2!DU14</f>
        <v>R1024S</v>
      </c>
      <c r="EA36" s="7">
        <f>VC_NEW2!DV14</f>
        <v>0</v>
      </c>
      <c r="EB36" s="7" t="str">
        <f>VC_NEW2!DW14</f>
        <v xml:space="preserve">R706H </v>
      </c>
      <c r="EC36" s="7">
        <f>VC_NEW2!DX14</f>
        <v>0</v>
      </c>
      <c r="ED36" s="7" t="str">
        <f>VC_NEW2!DY14</f>
        <v xml:space="preserve">T472P   </v>
      </c>
      <c r="EE36" s="7">
        <f>VC_NEW2!DZ14</f>
        <v>0</v>
      </c>
      <c r="EF36" s="7">
        <f>VC_NEW2!EA14</f>
        <v>0</v>
      </c>
      <c r="EG36" s="7">
        <f>VC_NEW2!EB14</f>
        <v>0</v>
      </c>
      <c r="EH36" s="7">
        <f>VC_NEW2!EC14</f>
        <v>0</v>
      </c>
      <c r="EI36" s="7" t="str">
        <f>VC_NEW2!ED14</f>
        <v xml:space="preserve">E505G     </v>
      </c>
      <c r="EJ36" s="7">
        <f>VC_NEW2!EE14</f>
        <v>0</v>
      </c>
      <c r="EK36" s="7">
        <f>VC_NEW2!EF14</f>
        <v>0</v>
      </c>
      <c r="EL36" s="7" t="str">
        <f>VC_NEW2!EG14</f>
        <v>D724V</v>
      </c>
      <c r="EM36" s="7">
        <f>VC_NEW2!EH14</f>
        <v>0</v>
      </c>
      <c r="EN36" s="7">
        <f>VC_NEW2!EI14</f>
        <v>0</v>
      </c>
      <c r="EO36" s="7">
        <f>VC_NEW2!EJ14</f>
        <v>0</v>
      </c>
      <c r="EP36" s="7">
        <f>VC_NEW2!EK14</f>
        <v>0</v>
      </c>
      <c r="EQ36" s="7">
        <f>VC_NEW2!EL14</f>
        <v>0</v>
      </c>
      <c r="ER36" s="7">
        <f>VC_NEW2!EM14</f>
        <v>0</v>
      </c>
      <c r="ES36" s="7">
        <f>VC_NEW2!EN14</f>
        <v>0</v>
      </c>
      <c r="ET36" s="7">
        <f>VC_NEW2!EO14</f>
        <v>0</v>
      </c>
      <c r="EU36" s="7">
        <f>VC_NEW2!EP14</f>
        <v>0</v>
      </c>
      <c r="EV36" s="7">
        <f>VC_NEW2!EQ14</f>
        <v>0</v>
      </c>
      <c r="EW36" s="7" t="str">
        <f>VC_NEW2!ER14</f>
        <v>S48N, T472A, D502G, R519H, Q843R, I849V, A865D</v>
      </c>
      <c r="EX36" s="7">
        <f>VC_NEW2!ES14</f>
        <v>0</v>
      </c>
      <c r="EY36" s="7">
        <f>VC_NEW2!ET14</f>
        <v>0</v>
      </c>
      <c r="EZ36" s="7">
        <f>VC_NEW2!EU14</f>
        <v>0</v>
      </c>
      <c r="FA36" s="7">
        <f>VC_NEW2!EV14</f>
        <v>0</v>
      </c>
      <c r="FB36" s="7">
        <f>VC_NEW2!EW14</f>
        <v>0</v>
      </c>
      <c r="FC36" s="7">
        <f>VC_NEW2!EX14</f>
        <v>0</v>
      </c>
      <c r="FD36" s="7">
        <f>VC_NEW2!EY14</f>
        <v>0</v>
      </c>
      <c r="FE36" s="7">
        <f>VC_NEW2!EZ14</f>
        <v>0</v>
      </c>
      <c r="FF36" s="7">
        <f>VC_NEW2!FA14</f>
        <v>0</v>
      </c>
      <c r="FG36" s="7">
        <f>VC_NEW2!FB14</f>
        <v>0</v>
      </c>
      <c r="FH36" s="7">
        <f>VC_NEW2!FC14</f>
        <v>0</v>
      </c>
      <c r="FI36" s="7">
        <f>VC_NEW2!FD14</f>
        <v>0</v>
      </c>
      <c r="FJ36" s="7">
        <f>VC_NEW2!FE14</f>
        <v>0</v>
      </c>
      <c r="FK36" s="7" t="str">
        <f>VC_NEW2!FF14</f>
        <v xml:space="preserve">A772T  </v>
      </c>
      <c r="FL36" s="7">
        <f>VC_NEW2!FG14</f>
        <v>0</v>
      </c>
      <c r="FM36" s="7">
        <f>VC_NEW2!FH14</f>
        <v>0</v>
      </c>
      <c r="FN36" s="7" t="str">
        <f>VC_NEW2!FI14</f>
        <v xml:space="preserve">R706H </v>
      </c>
      <c r="FO36" s="7" t="str">
        <f>VC_NEW2!FJ14</f>
        <v xml:space="preserve">D428N  </v>
      </c>
      <c r="FP36" s="7">
        <f>VC_NEW2!FK14</f>
        <v>0</v>
      </c>
      <c r="FQ36" s="7">
        <f>VC_NEW2!FL14</f>
        <v>0</v>
      </c>
      <c r="FR36" s="7">
        <f>VC_NEW2!FM14</f>
        <v>0</v>
      </c>
      <c r="FS36" s="7" t="str">
        <f>VC_NEW2!FN14</f>
        <v xml:space="preserve">I531T  </v>
      </c>
      <c r="FT36" s="7">
        <f>VC_NEW2!FO14</f>
        <v>0</v>
      </c>
      <c r="FU36" s="7">
        <f>VC_NEW2!FP14</f>
        <v>0</v>
      </c>
      <c r="FV36" s="7">
        <f>VC_NEW2!FQ14</f>
        <v>0</v>
      </c>
      <c r="FW36" s="7" t="str">
        <f>VC_NEW2!FR14</f>
        <v xml:space="preserve">A772T  </v>
      </c>
      <c r="FX36" s="7">
        <f>VC_NEW2!FS14</f>
        <v>0</v>
      </c>
      <c r="FY36" s="7">
        <f>VC_NEW2!FT14</f>
        <v>0</v>
      </c>
      <c r="FZ36" s="7">
        <f>VC_NEW2!FU14</f>
        <v>0</v>
      </c>
      <c r="GA36" s="7">
        <f>VC_NEW2!FV14</f>
        <v>0</v>
      </c>
      <c r="GB36" s="7">
        <f>VC_NEW2!FW14</f>
        <v>0</v>
      </c>
      <c r="GC36" s="7">
        <f>VC_NEW2!FX14</f>
        <v>0</v>
      </c>
      <c r="GD36" s="7">
        <f>VC_NEW2!FY14</f>
        <v>0</v>
      </c>
      <c r="GE36" s="7">
        <f>VC_NEW2!FZ14</f>
        <v>0</v>
      </c>
      <c r="GF36" s="7">
        <f>VC_NEW2!GA14</f>
        <v>0</v>
      </c>
      <c r="GG36" s="7">
        <f>VC_NEW2!GB14</f>
        <v>0</v>
      </c>
      <c r="GH36" s="7">
        <f>VC_NEW2!GC14</f>
        <v>0</v>
      </c>
      <c r="GI36" s="7">
        <f>VC_NEW2!GD14</f>
        <v>0</v>
      </c>
      <c r="GJ36" s="7">
        <f>VC_NEW2!GE14</f>
        <v>0</v>
      </c>
      <c r="GK36" s="7" t="str">
        <f>VC_NEW2!GF14</f>
        <v xml:space="preserve">T238I </v>
      </c>
      <c r="GL36" s="7">
        <f>VC_NEW2!GG14</f>
        <v>0</v>
      </c>
      <c r="GM36" s="7">
        <f>VC_NEW2!GH14</f>
        <v>0</v>
      </c>
      <c r="GN36" s="7" t="str">
        <f>VC_NEW2!GI14</f>
        <v>G1002A</v>
      </c>
      <c r="GO36" s="7">
        <f>VC_NEW2!GJ14</f>
        <v>0</v>
      </c>
      <c r="GP36" s="7">
        <f>VC_NEW2!GK14</f>
        <v>0</v>
      </c>
      <c r="GQ36" s="7" t="str">
        <f>VC_NEW2!GL14</f>
        <v>T393A</v>
      </c>
      <c r="GR36" s="7">
        <f>VC_NEW2!GM14</f>
        <v>0</v>
      </c>
      <c r="GS36" s="7">
        <f>VC_NEW2!GN14</f>
        <v>0</v>
      </c>
      <c r="GT36" s="7" t="str">
        <f>VC_NEW2!GO14</f>
        <v>A527V, V548M</v>
      </c>
      <c r="GU36" s="7">
        <f>VC_NEW2!GP14</f>
        <v>0</v>
      </c>
      <c r="GV36" s="7">
        <f>VC_NEW2!GQ14</f>
        <v>0</v>
      </c>
      <c r="GW36" s="7">
        <f>VC_NEW2!GR14</f>
        <v>0</v>
      </c>
      <c r="GX36" s="7">
        <f>VC_NEW2!GS14</f>
        <v>0</v>
      </c>
      <c r="GY36" s="7" t="str">
        <f>VC_NEW2!GT14</f>
        <v>G530S</v>
      </c>
      <c r="GZ36" s="7">
        <f>VC_NEW2!GU14</f>
        <v>0</v>
      </c>
      <c r="HA36" s="7" t="str">
        <f>VC_NEW2!GV14</f>
        <v>G530S</v>
      </c>
      <c r="HB36" s="7">
        <f>VC_NEW2!GW14</f>
        <v>0</v>
      </c>
      <c r="HC36" s="7">
        <f>VC_NEW2!GX14</f>
        <v>0</v>
      </c>
    </row>
    <row r="37" spans="1:211" s="1" customFormat="1" ht="15" hidden="1" customHeight="1" thickBot="1" x14ac:dyDescent="0.25">
      <c r="A37" s="44" t="s">
        <v>51</v>
      </c>
      <c r="B37" s="45" t="s">
        <v>52</v>
      </c>
      <c r="C37" s="46" t="s">
        <v>0</v>
      </c>
      <c r="D37" s="45" t="s">
        <v>77</v>
      </c>
      <c r="E37" s="45">
        <v>-0.5</v>
      </c>
      <c r="F37" s="45" t="s">
        <v>74</v>
      </c>
      <c r="G37" s="47" t="s">
        <v>143</v>
      </c>
      <c r="H37" s="1">
        <f>VC_NEW2!C15</f>
        <v>0</v>
      </c>
      <c r="I37" s="1">
        <f>VC_NEW2!D15</f>
        <v>0</v>
      </c>
      <c r="J37" s="1">
        <f>VC_NEW2!E15</f>
        <v>0</v>
      </c>
      <c r="K37" s="1">
        <f>VC_NEW2!F15</f>
        <v>0</v>
      </c>
      <c r="L37" s="1">
        <f>VC_NEW2!G15</f>
        <v>0</v>
      </c>
      <c r="M37" s="1">
        <f>VC_NEW2!H15</f>
        <v>0</v>
      </c>
      <c r="N37" s="1">
        <f>VC_NEW2!I15</f>
        <v>0</v>
      </c>
      <c r="O37" s="1">
        <f>VC_NEW2!J15</f>
        <v>0</v>
      </c>
      <c r="P37" s="1" t="str">
        <f>VC_NEW2!K15</f>
        <v xml:space="preserve">S320P   </v>
      </c>
      <c r="Q37" s="1">
        <f>VC_NEW2!L15</f>
        <v>0</v>
      </c>
      <c r="R37" s="1" t="str">
        <f>VC_NEW2!M15</f>
        <v xml:space="preserve">I212L   </v>
      </c>
      <c r="S37" s="1">
        <f>VC_NEW2!N15</f>
        <v>0</v>
      </c>
      <c r="T37" s="1">
        <f>VC_NEW2!O15</f>
        <v>0</v>
      </c>
      <c r="U37" s="1" t="str">
        <f>VC_NEW2!P15</f>
        <v>H119Y</v>
      </c>
      <c r="V37" s="1">
        <f>VC_NEW2!Q15</f>
        <v>0</v>
      </c>
      <c r="W37" s="1">
        <f>VC_NEW2!R15</f>
        <v>0</v>
      </c>
      <c r="X37" s="1">
        <f>VC_NEW2!S15</f>
        <v>0</v>
      </c>
      <c r="Y37" s="1">
        <f>VC_NEW2!T15</f>
        <v>0</v>
      </c>
      <c r="Z37" s="1">
        <f>VC_NEW2!U15</f>
        <v>0</v>
      </c>
      <c r="AA37" s="1">
        <f>VC_NEW2!V15</f>
        <v>0</v>
      </c>
      <c r="AB37" s="1">
        <f>VC_NEW2!W15</f>
        <v>0</v>
      </c>
      <c r="AC37" s="1">
        <f>VC_NEW2!X15</f>
        <v>0</v>
      </c>
      <c r="AD37" s="1">
        <f>VC_NEW2!Y15</f>
        <v>0</v>
      </c>
      <c r="AE37" s="1">
        <f>VC_NEW2!Z15</f>
        <v>0</v>
      </c>
      <c r="AF37" s="1">
        <f>VC_NEW2!AA15</f>
        <v>0</v>
      </c>
      <c r="AG37" s="1">
        <f>VC_NEW2!AB15</f>
        <v>0</v>
      </c>
      <c r="AH37" s="1">
        <f>VC_NEW2!AC15</f>
        <v>0</v>
      </c>
      <c r="AI37" s="1">
        <f>VC_NEW2!AD15</f>
        <v>0</v>
      </c>
      <c r="AJ37" s="1">
        <f>VC_NEW2!AE15</f>
        <v>0</v>
      </c>
      <c r="AK37" s="1">
        <f>VC_NEW2!AF15</f>
        <v>0</v>
      </c>
      <c r="AL37" s="1">
        <f>VC_NEW2!AG15</f>
        <v>0</v>
      </c>
      <c r="AM37" s="1">
        <f>VC_NEW2!AH15</f>
        <v>0</v>
      </c>
      <c r="AN37" s="1">
        <f>VC_NEW2!AI15</f>
        <v>0</v>
      </c>
      <c r="AO37" s="1">
        <f>VC_NEW2!AJ15</f>
        <v>0</v>
      </c>
      <c r="AP37" s="1">
        <f>VC_NEW2!AK15</f>
        <v>0</v>
      </c>
      <c r="AQ37" s="1">
        <f>VC_NEW2!AL15</f>
        <v>0</v>
      </c>
      <c r="AR37" s="1">
        <f>VC_NEW2!AM15</f>
        <v>0</v>
      </c>
      <c r="AS37" s="1">
        <f>VC_NEW2!AN15</f>
        <v>0</v>
      </c>
      <c r="AT37" s="1">
        <f>VC_NEW2!AO15</f>
        <v>0</v>
      </c>
      <c r="AU37" s="1">
        <f>VC_NEW2!AP15</f>
        <v>0</v>
      </c>
      <c r="AV37" s="1">
        <f>VC_NEW2!AQ15</f>
        <v>0</v>
      </c>
      <c r="AW37" s="1">
        <f>VC_NEW2!AR15</f>
        <v>0</v>
      </c>
      <c r="AX37" s="1">
        <f>VC_NEW2!AS15</f>
        <v>0</v>
      </c>
      <c r="AY37" s="1">
        <f>VC_NEW2!AT15</f>
        <v>0</v>
      </c>
      <c r="AZ37" s="1">
        <f>VC_NEW2!AU15</f>
        <v>0</v>
      </c>
      <c r="BA37" s="1">
        <f>VC_NEW2!AV15</f>
        <v>0</v>
      </c>
      <c r="BB37" s="1">
        <f>VC_NEW2!AW15</f>
        <v>0</v>
      </c>
      <c r="BC37" s="1">
        <f>VC_NEW2!AX15</f>
        <v>0</v>
      </c>
      <c r="BD37" s="1">
        <f>VC_NEW2!AY15</f>
        <v>0</v>
      </c>
      <c r="BE37" s="1">
        <f>VC_NEW2!AZ15</f>
        <v>0</v>
      </c>
      <c r="BF37" s="1">
        <f>VC_NEW2!BA15</f>
        <v>0</v>
      </c>
      <c r="BG37" s="1" t="str">
        <f>VC_NEW2!BB15</f>
        <v xml:space="preserve">A38T   </v>
      </c>
      <c r="BH37" s="1">
        <f>VC_NEW2!BC15</f>
        <v>0</v>
      </c>
      <c r="BI37" s="1">
        <f>VC_NEW2!BD15</f>
        <v>0</v>
      </c>
      <c r="BJ37" s="1" t="str">
        <f>VC_NEW2!BE15</f>
        <v xml:space="preserve">H119Y </v>
      </c>
      <c r="BK37" s="1">
        <f>VC_NEW2!BF15</f>
        <v>0</v>
      </c>
      <c r="BL37" s="1">
        <f>VC_NEW2!BG15</f>
        <v>0</v>
      </c>
      <c r="BM37" s="1">
        <f>VC_NEW2!BH15</f>
        <v>0</v>
      </c>
      <c r="BN37" s="1">
        <f>VC_NEW2!BI15</f>
        <v>0</v>
      </c>
      <c r="BO37" s="1">
        <f>VC_NEW2!BJ15</f>
        <v>0</v>
      </c>
      <c r="BP37" s="1">
        <f>VC_NEW2!BK15</f>
        <v>0</v>
      </c>
      <c r="BQ37" s="1">
        <f>VC_NEW2!BL15</f>
        <v>0</v>
      </c>
      <c r="BR37" s="1">
        <f>VC_NEW2!BM15</f>
        <v>0</v>
      </c>
      <c r="BS37" s="1">
        <f>VC_NEW2!BN15</f>
        <v>0</v>
      </c>
      <c r="BT37" s="1">
        <f>VC_NEW2!BO15</f>
        <v>0</v>
      </c>
      <c r="BU37" s="1">
        <f>VC_NEW2!BP15</f>
        <v>0</v>
      </c>
      <c r="BV37" s="1">
        <f>VC_NEW2!BQ15</f>
        <v>0</v>
      </c>
      <c r="BW37" s="1">
        <f>VC_NEW2!BR15</f>
        <v>0</v>
      </c>
      <c r="BX37" s="1">
        <f>VC_NEW2!BS15</f>
        <v>0</v>
      </c>
      <c r="BY37" s="1">
        <f>VC_NEW2!BT15</f>
        <v>0</v>
      </c>
      <c r="BZ37" s="1">
        <f>VC_NEW2!BU15</f>
        <v>0</v>
      </c>
      <c r="CA37" s="1">
        <f>VC_NEW2!BV15</f>
        <v>0</v>
      </c>
      <c r="CB37" s="1">
        <f>VC_NEW2!BW15</f>
        <v>0</v>
      </c>
      <c r="CC37" s="1">
        <f>VC_NEW2!BX15</f>
        <v>0</v>
      </c>
      <c r="CD37" s="1">
        <f>VC_NEW2!BY15</f>
        <v>0</v>
      </c>
      <c r="CE37" s="1">
        <f>VC_NEW2!BZ15</f>
        <v>0</v>
      </c>
      <c r="CF37" s="1">
        <f>VC_NEW2!CA15</f>
        <v>0</v>
      </c>
      <c r="CG37" s="1">
        <f>VC_NEW2!CB15</f>
        <v>0</v>
      </c>
      <c r="CH37" s="1">
        <f>VC_NEW2!CC15</f>
        <v>0</v>
      </c>
      <c r="CI37" s="1">
        <f>VC_NEW2!CD15</f>
        <v>0</v>
      </c>
      <c r="CJ37" s="1">
        <f>VC_NEW2!CE15</f>
        <v>0</v>
      </c>
      <c r="CK37" s="1">
        <f>VC_NEW2!CF15</f>
        <v>0</v>
      </c>
      <c r="CL37" s="1">
        <f>VC_NEW2!CG15</f>
        <v>0</v>
      </c>
      <c r="CM37" s="1">
        <f>VC_NEW2!CH15</f>
        <v>0</v>
      </c>
      <c r="CN37" s="1">
        <f>VC_NEW2!CI15</f>
        <v>0</v>
      </c>
      <c r="CO37" s="1" t="str">
        <f>VC_NEW2!CJ15</f>
        <v>V376M</v>
      </c>
      <c r="CP37" s="1">
        <f>VC_NEW2!CK15</f>
        <v>0</v>
      </c>
      <c r="CQ37" s="1">
        <f>VC_NEW2!CL15</f>
        <v>0</v>
      </c>
      <c r="CR37" s="1">
        <f>VC_NEW2!CM15</f>
        <v>0</v>
      </c>
      <c r="CS37" s="1">
        <f>VC_NEW2!CN15</f>
        <v>0</v>
      </c>
      <c r="CT37" s="1">
        <f>VC_NEW2!CO15</f>
        <v>0</v>
      </c>
      <c r="CU37" s="1">
        <f>VC_NEW2!CP15</f>
        <v>0</v>
      </c>
      <c r="CV37" s="1">
        <f>VC_NEW2!CQ15</f>
        <v>0</v>
      </c>
      <c r="CW37" s="1">
        <f>VC_NEW2!CR15</f>
        <v>0</v>
      </c>
      <c r="CX37" s="1">
        <f>VC_NEW2!CS15</f>
        <v>0</v>
      </c>
      <c r="CY37" s="1">
        <f>VC_NEW2!CT15</f>
        <v>0</v>
      </c>
      <c r="CZ37" s="1">
        <f>VC_NEW2!CU15</f>
        <v>0</v>
      </c>
      <c r="DA37" s="1">
        <f>VC_NEW2!CV15</f>
        <v>0</v>
      </c>
      <c r="DB37" s="1">
        <f>VC_NEW2!CW15</f>
        <v>0</v>
      </c>
      <c r="DC37" s="1">
        <f>VC_NEW2!CX15</f>
        <v>0</v>
      </c>
      <c r="DD37" s="1">
        <f>VC_NEW2!CY15</f>
        <v>0</v>
      </c>
      <c r="DE37" s="1">
        <f>VC_NEW2!CZ15</f>
        <v>0</v>
      </c>
      <c r="DF37" s="1">
        <f>VC_NEW2!DA15</f>
        <v>0</v>
      </c>
      <c r="DG37" s="1">
        <f>VC_NEW2!DB15</f>
        <v>0</v>
      </c>
      <c r="DH37" s="1">
        <f>VC_NEW2!DC15</f>
        <v>0</v>
      </c>
      <c r="DI37" s="1">
        <f>VC_NEW2!DD15</f>
        <v>0</v>
      </c>
      <c r="DJ37" s="1">
        <f>VC_NEW2!DE15</f>
        <v>0</v>
      </c>
      <c r="DK37" s="1">
        <f>VC_NEW2!DF15</f>
        <v>0</v>
      </c>
      <c r="DL37" s="1">
        <f>VC_NEW2!DG15</f>
        <v>0</v>
      </c>
      <c r="DM37" s="1">
        <f>VC_NEW2!DH15</f>
        <v>0</v>
      </c>
      <c r="DN37" s="1" t="str">
        <f>VC_NEW2!DI15</f>
        <v>DELETED</v>
      </c>
      <c r="DO37" s="1">
        <f>VC_NEW2!DJ15</f>
        <v>0</v>
      </c>
      <c r="DP37" s="1">
        <f>VC_NEW2!DK15</f>
        <v>0</v>
      </c>
      <c r="DQ37" s="1">
        <f>VC_NEW2!DL15</f>
        <v>0</v>
      </c>
      <c r="DR37" s="1">
        <f>VC_NEW2!DM15</f>
        <v>0</v>
      </c>
      <c r="DS37" s="1">
        <f>VC_NEW2!DN15</f>
        <v>0</v>
      </c>
      <c r="DT37" s="1">
        <f>VC_NEW2!DO15</f>
        <v>0</v>
      </c>
      <c r="DU37" s="1">
        <f>VC_NEW2!DP15</f>
        <v>0</v>
      </c>
      <c r="DV37" s="1">
        <f>VC_NEW2!DQ15</f>
        <v>0</v>
      </c>
      <c r="DW37" s="1">
        <f>VC_NEW2!DR15</f>
        <v>0</v>
      </c>
      <c r="DX37" s="1">
        <f>VC_NEW2!DS15</f>
        <v>0</v>
      </c>
      <c r="DY37" s="1">
        <f>VC_NEW2!DT15</f>
        <v>0</v>
      </c>
      <c r="DZ37" s="1" t="str">
        <f>VC_NEW2!DU15</f>
        <v>L154Q</v>
      </c>
      <c r="EA37" s="1">
        <f>VC_NEW2!DV15</f>
        <v>0</v>
      </c>
      <c r="EB37" s="1">
        <f>VC_NEW2!DW15</f>
        <v>0</v>
      </c>
      <c r="EC37" s="1">
        <f>VC_NEW2!DX15</f>
        <v>0</v>
      </c>
      <c r="ED37" s="1">
        <f>VC_NEW2!DY15</f>
        <v>0</v>
      </c>
      <c r="EE37" s="1">
        <f>VC_NEW2!DZ15</f>
        <v>0</v>
      </c>
      <c r="EF37" s="1">
        <f>VC_NEW2!EA15</f>
        <v>0</v>
      </c>
      <c r="EG37" s="1">
        <f>VC_NEW2!EB15</f>
        <v>0</v>
      </c>
      <c r="EH37" s="1">
        <f>VC_NEW2!EC15</f>
        <v>0</v>
      </c>
      <c r="EI37" s="1">
        <f>VC_NEW2!ED15</f>
        <v>0</v>
      </c>
      <c r="EJ37" s="1">
        <f>VC_NEW2!EE15</f>
        <v>0</v>
      </c>
      <c r="EK37" s="1">
        <f>VC_NEW2!EF15</f>
        <v>0</v>
      </c>
      <c r="EL37" s="1">
        <f>VC_NEW2!EG15</f>
        <v>0</v>
      </c>
      <c r="EM37" s="1">
        <f>VC_NEW2!EH15</f>
        <v>0</v>
      </c>
      <c r="EN37" s="1">
        <f>VC_NEW2!EI15</f>
        <v>0</v>
      </c>
      <c r="EO37" s="1">
        <f>VC_NEW2!EJ15</f>
        <v>0</v>
      </c>
      <c r="EP37" s="1">
        <f>VC_NEW2!EK15</f>
        <v>0</v>
      </c>
      <c r="EQ37" s="1" t="str">
        <f>VC_NEW2!EL15</f>
        <v>Y255X</v>
      </c>
      <c r="ER37" s="1">
        <f>VC_NEW2!EM15</f>
        <v>0</v>
      </c>
      <c r="ES37" s="1">
        <f>VC_NEW2!EN15</f>
        <v>0</v>
      </c>
      <c r="ET37" s="1">
        <f>VC_NEW2!EO15</f>
        <v>0</v>
      </c>
      <c r="EU37" s="1">
        <f>VC_NEW2!EP15</f>
        <v>0</v>
      </c>
      <c r="EV37" s="1">
        <f>VC_NEW2!EQ15</f>
        <v>0</v>
      </c>
      <c r="EW37" s="1" t="str">
        <f>VC_NEW2!ER15</f>
        <v>A15T, A48V, E142K, D384G</v>
      </c>
      <c r="EX37" s="1">
        <f>VC_NEW2!ES15</f>
        <v>0</v>
      </c>
      <c r="EY37" s="1">
        <f>VC_NEW2!ET15</f>
        <v>0</v>
      </c>
      <c r="EZ37" s="1">
        <f>VC_NEW2!EU15</f>
        <v>0</v>
      </c>
      <c r="FA37" s="1">
        <f>VC_NEW2!EV15</f>
        <v>0</v>
      </c>
      <c r="FB37" s="1">
        <f>VC_NEW2!EW15</f>
        <v>0</v>
      </c>
      <c r="FC37" s="1">
        <f>VC_NEW2!EX15</f>
        <v>0</v>
      </c>
      <c r="FD37" s="1">
        <f>VC_NEW2!EY15</f>
        <v>0</v>
      </c>
      <c r="FE37" s="1">
        <f>VC_NEW2!EZ15</f>
        <v>0</v>
      </c>
      <c r="FF37" s="1">
        <f>VC_NEW2!FA15</f>
        <v>0</v>
      </c>
      <c r="FG37" s="1">
        <f>VC_NEW2!FB15</f>
        <v>0</v>
      </c>
      <c r="FH37" s="1">
        <f>VC_NEW2!FC15</f>
        <v>0</v>
      </c>
      <c r="FI37" s="1">
        <f>VC_NEW2!FD15</f>
        <v>0</v>
      </c>
      <c r="FJ37" s="1">
        <f>VC_NEW2!FE15</f>
        <v>0</v>
      </c>
      <c r="FK37" s="1">
        <f>VC_NEW2!FF15</f>
        <v>0</v>
      </c>
      <c r="FL37" s="1">
        <f>VC_NEW2!FG15</f>
        <v>0</v>
      </c>
      <c r="FM37" s="1">
        <f>VC_NEW2!FH15</f>
        <v>0</v>
      </c>
      <c r="FN37" s="1">
        <f>VC_NEW2!FI15</f>
        <v>0</v>
      </c>
      <c r="FO37" s="1">
        <f>VC_NEW2!FJ15</f>
        <v>0</v>
      </c>
      <c r="FP37" s="1">
        <f>VC_NEW2!FK15</f>
        <v>0</v>
      </c>
      <c r="FQ37" s="1">
        <f>VC_NEW2!FL15</f>
        <v>0</v>
      </c>
      <c r="FR37" s="1">
        <f>VC_NEW2!FM15</f>
        <v>0</v>
      </c>
      <c r="FS37" s="1">
        <f>VC_NEW2!FN15</f>
        <v>0</v>
      </c>
      <c r="FT37" s="1">
        <f>VC_NEW2!FO15</f>
        <v>0</v>
      </c>
      <c r="FU37" s="1">
        <f>VC_NEW2!FP15</f>
        <v>0</v>
      </c>
      <c r="FV37" s="1">
        <f>VC_NEW2!FQ15</f>
        <v>0</v>
      </c>
      <c r="FW37" s="1">
        <f>VC_NEW2!FR15</f>
        <v>0</v>
      </c>
      <c r="FX37" s="1">
        <f>VC_NEW2!FS15</f>
        <v>0</v>
      </c>
      <c r="FY37" s="1">
        <f>VC_NEW2!FT15</f>
        <v>0</v>
      </c>
      <c r="FZ37" s="1">
        <f>VC_NEW2!FU15</f>
        <v>0</v>
      </c>
      <c r="GA37" s="1">
        <f>VC_NEW2!FV15</f>
        <v>0</v>
      </c>
      <c r="GB37" s="1">
        <f>VC_NEW2!FW15</f>
        <v>0</v>
      </c>
      <c r="GC37" s="1" t="str">
        <f>VC_NEW2!FX15</f>
        <v>W358C</v>
      </c>
      <c r="GD37" s="1" t="str">
        <f>VC_NEW2!FY15</f>
        <v>Q396X</v>
      </c>
      <c r="GE37" s="1">
        <f>VC_NEW2!FZ15</f>
        <v>0</v>
      </c>
      <c r="GF37" s="1">
        <f>VC_NEW2!GA15</f>
        <v>0</v>
      </c>
      <c r="GG37" s="1">
        <f>VC_NEW2!GB15</f>
        <v>0</v>
      </c>
      <c r="GH37" s="1">
        <f>VC_NEW2!GC15</f>
        <v>0</v>
      </c>
      <c r="GI37" s="1">
        <f>VC_NEW2!GD15</f>
        <v>0</v>
      </c>
      <c r="GJ37" s="1">
        <f>VC_NEW2!GE15</f>
        <v>0</v>
      </c>
      <c r="GK37" s="1">
        <f>VC_NEW2!GF15</f>
        <v>0</v>
      </c>
      <c r="GL37" s="1" t="str">
        <f>VC_NEW2!GG15</f>
        <v>W358C</v>
      </c>
      <c r="GM37" s="1">
        <f>VC_NEW2!GH15</f>
        <v>0</v>
      </c>
      <c r="GN37" s="1">
        <f>VC_NEW2!GI15</f>
        <v>0</v>
      </c>
      <c r="GO37" s="1">
        <f>VC_NEW2!GJ15</f>
        <v>0</v>
      </c>
      <c r="GP37" s="1">
        <f>VC_NEW2!GK15</f>
        <v>0</v>
      </c>
      <c r="GQ37" s="1" t="str">
        <f>VC_NEW2!GL15</f>
        <v xml:space="preserve">H119Y </v>
      </c>
      <c r="GR37" s="1">
        <f>VC_NEW2!GM15</f>
        <v>0</v>
      </c>
      <c r="GS37" s="1">
        <f>VC_NEW2!GN15</f>
        <v>0</v>
      </c>
      <c r="GT37" s="1">
        <f>VC_NEW2!GO15</f>
        <v>0</v>
      </c>
      <c r="GU37" s="1" t="str">
        <f>VC_NEW2!GP15</f>
        <v xml:space="preserve">R69Q   </v>
      </c>
      <c r="GV37" s="1">
        <f>VC_NEW2!GQ15</f>
        <v>0</v>
      </c>
      <c r="GW37" s="1">
        <f>VC_NEW2!GR15</f>
        <v>0</v>
      </c>
      <c r="GX37" s="1">
        <f>VC_NEW2!GS15</f>
        <v>0</v>
      </c>
      <c r="GY37" s="1">
        <f>VC_NEW2!GT15</f>
        <v>0</v>
      </c>
      <c r="GZ37" s="1">
        <f>VC_NEW2!GU15</f>
        <v>0</v>
      </c>
      <c r="HA37" s="1">
        <f>VC_NEW2!GV15</f>
        <v>0</v>
      </c>
      <c r="HB37" s="1">
        <f>VC_NEW2!GW15</f>
        <v>0</v>
      </c>
      <c r="HC37" s="1">
        <f>VC_NEW2!GX15</f>
        <v>0</v>
      </c>
    </row>
    <row r="38" spans="1:211" s="1" customFormat="1" ht="15" customHeight="1" x14ac:dyDescent="0.25">
      <c r="A38" s="44" t="s">
        <v>51</v>
      </c>
      <c r="B38" s="45" t="s">
        <v>52</v>
      </c>
      <c r="C38" s="46" t="s">
        <v>2</v>
      </c>
      <c r="D38" s="45" t="s">
        <v>77</v>
      </c>
      <c r="E38" s="45">
        <v>-0.5</v>
      </c>
      <c r="F38" s="45" t="s">
        <v>74</v>
      </c>
      <c r="G38" s="47" t="s">
        <v>143</v>
      </c>
      <c r="H38" s="1">
        <f>VC_NEW2!C15</f>
        <v>0</v>
      </c>
      <c r="I38" s="1">
        <f>VC_NEW2!D15</f>
        <v>0</v>
      </c>
      <c r="J38" s="1">
        <f>VC_NEW2!E15</f>
        <v>0</v>
      </c>
      <c r="K38" s="1">
        <f>VC_NEW2!F15</f>
        <v>0</v>
      </c>
      <c r="L38" s="1">
        <f>VC_NEW2!G15</f>
        <v>0</v>
      </c>
      <c r="M38" s="1">
        <f>VC_NEW2!H15</f>
        <v>0</v>
      </c>
      <c r="N38" s="1">
        <f>VC_NEW2!I15</f>
        <v>0</v>
      </c>
      <c r="O38" s="1">
        <f>VC_NEW2!J15</f>
        <v>0</v>
      </c>
      <c r="P38" s="1" t="str">
        <f>VC_NEW2!K15</f>
        <v xml:space="preserve">S320P   </v>
      </c>
      <c r="Q38" s="1">
        <f>VC_NEW2!L15</f>
        <v>0</v>
      </c>
      <c r="R38" s="1" t="str">
        <f>VC_NEW2!M15</f>
        <v xml:space="preserve">I212L   </v>
      </c>
      <c r="S38" s="1">
        <f>VC_NEW2!N15</f>
        <v>0</v>
      </c>
      <c r="T38" s="1">
        <f>VC_NEW2!O15</f>
        <v>0</v>
      </c>
      <c r="U38" s="1" t="str">
        <f>VC_NEW2!P15</f>
        <v>H119Y</v>
      </c>
      <c r="V38" s="1">
        <f>VC_NEW2!Q15</f>
        <v>0</v>
      </c>
      <c r="W38" s="1">
        <f>VC_NEW2!R15</f>
        <v>0</v>
      </c>
      <c r="X38" s="1">
        <f>VC_NEW2!S15</f>
        <v>0</v>
      </c>
      <c r="Y38" s="1">
        <f>VC_NEW2!T15</f>
        <v>0</v>
      </c>
      <c r="Z38" s="1">
        <f>VC_NEW2!U15</f>
        <v>0</v>
      </c>
      <c r="AA38" s="1">
        <f>VC_NEW2!V15</f>
        <v>0</v>
      </c>
      <c r="AB38" s="1">
        <f>VC_NEW2!W15</f>
        <v>0</v>
      </c>
      <c r="AC38" s="1">
        <f>VC_NEW2!X15</f>
        <v>0</v>
      </c>
      <c r="AD38" s="1">
        <f>VC_NEW2!Y15</f>
        <v>0</v>
      </c>
      <c r="AE38" s="1">
        <f>VC_NEW2!Z15</f>
        <v>0</v>
      </c>
      <c r="AF38" s="1">
        <f>VC_NEW2!AA15</f>
        <v>0</v>
      </c>
      <c r="AG38" s="1">
        <f>VC_NEW2!AB15</f>
        <v>0</v>
      </c>
      <c r="AH38" s="1">
        <f>VC_NEW2!AC15</f>
        <v>0</v>
      </c>
      <c r="AI38" s="1">
        <f>VC_NEW2!AD15</f>
        <v>0</v>
      </c>
      <c r="AJ38" s="1">
        <f>VC_NEW2!AE15</f>
        <v>0</v>
      </c>
      <c r="AK38" s="1">
        <f>VC_NEW2!AF15</f>
        <v>0</v>
      </c>
      <c r="AL38" s="1">
        <f>VC_NEW2!AG15</f>
        <v>0</v>
      </c>
      <c r="AM38" s="1">
        <f>VC_NEW2!AH15</f>
        <v>0</v>
      </c>
      <c r="AN38" s="1">
        <f>VC_NEW2!AI15</f>
        <v>0</v>
      </c>
      <c r="AO38" s="1">
        <f>VC_NEW2!AJ15</f>
        <v>0</v>
      </c>
      <c r="AP38" s="1">
        <f>VC_NEW2!AK15</f>
        <v>0</v>
      </c>
      <c r="AQ38" s="1">
        <f>VC_NEW2!AL15</f>
        <v>0</v>
      </c>
      <c r="AR38" s="1">
        <f>VC_NEW2!AM15</f>
        <v>0</v>
      </c>
      <c r="AS38" s="1">
        <f>VC_NEW2!AN15</f>
        <v>0</v>
      </c>
      <c r="AT38" s="1">
        <f>VC_NEW2!AO15</f>
        <v>0</v>
      </c>
      <c r="AU38" s="1">
        <f>VC_NEW2!AP15</f>
        <v>0</v>
      </c>
      <c r="AV38" s="1">
        <f>VC_NEW2!AQ15</f>
        <v>0</v>
      </c>
      <c r="AW38" s="1">
        <f>VC_NEW2!AR15</f>
        <v>0</v>
      </c>
      <c r="AX38" s="1">
        <f>VC_NEW2!AS15</f>
        <v>0</v>
      </c>
      <c r="AY38" s="1">
        <f>VC_NEW2!AT15</f>
        <v>0</v>
      </c>
      <c r="AZ38" s="1">
        <f>VC_NEW2!AU15</f>
        <v>0</v>
      </c>
      <c r="BA38" s="1">
        <f>VC_NEW2!AV15</f>
        <v>0</v>
      </c>
      <c r="BB38" s="1">
        <f>VC_NEW2!AW15</f>
        <v>0</v>
      </c>
      <c r="BC38" s="1">
        <f>VC_NEW2!AX15</f>
        <v>0</v>
      </c>
      <c r="BD38" s="1">
        <f>VC_NEW2!AY15</f>
        <v>0</v>
      </c>
      <c r="BE38" s="1">
        <f>VC_NEW2!AZ15</f>
        <v>0</v>
      </c>
      <c r="BF38" s="1">
        <f>VC_NEW2!BA15</f>
        <v>0</v>
      </c>
      <c r="BG38" s="1" t="str">
        <f>VC_NEW2!BB15</f>
        <v xml:space="preserve">A38T   </v>
      </c>
      <c r="BH38" s="1">
        <f>VC_NEW2!BC15</f>
        <v>0</v>
      </c>
      <c r="BI38" s="1">
        <f>VC_NEW2!BD15</f>
        <v>0</v>
      </c>
      <c r="BJ38" s="1" t="str">
        <f>VC_NEW2!BE15</f>
        <v xml:space="preserve">H119Y </v>
      </c>
      <c r="BK38" s="1">
        <f>VC_NEW2!BF15</f>
        <v>0</v>
      </c>
      <c r="BL38" s="1">
        <f>VC_NEW2!BG15</f>
        <v>0</v>
      </c>
      <c r="BM38" s="1">
        <f>VC_NEW2!BH15</f>
        <v>0</v>
      </c>
      <c r="BN38" s="1">
        <f>VC_NEW2!BI15</f>
        <v>0</v>
      </c>
      <c r="BO38" s="1">
        <f>VC_NEW2!BJ15</f>
        <v>0</v>
      </c>
      <c r="BP38" s="1">
        <f>VC_NEW2!BK15</f>
        <v>0</v>
      </c>
      <c r="BQ38" s="1">
        <f>VC_NEW2!BL15</f>
        <v>0</v>
      </c>
      <c r="BR38" s="1">
        <f>VC_NEW2!BM15</f>
        <v>0</v>
      </c>
      <c r="BS38" s="1">
        <f>VC_NEW2!BN15</f>
        <v>0</v>
      </c>
      <c r="BT38" s="1">
        <f>VC_NEW2!BO15</f>
        <v>0</v>
      </c>
      <c r="BU38" s="1">
        <f>VC_NEW2!BP15</f>
        <v>0</v>
      </c>
      <c r="BV38" s="1">
        <f>VC_NEW2!BQ15</f>
        <v>0</v>
      </c>
      <c r="BW38" s="1">
        <f>VC_NEW2!BR15</f>
        <v>0</v>
      </c>
      <c r="BX38" s="1">
        <f>VC_NEW2!BS15</f>
        <v>0</v>
      </c>
      <c r="BY38" s="1">
        <f>VC_NEW2!BT15</f>
        <v>0</v>
      </c>
      <c r="BZ38" s="1">
        <f>VC_NEW2!BU15</f>
        <v>0</v>
      </c>
      <c r="CA38" s="1">
        <f>VC_NEW2!BV15</f>
        <v>0</v>
      </c>
      <c r="CB38" s="1">
        <f>VC_NEW2!BW15</f>
        <v>0</v>
      </c>
      <c r="CC38" s="1">
        <f>VC_NEW2!BX15</f>
        <v>0</v>
      </c>
      <c r="CD38" s="1">
        <f>VC_NEW2!BY15</f>
        <v>0</v>
      </c>
      <c r="CE38" s="1">
        <f>VC_NEW2!BZ15</f>
        <v>0</v>
      </c>
      <c r="CF38" s="1">
        <f>VC_NEW2!CA15</f>
        <v>0</v>
      </c>
      <c r="CG38" s="1">
        <f>VC_NEW2!CB15</f>
        <v>0</v>
      </c>
      <c r="CH38" s="1">
        <f>VC_NEW2!CC15</f>
        <v>0</v>
      </c>
      <c r="CI38" s="1">
        <f>VC_NEW2!CD15</f>
        <v>0</v>
      </c>
      <c r="CJ38" s="1">
        <f>VC_NEW2!CE15</f>
        <v>0</v>
      </c>
      <c r="CK38" s="1">
        <f>VC_NEW2!CF15</f>
        <v>0</v>
      </c>
      <c r="CL38" s="1">
        <f>VC_NEW2!CG15</f>
        <v>0</v>
      </c>
      <c r="CM38" s="1">
        <f>VC_NEW2!CH15</f>
        <v>0</v>
      </c>
      <c r="CN38" s="1">
        <f>VC_NEW2!CI15</f>
        <v>0</v>
      </c>
      <c r="CO38" s="1" t="str">
        <f>VC_NEW2!CJ15</f>
        <v>V376M</v>
      </c>
      <c r="CP38" s="1">
        <f>VC_NEW2!CK15</f>
        <v>0</v>
      </c>
      <c r="CQ38" s="1">
        <f>VC_NEW2!CL15</f>
        <v>0</v>
      </c>
      <c r="CR38" s="1">
        <f>VC_NEW2!CM15</f>
        <v>0</v>
      </c>
      <c r="CS38" s="1">
        <f>VC_NEW2!CN15</f>
        <v>0</v>
      </c>
      <c r="CT38" s="1">
        <f>VC_NEW2!CO15</f>
        <v>0</v>
      </c>
      <c r="CU38" s="1">
        <f>VC_NEW2!CP15</f>
        <v>0</v>
      </c>
      <c r="CV38" s="1">
        <f>VC_NEW2!CQ15</f>
        <v>0</v>
      </c>
      <c r="CW38" s="1">
        <f>VC_NEW2!CR15</f>
        <v>0</v>
      </c>
      <c r="CX38" s="1">
        <f>VC_NEW2!CS15</f>
        <v>0</v>
      </c>
      <c r="CY38" s="1">
        <f>VC_NEW2!CT15</f>
        <v>0</v>
      </c>
      <c r="CZ38" s="1">
        <f>VC_NEW2!CU15</f>
        <v>0</v>
      </c>
      <c r="DA38" s="1">
        <f>VC_NEW2!CV15</f>
        <v>0</v>
      </c>
      <c r="DB38" s="1">
        <f>VC_NEW2!CW15</f>
        <v>0</v>
      </c>
      <c r="DC38" s="1">
        <f>VC_NEW2!CX15</f>
        <v>0</v>
      </c>
      <c r="DD38" s="1">
        <f>VC_NEW2!CY15</f>
        <v>0</v>
      </c>
      <c r="DE38" s="1">
        <f>VC_NEW2!CZ15</f>
        <v>0</v>
      </c>
      <c r="DF38" s="1">
        <f>VC_NEW2!DA15</f>
        <v>0</v>
      </c>
      <c r="DG38" s="1">
        <f>VC_NEW2!DB15</f>
        <v>0</v>
      </c>
      <c r="DH38" s="1">
        <f>VC_NEW2!DC15</f>
        <v>0</v>
      </c>
      <c r="DI38" s="1">
        <f>VC_NEW2!DD15</f>
        <v>0</v>
      </c>
      <c r="DJ38" s="1">
        <f>VC_NEW2!DE15</f>
        <v>0</v>
      </c>
      <c r="DK38" s="1">
        <f>VC_NEW2!DF15</f>
        <v>0</v>
      </c>
      <c r="DL38" s="1">
        <f>VC_NEW2!DG15</f>
        <v>0</v>
      </c>
      <c r="DM38" s="1">
        <f>VC_NEW2!DH15</f>
        <v>0</v>
      </c>
      <c r="DN38" s="1" t="str">
        <f>VC_NEW2!DI15</f>
        <v>DELETED</v>
      </c>
      <c r="DO38" s="1">
        <f>VC_NEW2!DJ15</f>
        <v>0</v>
      </c>
      <c r="DP38" s="1">
        <f>VC_NEW2!DK15</f>
        <v>0</v>
      </c>
      <c r="DQ38" s="1">
        <f>VC_NEW2!DL15</f>
        <v>0</v>
      </c>
      <c r="DR38" s="1">
        <f>VC_NEW2!DM15</f>
        <v>0</v>
      </c>
      <c r="DS38" s="1">
        <f>VC_NEW2!DN15</f>
        <v>0</v>
      </c>
      <c r="DT38" s="1">
        <f>VC_NEW2!DO15</f>
        <v>0</v>
      </c>
      <c r="DU38" s="1">
        <f>VC_NEW2!DP15</f>
        <v>0</v>
      </c>
      <c r="DV38" s="1">
        <f>VC_NEW2!DQ15</f>
        <v>0</v>
      </c>
      <c r="DW38" s="1">
        <f>VC_NEW2!DR15</f>
        <v>0</v>
      </c>
      <c r="DX38" s="1">
        <f>VC_NEW2!DS15</f>
        <v>0</v>
      </c>
      <c r="DY38" s="1">
        <f>VC_NEW2!DT15</f>
        <v>0</v>
      </c>
      <c r="DZ38" s="1" t="str">
        <f>VC_NEW2!DU15</f>
        <v>L154Q</v>
      </c>
      <c r="EA38" s="1">
        <f>VC_NEW2!DV15</f>
        <v>0</v>
      </c>
      <c r="EB38" s="1">
        <f>VC_NEW2!DW15</f>
        <v>0</v>
      </c>
      <c r="EC38" s="1">
        <f>VC_NEW2!DX15</f>
        <v>0</v>
      </c>
      <c r="ED38" s="1">
        <f>VC_NEW2!DY15</f>
        <v>0</v>
      </c>
      <c r="EE38" s="1">
        <f>VC_NEW2!DZ15</f>
        <v>0</v>
      </c>
      <c r="EF38" s="1">
        <f>VC_NEW2!EA15</f>
        <v>0</v>
      </c>
      <c r="EG38" s="1">
        <f>VC_NEW2!EB15</f>
        <v>0</v>
      </c>
      <c r="EH38" s="1">
        <f>VC_NEW2!EC15</f>
        <v>0</v>
      </c>
      <c r="EI38" s="1">
        <f>VC_NEW2!ED15</f>
        <v>0</v>
      </c>
      <c r="EJ38" s="1">
        <f>VC_NEW2!EE15</f>
        <v>0</v>
      </c>
      <c r="EK38" s="1">
        <f>VC_NEW2!EF15</f>
        <v>0</v>
      </c>
      <c r="EL38" s="1">
        <f>VC_NEW2!EG15</f>
        <v>0</v>
      </c>
      <c r="EM38" s="1">
        <f>VC_NEW2!EH15</f>
        <v>0</v>
      </c>
      <c r="EN38" s="1">
        <f>VC_NEW2!EI15</f>
        <v>0</v>
      </c>
      <c r="EO38" s="1">
        <f>VC_NEW2!EJ15</f>
        <v>0</v>
      </c>
      <c r="EP38" s="1">
        <f>VC_NEW2!EK15</f>
        <v>0</v>
      </c>
      <c r="EQ38" s="1" t="str">
        <f>VC_NEW2!EL15</f>
        <v>Y255X</v>
      </c>
      <c r="ER38" s="1">
        <f>VC_NEW2!EM15</f>
        <v>0</v>
      </c>
      <c r="ES38" s="1">
        <f>VC_NEW2!EN15</f>
        <v>0</v>
      </c>
      <c r="ET38" s="1">
        <f>VC_NEW2!EO15</f>
        <v>0</v>
      </c>
      <c r="EU38" s="1">
        <f>VC_NEW2!EP15</f>
        <v>0</v>
      </c>
      <c r="EV38" s="1">
        <f>VC_NEW2!EQ15</f>
        <v>0</v>
      </c>
      <c r="EW38" s="1" t="str">
        <f>VC_NEW2!ER15</f>
        <v>A15T, A48V, E142K, D384G</v>
      </c>
      <c r="EX38" s="1">
        <f>VC_NEW2!ES15</f>
        <v>0</v>
      </c>
      <c r="EY38" s="1">
        <f>VC_NEW2!ET15</f>
        <v>0</v>
      </c>
      <c r="EZ38" s="1">
        <f>VC_NEW2!EU15</f>
        <v>0</v>
      </c>
      <c r="FA38" s="1">
        <f>VC_NEW2!EV15</f>
        <v>0</v>
      </c>
      <c r="FB38" s="1">
        <f>VC_NEW2!EW15</f>
        <v>0</v>
      </c>
      <c r="FC38" s="1">
        <f>VC_NEW2!EX15</f>
        <v>0</v>
      </c>
      <c r="FD38" s="1">
        <f>VC_NEW2!EY15</f>
        <v>0</v>
      </c>
      <c r="FE38" s="1">
        <f>VC_NEW2!EZ15</f>
        <v>0</v>
      </c>
      <c r="FF38" s="1">
        <f>VC_NEW2!FA15</f>
        <v>0</v>
      </c>
      <c r="FG38" s="1">
        <f>VC_NEW2!FB15</f>
        <v>0</v>
      </c>
      <c r="FH38" s="1">
        <f>VC_NEW2!FC15</f>
        <v>0</v>
      </c>
      <c r="FI38" s="1">
        <f>VC_NEW2!FD15</f>
        <v>0</v>
      </c>
      <c r="FJ38" s="1">
        <f>VC_NEW2!FE15</f>
        <v>0</v>
      </c>
      <c r="FK38" s="1">
        <f>VC_NEW2!FF15</f>
        <v>0</v>
      </c>
      <c r="FL38" s="1">
        <f>VC_NEW2!FG15</f>
        <v>0</v>
      </c>
      <c r="FM38" s="1">
        <f>VC_NEW2!FH15</f>
        <v>0</v>
      </c>
      <c r="FN38" s="1">
        <f>VC_NEW2!FI15</f>
        <v>0</v>
      </c>
      <c r="FO38" s="1">
        <f>VC_NEW2!FJ15</f>
        <v>0</v>
      </c>
      <c r="FP38" s="1">
        <f>VC_NEW2!FK15</f>
        <v>0</v>
      </c>
      <c r="FQ38" s="1">
        <f>VC_NEW2!FL15</f>
        <v>0</v>
      </c>
      <c r="FR38" s="1">
        <f>VC_NEW2!FM15</f>
        <v>0</v>
      </c>
      <c r="FS38" s="1">
        <f>VC_NEW2!FN15</f>
        <v>0</v>
      </c>
      <c r="FT38" s="1">
        <f>VC_NEW2!FO15</f>
        <v>0</v>
      </c>
      <c r="FU38" s="1">
        <f>VC_NEW2!FP15</f>
        <v>0</v>
      </c>
      <c r="FV38" s="1">
        <f>VC_NEW2!FQ15</f>
        <v>0</v>
      </c>
      <c r="FW38" s="1">
        <f>VC_NEW2!FR15</f>
        <v>0</v>
      </c>
      <c r="FX38" s="1">
        <f>VC_NEW2!FS15</f>
        <v>0</v>
      </c>
      <c r="FY38" s="1">
        <f>VC_NEW2!FT15</f>
        <v>0</v>
      </c>
      <c r="FZ38" s="1">
        <f>VC_NEW2!FU15</f>
        <v>0</v>
      </c>
      <c r="GA38" s="1">
        <f>VC_NEW2!FV15</f>
        <v>0</v>
      </c>
      <c r="GB38" s="1">
        <f>VC_NEW2!FW15</f>
        <v>0</v>
      </c>
      <c r="GC38" s="1" t="str">
        <f>VC_NEW2!FX15</f>
        <v>W358C</v>
      </c>
      <c r="GD38" s="1" t="str">
        <f>VC_NEW2!FY15</f>
        <v>Q396X</v>
      </c>
      <c r="GE38" s="1">
        <f>VC_NEW2!FZ15</f>
        <v>0</v>
      </c>
      <c r="GF38" s="1">
        <f>VC_NEW2!GA15</f>
        <v>0</v>
      </c>
      <c r="GG38" s="1">
        <f>VC_NEW2!GB15</f>
        <v>0</v>
      </c>
      <c r="GH38" s="1">
        <f>VC_NEW2!GC15</f>
        <v>0</v>
      </c>
      <c r="GI38" s="1">
        <f>VC_NEW2!GD15</f>
        <v>0</v>
      </c>
      <c r="GJ38" s="1">
        <f>VC_NEW2!GE15</f>
        <v>0</v>
      </c>
      <c r="GK38" s="1">
        <f>VC_NEW2!GF15</f>
        <v>0</v>
      </c>
      <c r="GL38" s="1" t="str">
        <f>VC_NEW2!GG15</f>
        <v>W358C</v>
      </c>
      <c r="GM38" s="1">
        <f>VC_NEW2!GH15</f>
        <v>0</v>
      </c>
      <c r="GN38" s="1">
        <f>VC_NEW2!GI15</f>
        <v>0</v>
      </c>
      <c r="GO38" s="1">
        <f>VC_NEW2!GJ15</f>
        <v>0</v>
      </c>
      <c r="GP38" s="1">
        <f>VC_NEW2!GK15</f>
        <v>0</v>
      </c>
      <c r="GQ38" s="1" t="str">
        <f>VC_NEW2!GL15</f>
        <v xml:space="preserve">H119Y </v>
      </c>
      <c r="GR38" s="1">
        <f>VC_NEW2!GM15</f>
        <v>0</v>
      </c>
      <c r="GS38" s="1">
        <f>VC_NEW2!GN15</f>
        <v>0</v>
      </c>
      <c r="GT38" s="1">
        <f>VC_NEW2!GO15</f>
        <v>0</v>
      </c>
      <c r="GU38" s="1" t="str">
        <f>VC_NEW2!GP15</f>
        <v xml:space="preserve">R69Q   </v>
      </c>
      <c r="GV38" s="1">
        <f>VC_NEW2!GQ15</f>
        <v>0</v>
      </c>
      <c r="GW38" s="1">
        <f>VC_NEW2!GR15</f>
        <v>0</v>
      </c>
      <c r="GX38" s="1">
        <f>VC_NEW2!GS15</f>
        <v>0</v>
      </c>
      <c r="GY38" s="1">
        <f>VC_NEW2!GT15</f>
        <v>0</v>
      </c>
      <c r="GZ38" s="1">
        <f>VC_NEW2!GU15</f>
        <v>0</v>
      </c>
      <c r="HA38" s="1">
        <f>VC_NEW2!GV15</f>
        <v>0</v>
      </c>
      <c r="HB38" s="1">
        <f>VC_NEW2!GW15</f>
        <v>0</v>
      </c>
      <c r="HC38" s="1">
        <f>VC_NEW2!GX15</f>
        <v>0</v>
      </c>
    </row>
    <row r="39" spans="1:211" s="1" customFormat="1" ht="15.75" hidden="1" customHeight="1" thickBot="1" x14ac:dyDescent="0.3">
      <c r="A39" s="69" t="s">
        <v>51</v>
      </c>
      <c r="B39" s="70" t="s">
        <v>52</v>
      </c>
      <c r="C39" s="71" t="s">
        <v>4</v>
      </c>
      <c r="D39" s="70" t="s">
        <v>77</v>
      </c>
      <c r="E39" s="70">
        <v>-0.25</v>
      </c>
      <c r="F39" s="70" t="s">
        <v>74</v>
      </c>
      <c r="G39" s="72" t="s">
        <v>143</v>
      </c>
      <c r="H39" s="1">
        <f>VC_NEW2!C15</f>
        <v>0</v>
      </c>
      <c r="I39" s="1">
        <f>VC_NEW2!D15</f>
        <v>0</v>
      </c>
      <c r="J39" s="1">
        <f>VC_NEW2!E15</f>
        <v>0</v>
      </c>
      <c r="K39" s="1">
        <f>VC_NEW2!F15</f>
        <v>0</v>
      </c>
      <c r="L39" s="1">
        <f>VC_NEW2!G15</f>
        <v>0</v>
      </c>
      <c r="M39" s="1">
        <f>VC_NEW2!H15</f>
        <v>0</v>
      </c>
      <c r="N39" s="1">
        <f>VC_NEW2!I15</f>
        <v>0</v>
      </c>
      <c r="O39" s="1">
        <f>VC_NEW2!J15</f>
        <v>0</v>
      </c>
      <c r="P39" s="1" t="str">
        <f>VC_NEW2!K15</f>
        <v xml:space="preserve">S320P   </v>
      </c>
      <c r="Q39" s="1">
        <f>VC_NEW2!L15</f>
        <v>0</v>
      </c>
      <c r="R39" s="1" t="str">
        <f>VC_NEW2!M15</f>
        <v xml:space="preserve">I212L   </v>
      </c>
      <c r="S39" s="1">
        <f>VC_NEW2!N15</f>
        <v>0</v>
      </c>
      <c r="T39" s="1">
        <f>VC_NEW2!O15</f>
        <v>0</v>
      </c>
      <c r="U39" s="1" t="str">
        <f>VC_NEW2!P15</f>
        <v>H119Y</v>
      </c>
      <c r="V39" s="1">
        <f>VC_NEW2!Q15</f>
        <v>0</v>
      </c>
      <c r="W39" s="1">
        <f>VC_NEW2!R15</f>
        <v>0</v>
      </c>
      <c r="X39" s="1">
        <f>VC_NEW2!S15</f>
        <v>0</v>
      </c>
      <c r="Y39" s="1">
        <f>VC_NEW2!T15</f>
        <v>0</v>
      </c>
      <c r="Z39" s="1">
        <f>VC_NEW2!U15</f>
        <v>0</v>
      </c>
      <c r="AA39" s="1">
        <f>VC_NEW2!V15</f>
        <v>0</v>
      </c>
      <c r="AB39" s="1">
        <f>VC_NEW2!W15</f>
        <v>0</v>
      </c>
      <c r="AC39" s="1">
        <f>VC_NEW2!X15</f>
        <v>0</v>
      </c>
      <c r="AD39" s="1">
        <f>VC_NEW2!Y15</f>
        <v>0</v>
      </c>
      <c r="AE39" s="1">
        <f>VC_NEW2!Z15</f>
        <v>0</v>
      </c>
      <c r="AF39" s="1">
        <f>VC_NEW2!AA15</f>
        <v>0</v>
      </c>
      <c r="AG39" s="1">
        <f>VC_NEW2!AB15</f>
        <v>0</v>
      </c>
      <c r="AH39" s="1">
        <f>VC_NEW2!AC15</f>
        <v>0</v>
      </c>
      <c r="AI39" s="1">
        <f>VC_NEW2!AD15</f>
        <v>0</v>
      </c>
      <c r="AJ39" s="1">
        <f>VC_NEW2!AE15</f>
        <v>0</v>
      </c>
      <c r="AK39" s="1">
        <f>VC_NEW2!AF15</f>
        <v>0</v>
      </c>
      <c r="AL39" s="1">
        <f>VC_NEW2!AG15</f>
        <v>0</v>
      </c>
      <c r="AM39" s="1">
        <f>VC_NEW2!AH15</f>
        <v>0</v>
      </c>
      <c r="AN39" s="1">
        <f>VC_NEW2!AI15</f>
        <v>0</v>
      </c>
      <c r="AO39" s="1">
        <f>VC_NEW2!AJ15</f>
        <v>0</v>
      </c>
      <c r="AP39" s="1">
        <f>VC_NEW2!AK15</f>
        <v>0</v>
      </c>
      <c r="AQ39" s="1">
        <f>VC_NEW2!AL15</f>
        <v>0</v>
      </c>
      <c r="AR39" s="1">
        <f>VC_NEW2!AM15</f>
        <v>0</v>
      </c>
      <c r="AS39" s="1">
        <f>VC_NEW2!AN15</f>
        <v>0</v>
      </c>
      <c r="AT39" s="1">
        <f>VC_NEW2!AO15</f>
        <v>0</v>
      </c>
      <c r="AU39" s="1">
        <f>VC_NEW2!AP15</f>
        <v>0</v>
      </c>
      <c r="AV39" s="1">
        <f>VC_NEW2!AQ15</f>
        <v>0</v>
      </c>
      <c r="AW39" s="1">
        <f>VC_NEW2!AR15</f>
        <v>0</v>
      </c>
      <c r="AX39" s="1">
        <f>VC_NEW2!AS15</f>
        <v>0</v>
      </c>
      <c r="AY39" s="1">
        <f>VC_NEW2!AT15</f>
        <v>0</v>
      </c>
      <c r="AZ39" s="1">
        <f>VC_NEW2!AU15</f>
        <v>0</v>
      </c>
      <c r="BA39" s="1">
        <f>VC_NEW2!AV15</f>
        <v>0</v>
      </c>
      <c r="BB39" s="1">
        <f>VC_NEW2!AW15</f>
        <v>0</v>
      </c>
      <c r="BC39" s="1">
        <f>VC_NEW2!AX15</f>
        <v>0</v>
      </c>
      <c r="BD39" s="1">
        <f>VC_NEW2!AY15</f>
        <v>0</v>
      </c>
      <c r="BE39" s="1">
        <f>VC_NEW2!AZ15</f>
        <v>0</v>
      </c>
      <c r="BF39" s="1">
        <f>VC_NEW2!BA15</f>
        <v>0</v>
      </c>
      <c r="BG39" s="1" t="str">
        <f>VC_NEW2!BB15</f>
        <v xml:space="preserve">A38T   </v>
      </c>
      <c r="BH39" s="1">
        <f>VC_NEW2!BC15</f>
        <v>0</v>
      </c>
      <c r="BI39" s="1">
        <f>VC_NEW2!BD15</f>
        <v>0</v>
      </c>
      <c r="BJ39" s="1" t="str">
        <f>VC_NEW2!BE15</f>
        <v xml:space="preserve">H119Y </v>
      </c>
      <c r="BK39" s="1">
        <f>VC_NEW2!BF15</f>
        <v>0</v>
      </c>
      <c r="BL39" s="1">
        <f>VC_NEW2!BG15</f>
        <v>0</v>
      </c>
      <c r="BM39" s="1">
        <f>VC_NEW2!BH15</f>
        <v>0</v>
      </c>
      <c r="BN39" s="1">
        <f>VC_NEW2!BI15</f>
        <v>0</v>
      </c>
      <c r="BO39" s="1">
        <f>VC_NEW2!BJ15</f>
        <v>0</v>
      </c>
      <c r="BP39" s="1">
        <f>VC_NEW2!BK15</f>
        <v>0</v>
      </c>
      <c r="BQ39" s="1">
        <f>VC_NEW2!BL15</f>
        <v>0</v>
      </c>
      <c r="BR39" s="1">
        <f>VC_NEW2!BM15</f>
        <v>0</v>
      </c>
      <c r="BS39" s="1">
        <f>VC_NEW2!BN15</f>
        <v>0</v>
      </c>
      <c r="BT39" s="1">
        <f>VC_NEW2!BO15</f>
        <v>0</v>
      </c>
      <c r="BU39" s="1">
        <f>VC_NEW2!BP15</f>
        <v>0</v>
      </c>
      <c r="BV39" s="1">
        <f>VC_NEW2!BQ15</f>
        <v>0</v>
      </c>
      <c r="BW39" s="1">
        <f>VC_NEW2!BR15</f>
        <v>0</v>
      </c>
      <c r="BX39" s="1">
        <f>VC_NEW2!BS15</f>
        <v>0</v>
      </c>
      <c r="BY39" s="1">
        <f>VC_NEW2!BT15</f>
        <v>0</v>
      </c>
      <c r="BZ39" s="1">
        <f>VC_NEW2!BU15</f>
        <v>0</v>
      </c>
      <c r="CA39" s="1">
        <f>VC_NEW2!BV15</f>
        <v>0</v>
      </c>
      <c r="CB39" s="1">
        <f>VC_NEW2!BW15</f>
        <v>0</v>
      </c>
      <c r="CC39" s="1">
        <f>VC_NEW2!BX15</f>
        <v>0</v>
      </c>
      <c r="CD39" s="1">
        <f>VC_NEW2!BY15</f>
        <v>0</v>
      </c>
      <c r="CE39" s="1">
        <f>VC_NEW2!BZ15</f>
        <v>0</v>
      </c>
      <c r="CF39" s="1">
        <f>VC_NEW2!CA15</f>
        <v>0</v>
      </c>
      <c r="CG39" s="1">
        <f>VC_NEW2!CB15</f>
        <v>0</v>
      </c>
      <c r="CH39" s="1">
        <f>VC_NEW2!CC15</f>
        <v>0</v>
      </c>
      <c r="CI39" s="1">
        <f>VC_NEW2!CD15</f>
        <v>0</v>
      </c>
      <c r="CJ39" s="1">
        <f>VC_NEW2!CE15</f>
        <v>0</v>
      </c>
      <c r="CK39" s="1">
        <f>VC_NEW2!CF15</f>
        <v>0</v>
      </c>
      <c r="CL39" s="1">
        <f>VC_NEW2!CG15</f>
        <v>0</v>
      </c>
      <c r="CM39" s="1">
        <f>VC_NEW2!CH15</f>
        <v>0</v>
      </c>
      <c r="CN39" s="1">
        <f>VC_NEW2!CI15</f>
        <v>0</v>
      </c>
      <c r="CO39" s="1" t="str">
        <f>VC_NEW2!CJ15</f>
        <v>V376M</v>
      </c>
      <c r="CP39" s="1">
        <f>VC_NEW2!CK15</f>
        <v>0</v>
      </c>
      <c r="CQ39" s="1">
        <f>VC_NEW2!CL15</f>
        <v>0</v>
      </c>
      <c r="CR39" s="1">
        <f>VC_NEW2!CM15</f>
        <v>0</v>
      </c>
      <c r="CS39" s="1">
        <f>VC_NEW2!CN15</f>
        <v>0</v>
      </c>
      <c r="CT39" s="1">
        <f>VC_NEW2!CO15</f>
        <v>0</v>
      </c>
      <c r="CU39" s="1">
        <f>VC_NEW2!CP15</f>
        <v>0</v>
      </c>
      <c r="CV39" s="1">
        <f>VC_NEW2!CQ15</f>
        <v>0</v>
      </c>
      <c r="CW39" s="1">
        <f>VC_NEW2!CR15</f>
        <v>0</v>
      </c>
      <c r="CX39" s="1">
        <f>VC_NEW2!CS15</f>
        <v>0</v>
      </c>
      <c r="CY39" s="1">
        <f>VC_NEW2!CT15</f>
        <v>0</v>
      </c>
      <c r="CZ39" s="1">
        <f>VC_NEW2!CU15</f>
        <v>0</v>
      </c>
      <c r="DA39" s="1">
        <f>VC_NEW2!CV15</f>
        <v>0</v>
      </c>
      <c r="DB39" s="1">
        <f>VC_NEW2!CW15</f>
        <v>0</v>
      </c>
      <c r="DC39" s="1">
        <f>VC_NEW2!CX15</f>
        <v>0</v>
      </c>
      <c r="DD39" s="1">
        <f>VC_NEW2!CY15</f>
        <v>0</v>
      </c>
      <c r="DE39" s="1">
        <f>VC_NEW2!CZ15</f>
        <v>0</v>
      </c>
      <c r="DF39" s="1">
        <f>VC_NEW2!DA15</f>
        <v>0</v>
      </c>
      <c r="DG39" s="1">
        <f>VC_NEW2!DB15</f>
        <v>0</v>
      </c>
      <c r="DH39" s="1">
        <f>VC_NEW2!DC15</f>
        <v>0</v>
      </c>
      <c r="DI39" s="1">
        <f>VC_NEW2!DD15</f>
        <v>0</v>
      </c>
      <c r="DJ39" s="1">
        <f>VC_NEW2!DE15</f>
        <v>0</v>
      </c>
      <c r="DK39" s="1">
        <f>VC_NEW2!DF15</f>
        <v>0</v>
      </c>
      <c r="DL39" s="1">
        <f>VC_NEW2!DG15</f>
        <v>0</v>
      </c>
      <c r="DM39" s="1">
        <f>VC_NEW2!DH15</f>
        <v>0</v>
      </c>
      <c r="DN39" s="1" t="str">
        <f>VC_NEW2!DI15</f>
        <v>DELETED</v>
      </c>
      <c r="DO39" s="1">
        <f>VC_NEW2!DJ15</f>
        <v>0</v>
      </c>
      <c r="DP39" s="1">
        <f>VC_NEW2!DK15</f>
        <v>0</v>
      </c>
      <c r="DQ39" s="1">
        <f>VC_NEW2!DL15</f>
        <v>0</v>
      </c>
      <c r="DR39" s="1">
        <f>VC_NEW2!DM15</f>
        <v>0</v>
      </c>
      <c r="DS39" s="1">
        <f>VC_NEW2!DN15</f>
        <v>0</v>
      </c>
      <c r="DT39" s="1">
        <f>VC_NEW2!DO15</f>
        <v>0</v>
      </c>
      <c r="DU39" s="1">
        <f>VC_NEW2!DP15</f>
        <v>0</v>
      </c>
      <c r="DV39" s="1">
        <f>VC_NEW2!DQ15</f>
        <v>0</v>
      </c>
      <c r="DW39" s="1">
        <f>VC_NEW2!DR15</f>
        <v>0</v>
      </c>
      <c r="DX39" s="1">
        <f>VC_NEW2!DS15</f>
        <v>0</v>
      </c>
      <c r="DY39" s="1">
        <f>VC_NEW2!DT15</f>
        <v>0</v>
      </c>
      <c r="DZ39" s="1" t="str">
        <f>VC_NEW2!DU15</f>
        <v>L154Q</v>
      </c>
      <c r="EA39" s="1">
        <f>VC_NEW2!DV15</f>
        <v>0</v>
      </c>
      <c r="EB39" s="1">
        <f>VC_NEW2!DW15</f>
        <v>0</v>
      </c>
      <c r="EC39" s="1">
        <f>VC_NEW2!DX15</f>
        <v>0</v>
      </c>
      <c r="ED39" s="1">
        <f>VC_NEW2!DY15</f>
        <v>0</v>
      </c>
      <c r="EE39" s="1">
        <f>VC_NEW2!DZ15</f>
        <v>0</v>
      </c>
      <c r="EF39" s="1">
        <f>VC_NEW2!EA15</f>
        <v>0</v>
      </c>
      <c r="EG39" s="1">
        <f>VC_NEW2!EB15</f>
        <v>0</v>
      </c>
      <c r="EH39" s="1">
        <f>VC_NEW2!EC15</f>
        <v>0</v>
      </c>
      <c r="EI39" s="1">
        <f>VC_NEW2!ED15</f>
        <v>0</v>
      </c>
      <c r="EJ39" s="1">
        <f>VC_NEW2!EE15</f>
        <v>0</v>
      </c>
      <c r="EK39" s="1">
        <f>VC_NEW2!EF15</f>
        <v>0</v>
      </c>
      <c r="EL39" s="1">
        <f>VC_NEW2!EG15</f>
        <v>0</v>
      </c>
      <c r="EM39" s="1">
        <f>VC_NEW2!EH15</f>
        <v>0</v>
      </c>
      <c r="EN39" s="1">
        <f>VC_NEW2!EI15</f>
        <v>0</v>
      </c>
      <c r="EO39" s="1">
        <f>VC_NEW2!EJ15</f>
        <v>0</v>
      </c>
      <c r="EP39" s="1">
        <f>VC_NEW2!EK15</f>
        <v>0</v>
      </c>
      <c r="EQ39" s="1" t="str">
        <f>VC_NEW2!EL15</f>
        <v>Y255X</v>
      </c>
      <c r="ER39" s="1">
        <f>VC_NEW2!EM15</f>
        <v>0</v>
      </c>
      <c r="ES39" s="1">
        <f>VC_NEW2!EN15</f>
        <v>0</v>
      </c>
      <c r="ET39" s="1">
        <f>VC_NEW2!EO15</f>
        <v>0</v>
      </c>
      <c r="EU39" s="1">
        <f>VC_NEW2!EP15</f>
        <v>0</v>
      </c>
      <c r="EV39" s="1">
        <f>VC_NEW2!EQ15</f>
        <v>0</v>
      </c>
      <c r="EW39" s="1" t="str">
        <f>VC_NEW2!ER15</f>
        <v>A15T, A48V, E142K, D384G</v>
      </c>
      <c r="EX39" s="1">
        <f>VC_NEW2!ES15</f>
        <v>0</v>
      </c>
      <c r="EY39" s="1">
        <f>VC_NEW2!ET15</f>
        <v>0</v>
      </c>
      <c r="EZ39" s="1">
        <f>VC_NEW2!EU15</f>
        <v>0</v>
      </c>
      <c r="FA39" s="1">
        <f>VC_NEW2!EV15</f>
        <v>0</v>
      </c>
      <c r="FB39" s="1">
        <f>VC_NEW2!EW15</f>
        <v>0</v>
      </c>
      <c r="FC39" s="1">
        <f>VC_NEW2!EX15</f>
        <v>0</v>
      </c>
      <c r="FD39" s="1">
        <f>VC_NEW2!EY15</f>
        <v>0</v>
      </c>
      <c r="FE39" s="1">
        <f>VC_NEW2!EZ15</f>
        <v>0</v>
      </c>
      <c r="FF39" s="1">
        <f>VC_NEW2!FA15</f>
        <v>0</v>
      </c>
      <c r="FG39" s="1">
        <f>VC_NEW2!FB15</f>
        <v>0</v>
      </c>
      <c r="FH39" s="1">
        <f>VC_NEW2!FC15</f>
        <v>0</v>
      </c>
      <c r="FI39" s="1">
        <f>VC_NEW2!FD15</f>
        <v>0</v>
      </c>
      <c r="FJ39" s="1">
        <f>VC_NEW2!FE15</f>
        <v>0</v>
      </c>
      <c r="FK39" s="1">
        <f>VC_NEW2!FF15</f>
        <v>0</v>
      </c>
      <c r="FL39" s="1">
        <f>VC_NEW2!FG15</f>
        <v>0</v>
      </c>
      <c r="FM39" s="1">
        <f>VC_NEW2!FH15</f>
        <v>0</v>
      </c>
      <c r="FN39" s="1">
        <f>VC_NEW2!FI15</f>
        <v>0</v>
      </c>
      <c r="FO39" s="1">
        <f>VC_NEW2!FJ15</f>
        <v>0</v>
      </c>
      <c r="FP39" s="1">
        <f>VC_NEW2!FK15</f>
        <v>0</v>
      </c>
      <c r="FQ39" s="1">
        <f>VC_NEW2!FL15</f>
        <v>0</v>
      </c>
      <c r="FR39" s="1">
        <f>VC_NEW2!FM15</f>
        <v>0</v>
      </c>
      <c r="FS39" s="1">
        <f>VC_NEW2!FN15</f>
        <v>0</v>
      </c>
      <c r="FT39" s="1">
        <f>VC_NEW2!FO15</f>
        <v>0</v>
      </c>
      <c r="FU39" s="1">
        <f>VC_NEW2!FP15</f>
        <v>0</v>
      </c>
      <c r="FV39" s="1">
        <f>VC_NEW2!FQ15</f>
        <v>0</v>
      </c>
      <c r="FW39" s="1">
        <f>VC_NEW2!FR15</f>
        <v>0</v>
      </c>
      <c r="FX39" s="1">
        <f>VC_NEW2!FS15</f>
        <v>0</v>
      </c>
      <c r="FY39" s="1">
        <f>VC_NEW2!FT15</f>
        <v>0</v>
      </c>
      <c r="FZ39" s="1">
        <f>VC_NEW2!FU15</f>
        <v>0</v>
      </c>
      <c r="GA39" s="1">
        <f>VC_NEW2!FV15</f>
        <v>0</v>
      </c>
      <c r="GB39" s="1">
        <f>VC_NEW2!FW15</f>
        <v>0</v>
      </c>
      <c r="GC39" s="1" t="str">
        <f>VC_NEW2!FX15</f>
        <v>W358C</v>
      </c>
      <c r="GD39" s="1" t="str">
        <f>VC_NEW2!FY15</f>
        <v>Q396X</v>
      </c>
      <c r="GE39" s="1">
        <f>VC_NEW2!FZ15</f>
        <v>0</v>
      </c>
      <c r="GF39" s="1">
        <f>VC_NEW2!GA15</f>
        <v>0</v>
      </c>
      <c r="GG39" s="1">
        <f>VC_NEW2!GB15</f>
        <v>0</v>
      </c>
      <c r="GH39" s="1">
        <f>VC_NEW2!GC15</f>
        <v>0</v>
      </c>
      <c r="GI39" s="1">
        <f>VC_NEW2!GD15</f>
        <v>0</v>
      </c>
      <c r="GJ39" s="1">
        <f>VC_NEW2!GE15</f>
        <v>0</v>
      </c>
      <c r="GK39" s="1">
        <f>VC_NEW2!GF15</f>
        <v>0</v>
      </c>
      <c r="GL39" s="1" t="str">
        <f>VC_NEW2!GG15</f>
        <v>W358C</v>
      </c>
      <c r="GM39" s="1">
        <f>VC_NEW2!GH15</f>
        <v>0</v>
      </c>
      <c r="GN39" s="1">
        <f>VC_NEW2!GI15</f>
        <v>0</v>
      </c>
      <c r="GO39" s="1">
        <f>VC_NEW2!GJ15</f>
        <v>0</v>
      </c>
      <c r="GP39" s="1">
        <f>VC_NEW2!GK15</f>
        <v>0</v>
      </c>
      <c r="GQ39" s="1" t="str">
        <f>VC_NEW2!GL15</f>
        <v xml:space="preserve">H119Y </v>
      </c>
      <c r="GR39" s="1">
        <f>VC_NEW2!GM15</f>
        <v>0</v>
      </c>
      <c r="GS39" s="1">
        <f>VC_NEW2!GN15</f>
        <v>0</v>
      </c>
      <c r="GT39" s="1">
        <f>VC_NEW2!GO15</f>
        <v>0</v>
      </c>
      <c r="GU39" s="1" t="str">
        <f>VC_NEW2!GP15</f>
        <v xml:space="preserve">R69Q   </v>
      </c>
      <c r="GV39" s="1">
        <f>VC_NEW2!GQ15</f>
        <v>0</v>
      </c>
      <c r="GW39" s="1">
        <f>VC_NEW2!GR15</f>
        <v>0</v>
      </c>
      <c r="GX39" s="1">
        <f>VC_NEW2!GS15</f>
        <v>0</v>
      </c>
      <c r="GY39" s="1">
        <f>VC_NEW2!GT15</f>
        <v>0</v>
      </c>
      <c r="GZ39" s="1">
        <f>VC_NEW2!GU15</f>
        <v>0</v>
      </c>
      <c r="HA39" s="1">
        <f>VC_NEW2!GV15</f>
        <v>0</v>
      </c>
      <c r="HB39" s="1">
        <f>VC_NEW2!GW15</f>
        <v>0</v>
      </c>
      <c r="HC39" s="1">
        <f>VC_NEW2!GX15</f>
        <v>0</v>
      </c>
    </row>
    <row r="40" spans="1:211" s="7" customFormat="1" ht="15" hidden="1" customHeight="1" x14ac:dyDescent="0.25">
      <c r="A40" s="32" t="s">
        <v>53</v>
      </c>
      <c r="B40" s="33" t="s">
        <v>54</v>
      </c>
      <c r="C40" s="34" t="s">
        <v>0</v>
      </c>
      <c r="D40" s="33" t="s">
        <v>76</v>
      </c>
      <c r="E40" s="33" t="s">
        <v>138</v>
      </c>
      <c r="F40" s="33" t="s">
        <v>74</v>
      </c>
      <c r="G40" s="35" t="s">
        <v>136</v>
      </c>
      <c r="H40" s="7">
        <f>VC_NEW2!C16</f>
        <v>0</v>
      </c>
      <c r="I40" s="7">
        <f>VC_NEW2!D16</f>
        <v>0</v>
      </c>
      <c r="J40" s="7">
        <f>VC_NEW2!E16</f>
        <v>0</v>
      </c>
      <c r="K40" s="7">
        <f>VC_NEW2!F16</f>
        <v>0</v>
      </c>
      <c r="L40" s="7" t="str">
        <f>VC_NEW2!G16</f>
        <v>aa103∆1</v>
      </c>
      <c r="M40" s="7">
        <f>VC_NEW2!H16</f>
        <v>0</v>
      </c>
      <c r="N40" s="7" t="str">
        <f>VC_NEW2!I16</f>
        <v>aa163InsY</v>
      </c>
      <c r="O40" s="7">
        <f>VC_NEW2!J16</f>
        <v>0</v>
      </c>
      <c r="P40" s="7">
        <f>VC_NEW2!K16</f>
        <v>0</v>
      </c>
      <c r="Q40" s="7">
        <f>VC_NEW2!L16</f>
        <v>0</v>
      </c>
      <c r="R40" s="7">
        <f>VC_NEW2!M16</f>
        <v>0</v>
      </c>
      <c r="S40" s="7">
        <f>VC_NEW2!N16</f>
        <v>0</v>
      </c>
      <c r="T40" s="7">
        <f>VC_NEW2!O16</f>
        <v>0</v>
      </c>
      <c r="U40" s="7">
        <f>VC_NEW2!P16</f>
        <v>0</v>
      </c>
      <c r="V40" s="7">
        <f>VC_NEW2!Q16</f>
        <v>0</v>
      </c>
      <c r="W40" s="7">
        <f>VC_NEW2!R16</f>
        <v>0</v>
      </c>
      <c r="X40" s="7">
        <f>VC_NEW2!S16</f>
        <v>0</v>
      </c>
      <c r="Y40" s="7">
        <f>VC_NEW2!T16</f>
        <v>0</v>
      </c>
      <c r="Z40" s="7">
        <f>VC_NEW2!U16</f>
        <v>0</v>
      </c>
      <c r="AA40" s="7">
        <f>VC_NEW2!V16</f>
        <v>0</v>
      </c>
      <c r="AB40" s="7">
        <f>VC_NEW2!W16</f>
        <v>0</v>
      </c>
      <c r="AC40" s="7" t="str">
        <f>VC_NEW2!X16</f>
        <v>T12N</v>
      </c>
      <c r="AD40" s="7">
        <f>VC_NEW2!Y16</f>
        <v>0</v>
      </c>
      <c r="AE40" s="7">
        <f>VC_NEW2!Z16</f>
        <v>0</v>
      </c>
      <c r="AF40" s="7">
        <f>VC_NEW2!AA16</f>
        <v>0</v>
      </c>
      <c r="AG40" s="7">
        <f>VC_NEW2!AB16</f>
        <v>0</v>
      </c>
      <c r="AH40" s="7">
        <f>VC_NEW2!AC16</f>
        <v>0</v>
      </c>
      <c r="AI40" s="7">
        <f>VC_NEW2!AD16</f>
        <v>0</v>
      </c>
      <c r="AJ40" s="7">
        <f>VC_NEW2!AE16</f>
        <v>0</v>
      </c>
      <c r="AK40" s="7">
        <f>VC_NEW2!AF16</f>
        <v>0</v>
      </c>
      <c r="AL40" s="7" t="str">
        <f>VC_NEW2!AG16</f>
        <v>W185X</v>
      </c>
      <c r="AM40" s="7">
        <f>VC_NEW2!AH16</f>
        <v>0</v>
      </c>
      <c r="AN40" s="7">
        <f>VC_NEW2!AI16</f>
        <v>0</v>
      </c>
      <c r="AO40" s="7">
        <f>VC_NEW2!AJ16</f>
        <v>0</v>
      </c>
      <c r="AP40" s="7">
        <f>VC_NEW2!AK16</f>
        <v>0</v>
      </c>
      <c r="AQ40" s="7" t="str">
        <f>VC_NEW2!AL16</f>
        <v>nt484InsC</v>
      </c>
      <c r="AR40" s="7">
        <f>VC_NEW2!AM16</f>
        <v>0</v>
      </c>
      <c r="AS40" s="7">
        <f>VC_NEW2!AN16</f>
        <v>0</v>
      </c>
      <c r="AT40" s="7">
        <f>VC_NEW2!AO16</f>
        <v>0</v>
      </c>
      <c r="AU40" s="7">
        <f>VC_NEW2!AP16</f>
        <v>0</v>
      </c>
      <c r="AV40" s="7">
        <f>VC_NEW2!AQ16</f>
        <v>0</v>
      </c>
      <c r="AW40" s="7">
        <f>VC_NEW2!AR16</f>
        <v>0</v>
      </c>
      <c r="AX40" s="7">
        <f>VC_NEW2!AS16</f>
        <v>0</v>
      </c>
      <c r="AY40" s="7">
        <f>VC_NEW2!AT16</f>
        <v>0</v>
      </c>
      <c r="AZ40" s="7">
        <f>VC_NEW2!AU16</f>
        <v>0</v>
      </c>
      <c r="BA40" s="7" t="str">
        <f>VC_NEW2!AV16</f>
        <v>G195D</v>
      </c>
      <c r="BB40" s="7">
        <f>VC_NEW2!AW16</f>
        <v>0</v>
      </c>
      <c r="BC40" s="7" t="str">
        <f>VC_NEW2!AX16</f>
        <v>G195D</v>
      </c>
      <c r="BD40" s="7">
        <f>VC_NEW2!AY16</f>
        <v>0</v>
      </c>
      <c r="BE40" s="7" t="str">
        <f>VC_NEW2!AZ16</f>
        <v>aa187∆6</v>
      </c>
      <c r="BF40" s="7">
        <f>VC_NEW2!BA16</f>
        <v>0</v>
      </c>
      <c r="BG40" s="7" t="str">
        <f>VC_NEW2!BB16</f>
        <v>G68D</v>
      </c>
      <c r="BH40" s="7">
        <f>VC_NEW2!BC16</f>
        <v>0</v>
      </c>
      <c r="BI40" s="7" t="str">
        <f>VC_NEW2!BD16</f>
        <v>G195D</v>
      </c>
      <c r="BJ40" s="7">
        <f>VC_NEW2!BE16</f>
        <v>0</v>
      </c>
      <c r="BK40" s="7">
        <f>VC_NEW2!BF16</f>
        <v>0</v>
      </c>
      <c r="BL40" s="7">
        <f>VC_NEW2!BG16</f>
        <v>0</v>
      </c>
      <c r="BM40" s="7">
        <f>VC_NEW2!BH16</f>
        <v>0</v>
      </c>
      <c r="BN40" s="7">
        <f>VC_NEW2!BI16</f>
        <v>0</v>
      </c>
      <c r="BO40" s="7">
        <f>VC_NEW2!BJ16</f>
        <v>0</v>
      </c>
      <c r="BP40" s="7">
        <f>VC_NEW2!BK16</f>
        <v>0</v>
      </c>
      <c r="BQ40" s="7" t="str">
        <f>VC_NEW2!BL16</f>
        <v>Q140K</v>
      </c>
      <c r="BR40" s="7">
        <f>VC_NEW2!BM16</f>
        <v>0</v>
      </c>
      <c r="BS40" s="7" t="str">
        <f>VC_NEW2!BN16</f>
        <v>G195D</v>
      </c>
      <c r="BT40" s="7" t="str">
        <f>VC_NEW2!BO16</f>
        <v>nt526∆8</v>
      </c>
      <c r="BU40" s="7">
        <f>VC_NEW2!BP16</f>
        <v>0</v>
      </c>
      <c r="BV40" s="7">
        <f>VC_NEW2!BQ16</f>
        <v>0</v>
      </c>
      <c r="BW40" s="7" t="str">
        <f>VC_NEW2!BR16</f>
        <v>V105G</v>
      </c>
      <c r="BX40" s="7">
        <f>VC_NEW2!BS16</f>
        <v>0</v>
      </c>
      <c r="BY40" s="7">
        <f>VC_NEW2!BT16</f>
        <v>0</v>
      </c>
      <c r="BZ40" s="7">
        <f>VC_NEW2!BU16</f>
        <v>0</v>
      </c>
      <c r="CA40" s="7">
        <f>VC_NEW2!BV16</f>
        <v>0</v>
      </c>
      <c r="CB40" s="7">
        <f>VC_NEW2!BW16</f>
        <v>0</v>
      </c>
      <c r="CC40" s="7">
        <f>VC_NEW2!BX16</f>
        <v>0</v>
      </c>
      <c r="CD40" s="7" t="str">
        <f>VC_NEW2!BY16</f>
        <v>G195D</v>
      </c>
      <c r="CE40" s="7">
        <f>VC_NEW2!BZ16</f>
        <v>0</v>
      </c>
      <c r="CF40" s="7">
        <f>VC_NEW2!CA16</f>
        <v>0</v>
      </c>
      <c r="CG40" s="7">
        <f>VC_NEW2!CB16</f>
        <v>0</v>
      </c>
      <c r="CH40" s="7">
        <f>VC_NEW2!CC16</f>
        <v>0</v>
      </c>
      <c r="CI40" s="7">
        <f>VC_NEW2!CD16</f>
        <v>0</v>
      </c>
      <c r="CJ40" s="7" t="str">
        <f>VC_NEW2!CE16</f>
        <v>G195D</v>
      </c>
      <c r="CK40" s="7" t="str">
        <f>VC_NEW2!CF16</f>
        <v>G195D</v>
      </c>
      <c r="CL40" s="7">
        <f>VC_NEW2!CG16</f>
        <v>0</v>
      </c>
      <c r="CM40" s="7" t="str">
        <f>VC_NEW2!CH16</f>
        <v>V105G</v>
      </c>
      <c r="CN40" s="7">
        <f>VC_NEW2!CI16</f>
        <v>0</v>
      </c>
      <c r="CO40" s="7">
        <f>VC_NEW2!CJ16</f>
        <v>0</v>
      </c>
      <c r="CP40" s="7" t="str">
        <f>VC_NEW2!CK16</f>
        <v>G195D</v>
      </c>
      <c r="CQ40" s="7" t="str">
        <f>VC_NEW2!CL16</f>
        <v>G195D</v>
      </c>
      <c r="CR40" s="7">
        <f>VC_NEW2!CM16</f>
        <v>0</v>
      </c>
      <c r="CS40" s="7">
        <f>VC_NEW2!CN16</f>
        <v>0</v>
      </c>
      <c r="CT40" s="7">
        <f>VC_NEW2!CO16</f>
        <v>0</v>
      </c>
      <c r="CU40" s="7">
        <f>VC_NEW2!CP16</f>
        <v>0</v>
      </c>
      <c r="CV40" s="7">
        <f>VC_NEW2!CQ16</f>
        <v>0</v>
      </c>
      <c r="CW40" s="7">
        <f>VC_NEW2!CR16</f>
        <v>0</v>
      </c>
      <c r="CX40" s="7">
        <f>VC_NEW2!CS16</f>
        <v>0</v>
      </c>
      <c r="CY40" s="7">
        <f>VC_NEW2!CT16</f>
        <v>0</v>
      </c>
      <c r="CZ40" s="7" t="str">
        <f>VC_NEW2!CU16</f>
        <v>aa48∆9</v>
      </c>
      <c r="DA40" s="7">
        <f>VC_NEW2!CV16</f>
        <v>0</v>
      </c>
      <c r="DB40" s="7" t="str">
        <f>VC_NEW2!CW16</f>
        <v>H51D</v>
      </c>
      <c r="DC40" s="7">
        <f>VC_NEW2!CX16</f>
        <v>0</v>
      </c>
      <c r="DD40" s="7">
        <f>VC_NEW2!CY16</f>
        <v>0</v>
      </c>
      <c r="DE40" s="7">
        <f>VC_NEW2!CZ16</f>
        <v>0</v>
      </c>
      <c r="DF40" s="7">
        <f>VC_NEW2!DA16</f>
        <v>0</v>
      </c>
      <c r="DG40" s="7">
        <f>VC_NEW2!DB16</f>
        <v>0</v>
      </c>
      <c r="DH40" s="7">
        <f>VC_NEW2!DC16</f>
        <v>0</v>
      </c>
      <c r="DI40" s="7">
        <f>VC_NEW2!DD16</f>
        <v>0</v>
      </c>
      <c r="DJ40" s="7">
        <f>VC_NEW2!DE16</f>
        <v>0</v>
      </c>
      <c r="DK40" s="7">
        <f>VC_NEW2!DF16</f>
        <v>0</v>
      </c>
      <c r="DL40" s="7" t="str">
        <f>VC_NEW2!DG16</f>
        <v>R45C</v>
      </c>
      <c r="DM40" s="7" t="str">
        <f>VC_NEW2!DH16</f>
        <v>nt386∆1</v>
      </c>
      <c r="DN40" s="7" t="str">
        <f>VC_NEW2!DI16</f>
        <v>DELETED</v>
      </c>
      <c r="DO40" s="7">
        <f>VC_NEW2!DJ16</f>
        <v>0</v>
      </c>
      <c r="DP40" s="7">
        <f>VC_NEW2!DK16</f>
        <v>0</v>
      </c>
      <c r="DQ40" s="7">
        <f>VC_NEW2!DL16</f>
        <v>0</v>
      </c>
      <c r="DR40" s="7">
        <f>VC_NEW2!DM16</f>
        <v>0</v>
      </c>
      <c r="DS40" s="7">
        <f>VC_NEW2!DN16</f>
        <v>0</v>
      </c>
      <c r="DT40" s="7">
        <f>VC_NEW2!DO16</f>
        <v>0</v>
      </c>
      <c r="DU40" s="7">
        <f>VC_NEW2!DP16</f>
        <v>0</v>
      </c>
      <c r="DV40" s="7">
        <f>VC_NEW2!DQ16</f>
        <v>0</v>
      </c>
      <c r="DW40" s="7" t="str">
        <f>VC_NEW2!DR16</f>
        <v>G195D</v>
      </c>
      <c r="DX40" s="7">
        <f>VC_NEW2!DS16</f>
        <v>0</v>
      </c>
      <c r="DY40" s="7">
        <f>VC_NEW2!DT16</f>
        <v>0</v>
      </c>
      <c r="DZ40" s="7">
        <f>VC_NEW2!DU16</f>
        <v>0</v>
      </c>
      <c r="EA40" s="7" t="str">
        <f>VC_NEW2!DV16</f>
        <v>G195D</v>
      </c>
      <c r="EB40" s="7">
        <f>VC_NEW2!DW16</f>
        <v>0</v>
      </c>
      <c r="EC40" s="7" t="str">
        <f>VC_NEW2!DX16</f>
        <v>L37P</v>
      </c>
      <c r="ED40" s="7" t="str">
        <f>VC_NEW2!DY16</f>
        <v>nt491∆10</v>
      </c>
      <c r="EE40" s="7" t="str">
        <f>VC_NEW2!DZ16</f>
        <v>G195D</v>
      </c>
      <c r="EF40" s="7">
        <f>VC_NEW2!EA16</f>
        <v>0</v>
      </c>
      <c r="EG40" s="7" t="str">
        <f>VC_NEW2!EB16</f>
        <v>Q132X</v>
      </c>
      <c r="EH40" s="7" t="str">
        <f>VC_NEW2!EC16</f>
        <v>nt320∆16</v>
      </c>
      <c r="EI40" s="7">
        <f>VC_NEW2!ED16</f>
        <v>0</v>
      </c>
      <c r="EJ40" s="7">
        <f>VC_NEW2!EE16</f>
        <v>0</v>
      </c>
      <c r="EK40" s="7">
        <f>VC_NEW2!EF16</f>
        <v>0</v>
      </c>
      <c r="EL40" s="7">
        <f>VC_NEW2!EG16</f>
        <v>0</v>
      </c>
      <c r="EM40" s="7">
        <f>VC_NEW2!EH16</f>
        <v>0</v>
      </c>
      <c r="EN40" s="7">
        <f>VC_NEW2!EI16</f>
        <v>0</v>
      </c>
      <c r="EO40" s="7">
        <f>VC_NEW2!EJ16</f>
        <v>0</v>
      </c>
      <c r="EP40" s="7">
        <f>VC_NEW2!EK16</f>
        <v>0</v>
      </c>
      <c r="EQ40" s="7">
        <f>VC_NEW2!EL16</f>
        <v>0</v>
      </c>
      <c r="ER40" s="7">
        <f>VC_NEW2!EM16</f>
        <v>0</v>
      </c>
      <c r="ES40" s="7" t="str">
        <f>VC_NEW2!EN16</f>
        <v>Y204X</v>
      </c>
      <c r="ET40" s="7">
        <f>VC_NEW2!EO16</f>
        <v>0</v>
      </c>
      <c r="EU40" s="7">
        <f>VC_NEW2!EP16</f>
        <v>0</v>
      </c>
      <c r="EV40" s="7">
        <f>VC_NEW2!EQ16</f>
        <v>0</v>
      </c>
      <c r="EW40" s="7" t="str">
        <f>VC_NEW2!ER16</f>
        <v>F192L</v>
      </c>
      <c r="EX40" s="7">
        <f>VC_NEW2!ES16</f>
        <v>0</v>
      </c>
      <c r="EY40" s="7">
        <f>VC_NEW2!ET16</f>
        <v>0</v>
      </c>
      <c r="EZ40" s="7" t="str">
        <f>VC_NEW2!EU16</f>
        <v>nt367∆10</v>
      </c>
      <c r="FA40" s="7" t="str">
        <f>VC_NEW2!EV16</f>
        <v>nt100∆1</v>
      </c>
      <c r="FB40" s="7">
        <f>VC_NEW2!EW16</f>
        <v>0</v>
      </c>
      <c r="FC40" s="7">
        <f>VC_NEW2!EX16</f>
        <v>0</v>
      </c>
      <c r="FD40" s="7">
        <f>VC_NEW2!EY16</f>
        <v>0</v>
      </c>
      <c r="FE40" s="7" t="str">
        <f>VC_NEW2!EZ16</f>
        <v>aa163InsY</v>
      </c>
      <c r="FF40" s="7">
        <f>VC_NEW2!FA16</f>
        <v>0</v>
      </c>
      <c r="FG40" s="7">
        <f>VC_NEW2!FB16</f>
        <v>0</v>
      </c>
      <c r="FH40" s="7">
        <f>VC_NEW2!FC16</f>
        <v>0</v>
      </c>
      <c r="FI40" s="7" t="str">
        <f>VC_NEW2!FD16</f>
        <v>A47V</v>
      </c>
      <c r="FJ40" s="7">
        <f>VC_NEW2!FE16</f>
        <v>0</v>
      </c>
      <c r="FK40" s="7">
        <f>VC_NEW2!FF16</f>
        <v>0</v>
      </c>
      <c r="FL40" s="7">
        <f>VC_NEW2!FG16</f>
        <v>0</v>
      </c>
      <c r="FM40" s="7">
        <f>VC_NEW2!FH16</f>
        <v>0</v>
      </c>
      <c r="FN40" s="7">
        <f>VC_NEW2!FI16</f>
        <v>0</v>
      </c>
      <c r="FO40" s="7">
        <f>VC_NEW2!FJ16</f>
        <v>0</v>
      </c>
      <c r="FP40" s="7">
        <f>VC_NEW2!FK16</f>
        <v>0</v>
      </c>
      <c r="FQ40" s="7" t="str">
        <f>VC_NEW2!FL16</f>
        <v>G195D</v>
      </c>
      <c r="FR40" s="7">
        <f>VC_NEW2!FM16</f>
        <v>0</v>
      </c>
      <c r="FS40" s="7" t="str">
        <f>VC_NEW2!FN16</f>
        <v>A81V, Q134R</v>
      </c>
      <c r="FT40" s="7">
        <f>VC_NEW2!FO16</f>
        <v>0</v>
      </c>
      <c r="FU40" s="7" t="str">
        <f>VC_NEW2!FP16</f>
        <v>Q132P</v>
      </c>
      <c r="FV40" s="7">
        <f>VC_NEW2!FQ16</f>
        <v>0</v>
      </c>
      <c r="FW40" s="7">
        <f>VC_NEW2!FR16</f>
        <v>0</v>
      </c>
      <c r="FX40" s="7">
        <f>VC_NEW2!FS16</f>
        <v>0</v>
      </c>
      <c r="FY40" s="7">
        <f>VC_NEW2!FT16</f>
        <v>0</v>
      </c>
      <c r="FZ40" s="7">
        <f>VC_NEW2!FU16</f>
        <v>0</v>
      </c>
      <c r="GA40" s="7" t="str">
        <f>VC_NEW2!FV16</f>
        <v>G195D</v>
      </c>
      <c r="GB40" s="7">
        <f>VC_NEW2!FW16</f>
        <v>0</v>
      </c>
      <c r="GC40" s="7">
        <f>VC_NEW2!FX16</f>
        <v>0</v>
      </c>
      <c r="GD40" s="7">
        <f>VC_NEW2!FY16</f>
        <v>0</v>
      </c>
      <c r="GE40" s="7">
        <f>VC_NEW2!FZ16</f>
        <v>0</v>
      </c>
      <c r="GF40" s="7">
        <f>VC_NEW2!GA16</f>
        <v>0</v>
      </c>
      <c r="GG40" s="7">
        <f>VC_NEW2!GB16</f>
        <v>0</v>
      </c>
      <c r="GH40" s="7">
        <f>VC_NEW2!GC16</f>
        <v>0</v>
      </c>
      <c r="GI40" s="7">
        <f>VC_NEW2!GD16</f>
        <v>0</v>
      </c>
      <c r="GJ40" s="7">
        <f>VC_NEW2!GE16</f>
        <v>0</v>
      </c>
      <c r="GK40" s="7">
        <f>VC_NEW2!GF16</f>
        <v>0</v>
      </c>
      <c r="GL40" s="7" t="str">
        <f>VC_NEW2!GG16</f>
        <v>A88P</v>
      </c>
      <c r="GM40" s="7" t="str">
        <f>VC_NEW2!GH16</f>
        <v>G195D</v>
      </c>
      <c r="GN40" s="7" t="str">
        <f>VC_NEW2!GI16</f>
        <v>nt227∆1</v>
      </c>
      <c r="GO40" s="7">
        <f>VC_NEW2!GJ16</f>
        <v>0</v>
      </c>
      <c r="GP40" s="7">
        <f>VC_NEW2!GK16</f>
        <v>0</v>
      </c>
      <c r="GQ40" s="7">
        <f>VC_NEW2!GL16</f>
        <v>0</v>
      </c>
      <c r="GR40" s="7">
        <f>VC_NEW2!GM16</f>
        <v>0</v>
      </c>
      <c r="GS40" s="7">
        <f>VC_NEW2!GN16</f>
        <v>0</v>
      </c>
      <c r="GT40" s="7">
        <f>VC_NEW2!GO16</f>
        <v>0</v>
      </c>
      <c r="GU40" s="7">
        <f>VC_NEW2!GP16</f>
        <v>0</v>
      </c>
      <c r="GV40" s="7">
        <f>VC_NEW2!GQ16</f>
        <v>0</v>
      </c>
      <c r="GW40" s="7">
        <f>VC_NEW2!GR16</f>
        <v>0</v>
      </c>
      <c r="GX40" s="7" t="str">
        <f>VC_NEW2!GS16</f>
        <v>R104W</v>
      </c>
      <c r="GY40" s="7">
        <f>VC_NEW2!GT16</f>
        <v>0</v>
      </c>
      <c r="GZ40" s="7">
        <f>VC_NEW2!GU16</f>
        <v>0</v>
      </c>
      <c r="HA40" s="7">
        <f>VC_NEW2!GV16</f>
        <v>0</v>
      </c>
      <c r="HB40" s="7" t="str">
        <f>VC_NEW2!GW16</f>
        <v>G195D</v>
      </c>
      <c r="HC40" s="7">
        <f>VC_NEW2!GX16</f>
        <v>0</v>
      </c>
    </row>
    <row r="41" spans="1:211" s="7" customFormat="1" ht="15" customHeight="1" x14ac:dyDescent="0.25">
      <c r="A41" s="36" t="s">
        <v>53</v>
      </c>
      <c r="B41" s="37" t="s">
        <v>54</v>
      </c>
      <c r="C41" s="38" t="s">
        <v>2</v>
      </c>
      <c r="D41" s="37" t="s">
        <v>76</v>
      </c>
      <c r="E41" s="37" t="s">
        <v>138</v>
      </c>
      <c r="F41" s="37" t="s">
        <v>74</v>
      </c>
      <c r="G41" s="39" t="s">
        <v>136</v>
      </c>
      <c r="H41" s="7">
        <f>VC_NEW2!C16</f>
        <v>0</v>
      </c>
      <c r="I41" s="7">
        <f>VC_NEW2!D16</f>
        <v>0</v>
      </c>
      <c r="J41" s="7">
        <f>VC_NEW2!E16</f>
        <v>0</v>
      </c>
      <c r="K41" s="7">
        <f>VC_NEW2!F16</f>
        <v>0</v>
      </c>
      <c r="L41" s="7" t="str">
        <f>VC_NEW2!G16</f>
        <v>aa103∆1</v>
      </c>
      <c r="M41" s="7">
        <f>VC_NEW2!H16</f>
        <v>0</v>
      </c>
      <c r="N41" s="7" t="str">
        <f>VC_NEW2!I16</f>
        <v>aa163InsY</v>
      </c>
      <c r="O41" s="7">
        <f>VC_NEW2!J16</f>
        <v>0</v>
      </c>
      <c r="P41" s="7">
        <f>VC_NEW2!K16</f>
        <v>0</v>
      </c>
      <c r="Q41" s="7">
        <f>VC_NEW2!L16</f>
        <v>0</v>
      </c>
      <c r="R41" s="7">
        <f>VC_NEW2!M16</f>
        <v>0</v>
      </c>
      <c r="S41" s="7">
        <f>VC_NEW2!N16</f>
        <v>0</v>
      </c>
      <c r="T41" s="7">
        <f>VC_NEW2!O16</f>
        <v>0</v>
      </c>
      <c r="U41" s="7">
        <f>VC_NEW2!P16</f>
        <v>0</v>
      </c>
      <c r="V41" s="7">
        <f>VC_NEW2!Q16</f>
        <v>0</v>
      </c>
      <c r="W41" s="7">
        <f>VC_NEW2!R16</f>
        <v>0</v>
      </c>
      <c r="X41" s="7">
        <f>VC_NEW2!S16</f>
        <v>0</v>
      </c>
      <c r="Y41" s="7">
        <f>VC_NEW2!T16</f>
        <v>0</v>
      </c>
      <c r="Z41" s="7">
        <f>VC_NEW2!U16</f>
        <v>0</v>
      </c>
      <c r="AA41" s="7">
        <f>VC_NEW2!V16</f>
        <v>0</v>
      </c>
      <c r="AB41" s="7">
        <f>VC_NEW2!W16</f>
        <v>0</v>
      </c>
      <c r="AC41" s="7" t="str">
        <f>VC_NEW2!X16</f>
        <v>T12N</v>
      </c>
      <c r="AD41" s="7">
        <f>VC_NEW2!Y16</f>
        <v>0</v>
      </c>
      <c r="AE41" s="7">
        <f>VC_NEW2!Z16</f>
        <v>0</v>
      </c>
      <c r="AF41" s="7">
        <f>VC_NEW2!AA16</f>
        <v>0</v>
      </c>
      <c r="AG41" s="7">
        <f>VC_NEW2!AB16</f>
        <v>0</v>
      </c>
      <c r="AH41" s="7">
        <f>VC_NEW2!AC16</f>
        <v>0</v>
      </c>
      <c r="AI41" s="7">
        <f>VC_NEW2!AD16</f>
        <v>0</v>
      </c>
      <c r="AJ41" s="7">
        <f>VC_NEW2!AE16</f>
        <v>0</v>
      </c>
      <c r="AK41" s="7">
        <f>VC_NEW2!AF16</f>
        <v>0</v>
      </c>
      <c r="AL41" s="7" t="str">
        <f>VC_NEW2!AG16</f>
        <v>W185X</v>
      </c>
      <c r="AM41" s="7">
        <f>VC_NEW2!AH16</f>
        <v>0</v>
      </c>
      <c r="AN41" s="7">
        <f>VC_NEW2!AI16</f>
        <v>0</v>
      </c>
      <c r="AO41" s="7">
        <f>VC_NEW2!AJ16</f>
        <v>0</v>
      </c>
      <c r="AP41" s="7">
        <f>VC_NEW2!AK16</f>
        <v>0</v>
      </c>
      <c r="AQ41" s="7" t="str">
        <f>VC_NEW2!AL16</f>
        <v>nt484InsC</v>
      </c>
      <c r="AR41" s="7">
        <f>VC_NEW2!AM16</f>
        <v>0</v>
      </c>
      <c r="AS41" s="7">
        <f>VC_NEW2!AN16</f>
        <v>0</v>
      </c>
      <c r="AT41" s="7">
        <f>VC_NEW2!AO16</f>
        <v>0</v>
      </c>
      <c r="AU41" s="7">
        <f>VC_NEW2!AP16</f>
        <v>0</v>
      </c>
      <c r="AV41" s="7">
        <f>VC_NEW2!AQ16</f>
        <v>0</v>
      </c>
      <c r="AW41" s="7">
        <f>VC_NEW2!AR16</f>
        <v>0</v>
      </c>
      <c r="AX41" s="7">
        <f>VC_NEW2!AS16</f>
        <v>0</v>
      </c>
      <c r="AY41" s="7">
        <f>VC_NEW2!AT16</f>
        <v>0</v>
      </c>
      <c r="AZ41" s="7">
        <f>VC_NEW2!AU16</f>
        <v>0</v>
      </c>
      <c r="BA41" s="7" t="str">
        <f>VC_NEW2!AV16</f>
        <v>G195D</v>
      </c>
      <c r="BB41" s="7">
        <f>VC_NEW2!AW16</f>
        <v>0</v>
      </c>
      <c r="BC41" s="7" t="str">
        <f>VC_NEW2!AX16</f>
        <v>G195D</v>
      </c>
      <c r="BD41" s="7">
        <f>VC_NEW2!AY16</f>
        <v>0</v>
      </c>
      <c r="BE41" s="7" t="str">
        <f>VC_NEW2!AZ16</f>
        <v>aa187∆6</v>
      </c>
      <c r="BF41" s="7">
        <f>VC_NEW2!BA16</f>
        <v>0</v>
      </c>
      <c r="BG41" s="7" t="str">
        <f>VC_NEW2!BB16</f>
        <v>G68D</v>
      </c>
      <c r="BH41" s="7">
        <f>VC_NEW2!BC16</f>
        <v>0</v>
      </c>
      <c r="BI41" s="7" t="str">
        <f>VC_NEW2!BD16</f>
        <v>G195D</v>
      </c>
      <c r="BJ41" s="7">
        <f>VC_NEW2!BE16</f>
        <v>0</v>
      </c>
      <c r="BK41" s="7">
        <f>VC_NEW2!BF16</f>
        <v>0</v>
      </c>
      <c r="BL41" s="7">
        <f>VC_NEW2!BG16</f>
        <v>0</v>
      </c>
      <c r="BM41" s="7">
        <f>VC_NEW2!BH16</f>
        <v>0</v>
      </c>
      <c r="BN41" s="7">
        <f>VC_NEW2!BI16</f>
        <v>0</v>
      </c>
      <c r="BO41" s="7">
        <f>VC_NEW2!BJ16</f>
        <v>0</v>
      </c>
      <c r="BP41" s="7">
        <f>VC_NEW2!BK16</f>
        <v>0</v>
      </c>
      <c r="BQ41" s="7" t="str">
        <f>VC_NEW2!BL16</f>
        <v>Q140K</v>
      </c>
      <c r="BR41" s="7">
        <f>VC_NEW2!BM16</f>
        <v>0</v>
      </c>
      <c r="BS41" s="7" t="str">
        <f>VC_NEW2!BN16</f>
        <v>G195D</v>
      </c>
      <c r="BT41" s="7" t="str">
        <f>VC_NEW2!BO16</f>
        <v>nt526∆8</v>
      </c>
      <c r="BU41" s="7">
        <f>VC_NEW2!BP16</f>
        <v>0</v>
      </c>
      <c r="BV41" s="7">
        <f>VC_NEW2!BQ16</f>
        <v>0</v>
      </c>
      <c r="BW41" s="7" t="str">
        <f>VC_NEW2!BR16</f>
        <v>V105G</v>
      </c>
      <c r="BX41" s="7">
        <f>VC_NEW2!BS16</f>
        <v>0</v>
      </c>
      <c r="BY41" s="7">
        <f>VC_NEW2!BT16</f>
        <v>0</v>
      </c>
      <c r="BZ41" s="7">
        <f>VC_NEW2!BU16</f>
        <v>0</v>
      </c>
      <c r="CA41" s="7">
        <f>VC_NEW2!BV16</f>
        <v>0</v>
      </c>
      <c r="CB41" s="7">
        <f>VC_NEW2!BW16</f>
        <v>0</v>
      </c>
      <c r="CC41" s="7">
        <f>VC_NEW2!BX16</f>
        <v>0</v>
      </c>
      <c r="CD41" s="7" t="str">
        <f>VC_NEW2!BY16</f>
        <v>G195D</v>
      </c>
      <c r="CE41" s="7">
        <f>VC_NEW2!BZ16</f>
        <v>0</v>
      </c>
      <c r="CF41" s="7">
        <f>VC_NEW2!CA16</f>
        <v>0</v>
      </c>
      <c r="CG41" s="7">
        <f>VC_NEW2!CB16</f>
        <v>0</v>
      </c>
      <c r="CH41" s="7">
        <f>VC_NEW2!CC16</f>
        <v>0</v>
      </c>
      <c r="CI41" s="7">
        <f>VC_NEW2!CD16</f>
        <v>0</v>
      </c>
      <c r="CJ41" s="7" t="str">
        <f>VC_NEW2!CE16</f>
        <v>G195D</v>
      </c>
      <c r="CK41" s="7" t="str">
        <f>VC_NEW2!CF16</f>
        <v>G195D</v>
      </c>
      <c r="CL41" s="7">
        <f>VC_NEW2!CG16</f>
        <v>0</v>
      </c>
      <c r="CM41" s="7" t="str">
        <f>VC_NEW2!CH16</f>
        <v>V105G</v>
      </c>
      <c r="CN41" s="7">
        <f>VC_NEW2!CI16</f>
        <v>0</v>
      </c>
      <c r="CO41" s="7">
        <f>VC_NEW2!CJ16</f>
        <v>0</v>
      </c>
      <c r="CP41" s="7" t="str">
        <f>VC_NEW2!CK16</f>
        <v>G195D</v>
      </c>
      <c r="CQ41" s="7" t="str">
        <f>VC_NEW2!CL16</f>
        <v>G195D</v>
      </c>
      <c r="CR41" s="7">
        <f>VC_NEW2!CM16</f>
        <v>0</v>
      </c>
      <c r="CS41" s="7">
        <f>VC_NEW2!CN16</f>
        <v>0</v>
      </c>
      <c r="CT41" s="7">
        <f>VC_NEW2!CO16</f>
        <v>0</v>
      </c>
      <c r="CU41" s="7">
        <f>VC_NEW2!CP16</f>
        <v>0</v>
      </c>
      <c r="CV41" s="7">
        <f>VC_NEW2!CQ16</f>
        <v>0</v>
      </c>
      <c r="CW41" s="7">
        <f>VC_NEW2!CR16</f>
        <v>0</v>
      </c>
      <c r="CX41" s="7">
        <f>VC_NEW2!CS16</f>
        <v>0</v>
      </c>
      <c r="CY41" s="7">
        <f>VC_NEW2!CT16</f>
        <v>0</v>
      </c>
      <c r="CZ41" s="7" t="str">
        <f>VC_NEW2!CU16</f>
        <v>aa48∆9</v>
      </c>
      <c r="DA41" s="7">
        <f>VC_NEW2!CV16</f>
        <v>0</v>
      </c>
      <c r="DB41" s="7" t="str">
        <f>VC_NEW2!CW16</f>
        <v>H51D</v>
      </c>
      <c r="DC41" s="7">
        <f>VC_NEW2!CX16</f>
        <v>0</v>
      </c>
      <c r="DD41" s="7">
        <f>VC_NEW2!CY16</f>
        <v>0</v>
      </c>
      <c r="DE41" s="7">
        <f>VC_NEW2!CZ16</f>
        <v>0</v>
      </c>
      <c r="DF41" s="7">
        <f>VC_NEW2!DA16</f>
        <v>0</v>
      </c>
      <c r="DG41" s="7">
        <f>VC_NEW2!DB16</f>
        <v>0</v>
      </c>
      <c r="DH41" s="7">
        <f>VC_NEW2!DC16</f>
        <v>0</v>
      </c>
      <c r="DI41" s="7">
        <f>VC_NEW2!DD16</f>
        <v>0</v>
      </c>
      <c r="DJ41" s="7">
        <f>VC_NEW2!DE16</f>
        <v>0</v>
      </c>
      <c r="DK41" s="7">
        <f>VC_NEW2!DF16</f>
        <v>0</v>
      </c>
      <c r="DL41" s="7" t="str">
        <f>VC_NEW2!DG16</f>
        <v>R45C</v>
      </c>
      <c r="DM41" s="7" t="str">
        <f>VC_NEW2!DH16</f>
        <v>nt386∆1</v>
      </c>
      <c r="DN41" s="7" t="str">
        <f>VC_NEW2!DI16</f>
        <v>DELETED</v>
      </c>
      <c r="DO41" s="7">
        <f>VC_NEW2!DJ16</f>
        <v>0</v>
      </c>
      <c r="DP41" s="7">
        <f>VC_NEW2!DK16</f>
        <v>0</v>
      </c>
      <c r="DQ41" s="7">
        <f>VC_NEW2!DL16</f>
        <v>0</v>
      </c>
      <c r="DR41" s="7">
        <f>VC_NEW2!DM16</f>
        <v>0</v>
      </c>
      <c r="DS41" s="7">
        <f>VC_NEW2!DN16</f>
        <v>0</v>
      </c>
      <c r="DT41" s="7">
        <f>VC_NEW2!DO16</f>
        <v>0</v>
      </c>
      <c r="DU41" s="7">
        <f>VC_NEW2!DP16</f>
        <v>0</v>
      </c>
      <c r="DV41" s="7">
        <f>VC_NEW2!DQ16</f>
        <v>0</v>
      </c>
      <c r="DW41" s="7" t="str">
        <f>VC_NEW2!DR16</f>
        <v>G195D</v>
      </c>
      <c r="DX41" s="7">
        <f>VC_NEW2!DS16</f>
        <v>0</v>
      </c>
      <c r="DY41" s="7">
        <f>VC_NEW2!DT16</f>
        <v>0</v>
      </c>
      <c r="DZ41" s="7">
        <f>VC_NEW2!DU16</f>
        <v>0</v>
      </c>
      <c r="EA41" s="7" t="str">
        <f>VC_NEW2!DV16</f>
        <v>G195D</v>
      </c>
      <c r="EB41" s="7">
        <f>VC_NEW2!DW16</f>
        <v>0</v>
      </c>
      <c r="EC41" s="7" t="str">
        <f>VC_NEW2!DX16</f>
        <v>L37P</v>
      </c>
      <c r="ED41" s="7" t="str">
        <f>VC_NEW2!DY16</f>
        <v>nt491∆10</v>
      </c>
      <c r="EE41" s="7" t="str">
        <f>VC_NEW2!DZ16</f>
        <v>G195D</v>
      </c>
      <c r="EF41" s="7">
        <f>VC_NEW2!EA16</f>
        <v>0</v>
      </c>
      <c r="EG41" s="7" t="str">
        <f>VC_NEW2!EB16</f>
        <v>Q132X</v>
      </c>
      <c r="EH41" s="7" t="str">
        <f>VC_NEW2!EC16</f>
        <v>nt320∆16</v>
      </c>
      <c r="EI41" s="7">
        <f>VC_NEW2!ED16</f>
        <v>0</v>
      </c>
      <c r="EJ41" s="7">
        <f>VC_NEW2!EE16</f>
        <v>0</v>
      </c>
      <c r="EK41" s="7">
        <f>VC_NEW2!EF16</f>
        <v>0</v>
      </c>
      <c r="EL41" s="7">
        <f>VC_NEW2!EG16</f>
        <v>0</v>
      </c>
      <c r="EM41" s="7">
        <f>VC_NEW2!EH16</f>
        <v>0</v>
      </c>
      <c r="EN41" s="7">
        <f>VC_NEW2!EI16</f>
        <v>0</v>
      </c>
      <c r="EO41" s="7">
        <f>VC_NEW2!EJ16</f>
        <v>0</v>
      </c>
      <c r="EP41" s="7">
        <f>VC_NEW2!EK16</f>
        <v>0</v>
      </c>
      <c r="EQ41" s="7">
        <f>VC_NEW2!EL16</f>
        <v>0</v>
      </c>
      <c r="ER41" s="7">
        <f>VC_NEW2!EM16</f>
        <v>0</v>
      </c>
      <c r="ES41" s="7" t="str">
        <f>VC_NEW2!EN16</f>
        <v>Y204X</v>
      </c>
      <c r="ET41" s="7">
        <f>VC_NEW2!EO16</f>
        <v>0</v>
      </c>
      <c r="EU41" s="7">
        <f>VC_NEW2!EP16</f>
        <v>0</v>
      </c>
      <c r="EV41" s="7">
        <f>VC_NEW2!EQ16</f>
        <v>0</v>
      </c>
      <c r="EW41" s="7" t="str">
        <f>VC_NEW2!ER16</f>
        <v>F192L</v>
      </c>
      <c r="EX41" s="7">
        <f>VC_NEW2!ES16</f>
        <v>0</v>
      </c>
      <c r="EY41" s="7">
        <f>VC_NEW2!ET16</f>
        <v>0</v>
      </c>
      <c r="EZ41" s="7" t="str">
        <f>VC_NEW2!EU16</f>
        <v>nt367∆10</v>
      </c>
      <c r="FA41" s="7" t="str">
        <f>VC_NEW2!EV16</f>
        <v>nt100∆1</v>
      </c>
      <c r="FB41" s="7">
        <f>VC_NEW2!EW16</f>
        <v>0</v>
      </c>
      <c r="FC41" s="7">
        <f>VC_NEW2!EX16</f>
        <v>0</v>
      </c>
      <c r="FD41" s="7">
        <f>VC_NEW2!EY16</f>
        <v>0</v>
      </c>
      <c r="FE41" s="7" t="str">
        <f>VC_NEW2!EZ16</f>
        <v>aa163InsY</v>
      </c>
      <c r="FF41" s="7">
        <f>VC_NEW2!FA16</f>
        <v>0</v>
      </c>
      <c r="FG41" s="7">
        <f>VC_NEW2!FB16</f>
        <v>0</v>
      </c>
      <c r="FH41" s="7">
        <f>VC_NEW2!FC16</f>
        <v>0</v>
      </c>
      <c r="FI41" s="7" t="str">
        <f>VC_NEW2!FD16</f>
        <v>A47V</v>
      </c>
      <c r="FJ41" s="7">
        <f>VC_NEW2!FE16</f>
        <v>0</v>
      </c>
      <c r="FK41" s="7">
        <f>VC_NEW2!FF16</f>
        <v>0</v>
      </c>
      <c r="FL41" s="7">
        <f>VC_NEW2!FG16</f>
        <v>0</v>
      </c>
      <c r="FM41" s="7">
        <f>VC_NEW2!FH16</f>
        <v>0</v>
      </c>
      <c r="FN41" s="7">
        <f>VC_NEW2!FI16</f>
        <v>0</v>
      </c>
      <c r="FO41" s="7">
        <f>VC_NEW2!FJ16</f>
        <v>0</v>
      </c>
      <c r="FP41" s="7">
        <f>VC_NEW2!FK16</f>
        <v>0</v>
      </c>
      <c r="FQ41" s="7" t="str">
        <f>VC_NEW2!FL16</f>
        <v>G195D</v>
      </c>
      <c r="FR41" s="7">
        <f>VC_NEW2!FM16</f>
        <v>0</v>
      </c>
      <c r="FS41" s="7" t="str">
        <f>VC_NEW2!FN16</f>
        <v>A81V, Q134R</v>
      </c>
      <c r="FT41" s="7">
        <f>VC_NEW2!FO16</f>
        <v>0</v>
      </c>
      <c r="FU41" s="7" t="str">
        <f>VC_NEW2!FP16</f>
        <v>Q132P</v>
      </c>
      <c r="FV41" s="7">
        <f>VC_NEW2!FQ16</f>
        <v>0</v>
      </c>
      <c r="FW41" s="7">
        <f>VC_NEW2!FR16</f>
        <v>0</v>
      </c>
      <c r="FX41" s="7">
        <f>VC_NEW2!FS16</f>
        <v>0</v>
      </c>
      <c r="FY41" s="7">
        <f>VC_NEW2!FT16</f>
        <v>0</v>
      </c>
      <c r="FZ41" s="7">
        <f>VC_NEW2!FU16</f>
        <v>0</v>
      </c>
      <c r="GA41" s="7" t="str">
        <f>VC_NEW2!FV16</f>
        <v>G195D</v>
      </c>
      <c r="GB41" s="7">
        <f>VC_NEW2!FW16</f>
        <v>0</v>
      </c>
      <c r="GC41" s="7">
        <f>VC_NEW2!FX16</f>
        <v>0</v>
      </c>
      <c r="GD41" s="7">
        <f>VC_NEW2!FY16</f>
        <v>0</v>
      </c>
      <c r="GE41" s="7">
        <f>VC_NEW2!FZ16</f>
        <v>0</v>
      </c>
      <c r="GF41" s="7">
        <f>VC_NEW2!GA16</f>
        <v>0</v>
      </c>
      <c r="GG41" s="7">
        <f>VC_NEW2!GB16</f>
        <v>0</v>
      </c>
      <c r="GH41" s="7">
        <f>VC_NEW2!GC16</f>
        <v>0</v>
      </c>
      <c r="GI41" s="7">
        <f>VC_NEW2!GD16</f>
        <v>0</v>
      </c>
      <c r="GJ41" s="7">
        <f>VC_NEW2!GE16</f>
        <v>0</v>
      </c>
      <c r="GK41" s="7">
        <f>VC_NEW2!GF16</f>
        <v>0</v>
      </c>
      <c r="GL41" s="7" t="str">
        <f>VC_NEW2!GG16</f>
        <v>A88P</v>
      </c>
      <c r="GM41" s="7" t="str">
        <f>VC_NEW2!GH16</f>
        <v>G195D</v>
      </c>
      <c r="GN41" s="7" t="str">
        <f>VC_NEW2!GI16</f>
        <v>nt227∆1</v>
      </c>
      <c r="GO41" s="7">
        <f>VC_NEW2!GJ16</f>
        <v>0</v>
      </c>
      <c r="GP41" s="7">
        <f>VC_NEW2!GK16</f>
        <v>0</v>
      </c>
      <c r="GQ41" s="7">
        <f>VC_NEW2!GL16</f>
        <v>0</v>
      </c>
      <c r="GR41" s="7">
        <f>VC_NEW2!GM16</f>
        <v>0</v>
      </c>
      <c r="GS41" s="7">
        <f>VC_NEW2!GN16</f>
        <v>0</v>
      </c>
      <c r="GT41" s="7">
        <f>VC_NEW2!GO16</f>
        <v>0</v>
      </c>
      <c r="GU41" s="7">
        <f>VC_NEW2!GP16</f>
        <v>0</v>
      </c>
      <c r="GV41" s="7">
        <f>VC_NEW2!GQ16</f>
        <v>0</v>
      </c>
      <c r="GW41" s="7">
        <f>VC_NEW2!GR16</f>
        <v>0</v>
      </c>
      <c r="GX41" s="7" t="str">
        <f>VC_NEW2!GS16</f>
        <v>R104W</v>
      </c>
      <c r="GY41" s="7">
        <f>VC_NEW2!GT16</f>
        <v>0</v>
      </c>
      <c r="GZ41" s="7">
        <f>VC_NEW2!GU16</f>
        <v>0</v>
      </c>
      <c r="HA41" s="7">
        <f>VC_NEW2!GV16</f>
        <v>0</v>
      </c>
      <c r="HB41" s="7" t="str">
        <f>VC_NEW2!GW16</f>
        <v>G195D</v>
      </c>
      <c r="HC41" s="7">
        <f>VC_NEW2!GX16</f>
        <v>0</v>
      </c>
    </row>
    <row r="42" spans="1:211" s="7" customFormat="1" ht="15.75" hidden="1" customHeight="1" thickBot="1" x14ac:dyDescent="0.3">
      <c r="A42" s="40" t="s">
        <v>53</v>
      </c>
      <c r="B42" s="41" t="s">
        <v>54</v>
      </c>
      <c r="C42" s="42" t="s">
        <v>4</v>
      </c>
      <c r="D42" s="41" t="s">
        <v>76</v>
      </c>
      <c r="E42" s="41" t="s">
        <v>139</v>
      </c>
      <c r="F42" s="41" t="s">
        <v>74</v>
      </c>
      <c r="G42" s="43" t="s">
        <v>136</v>
      </c>
      <c r="H42" s="7">
        <f>VC_NEW2!C16</f>
        <v>0</v>
      </c>
      <c r="I42" s="7">
        <f>VC_NEW2!D16</f>
        <v>0</v>
      </c>
      <c r="J42" s="7">
        <f>VC_NEW2!E16</f>
        <v>0</v>
      </c>
      <c r="K42" s="7">
        <f>VC_NEW2!F16</f>
        <v>0</v>
      </c>
      <c r="L42" s="7" t="str">
        <f>VC_NEW2!G16</f>
        <v>aa103∆1</v>
      </c>
      <c r="M42" s="7">
        <f>VC_NEW2!H16</f>
        <v>0</v>
      </c>
      <c r="N42" s="7" t="str">
        <f>VC_NEW2!I16</f>
        <v>aa163InsY</v>
      </c>
      <c r="O42" s="7">
        <f>VC_NEW2!J16</f>
        <v>0</v>
      </c>
      <c r="P42" s="7">
        <f>VC_NEW2!K16</f>
        <v>0</v>
      </c>
      <c r="Q42" s="7">
        <f>VC_NEW2!L16</f>
        <v>0</v>
      </c>
      <c r="R42" s="7">
        <f>VC_NEW2!M16</f>
        <v>0</v>
      </c>
      <c r="S42" s="7">
        <f>VC_NEW2!N16</f>
        <v>0</v>
      </c>
      <c r="T42" s="7">
        <f>VC_NEW2!O16</f>
        <v>0</v>
      </c>
      <c r="U42" s="7">
        <f>VC_NEW2!P16</f>
        <v>0</v>
      </c>
      <c r="V42" s="7">
        <f>VC_NEW2!Q16</f>
        <v>0</v>
      </c>
      <c r="W42" s="7">
        <f>VC_NEW2!R16</f>
        <v>0</v>
      </c>
      <c r="X42" s="7">
        <f>VC_NEW2!S16</f>
        <v>0</v>
      </c>
      <c r="Y42" s="7">
        <f>VC_NEW2!T16</f>
        <v>0</v>
      </c>
      <c r="Z42" s="7">
        <f>VC_NEW2!U16</f>
        <v>0</v>
      </c>
      <c r="AA42" s="7">
        <f>VC_NEW2!V16</f>
        <v>0</v>
      </c>
      <c r="AB42" s="7">
        <f>VC_NEW2!W16</f>
        <v>0</v>
      </c>
      <c r="AC42" s="7" t="str">
        <f>VC_NEW2!X16</f>
        <v>T12N</v>
      </c>
      <c r="AD42" s="7">
        <f>VC_NEW2!Y16</f>
        <v>0</v>
      </c>
      <c r="AE42" s="7">
        <f>VC_NEW2!Z16</f>
        <v>0</v>
      </c>
      <c r="AF42" s="7">
        <f>VC_NEW2!AA16</f>
        <v>0</v>
      </c>
      <c r="AG42" s="7">
        <f>VC_NEW2!AB16</f>
        <v>0</v>
      </c>
      <c r="AH42" s="7">
        <f>VC_NEW2!AC16</f>
        <v>0</v>
      </c>
      <c r="AI42" s="7">
        <f>VC_NEW2!AD16</f>
        <v>0</v>
      </c>
      <c r="AJ42" s="7">
        <f>VC_NEW2!AE16</f>
        <v>0</v>
      </c>
      <c r="AK42" s="7">
        <f>VC_NEW2!AF16</f>
        <v>0</v>
      </c>
      <c r="AL42" s="7" t="str">
        <f>VC_NEW2!AG16</f>
        <v>W185X</v>
      </c>
      <c r="AM42" s="7">
        <f>VC_NEW2!AH16</f>
        <v>0</v>
      </c>
      <c r="AN42" s="7">
        <f>VC_NEW2!AI16</f>
        <v>0</v>
      </c>
      <c r="AO42" s="7">
        <f>VC_NEW2!AJ16</f>
        <v>0</v>
      </c>
      <c r="AP42" s="7">
        <f>VC_NEW2!AK16</f>
        <v>0</v>
      </c>
      <c r="AQ42" s="7" t="str">
        <f>VC_NEW2!AL16</f>
        <v>nt484InsC</v>
      </c>
      <c r="AR42" s="7">
        <f>VC_NEW2!AM16</f>
        <v>0</v>
      </c>
      <c r="AS42" s="7">
        <f>VC_NEW2!AN16</f>
        <v>0</v>
      </c>
      <c r="AT42" s="7">
        <f>VC_NEW2!AO16</f>
        <v>0</v>
      </c>
      <c r="AU42" s="7">
        <f>VC_NEW2!AP16</f>
        <v>0</v>
      </c>
      <c r="AV42" s="7">
        <f>VC_NEW2!AQ16</f>
        <v>0</v>
      </c>
      <c r="AW42" s="7">
        <f>VC_NEW2!AR16</f>
        <v>0</v>
      </c>
      <c r="AX42" s="7">
        <f>VC_NEW2!AS16</f>
        <v>0</v>
      </c>
      <c r="AY42" s="7">
        <f>VC_NEW2!AT16</f>
        <v>0</v>
      </c>
      <c r="AZ42" s="7">
        <f>VC_NEW2!AU16</f>
        <v>0</v>
      </c>
      <c r="BA42" s="7" t="str">
        <f>VC_NEW2!AV16</f>
        <v>G195D</v>
      </c>
      <c r="BB42" s="7">
        <f>VC_NEW2!AW16</f>
        <v>0</v>
      </c>
      <c r="BC42" s="7" t="str">
        <f>VC_NEW2!AX16</f>
        <v>G195D</v>
      </c>
      <c r="BD42" s="7">
        <f>VC_NEW2!AY16</f>
        <v>0</v>
      </c>
      <c r="BE42" s="7" t="str">
        <f>VC_NEW2!AZ16</f>
        <v>aa187∆6</v>
      </c>
      <c r="BF42" s="7">
        <f>VC_NEW2!BA16</f>
        <v>0</v>
      </c>
      <c r="BG42" s="7" t="str">
        <f>VC_NEW2!BB16</f>
        <v>G68D</v>
      </c>
      <c r="BH42" s="7">
        <f>VC_NEW2!BC16</f>
        <v>0</v>
      </c>
      <c r="BI42" s="7" t="str">
        <f>VC_NEW2!BD16</f>
        <v>G195D</v>
      </c>
      <c r="BJ42" s="7">
        <f>VC_NEW2!BE16</f>
        <v>0</v>
      </c>
      <c r="BK42" s="7">
        <f>VC_NEW2!BF16</f>
        <v>0</v>
      </c>
      <c r="BL42" s="7">
        <f>VC_NEW2!BG16</f>
        <v>0</v>
      </c>
      <c r="BM42" s="7">
        <f>VC_NEW2!BH16</f>
        <v>0</v>
      </c>
      <c r="BN42" s="7">
        <f>VC_NEW2!BI16</f>
        <v>0</v>
      </c>
      <c r="BO42" s="7">
        <f>VC_NEW2!BJ16</f>
        <v>0</v>
      </c>
      <c r="BP42" s="7">
        <f>VC_NEW2!BK16</f>
        <v>0</v>
      </c>
      <c r="BQ42" s="7" t="str">
        <f>VC_NEW2!BL16</f>
        <v>Q140K</v>
      </c>
      <c r="BR42" s="7">
        <f>VC_NEW2!BM16</f>
        <v>0</v>
      </c>
      <c r="BS42" s="7" t="str">
        <f>VC_NEW2!BN16</f>
        <v>G195D</v>
      </c>
      <c r="BT42" s="7" t="str">
        <f>VC_NEW2!BO16</f>
        <v>nt526∆8</v>
      </c>
      <c r="BU42" s="7">
        <f>VC_NEW2!BP16</f>
        <v>0</v>
      </c>
      <c r="BV42" s="7">
        <f>VC_NEW2!BQ16</f>
        <v>0</v>
      </c>
      <c r="BW42" s="7" t="str">
        <f>VC_NEW2!BR16</f>
        <v>V105G</v>
      </c>
      <c r="BX42" s="7">
        <f>VC_NEW2!BS16</f>
        <v>0</v>
      </c>
      <c r="BY42" s="7">
        <f>VC_NEW2!BT16</f>
        <v>0</v>
      </c>
      <c r="BZ42" s="7">
        <f>VC_NEW2!BU16</f>
        <v>0</v>
      </c>
      <c r="CA42" s="7">
        <f>VC_NEW2!BV16</f>
        <v>0</v>
      </c>
      <c r="CB42" s="7">
        <f>VC_NEW2!BW16</f>
        <v>0</v>
      </c>
      <c r="CC42" s="7">
        <f>VC_NEW2!BX16</f>
        <v>0</v>
      </c>
      <c r="CD42" s="7" t="str">
        <f>VC_NEW2!BY16</f>
        <v>G195D</v>
      </c>
      <c r="CE42" s="7">
        <f>VC_NEW2!BZ16</f>
        <v>0</v>
      </c>
      <c r="CF42" s="7">
        <f>VC_NEW2!CA16</f>
        <v>0</v>
      </c>
      <c r="CG42" s="7">
        <f>VC_NEW2!CB16</f>
        <v>0</v>
      </c>
      <c r="CH42" s="7">
        <f>VC_NEW2!CC16</f>
        <v>0</v>
      </c>
      <c r="CI42" s="7">
        <f>VC_NEW2!CD16</f>
        <v>0</v>
      </c>
      <c r="CJ42" s="7" t="str">
        <f>VC_NEW2!CE16</f>
        <v>G195D</v>
      </c>
      <c r="CK42" s="7" t="str">
        <f>VC_NEW2!CF16</f>
        <v>G195D</v>
      </c>
      <c r="CL42" s="7">
        <f>VC_NEW2!CG16</f>
        <v>0</v>
      </c>
      <c r="CM42" s="7" t="str">
        <f>VC_NEW2!CH16</f>
        <v>V105G</v>
      </c>
      <c r="CN42" s="7">
        <f>VC_NEW2!CI16</f>
        <v>0</v>
      </c>
      <c r="CO42" s="7">
        <f>VC_NEW2!CJ16</f>
        <v>0</v>
      </c>
      <c r="CP42" s="7" t="str">
        <f>VC_NEW2!CK16</f>
        <v>G195D</v>
      </c>
      <c r="CQ42" s="7" t="str">
        <f>VC_NEW2!CL16</f>
        <v>G195D</v>
      </c>
      <c r="CR42" s="7">
        <f>VC_NEW2!CM16</f>
        <v>0</v>
      </c>
      <c r="CS42" s="7">
        <f>VC_NEW2!CN16</f>
        <v>0</v>
      </c>
      <c r="CT42" s="7">
        <f>VC_NEW2!CO16</f>
        <v>0</v>
      </c>
      <c r="CU42" s="7">
        <f>VC_NEW2!CP16</f>
        <v>0</v>
      </c>
      <c r="CV42" s="7">
        <f>VC_NEW2!CQ16</f>
        <v>0</v>
      </c>
      <c r="CW42" s="7">
        <f>VC_NEW2!CR16</f>
        <v>0</v>
      </c>
      <c r="CX42" s="7">
        <f>VC_NEW2!CS16</f>
        <v>0</v>
      </c>
      <c r="CY42" s="7">
        <f>VC_NEW2!CT16</f>
        <v>0</v>
      </c>
      <c r="CZ42" s="7" t="str">
        <f>VC_NEW2!CU16</f>
        <v>aa48∆9</v>
      </c>
      <c r="DA42" s="7">
        <f>VC_NEW2!CV16</f>
        <v>0</v>
      </c>
      <c r="DB42" s="7" t="str">
        <f>VC_NEW2!CW16</f>
        <v>H51D</v>
      </c>
      <c r="DC42" s="7">
        <f>VC_NEW2!CX16</f>
        <v>0</v>
      </c>
      <c r="DD42" s="7">
        <f>VC_NEW2!CY16</f>
        <v>0</v>
      </c>
      <c r="DE42" s="7">
        <f>VC_NEW2!CZ16</f>
        <v>0</v>
      </c>
      <c r="DF42" s="7">
        <f>VC_NEW2!DA16</f>
        <v>0</v>
      </c>
      <c r="DG42" s="7">
        <f>VC_NEW2!DB16</f>
        <v>0</v>
      </c>
      <c r="DH42" s="7">
        <f>VC_NEW2!DC16</f>
        <v>0</v>
      </c>
      <c r="DI42" s="7">
        <f>VC_NEW2!DD16</f>
        <v>0</v>
      </c>
      <c r="DJ42" s="7">
        <f>VC_NEW2!DE16</f>
        <v>0</v>
      </c>
      <c r="DK42" s="7">
        <f>VC_NEW2!DF16</f>
        <v>0</v>
      </c>
      <c r="DL42" s="7" t="str">
        <f>VC_NEW2!DG16</f>
        <v>R45C</v>
      </c>
      <c r="DM42" s="7" t="str">
        <f>VC_NEW2!DH16</f>
        <v>nt386∆1</v>
      </c>
      <c r="DN42" s="7" t="str">
        <f>VC_NEW2!DI16</f>
        <v>DELETED</v>
      </c>
      <c r="DO42" s="7">
        <f>VC_NEW2!DJ16</f>
        <v>0</v>
      </c>
      <c r="DP42" s="7">
        <f>VC_NEW2!DK16</f>
        <v>0</v>
      </c>
      <c r="DQ42" s="7">
        <f>VC_NEW2!DL16</f>
        <v>0</v>
      </c>
      <c r="DR42" s="7">
        <f>VC_NEW2!DM16</f>
        <v>0</v>
      </c>
      <c r="DS42" s="7">
        <f>VC_NEW2!DN16</f>
        <v>0</v>
      </c>
      <c r="DT42" s="7">
        <f>VC_NEW2!DO16</f>
        <v>0</v>
      </c>
      <c r="DU42" s="7">
        <f>VC_NEW2!DP16</f>
        <v>0</v>
      </c>
      <c r="DV42" s="7">
        <f>VC_NEW2!DQ16</f>
        <v>0</v>
      </c>
      <c r="DW42" s="7" t="str">
        <f>VC_NEW2!DR16</f>
        <v>G195D</v>
      </c>
      <c r="DX42" s="7">
        <f>VC_NEW2!DS16</f>
        <v>0</v>
      </c>
      <c r="DY42" s="7">
        <f>VC_NEW2!DT16</f>
        <v>0</v>
      </c>
      <c r="DZ42" s="7">
        <f>VC_NEW2!DU16</f>
        <v>0</v>
      </c>
      <c r="EA42" s="7" t="str">
        <f>VC_NEW2!DV16</f>
        <v>G195D</v>
      </c>
      <c r="EB42" s="7">
        <f>VC_NEW2!DW16</f>
        <v>0</v>
      </c>
      <c r="EC42" s="7" t="str">
        <f>VC_NEW2!DX16</f>
        <v>L37P</v>
      </c>
      <c r="ED42" s="7" t="str">
        <f>VC_NEW2!DY16</f>
        <v>nt491∆10</v>
      </c>
      <c r="EE42" s="7" t="str">
        <f>VC_NEW2!DZ16</f>
        <v>G195D</v>
      </c>
      <c r="EF42" s="7">
        <f>VC_NEW2!EA16</f>
        <v>0</v>
      </c>
      <c r="EG42" s="7" t="str">
        <f>VC_NEW2!EB16</f>
        <v>Q132X</v>
      </c>
      <c r="EH42" s="7" t="str">
        <f>VC_NEW2!EC16</f>
        <v>nt320∆16</v>
      </c>
      <c r="EI42" s="7">
        <f>VC_NEW2!ED16</f>
        <v>0</v>
      </c>
      <c r="EJ42" s="7">
        <f>VC_NEW2!EE16</f>
        <v>0</v>
      </c>
      <c r="EK42" s="7">
        <f>VC_NEW2!EF16</f>
        <v>0</v>
      </c>
      <c r="EL42" s="7">
        <f>VC_NEW2!EG16</f>
        <v>0</v>
      </c>
      <c r="EM42" s="7">
        <f>VC_NEW2!EH16</f>
        <v>0</v>
      </c>
      <c r="EN42" s="7">
        <f>VC_NEW2!EI16</f>
        <v>0</v>
      </c>
      <c r="EO42" s="7">
        <f>VC_NEW2!EJ16</f>
        <v>0</v>
      </c>
      <c r="EP42" s="7">
        <f>VC_NEW2!EK16</f>
        <v>0</v>
      </c>
      <c r="EQ42" s="7">
        <f>VC_NEW2!EL16</f>
        <v>0</v>
      </c>
      <c r="ER42" s="7">
        <f>VC_NEW2!EM16</f>
        <v>0</v>
      </c>
      <c r="ES42" s="7" t="str">
        <f>VC_NEW2!EN16</f>
        <v>Y204X</v>
      </c>
      <c r="ET42" s="7">
        <f>VC_NEW2!EO16</f>
        <v>0</v>
      </c>
      <c r="EU42" s="7">
        <f>VC_NEW2!EP16</f>
        <v>0</v>
      </c>
      <c r="EV42" s="7">
        <f>VC_NEW2!EQ16</f>
        <v>0</v>
      </c>
      <c r="EW42" s="7" t="str">
        <f>VC_NEW2!ER16</f>
        <v>F192L</v>
      </c>
      <c r="EX42" s="7">
        <f>VC_NEW2!ES16</f>
        <v>0</v>
      </c>
      <c r="EY42" s="7">
        <f>VC_NEW2!ET16</f>
        <v>0</v>
      </c>
      <c r="EZ42" s="7" t="str">
        <f>VC_NEW2!EU16</f>
        <v>nt367∆10</v>
      </c>
      <c r="FA42" s="7" t="str">
        <f>VC_NEW2!EV16</f>
        <v>nt100∆1</v>
      </c>
      <c r="FB42" s="7">
        <f>VC_NEW2!EW16</f>
        <v>0</v>
      </c>
      <c r="FC42" s="7">
        <f>VC_NEW2!EX16</f>
        <v>0</v>
      </c>
      <c r="FD42" s="7">
        <f>VC_NEW2!EY16</f>
        <v>0</v>
      </c>
      <c r="FE42" s="7" t="str">
        <f>VC_NEW2!EZ16</f>
        <v>aa163InsY</v>
      </c>
      <c r="FF42" s="7">
        <f>VC_NEW2!FA16</f>
        <v>0</v>
      </c>
      <c r="FG42" s="7">
        <f>VC_NEW2!FB16</f>
        <v>0</v>
      </c>
      <c r="FH42" s="7">
        <f>VC_NEW2!FC16</f>
        <v>0</v>
      </c>
      <c r="FI42" s="7" t="str">
        <f>VC_NEW2!FD16</f>
        <v>A47V</v>
      </c>
      <c r="FJ42" s="7">
        <f>VC_NEW2!FE16</f>
        <v>0</v>
      </c>
      <c r="FK42" s="7">
        <f>VC_NEW2!FF16</f>
        <v>0</v>
      </c>
      <c r="FL42" s="7">
        <f>VC_NEW2!FG16</f>
        <v>0</v>
      </c>
      <c r="FM42" s="7">
        <f>VC_NEW2!FH16</f>
        <v>0</v>
      </c>
      <c r="FN42" s="7">
        <f>VC_NEW2!FI16</f>
        <v>0</v>
      </c>
      <c r="FO42" s="7">
        <f>VC_NEW2!FJ16</f>
        <v>0</v>
      </c>
      <c r="FP42" s="7">
        <f>VC_NEW2!FK16</f>
        <v>0</v>
      </c>
      <c r="FQ42" s="7" t="str">
        <f>VC_NEW2!FL16</f>
        <v>G195D</v>
      </c>
      <c r="FR42" s="7">
        <f>VC_NEW2!FM16</f>
        <v>0</v>
      </c>
      <c r="FS42" s="7" t="str">
        <f>VC_NEW2!FN16</f>
        <v>A81V, Q134R</v>
      </c>
      <c r="FT42" s="7">
        <f>VC_NEW2!FO16</f>
        <v>0</v>
      </c>
      <c r="FU42" s="7" t="str">
        <f>VC_NEW2!FP16</f>
        <v>Q132P</v>
      </c>
      <c r="FV42" s="7">
        <f>VC_NEW2!FQ16</f>
        <v>0</v>
      </c>
      <c r="FW42" s="7">
        <f>VC_NEW2!FR16</f>
        <v>0</v>
      </c>
      <c r="FX42" s="7">
        <f>VC_NEW2!FS16</f>
        <v>0</v>
      </c>
      <c r="FY42" s="7">
        <f>VC_NEW2!FT16</f>
        <v>0</v>
      </c>
      <c r="FZ42" s="7">
        <f>VC_NEW2!FU16</f>
        <v>0</v>
      </c>
      <c r="GA42" s="7" t="str">
        <f>VC_NEW2!FV16</f>
        <v>G195D</v>
      </c>
      <c r="GB42" s="7">
        <f>VC_NEW2!FW16</f>
        <v>0</v>
      </c>
      <c r="GC42" s="7">
        <f>VC_NEW2!FX16</f>
        <v>0</v>
      </c>
      <c r="GD42" s="7">
        <f>VC_NEW2!FY16</f>
        <v>0</v>
      </c>
      <c r="GE42" s="7">
        <f>VC_NEW2!FZ16</f>
        <v>0</v>
      </c>
      <c r="GF42" s="7">
        <f>VC_NEW2!GA16</f>
        <v>0</v>
      </c>
      <c r="GG42" s="7">
        <f>VC_NEW2!GB16</f>
        <v>0</v>
      </c>
      <c r="GH42" s="7">
        <f>VC_NEW2!GC16</f>
        <v>0</v>
      </c>
      <c r="GI42" s="7">
        <f>VC_NEW2!GD16</f>
        <v>0</v>
      </c>
      <c r="GJ42" s="7">
        <f>VC_NEW2!GE16</f>
        <v>0</v>
      </c>
      <c r="GK42" s="7">
        <f>VC_NEW2!GF16</f>
        <v>0</v>
      </c>
      <c r="GL42" s="7" t="str">
        <f>VC_NEW2!GG16</f>
        <v>A88P</v>
      </c>
      <c r="GM42" s="7" t="str">
        <f>VC_NEW2!GH16</f>
        <v>G195D</v>
      </c>
      <c r="GN42" s="7" t="str">
        <f>VC_NEW2!GI16</f>
        <v>nt227∆1</v>
      </c>
      <c r="GO42" s="7">
        <f>VC_NEW2!GJ16</f>
        <v>0</v>
      </c>
      <c r="GP42" s="7">
        <f>VC_NEW2!GK16</f>
        <v>0</v>
      </c>
      <c r="GQ42" s="7">
        <f>VC_NEW2!GL16</f>
        <v>0</v>
      </c>
      <c r="GR42" s="7">
        <f>VC_NEW2!GM16</f>
        <v>0</v>
      </c>
      <c r="GS42" s="7">
        <f>VC_NEW2!GN16</f>
        <v>0</v>
      </c>
      <c r="GT42" s="7">
        <f>VC_NEW2!GO16</f>
        <v>0</v>
      </c>
      <c r="GU42" s="7">
        <f>VC_NEW2!GP16</f>
        <v>0</v>
      </c>
      <c r="GV42" s="7">
        <f>VC_NEW2!GQ16</f>
        <v>0</v>
      </c>
      <c r="GW42" s="7">
        <f>VC_NEW2!GR16</f>
        <v>0</v>
      </c>
      <c r="GX42" s="7" t="str">
        <f>VC_NEW2!GS16</f>
        <v>R104W</v>
      </c>
      <c r="GY42" s="7">
        <f>VC_NEW2!GT16</f>
        <v>0</v>
      </c>
      <c r="GZ42" s="7">
        <f>VC_NEW2!GU16</f>
        <v>0</v>
      </c>
      <c r="HA42" s="7">
        <f>VC_NEW2!GV16</f>
        <v>0</v>
      </c>
      <c r="HB42" s="7" t="str">
        <f>VC_NEW2!GW16</f>
        <v>G195D</v>
      </c>
      <c r="HC42" s="7">
        <f>VC_NEW2!GX16</f>
        <v>0</v>
      </c>
    </row>
    <row r="43" spans="1:211" s="1" customFormat="1" ht="15" hidden="1" customHeight="1" x14ac:dyDescent="0.25">
      <c r="A43" s="1" t="s">
        <v>16</v>
      </c>
      <c r="B43" s="1" t="s">
        <v>17</v>
      </c>
      <c r="C43" s="4" t="s">
        <v>0</v>
      </c>
      <c r="D43" s="1" t="s">
        <v>77</v>
      </c>
      <c r="E43" s="17" t="s">
        <v>146</v>
      </c>
      <c r="F43" s="2" t="s">
        <v>74</v>
      </c>
      <c r="G43" s="2" t="s">
        <v>136</v>
      </c>
      <c r="H43" s="1">
        <f>VC_NEW2!C17</f>
        <v>0</v>
      </c>
      <c r="I43" s="1">
        <f>VC_NEW2!D17</f>
        <v>0</v>
      </c>
      <c r="J43" s="1">
        <f>VC_NEW2!E17</f>
        <v>0</v>
      </c>
      <c r="K43" s="1">
        <f>VC_NEW2!F17</f>
        <v>0</v>
      </c>
      <c r="L43" s="1">
        <f>VC_NEW2!G17</f>
        <v>0</v>
      </c>
      <c r="M43" s="1">
        <f>VC_NEW2!H17</f>
        <v>0</v>
      </c>
      <c r="N43" s="1">
        <f>VC_NEW2!I17</f>
        <v>0</v>
      </c>
      <c r="O43" s="1">
        <f>VC_NEW2!J17</f>
        <v>0</v>
      </c>
      <c r="P43" s="1">
        <f>VC_NEW2!K17</f>
        <v>0</v>
      </c>
      <c r="Q43" s="1">
        <f>VC_NEW2!L17</f>
        <v>0</v>
      </c>
      <c r="R43" s="1">
        <f>VC_NEW2!M17</f>
        <v>0</v>
      </c>
      <c r="S43" s="1">
        <f>VC_NEW2!N17</f>
        <v>0</v>
      </c>
      <c r="T43" s="1">
        <f>VC_NEW2!O17</f>
        <v>0</v>
      </c>
      <c r="U43" s="1">
        <f>VC_NEW2!P17</f>
        <v>0</v>
      </c>
      <c r="V43" s="1">
        <f>VC_NEW2!Q17</f>
        <v>0</v>
      </c>
      <c r="W43" s="1">
        <f>VC_NEW2!R17</f>
        <v>0</v>
      </c>
      <c r="X43" s="1">
        <f>VC_NEW2!S17</f>
        <v>0</v>
      </c>
      <c r="Y43" s="1">
        <f>VC_NEW2!T17</f>
        <v>0</v>
      </c>
      <c r="Z43" s="1">
        <f>VC_NEW2!U17</f>
        <v>0</v>
      </c>
      <c r="AA43" s="1">
        <f>VC_NEW2!V17</f>
        <v>0</v>
      </c>
      <c r="AB43" s="1">
        <f>VC_NEW2!W17</f>
        <v>0</v>
      </c>
      <c r="AC43" s="1">
        <f>VC_NEW2!X17</f>
        <v>0</v>
      </c>
      <c r="AD43" s="1">
        <f>VC_NEW2!Y17</f>
        <v>0</v>
      </c>
      <c r="AE43" s="1">
        <f>VC_NEW2!Z17</f>
        <v>0</v>
      </c>
      <c r="AF43" s="1">
        <f>VC_NEW2!AA17</f>
        <v>0</v>
      </c>
      <c r="AG43" s="1">
        <f>VC_NEW2!AB17</f>
        <v>0</v>
      </c>
      <c r="AH43" s="1">
        <f>VC_NEW2!AC17</f>
        <v>0</v>
      </c>
      <c r="AI43" s="1">
        <f>VC_NEW2!AD17</f>
        <v>0</v>
      </c>
      <c r="AJ43" s="1">
        <f>VC_NEW2!AE17</f>
        <v>0</v>
      </c>
      <c r="AK43" s="1">
        <f>VC_NEW2!AF17</f>
        <v>0</v>
      </c>
      <c r="AL43" s="1">
        <f>VC_NEW2!AG17</f>
        <v>0</v>
      </c>
      <c r="AM43" s="1">
        <f>VC_NEW2!AH17</f>
        <v>0</v>
      </c>
      <c r="AN43" s="1">
        <f>VC_NEW2!AI17</f>
        <v>0</v>
      </c>
      <c r="AO43" s="1">
        <f>VC_NEW2!AJ17</f>
        <v>0</v>
      </c>
      <c r="AP43" s="1">
        <f>VC_NEW2!AK17</f>
        <v>0</v>
      </c>
      <c r="AQ43" s="1">
        <f>VC_NEW2!AL17</f>
        <v>0</v>
      </c>
      <c r="AR43" s="1">
        <f>VC_NEW2!AM17</f>
        <v>0</v>
      </c>
      <c r="AS43" s="1">
        <f>VC_NEW2!AN17</f>
        <v>0</v>
      </c>
      <c r="AT43" s="1">
        <f>VC_NEW2!AO17</f>
        <v>0</v>
      </c>
      <c r="AU43" s="1">
        <f>VC_NEW2!AP17</f>
        <v>0</v>
      </c>
      <c r="AV43" s="1">
        <f>VC_NEW2!AQ17</f>
        <v>0</v>
      </c>
      <c r="AW43" s="1">
        <f>VC_NEW2!AR17</f>
        <v>0</v>
      </c>
      <c r="AX43" s="1">
        <f>VC_NEW2!AS17</f>
        <v>0</v>
      </c>
      <c r="AY43" s="1">
        <f>VC_NEW2!AT17</f>
        <v>0</v>
      </c>
      <c r="AZ43" s="1">
        <f>VC_NEW2!AU17</f>
        <v>0</v>
      </c>
      <c r="BA43" s="1">
        <f>VC_NEW2!AV17</f>
        <v>0</v>
      </c>
      <c r="BB43" s="1">
        <f>VC_NEW2!AW17</f>
        <v>0</v>
      </c>
      <c r="BC43" s="1">
        <f>VC_NEW2!AX17</f>
        <v>0</v>
      </c>
      <c r="BD43" s="1">
        <f>VC_NEW2!AY17</f>
        <v>0</v>
      </c>
      <c r="BE43" s="1">
        <f>VC_NEW2!AZ17</f>
        <v>0</v>
      </c>
      <c r="BF43" s="1">
        <f>VC_NEW2!BA17</f>
        <v>0</v>
      </c>
      <c r="BG43" s="1">
        <f>VC_NEW2!BB17</f>
        <v>0</v>
      </c>
      <c r="BH43" s="1">
        <f>VC_NEW2!BC17</f>
        <v>0</v>
      </c>
      <c r="BI43" s="1">
        <f>VC_NEW2!BD17</f>
        <v>0</v>
      </c>
      <c r="BJ43" s="1">
        <f>VC_NEW2!BE17</f>
        <v>0</v>
      </c>
      <c r="BK43" s="1">
        <f>VC_NEW2!BF17</f>
        <v>0</v>
      </c>
      <c r="BL43" s="1">
        <f>VC_NEW2!BG17</f>
        <v>0</v>
      </c>
      <c r="BM43" s="1">
        <f>VC_NEW2!BH17</f>
        <v>0</v>
      </c>
      <c r="BN43" s="1">
        <f>VC_NEW2!BI17</f>
        <v>0</v>
      </c>
      <c r="BO43" s="1">
        <f>VC_NEW2!BJ17</f>
        <v>0</v>
      </c>
      <c r="BP43" s="1">
        <f>VC_NEW2!BK17</f>
        <v>0</v>
      </c>
      <c r="BQ43" s="1">
        <f>VC_NEW2!BL17</f>
        <v>0</v>
      </c>
      <c r="BR43" s="1">
        <f>VC_NEW2!BM17</f>
        <v>0</v>
      </c>
      <c r="BS43" s="1">
        <f>VC_NEW2!BN17</f>
        <v>0</v>
      </c>
      <c r="BT43" s="1">
        <f>VC_NEW2!BO17</f>
        <v>0</v>
      </c>
      <c r="BU43" s="1">
        <f>VC_NEW2!BP17</f>
        <v>0</v>
      </c>
      <c r="BV43" s="1">
        <f>VC_NEW2!BQ17</f>
        <v>0</v>
      </c>
      <c r="BW43" s="1">
        <f>VC_NEW2!BR17</f>
        <v>0</v>
      </c>
      <c r="BX43" s="1">
        <f>VC_NEW2!BS17</f>
        <v>0</v>
      </c>
      <c r="BY43" s="1">
        <f>VC_NEW2!BT17</f>
        <v>0</v>
      </c>
      <c r="BZ43" s="1">
        <f>VC_NEW2!BU17</f>
        <v>0</v>
      </c>
      <c r="CA43" s="1">
        <f>VC_NEW2!BV17</f>
        <v>0</v>
      </c>
      <c r="CB43" s="1">
        <f>VC_NEW2!BW17</f>
        <v>0</v>
      </c>
      <c r="CC43" s="1">
        <f>VC_NEW2!BX17</f>
        <v>0</v>
      </c>
      <c r="CD43" s="1">
        <f>VC_NEW2!BY17</f>
        <v>0</v>
      </c>
      <c r="CE43" s="1">
        <f>VC_NEW2!BZ17</f>
        <v>0</v>
      </c>
      <c r="CF43" s="1">
        <f>VC_NEW2!CA17</f>
        <v>0</v>
      </c>
      <c r="CG43" s="1">
        <f>VC_NEW2!CB17</f>
        <v>0</v>
      </c>
      <c r="CH43" s="1">
        <f>VC_NEW2!CC17</f>
        <v>0</v>
      </c>
      <c r="CI43" s="1">
        <f>VC_NEW2!CD17</f>
        <v>0</v>
      </c>
      <c r="CJ43" s="1">
        <f>VC_NEW2!CE17</f>
        <v>0</v>
      </c>
      <c r="CK43" s="1" t="str">
        <f>VC_NEW2!CF17</f>
        <v>nt61∆5</v>
      </c>
      <c r="CL43" s="1">
        <f>VC_NEW2!CG17</f>
        <v>0</v>
      </c>
      <c r="CM43" s="1">
        <f>VC_NEW2!CH17</f>
        <v>0</v>
      </c>
      <c r="CN43" s="1">
        <f>VC_NEW2!CI17</f>
        <v>0</v>
      </c>
      <c r="CO43" s="1">
        <f>VC_NEW2!CJ17</f>
        <v>0</v>
      </c>
      <c r="CP43" s="1">
        <f>VC_NEW2!CK17</f>
        <v>0</v>
      </c>
      <c r="CQ43" s="1">
        <f>VC_NEW2!CL17</f>
        <v>0</v>
      </c>
      <c r="CR43" s="1">
        <f>VC_NEW2!CM17</f>
        <v>0</v>
      </c>
      <c r="CS43" s="1">
        <f>VC_NEW2!CN17</f>
        <v>0</v>
      </c>
      <c r="CT43" s="1">
        <f>VC_NEW2!CO17</f>
        <v>0</v>
      </c>
      <c r="CU43" s="1">
        <f>VC_NEW2!CP17</f>
        <v>0</v>
      </c>
      <c r="CV43" s="1">
        <f>VC_NEW2!CQ17</f>
        <v>0</v>
      </c>
      <c r="CW43" s="1">
        <f>VC_NEW2!CR17</f>
        <v>0</v>
      </c>
      <c r="CX43" s="1">
        <f>VC_NEW2!CS17</f>
        <v>0</v>
      </c>
      <c r="CY43" s="1">
        <f>VC_NEW2!CT17</f>
        <v>0</v>
      </c>
      <c r="CZ43" s="1">
        <f>VC_NEW2!CU17</f>
        <v>0</v>
      </c>
      <c r="DA43" s="1">
        <f>VC_NEW2!CV17</f>
        <v>0</v>
      </c>
      <c r="DB43" s="1">
        <f>VC_NEW2!CW17</f>
        <v>0</v>
      </c>
      <c r="DC43" s="1">
        <f>VC_NEW2!CX17</f>
        <v>0</v>
      </c>
      <c r="DD43" s="1">
        <f>VC_NEW2!CY17</f>
        <v>0</v>
      </c>
      <c r="DE43" s="1">
        <f>VC_NEW2!CZ17</f>
        <v>0</v>
      </c>
      <c r="DF43" s="1">
        <f>VC_NEW2!DA17</f>
        <v>0</v>
      </c>
      <c r="DG43" s="1">
        <f>VC_NEW2!DB17</f>
        <v>0</v>
      </c>
      <c r="DH43" s="1">
        <f>VC_NEW2!DC17</f>
        <v>0</v>
      </c>
      <c r="DI43" s="1" t="str">
        <f>VC_NEW2!DD17</f>
        <v>∆63nt</v>
      </c>
      <c r="DJ43" s="1">
        <f>VC_NEW2!DE17</f>
        <v>0</v>
      </c>
      <c r="DK43" s="1">
        <f>VC_NEW2!DF17</f>
        <v>0</v>
      </c>
      <c r="DL43" s="1">
        <f>VC_NEW2!DG17</f>
        <v>0</v>
      </c>
      <c r="DM43" s="1">
        <f>VC_NEW2!DH17</f>
        <v>0</v>
      </c>
      <c r="DN43" s="1" t="str">
        <f>VC_NEW2!DI17</f>
        <v>DELETED</v>
      </c>
      <c r="DO43" s="1">
        <f>VC_NEW2!DJ17</f>
        <v>0</v>
      </c>
      <c r="DP43" s="1">
        <f>VC_NEW2!DK17</f>
        <v>0</v>
      </c>
      <c r="DQ43" s="1">
        <f>VC_NEW2!DL17</f>
        <v>0</v>
      </c>
      <c r="DR43" s="1">
        <f>VC_NEW2!DM17</f>
        <v>0</v>
      </c>
      <c r="DS43" s="1">
        <f>VC_NEW2!DN17</f>
        <v>0</v>
      </c>
      <c r="DT43" s="1">
        <f>VC_NEW2!DO17</f>
        <v>0</v>
      </c>
      <c r="DU43" s="1">
        <f>VC_NEW2!DP17</f>
        <v>0</v>
      </c>
      <c r="DV43" s="1">
        <f>VC_NEW2!DQ17</f>
        <v>0</v>
      </c>
      <c r="DW43" s="1">
        <f>VC_NEW2!DR17</f>
        <v>0</v>
      </c>
      <c r="DX43" s="1">
        <f>VC_NEW2!DS17</f>
        <v>0</v>
      </c>
      <c r="DY43" s="1">
        <f>VC_NEW2!DT17</f>
        <v>0</v>
      </c>
      <c r="DZ43" s="1">
        <f>VC_NEW2!DU17</f>
        <v>0</v>
      </c>
      <c r="EA43" s="1">
        <f>VC_NEW2!DV17</f>
        <v>0</v>
      </c>
      <c r="EB43" s="1">
        <f>VC_NEW2!DW17</f>
        <v>0</v>
      </c>
      <c r="EC43" s="1" t="str">
        <f>VC_NEW2!DX17</f>
        <v>G175S</v>
      </c>
      <c r="ED43" s="1">
        <f>VC_NEW2!DY17</f>
        <v>0</v>
      </c>
      <c r="EE43" s="1">
        <f>VC_NEW2!DZ17</f>
        <v>0</v>
      </c>
      <c r="EF43" s="1" t="str">
        <f>VC_NEW2!EA17</f>
        <v>aa207∆4</v>
      </c>
      <c r="EG43" s="1" t="str">
        <f>VC_NEW2!EB17</f>
        <v>Y12C, L21R, G56S</v>
      </c>
      <c r="EH43" s="1">
        <f>VC_NEW2!EC17</f>
        <v>0</v>
      </c>
      <c r="EI43" s="1">
        <f>VC_NEW2!ED17</f>
        <v>0</v>
      </c>
      <c r="EJ43" s="1">
        <f>VC_NEW2!EE17</f>
        <v>0</v>
      </c>
      <c r="EK43" s="1">
        <f>VC_NEW2!EF17</f>
        <v>0</v>
      </c>
      <c r="EL43" s="1">
        <f>VC_NEW2!EG17</f>
        <v>0</v>
      </c>
      <c r="EM43" s="1">
        <f>VC_NEW2!EH17</f>
        <v>0</v>
      </c>
      <c r="EN43" s="1">
        <f>VC_NEW2!EI17</f>
        <v>0</v>
      </c>
      <c r="EO43" s="1">
        <f>VC_NEW2!EJ17</f>
        <v>0</v>
      </c>
      <c r="EP43" s="1">
        <f>VC_NEW2!EK17</f>
        <v>0</v>
      </c>
      <c r="EQ43" s="1">
        <f>VC_NEW2!EL17</f>
        <v>0</v>
      </c>
      <c r="ER43" s="1">
        <f>VC_NEW2!EM17</f>
        <v>0</v>
      </c>
      <c r="ES43" s="1" t="str">
        <f>VC_NEW2!EN17</f>
        <v>C242X</v>
      </c>
      <c r="ET43" s="1">
        <f>VC_NEW2!EO17</f>
        <v>0</v>
      </c>
      <c r="EU43" s="1">
        <f>VC_NEW2!EP17</f>
        <v>0</v>
      </c>
      <c r="EV43" s="1">
        <f>VC_NEW2!EQ17</f>
        <v>0</v>
      </c>
      <c r="EW43" s="1">
        <f>VC_NEW2!ER17</f>
        <v>0</v>
      </c>
      <c r="EX43" s="1">
        <f>VC_NEW2!ES17</f>
        <v>0</v>
      </c>
      <c r="EY43" s="1">
        <f>VC_NEW2!ET17</f>
        <v>0</v>
      </c>
      <c r="EZ43" s="1">
        <f>VC_NEW2!EU17</f>
        <v>0</v>
      </c>
      <c r="FA43" s="1">
        <f>VC_NEW2!EV17</f>
        <v>0</v>
      </c>
      <c r="FB43" s="1">
        <f>VC_NEW2!EW17</f>
        <v>0</v>
      </c>
      <c r="FC43" s="1">
        <f>VC_NEW2!EX17</f>
        <v>0</v>
      </c>
      <c r="FD43" s="1">
        <f>VC_NEW2!EY17</f>
        <v>0</v>
      </c>
      <c r="FE43" s="1">
        <f>VC_NEW2!EZ17</f>
        <v>0</v>
      </c>
      <c r="FF43" s="1">
        <f>VC_NEW2!FA17</f>
        <v>0</v>
      </c>
      <c r="FG43" s="1">
        <f>VC_NEW2!FB17</f>
        <v>0</v>
      </c>
      <c r="FH43" s="1">
        <f>VC_NEW2!FC17</f>
        <v>0</v>
      </c>
      <c r="FI43" s="1">
        <f>VC_NEW2!FD17</f>
        <v>0</v>
      </c>
      <c r="FJ43" s="1" t="str">
        <f>VC_NEW2!FE17</f>
        <v>nt679∆1</v>
      </c>
      <c r="FK43" s="1">
        <f>VC_NEW2!FF17</f>
        <v>0</v>
      </c>
      <c r="FL43" s="1">
        <f>VC_NEW2!FG17</f>
        <v>0</v>
      </c>
      <c r="FM43" s="1">
        <f>VC_NEW2!FH17</f>
        <v>0</v>
      </c>
      <c r="FN43" s="1">
        <f>VC_NEW2!FI17</f>
        <v>0</v>
      </c>
      <c r="FO43" s="1">
        <f>VC_NEW2!FJ17</f>
        <v>0</v>
      </c>
      <c r="FP43" s="1">
        <f>VC_NEW2!FK17</f>
        <v>0</v>
      </c>
      <c r="FQ43" s="1">
        <f>VC_NEW2!FL17</f>
        <v>0</v>
      </c>
      <c r="FR43" s="1">
        <f>VC_NEW2!FM17</f>
        <v>0</v>
      </c>
      <c r="FS43" s="1">
        <f>VC_NEW2!FN17</f>
        <v>0</v>
      </c>
      <c r="FT43" s="1">
        <f>VC_NEW2!FO17</f>
        <v>0</v>
      </c>
      <c r="FU43" s="1">
        <f>VC_NEW2!FP17</f>
        <v>0</v>
      </c>
      <c r="FV43" s="1">
        <f>VC_NEW2!FQ17</f>
        <v>0</v>
      </c>
      <c r="FW43" s="1">
        <f>VC_NEW2!FR17</f>
        <v>0</v>
      </c>
      <c r="FX43" s="1">
        <f>VC_NEW2!FS17</f>
        <v>0</v>
      </c>
      <c r="FY43" s="1">
        <f>VC_NEW2!FT17</f>
        <v>0</v>
      </c>
      <c r="FZ43" s="1">
        <f>VC_NEW2!FU17</f>
        <v>0</v>
      </c>
      <c r="GA43" s="1">
        <f>VC_NEW2!FV17</f>
        <v>0</v>
      </c>
      <c r="GB43" s="1">
        <f>VC_NEW2!FW17</f>
        <v>0</v>
      </c>
      <c r="GC43" s="1">
        <f>VC_NEW2!FX17</f>
        <v>0</v>
      </c>
      <c r="GD43" s="1">
        <f>VC_NEW2!FY17</f>
        <v>0</v>
      </c>
      <c r="GE43" s="1">
        <f>VC_NEW2!FZ17</f>
        <v>0</v>
      </c>
      <c r="GF43" s="1">
        <f>VC_NEW2!GA17</f>
        <v>0</v>
      </c>
      <c r="GG43" s="1">
        <f>VC_NEW2!GB17</f>
        <v>0</v>
      </c>
      <c r="GH43" s="1">
        <f>VC_NEW2!GC17</f>
        <v>0</v>
      </c>
      <c r="GI43" s="1">
        <f>VC_NEW2!GD17</f>
        <v>0</v>
      </c>
      <c r="GJ43" s="1">
        <f>VC_NEW2!GE17</f>
        <v>0</v>
      </c>
      <c r="GK43" s="1">
        <f>VC_NEW2!GF17</f>
        <v>0</v>
      </c>
      <c r="GL43" s="1">
        <f>VC_NEW2!GG17</f>
        <v>0</v>
      </c>
      <c r="GM43" s="1">
        <f>VC_NEW2!GH17</f>
        <v>0</v>
      </c>
      <c r="GN43" s="1">
        <f>VC_NEW2!GI17</f>
        <v>0</v>
      </c>
      <c r="GO43" s="1">
        <f>VC_NEW2!GJ17</f>
        <v>0</v>
      </c>
      <c r="GP43" s="1">
        <f>VC_NEW2!GK17</f>
        <v>0</v>
      </c>
      <c r="GQ43" s="1">
        <f>VC_NEW2!GL17</f>
        <v>0</v>
      </c>
      <c r="GR43" s="1">
        <f>VC_NEW2!GM17</f>
        <v>0</v>
      </c>
      <c r="GS43" s="1">
        <f>VC_NEW2!GN17</f>
        <v>0</v>
      </c>
      <c r="GT43" s="1">
        <f>VC_NEW2!GO17</f>
        <v>0</v>
      </c>
      <c r="GU43" s="1">
        <f>VC_NEW2!GP17</f>
        <v>0</v>
      </c>
      <c r="GV43" s="1">
        <f>VC_NEW2!GQ17</f>
        <v>0</v>
      </c>
      <c r="GW43" s="1">
        <f>VC_NEW2!GR17</f>
        <v>0</v>
      </c>
      <c r="GX43" s="1" t="str">
        <f>VC_NEW2!GS17</f>
        <v>F248S</v>
      </c>
      <c r="GY43" s="1">
        <f>VC_NEW2!GT17</f>
        <v>0</v>
      </c>
      <c r="GZ43" s="1">
        <f>VC_NEW2!GU17</f>
        <v>0</v>
      </c>
      <c r="HA43" s="1">
        <f>VC_NEW2!GV17</f>
        <v>0</v>
      </c>
      <c r="HB43" s="1">
        <f>VC_NEW2!GW17</f>
        <v>0</v>
      </c>
      <c r="HC43" s="1">
        <f>VC_NEW2!GX17</f>
        <v>0</v>
      </c>
    </row>
    <row r="44" spans="1:211" s="1" customFormat="1" ht="15" hidden="1" customHeight="1" x14ac:dyDescent="0.25">
      <c r="A44" s="2" t="s">
        <v>16</v>
      </c>
      <c r="B44" s="2" t="s">
        <v>17</v>
      </c>
      <c r="C44" s="4" t="s">
        <v>1</v>
      </c>
      <c r="D44" s="2" t="s">
        <v>76</v>
      </c>
      <c r="E44" s="2" t="s">
        <v>138</v>
      </c>
      <c r="F44" s="2" t="s">
        <v>74</v>
      </c>
      <c r="G44" s="2" t="s">
        <v>136</v>
      </c>
      <c r="H44" s="1">
        <f>VC_NEW2!C17</f>
        <v>0</v>
      </c>
      <c r="I44" s="1">
        <f>VC_NEW2!D17</f>
        <v>0</v>
      </c>
      <c r="J44" s="1">
        <f>VC_NEW2!E17</f>
        <v>0</v>
      </c>
      <c r="K44" s="1">
        <f>VC_NEW2!F17</f>
        <v>0</v>
      </c>
      <c r="L44" s="1">
        <f>VC_NEW2!G17</f>
        <v>0</v>
      </c>
      <c r="M44" s="1">
        <f>VC_NEW2!H17</f>
        <v>0</v>
      </c>
      <c r="N44" s="1">
        <f>VC_NEW2!I17</f>
        <v>0</v>
      </c>
      <c r="O44" s="1">
        <f>VC_NEW2!J17</f>
        <v>0</v>
      </c>
      <c r="P44" s="1">
        <f>VC_NEW2!K17</f>
        <v>0</v>
      </c>
      <c r="Q44" s="1">
        <f>VC_NEW2!L17</f>
        <v>0</v>
      </c>
      <c r="R44" s="1">
        <f>VC_NEW2!M17</f>
        <v>0</v>
      </c>
      <c r="S44" s="1">
        <f>VC_NEW2!N17</f>
        <v>0</v>
      </c>
      <c r="T44" s="1">
        <f>VC_NEW2!O17</f>
        <v>0</v>
      </c>
      <c r="U44" s="1">
        <f>VC_NEW2!P17</f>
        <v>0</v>
      </c>
      <c r="V44" s="1">
        <f>VC_NEW2!Q17</f>
        <v>0</v>
      </c>
      <c r="W44" s="1">
        <f>VC_NEW2!R17</f>
        <v>0</v>
      </c>
      <c r="X44" s="1">
        <f>VC_NEW2!S17</f>
        <v>0</v>
      </c>
      <c r="Y44" s="1">
        <f>VC_NEW2!T17</f>
        <v>0</v>
      </c>
      <c r="Z44" s="1">
        <f>VC_NEW2!U17</f>
        <v>0</v>
      </c>
      <c r="AA44" s="1">
        <f>VC_NEW2!V17</f>
        <v>0</v>
      </c>
      <c r="AB44" s="1">
        <f>VC_NEW2!W17</f>
        <v>0</v>
      </c>
      <c r="AC44" s="1">
        <f>VC_NEW2!X17</f>
        <v>0</v>
      </c>
      <c r="AD44" s="1">
        <f>VC_NEW2!Y17</f>
        <v>0</v>
      </c>
      <c r="AE44" s="1">
        <f>VC_NEW2!Z17</f>
        <v>0</v>
      </c>
      <c r="AF44" s="1">
        <f>VC_NEW2!AA17</f>
        <v>0</v>
      </c>
      <c r="AG44" s="1">
        <f>VC_NEW2!AB17</f>
        <v>0</v>
      </c>
      <c r="AH44" s="1">
        <f>VC_NEW2!AC17</f>
        <v>0</v>
      </c>
      <c r="AI44" s="1">
        <f>VC_NEW2!AD17</f>
        <v>0</v>
      </c>
      <c r="AJ44" s="1">
        <f>VC_NEW2!AE17</f>
        <v>0</v>
      </c>
      <c r="AK44" s="1">
        <f>VC_NEW2!AF17</f>
        <v>0</v>
      </c>
      <c r="AL44" s="1">
        <f>VC_NEW2!AG17</f>
        <v>0</v>
      </c>
      <c r="AM44" s="1">
        <f>VC_NEW2!AH17</f>
        <v>0</v>
      </c>
      <c r="AN44" s="1">
        <f>VC_NEW2!AI17</f>
        <v>0</v>
      </c>
      <c r="AO44" s="1">
        <f>VC_NEW2!AJ17</f>
        <v>0</v>
      </c>
      <c r="AP44" s="1">
        <f>VC_NEW2!AK17</f>
        <v>0</v>
      </c>
      <c r="AQ44" s="1">
        <f>VC_NEW2!AL17</f>
        <v>0</v>
      </c>
      <c r="AR44" s="1">
        <f>VC_NEW2!AM17</f>
        <v>0</v>
      </c>
      <c r="AS44" s="1">
        <f>VC_NEW2!AN17</f>
        <v>0</v>
      </c>
      <c r="AT44" s="1">
        <f>VC_NEW2!AO17</f>
        <v>0</v>
      </c>
      <c r="AU44" s="1">
        <f>VC_NEW2!AP17</f>
        <v>0</v>
      </c>
      <c r="AV44" s="1">
        <f>VC_NEW2!AQ17</f>
        <v>0</v>
      </c>
      <c r="AW44" s="1">
        <f>VC_NEW2!AR17</f>
        <v>0</v>
      </c>
      <c r="AX44" s="1">
        <f>VC_NEW2!AS17</f>
        <v>0</v>
      </c>
      <c r="AY44" s="1">
        <f>VC_NEW2!AT17</f>
        <v>0</v>
      </c>
      <c r="AZ44" s="1">
        <f>VC_NEW2!AU17</f>
        <v>0</v>
      </c>
      <c r="BA44" s="1">
        <f>VC_NEW2!AV17</f>
        <v>0</v>
      </c>
      <c r="BB44" s="1">
        <f>VC_NEW2!AW17</f>
        <v>0</v>
      </c>
      <c r="BC44" s="1">
        <f>VC_NEW2!AX17</f>
        <v>0</v>
      </c>
      <c r="BD44" s="1">
        <f>VC_NEW2!AY17</f>
        <v>0</v>
      </c>
      <c r="BE44" s="1">
        <f>VC_NEW2!AZ17</f>
        <v>0</v>
      </c>
      <c r="BF44" s="1">
        <f>VC_NEW2!BA17</f>
        <v>0</v>
      </c>
      <c r="BG44" s="1">
        <f>VC_NEW2!BB17</f>
        <v>0</v>
      </c>
      <c r="BH44" s="1">
        <f>VC_NEW2!BC17</f>
        <v>0</v>
      </c>
      <c r="BI44" s="1">
        <f>VC_NEW2!BD17</f>
        <v>0</v>
      </c>
      <c r="BJ44" s="1">
        <f>VC_NEW2!BE17</f>
        <v>0</v>
      </c>
      <c r="BK44" s="1">
        <f>VC_NEW2!BF17</f>
        <v>0</v>
      </c>
      <c r="BL44" s="1">
        <f>VC_NEW2!BG17</f>
        <v>0</v>
      </c>
      <c r="BM44" s="1">
        <f>VC_NEW2!BH17</f>
        <v>0</v>
      </c>
      <c r="BN44" s="1">
        <f>VC_NEW2!BI17</f>
        <v>0</v>
      </c>
      <c r="BO44" s="1">
        <f>VC_NEW2!BJ17</f>
        <v>0</v>
      </c>
      <c r="BP44" s="1">
        <f>VC_NEW2!BK17</f>
        <v>0</v>
      </c>
      <c r="BQ44" s="1">
        <f>VC_NEW2!BL17</f>
        <v>0</v>
      </c>
      <c r="BR44" s="1">
        <f>VC_NEW2!BM17</f>
        <v>0</v>
      </c>
      <c r="BS44" s="1">
        <f>VC_NEW2!BN17</f>
        <v>0</v>
      </c>
      <c r="BT44" s="1">
        <f>VC_NEW2!BO17</f>
        <v>0</v>
      </c>
      <c r="BU44" s="1">
        <f>VC_NEW2!BP17</f>
        <v>0</v>
      </c>
      <c r="BV44" s="1">
        <f>VC_NEW2!BQ17</f>
        <v>0</v>
      </c>
      <c r="BW44" s="1">
        <f>VC_NEW2!BR17</f>
        <v>0</v>
      </c>
      <c r="BX44" s="1">
        <f>VC_NEW2!BS17</f>
        <v>0</v>
      </c>
      <c r="BY44" s="1">
        <f>VC_NEW2!BT17</f>
        <v>0</v>
      </c>
      <c r="BZ44" s="1">
        <f>VC_NEW2!BU17</f>
        <v>0</v>
      </c>
      <c r="CA44" s="1">
        <f>VC_NEW2!BV17</f>
        <v>0</v>
      </c>
      <c r="CB44" s="1">
        <f>VC_NEW2!BW17</f>
        <v>0</v>
      </c>
      <c r="CC44" s="1">
        <f>VC_NEW2!BX17</f>
        <v>0</v>
      </c>
      <c r="CD44" s="1">
        <f>VC_NEW2!BY17</f>
        <v>0</v>
      </c>
      <c r="CE44" s="1">
        <f>VC_NEW2!BZ17</f>
        <v>0</v>
      </c>
      <c r="CF44" s="1">
        <f>VC_NEW2!CA17</f>
        <v>0</v>
      </c>
      <c r="CG44" s="1">
        <f>VC_NEW2!CB17</f>
        <v>0</v>
      </c>
      <c r="CH44" s="1">
        <f>VC_NEW2!CC17</f>
        <v>0</v>
      </c>
      <c r="CI44" s="1">
        <f>VC_NEW2!CD17</f>
        <v>0</v>
      </c>
      <c r="CJ44" s="1">
        <f>VC_NEW2!CE17</f>
        <v>0</v>
      </c>
      <c r="CK44" s="1" t="str">
        <f>VC_NEW2!CF17</f>
        <v>nt61∆5</v>
      </c>
      <c r="CL44" s="1">
        <f>VC_NEW2!CG17</f>
        <v>0</v>
      </c>
      <c r="CM44" s="1">
        <f>VC_NEW2!CH17</f>
        <v>0</v>
      </c>
      <c r="CN44" s="1">
        <f>VC_NEW2!CI17</f>
        <v>0</v>
      </c>
      <c r="CO44" s="1">
        <f>VC_NEW2!CJ17</f>
        <v>0</v>
      </c>
      <c r="CP44" s="1">
        <f>VC_NEW2!CK17</f>
        <v>0</v>
      </c>
      <c r="CQ44" s="1">
        <f>VC_NEW2!CL17</f>
        <v>0</v>
      </c>
      <c r="CR44" s="1">
        <f>VC_NEW2!CM17</f>
        <v>0</v>
      </c>
      <c r="CS44" s="1">
        <f>VC_NEW2!CN17</f>
        <v>0</v>
      </c>
      <c r="CT44" s="1">
        <f>VC_NEW2!CO17</f>
        <v>0</v>
      </c>
      <c r="CU44" s="1">
        <f>VC_NEW2!CP17</f>
        <v>0</v>
      </c>
      <c r="CV44" s="1">
        <f>VC_NEW2!CQ17</f>
        <v>0</v>
      </c>
      <c r="CW44" s="1">
        <f>VC_NEW2!CR17</f>
        <v>0</v>
      </c>
      <c r="CX44" s="1">
        <f>VC_NEW2!CS17</f>
        <v>0</v>
      </c>
      <c r="CY44" s="1">
        <f>VC_NEW2!CT17</f>
        <v>0</v>
      </c>
      <c r="CZ44" s="1">
        <f>VC_NEW2!CU17</f>
        <v>0</v>
      </c>
      <c r="DA44" s="1">
        <f>VC_NEW2!CV17</f>
        <v>0</v>
      </c>
      <c r="DB44" s="1">
        <f>VC_NEW2!CW17</f>
        <v>0</v>
      </c>
      <c r="DC44" s="1">
        <f>VC_NEW2!CX17</f>
        <v>0</v>
      </c>
      <c r="DD44" s="1">
        <f>VC_NEW2!CY17</f>
        <v>0</v>
      </c>
      <c r="DE44" s="1">
        <f>VC_NEW2!CZ17</f>
        <v>0</v>
      </c>
      <c r="DF44" s="1">
        <f>VC_NEW2!DA17</f>
        <v>0</v>
      </c>
      <c r="DG44" s="1">
        <f>VC_NEW2!DB17</f>
        <v>0</v>
      </c>
      <c r="DH44" s="1">
        <f>VC_NEW2!DC17</f>
        <v>0</v>
      </c>
      <c r="DI44" s="1" t="str">
        <f>VC_NEW2!DD17</f>
        <v>∆63nt</v>
      </c>
      <c r="DJ44" s="1">
        <f>VC_NEW2!DE17</f>
        <v>0</v>
      </c>
      <c r="DK44" s="1">
        <f>VC_NEW2!DF17</f>
        <v>0</v>
      </c>
      <c r="DL44" s="1">
        <f>VC_NEW2!DG17</f>
        <v>0</v>
      </c>
      <c r="DM44" s="1">
        <f>VC_NEW2!DH17</f>
        <v>0</v>
      </c>
      <c r="DN44" s="1" t="str">
        <f>VC_NEW2!DI17</f>
        <v>DELETED</v>
      </c>
      <c r="DO44" s="1">
        <f>VC_NEW2!DJ17</f>
        <v>0</v>
      </c>
      <c r="DP44" s="1">
        <f>VC_NEW2!DK17</f>
        <v>0</v>
      </c>
      <c r="DQ44" s="1">
        <f>VC_NEW2!DL17</f>
        <v>0</v>
      </c>
      <c r="DR44" s="1">
        <f>VC_NEW2!DM17</f>
        <v>0</v>
      </c>
      <c r="DS44" s="1">
        <f>VC_NEW2!DN17</f>
        <v>0</v>
      </c>
      <c r="DT44" s="1">
        <f>VC_NEW2!DO17</f>
        <v>0</v>
      </c>
      <c r="DU44" s="1">
        <f>VC_NEW2!DP17</f>
        <v>0</v>
      </c>
      <c r="DV44" s="1">
        <f>VC_NEW2!DQ17</f>
        <v>0</v>
      </c>
      <c r="DW44" s="1">
        <f>VC_NEW2!DR17</f>
        <v>0</v>
      </c>
      <c r="DX44" s="1">
        <f>VC_NEW2!DS17</f>
        <v>0</v>
      </c>
      <c r="DY44" s="1">
        <f>VC_NEW2!DT17</f>
        <v>0</v>
      </c>
      <c r="DZ44" s="1">
        <f>VC_NEW2!DU17</f>
        <v>0</v>
      </c>
      <c r="EA44" s="1">
        <f>VC_NEW2!DV17</f>
        <v>0</v>
      </c>
      <c r="EB44" s="1">
        <f>VC_NEW2!DW17</f>
        <v>0</v>
      </c>
      <c r="EC44" s="1" t="str">
        <f>VC_NEW2!DX17</f>
        <v>G175S</v>
      </c>
      <c r="ED44" s="1">
        <f>VC_NEW2!DY17</f>
        <v>0</v>
      </c>
      <c r="EE44" s="1">
        <f>VC_NEW2!DZ17</f>
        <v>0</v>
      </c>
      <c r="EF44" s="1" t="str">
        <f>VC_NEW2!EA17</f>
        <v>aa207∆4</v>
      </c>
      <c r="EG44" s="1" t="str">
        <f>VC_NEW2!EB17</f>
        <v>Y12C, L21R, G56S</v>
      </c>
      <c r="EH44" s="1">
        <f>VC_NEW2!EC17</f>
        <v>0</v>
      </c>
      <c r="EI44" s="1">
        <f>VC_NEW2!ED17</f>
        <v>0</v>
      </c>
      <c r="EJ44" s="1">
        <f>VC_NEW2!EE17</f>
        <v>0</v>
      </c>
      <c r="EK44" s="1">
        <f>VC_NEW2!EF17</f>
        <v>0</v>
      </c>
      <c r="EL44" s="1">
        <f>VC_NEW2!EG17</f>
        <v>0</v>
      </c>
      <c r="EM44" s="1">
        <f>VC_NEW2!EH17</f>
        <v>0</v>
      </c>
      <c r="EN44" s="1">
        <f>VC_NEW2!EI17</f>
        <v>0</v>
      </c>
      <c r="EO44" s="1">
        <f>VC_NEW2!EJ17</f>
        <v>0</v>
      </c>
      <c r="EP44" s="1">
        <f>VC_NEW2!EK17</f>
        <v>0</v>
      </c>
      <c r="EQ44" s="1">
        <f>VC_NEW2!EL17</f>
        <v>0</v>
      </c>
      <c r="ER44" s="1">
        <f>VC_NEW2!EM17</f>
        <v>0</v>
      </c>
      <c r="ES44" s="1" t="str">
        <f>VC_NEW2!EN17</f>
        <v>C242X</v>
      </c>
      <c r="ET44" s="1">
        <f>VC_NEW2!EO17</f>
        <v>0</v>
      </c>
      <c r="EU44" s="1">
        <f>VC_NEW2!EP17</f>
        <v>0</v>
      </c>
      <c r="EV44" s="1">
        <f>VC_NEW2!EQ17</f>
        <v>0</v>
      </c>
      <c r="EW44" s="1">
        <f>VC_NEW2!ER17</f>
        <v>0</v>
      </c>
      <c r="EX44" s="1">
        <f>VC_NEW2!ES17</f>
        <v>0</v>
      </c>
      <c r="EY44" s="1">
        <f>VC_NEW2!ET17</f>
        <v>0</v>
      </c>
      <c r="EZ44" s="1">
        <f>VC_NEW2!EU17</f>
        <v>0</v>
      </c>
      <c r="FA44" s="1">
        <f>VC_NEW2!EV17</f>
        <v>0</v>
      </c>
      <c r="FB44" s="1">
        <f>VC_NEW2!EW17</f>
        <v>0</v>
      </c>
      <c r="FC44" s="1">
        <f>VC_NEW2!EX17</f>
        <v>0</v>
      </c>
      <c r="FD44" s="1">
        <f>VC_NEW2!EY17</f>
        <v>0</v>
      </c>
      <c r="FE44" s="1">
        <f>VC_NEW2!EZ17</f>
        <v>0</v>
      </c>
      <c r="FF44" s="1">
        <f>VC_NEW2!FA17</f>
        <v>0</v>
      </c>
      <c r="FG44" s="1">
        <f>VC_NEW2!FB17</f>
        <v>0</v>
      </c>
      <c r="FH44" s="1">
        <f>VC_NEW2!FC17</f>
        <v>0</v>
      </c>
      <c r="FI44" s="1">
        <f>VC_NEW2!FD17</f>
        <v>0</v>
      </c>
      <c r="FJ44" s="1" t="str">
        <f>VC_NEW2!FE17</f>
        <v>nt679∆1</v>
      </c>
      <c r="FK44" s="1">
        <f>VC_NEW2!FF17</f>
        <v>0</v>
      </c>
      <c r="FL44" s="1">
        <f>VC_NEW2!FG17</f>
        <v>0</v>
      </c>
      <c r="FM44" s="1">
        <f>VC_NEW2!FH17</f>
        <v>0</v>
      </c>
      <c r="FN44" s="1">
        <f>VC_NEW2!FI17</f>
        <v>0</v>
      </c>
      <c r="FO44" s="1">
        <f>VC_NEW2!FJ17</f>
        <v>0</v>
      </c>
      <c r="FP44" s="1">
        <f>VC_NEW2!FK17</f>
        <v>0</v>
      </c>
      <c r="FQ44" s="1">
        <f>VC_NEW2!FL17</f>
        <v>0</v>
      </c>
      <c r="FR44" s="1">
        <f>VC_NEW2!FM17</f>
        <v>0</v>
      </c>
      <c r="FS44" s="1">
        <f>VC_NEW2!FN17</f>
        <v>0</v>
      </c>
      <c r="FT44" s="1">
        <f>VC_NEW2!FO17</f>
        <v>0</v>
      </c>
      <c r="FU44" s="1">
        <f>VC_NEW2!FP17</f>
        <v>0</v>
      </c>
      <c r="FV44" s="1">
        <f>VC_NEW2!FQ17</f>
        <v>0</v>
      </c>
      <c r="FW44" s="1">
        <f>VC_NEW2!FR17</f>
        <v>0</v>
      </c>
      <c r="FX44" s="1">
        <f>VC_NEW2!FS17</f>
        <v>0</v>
      </c>
      <c r="FY44" s="1">
        <f>VC_NEW2!FT17</f>
        <v>0</v>
      </c>
      <c r="FZ44" s="1">
        <f>VC_NEW2!FU17</f>
        <v>0</v>
      </c>
      <c r="GA44" s="1">
        <f>VC_NEW2!FV17</f>
        <v>0</v>
      </c>
      <c r="GB44" s="1">
        <f>VC_NEW2!FW17</f>
        <v>0</v>
      </c>
      <c r="GC44" s="1">
        <f>VC_NEW2!FX17</f>
        <v>0</v>
      </c>
      <c r="GD44" s="1">
        <f>VC_NEW2!FY17</f>
        <v>0</v>
      </c>
      <c r="GE44" s="1">
        <f>VC_NEW2!FZ17</f>
        <v>0</v>
      </c>
      <c r="GF44" s="1">
        <f>VC_NEW2!GA17</f>
        <v>0</v>
      </c>
      <c r="GG44" s="1">
        <f>VC_NEW2!GB17</f>
        <v>0</v>
      </c>
      <c r="GH44" s="1">
        <f>VC_NEW2!GC17</f>
        <v>0</v>
      </c>
      <c r="GI44" s="1">
        <f>VC_NEW2!GD17</f>
        <v>0</v>
      </c>
      <c r="GJ44" s="1">
        <f>VC_NEW2!GE17</f>
        <v>0</v>
      </c>
      <c r="GK44" s="1">
        <f>VC_NEW2!GF17</f>
        <v>0</v>
      </c>
      <c r="GL44" s="1">
        <f>VC_NEW2!GG17</f>
        <v>0</v>
      </c>
      <c r="GM44" s="1">
        <f>VC_NEW2!GH17</f>
        <v>0</v>
      </c>
      <c r="GN44" s="1">
        <f>VC_NEW2!GI17</f>
        <v>0</v>
      </c>
      <c r="GO44" s="1">
        <f>VC_NEW2!GJ17</f>
        <v>0</v>
      </c>
      <c r="GP44" s="1">
        <f>VC_NEW2!GK17</f>
        <v>0</v>
      </c>
      <c r="GQ44" s="1">
        <f>VC_NEW2!GL17</f>
        <v>0</v>
      </c>
      <c r="GR44" s="1">
        <f>VC_NEW2!GM17</f>
        <v>0</v>
      </c>
      <c r="GS44" s="1">
        <f>VC_NEW2!GN17</f>
        <v>0</v>
      </c>
      <c r="GT44" s="1">
        <f>VC_NEW2!GO17</f>
        <v>0</v>
      </c>
      <c r="GU44" s="1">
        <f>VC_NEW2!GP17</f>
        <v>0</v>
      </c>
      <c r="GV44" s="1">
        <f>VC_NEW2!GQ17</f>
        <v>0</v>
      </c>
      <c r="GW44" s="1">
        <f>VC_NEW2!GR17</f>
        <v>0</v>
      </c>
      <c r="GX44" s="1" t="str">
        <f>VC_NEW2!GS17</f>
        <v>F248S</v>
      </c>
      <c r="GY44" s="1">
        <f>VC_NEW2!GT17</f>
        <v>0</v>
      </c>
      <c r="GZ44" s="1">
        <f>VC_NEW2!GU17</f>
        <v>0</v>
      </c>
      <c r="HA44" s="1">
        <f>VC_NEW2!GV17</f>
        <v>0</v>
      </c>
      <c r="HB44" s="1">
        <f>VC_NEW2!GW17</f>
        <v>0</v>
      </c>
      <c r="HC44" s="1">
        <f>VC_NEW2!GX17</f>
        <v>0</v>
      </c>
    </row>
    <row r="45" spans="1:211" s="1" customFormat="1" ht="15" customHeight="1" thickBot="1" x14ac:dyDescent="0.3">
      <c r="A45" s="2" t="s">
        <v>16</v>
      </c>
      <c r="B45" s="2" t="s">
        <v>17</v>
      </c>
      <c r="C45" s="4" t="s">
        <v>2</v>
      </c>
      <c r="D45" s="2" t="s">
        <v>76</v>
      </c>
      <c r="E45" s="2" t="s">
        <v>138</v>
      </c>
      <c r="F45" s="2" t="s">
        <v>74</v>
      </c>
      <c r="G45" s="2" t="s">
        <v>136</v>
      </c>
      <c r="H45" s="1">
        <f>VC_NEW2!C17</f>
        <v>0</v>
      </c>
      <c r="I45" s="1">
        <f>VC_NEW2!D17</f>
        <v>0</v>
      </c>
      <c r="J45" s="1">
        <f>VC_NEW2!E17</f>
        <v>0</v>
      </c>
      <c r="K45" s="1">
        <f>VC_NEW2!F17</f>
        <v>0</v>
      </c>
      <c r="L45" s="1">
        <f>VC_NEW2!G17</f>
        <v>0</v>
      </c>
      <c r="M45" s="1">
        <f>VC_NEW2!H17</f>
        <v>0</v>
      </c>
      <c r="N45" s="1">
        <f>VC_NEW2!I17</f>
        <v>0</v>
      </c>
      <c r="O45" s="1">
        <f>VC_NEW2!J17</f>
        <v>0</v>
      </c>
      <c r="P45" s="1">
        <f>VC_NEW2!K17</f>
        <v>0</v>
      </c>
      <c r="Q45" s="1">
        <f>VC_NEW2!L17</f>
        <v>0</v>
      </c>
      <c r="R45" s="1">
        <f>VC_NEW2!M17</f>
        <v>0</v>
      </c>
      <c r="S45" s="1">
        <f>VC_NEW2!N17</f>
        <v>0</v>
      </c>
      <c r="T45" s="1">
        <f>VC_NEW2!O17</f>
        <v>0</v>
      </c>
      <c r="U45" s="1">
        <f>VC_NEW2!P17</f>
        <v>0</v>
      </c>
      <c r="V45" s="1">
        <f>VC_NEW2!Q17</f>
        <v>0</v>
      </c>
      <c r="W45" s="1">
        <f>VC_NEW2!R17</f>
        <v>0</v>
      </c>
      <c r="X45" s="1">
        <f>VC_NEW2!S17</f>
        <v>0</v>
      </c>
      <c r="Y45" s="1">
        <f>VC_NEW2!T17</f>
        <v>0</v>
      </c>
      <c r="Z45" s="1">
        <f>VC_NEW2!U17</f>
        <v>0</v>
      </c>
      <c r="AA45" s="1">
        <f>VC_NEW2!V17</f>
        <v>0</v>
      </c>
      <c r="AB45" s="1">
        <f>VC_NEW2!W17</f>
        <v>0</v>
      </c>
      <c r="AC45" s="1">
        <f>VC_NEW2!X17</f>
        <v>0</v>
      </c>
      <c r="AD45" s="1">
        <f>VC_NEW2!Y17</f>
        <v>0</v>
      </c>
      <c r="AE45" s="1">
        <f>VC_NEW2!Z17</f>
        <v>0</v>
      </c>
      <c r="AF45" s="1">
        <f>VC_NEW2!AA17</f>
        <v>0</v>
      </c>
      <c r="AG45" s="1">
        <f>VC_NEW2!AB17</f>
        <v>0</v>
      </c>
      <c r="AH45" s="1">
        <f>VC_NEW2!AC17</f>
        <v>0</v>
      </c>
      <c r="AI45" s="1">
        <f>VC_NEW2!AD17</f>
        <v>0</v>
      </c>
      <c r="AJ45" s="1">
        <f>VC_NEW2!AE17</f>
        <v>0</v>
      </c>
      <c r="AK45" s="1">
        <f>VC_NEW2!AF17</f>
        <v>0</v>
      </c>
      <c r="AL45" s="1">
        <f>VC_NEW2!AG17</f>
        <v>0</v>
      </c>
      <c r="AM45" s="1">
        <f>VC_NEW2!AH17</f>
        <v>0</v>
      </c>
      <c r="AN45" s="1">
        <f>VC_NEW2!AI17</f>
        <v>0</v>
      </c>
      <c r="AO45" s="1">
        <f>VC_NEW2!AJ17</f>
        <v>0</v>
      </c>
      <c r="AP45" s="1">
        <f>VC_NEW2!AK17</f>
        <v>0</v>
      </c>
      <c r="AQ45" s="1">
        <f>VC_NEW2!AL17</f>
        <v>0</v>
      </c>
      <c r="AR45" s="1">
        <f>VC_NEW2!AM17</f>
        <v>0</v>
      </c>
      <c r="AS45" s="1">
        <f>VC_NEW2!AN17</f>
        <v>0</v>
      </c>
      <c r="AT45" s="1">
        <f>VC_NEW2!AO17</f>
        <v>0</v>
      </c>
      <c r="AU45" s="1">
        <f>VC_NEW2!AP17</f>
        <v>0</v>
      </c>
      <c r="AV45" s="1">
        <f>VC_NEW2!AQ17</f>
        <v>0</v>
      </c>
      <c r="AW45" s="1">
        <f>VC_NEW2!AR17</f>
        <v>0</v>
      </c>
      <c r="AX45" s="1">
        <f>VC_NEW2!AS17</f>
        <v>0</v>
      </c>
      <c r="AY45" s="1">
        <f>VC_NEW2!AT17</f>
        <v>0</v>
      </c>
      <c r="AZ45" s="1">
        <f>VC_NEW2!AU17</f>
        <v>0</v>
      </c>
      <c r="BA45" s="1">
        <f>VC_NEW2!AV17</f>
        <v>0</v>
      </c>
      <c r="BB45" s="1">
        <f>VC_NEW2!AW17</f>
        <v>0</v>
      </c>
      <c r="BC45" s="1">
        <f>VC_NEW2!AX17</f>
        <v>0</v>
      </c>
      <c r="BD45" s="1">
        <f>VC_NEW2!AY17</f>
        <v>0</v>
      </c>
      <c r="BE45" s="1">
        <f>VC_NEW2!AZ17</f>
        <v>0</v>
      </c>
      <c r="BF45" s="1">
        <f>VC_NEW2!BA17</f>
        <v>0</v>
      </c>
      <c r="BG45" s="1">
        <f>VC_NEW2!BB17</f>
        <v>0</v>
      </c>
      <c r="BH45" s="1">
        <f>VC_NEW2!BC17</f>
        <v>0</v>
      </c>
      <c r="BI45" s="1">
        <f>VC_NEW2!BD17</f>
        <v>0</v>
      </c>
      <c r="BJ45" s="1">
        <f>VC_NEW2!BE17</f>
        <v>0</v>
      </c>
      <c r="BK45" s="1">
        <f>VC_NEW2!BF17</f>
        <v>0</v>
      </c>
      <c r="BL45" s="1">
        <f>VC_NEW2!BG17</f>
        <v>0</v>
      </c>
      <c r="BM45" s="1">
        <f>VC_NEW2!BH17</f>
        <v>0</v>
      </c>
      <c r="BN45" s="1">
        <f>VC_NEW2!BI17</f>
        <v>0</v>
      </c>
      <c r="BO45" s="1">
        <f>VC_NEW2!BJ17</f>
        <v>0</v>
      </c>
      <c r="BP45" s="1">
        <f>VC_NEW2!BK17</f>
        <v>0</v>
      </c>
      <c r="BQ45" s="1">
        <f>VC_NEW2!BL17</f>
        <v>0</v>
      </c>
      <c r="BR45" s="1">
        <f>VC_NEW2!BM17</f>
        <v>0</v>
      </c>
      <c r="BS45" s="1">
        <f>VC_NEW2!BN17</f>
        <v>0</v>
      </c>
      <c r="BT45" s="1">
        <f>VC_NEW2!BO17</f>
        <v>0</v>
      </c>
      <c r="BU45" s="1">
        <f>VC_NEW2!BP17</f>
        <v>0</v>
      </c>
      <c r="BV45" s="1">
        <f>VC_NEW2!BQ17</f>
        <v>0</v>
      </c>
      <c r="BW45" s="1">
        <f>VC_NEW2!BR17</f>
        <v>0</v>
      </c>
      <c r="BX45" s="1">
        <f>VC_NEW2!BS17</f>
        <v>0</v>
      </c>
      <c r="BY45" s="1">
        <f>VC_NEW2!BT17</f>
        <v>0</v>
      </c>
      <c r="BZ45" s="1">
        <f>VC_NEW2!BU17</f>
        <v>0</v>
      </c>
      <c r="CA45" s="1">
        <f>VC_NEW2!BV17</f>
        <v>0</v>
      </c>
      <c r="CB45" s="1">
        <f>VC_NEW2!BW17</f>
        <v>0</v>
      </c>
      <c r="CC45" s="1">
        <f>VC_NEW2!BX17</f>
        <v>0</v>
      </c>
      <c r="CD45" s="1">
        <f>VC_NEW2!BY17</f>
        <v>0</v>
      </c>
      <c r="CE45" s="1">
        <f>VC_NEW2!BZ17</f>
        <v>0</v>
      </c>
      <c r="CF45" s="1">
        <f>VC_NEW2!CA17</f>
        <v>0</v>
      </c>
      <c r="CG45" s="1">
        <f>VC_NEW2!CB17</f>
        <v>0</v>
      </c>
      <c r="CH45" s="1">
        <f>VC_NEW2!CC17</f>
        <v>0</v>
      </c>
      <c r="CI45" s="1">
        <f>VC_NEW2!CD17</f>
        <v>0</v>
      </c>
      <c r="CJ45" s="1">
        <f>VC_NEW2!CE17</f>
        <v>0</v>
      </c>
      <c r="CK45" s="1" t="str">
        <f>VC_NEW2!CF17</f>
        <v>nt61∆5</v>
      </c>
      <c r="CL45" s="1">
        <f>VC_NEW2!CG17</f>
        <v>0</v>
      </c>
      <c r="CM45" s="1">
        <f>VC_NEW2!CH17</f>
        <v>0</v>
      </c>
      <c r="CN45" s="1">
        <f>VC_NEW2!CI17</f>
        <v>0</v>
      </c>
      <c r="CO45" s="1">
        <f>VC_NEW2!CJ17</f>
        <v>0</v>
      </c>
      <c r="CP45" s="1">
        <f>VC_NEW2!CK17</f>
        <v>0</v>
      </c>
      <c r="CQ45" s="1">
        <f>VC_NEW2!CL17</f>
        <v>0</v>
      </c>
      <c r="CR45" s="1">
        <f>VC_NEW2!CM17</f>
        <v>0</v>
      </c>
      <c r="CS45" s="1">
        <f>VC_NEW2!CN17</f>
        <v>0</v>
      </c>
      <c r="CT45" s="1">
        <f>VC_NEW2!CO17</f>
        <v>0</v>
      </c>
      <c r="CU45" s="1">
        <f>VC_NEW2!CP17</f>
        <v>0</v>
      </c>
      <c r="CV45" s="1">
        <f>VC_NEW2!CQ17</f>
        <v>0</v>
      </c>
      <c r="CW45" s="1">
        <f>VC_NEW2!CR17</f>
        <v>0</v>
      </c>
      <c r="CX45" s="1">
        <f>VC_NEW2!CS17</f>
        <v>0</v>
      </c>
      <c r="CY45" s="1">
        <f>VC_NEW2!CT17</f>
        <v>0</v>
      </c>
      <c r="CZ45" s="1">
        <f>VC_NEW2!CU17</f>
        <v>0</v>
      </c>
      <c r="DA45" s="1">
        <f>VC_NEW2!CV17</f>
        <v>0</v>
      </c>
      <c r="DB45" s="1">
        <f>VC_NEW2!CW17</f>
        <v>0</v>
      </c>
      <c r="DC45" s="1">
        <f>VC_NEW2!CX17</f>
        <v>0</v>
      </c>
      <c r="DD45" s="1">
        <f>VC_NEW2!CY17</f>
        <v>0</v>
      </c>
      <c r="DE45" s="1">
        <f>VC_NEW2!CZ17</f>
        <v>0</v>
      </c>
      <c r="DF45" s="1">
        <f>VC_NEW2!DA17</f>
        <v>0</v>
      </c>
      <c r="DG45" s="1">
        <f>VC_NEW2!DB17</f>
        <v>0</v>
      </c>
      <c r="DH45" s="1">
        <f>VC_NEW2!DC17</f>
        <v>0</v>
      </c>
      <c r="DI45" s="1" t="str">
        <f>VC_NEW2!DD17</f>
        <v>∆63nt</v>
      </c>
      <c r="DJ45" s="1">
        <f>VC_NEW2!DE17</f>
        <v>0</v>
      </c>
      <c r="DK45" s="1">
        <f>VC_NEW2!DF17</f>
        <v>0</v>
      </c>
      <c r="DL45" s="1">
        <f>VC_NEW2!DG17</f>
        <v>0</v>
      </c>
      <c r="DM45" s="1">
        <f>VC_NEW2!DH17</f>
        <v>0</v>
      </c>
      <c r="DN45" s="1" t="str">
        <f>VC_NEW2!DI17</f>
        <v>DELETED</v>
      </c>
      <c r="DO45" s="1">
        <f>VC_NEW2!DJ17</f>
        <v>0</v>
      </c>
      <c r="DP45" s="1">
        <f>VC_NEW2!DK17</f>
        <v>0</v>
      </c>
      <c r="DQ45" s="1">
        <f>VC_NEW2!DL17</f>
        <v>0</v>
      </c>
      <c r="DR45" s="1">
        <f>VC_NEW2!DM17</f>
        <v>0</v>
      </c>
      <c r="DS45" s="1">
        <f>VC_NEW2!DN17</f>
        <v>0</v>
      </c>
      <c r="DT45" s="1">
        <f>VC_NEW2!DO17</f>
        <v>0</v>
      </c>
      <c r="DU45" s="1">
        <f>VC_NEW2!DP17</f>
        <v>0</v>
      </c>
      <c r="DV45" s="1">
        <f>VC_NEW2!DQ17</f>
        <v>0</v>
      </c>
      <c r="DW45" s="1">
        <f>VC_NEW2!DR17</f>
        <v>0</v>
      </c>
      <c r="DX45" s="1">
        <f>VC_NEW2!DS17</f>
        <v>0</v>
      </c>
      <c r="DY45" s="1">
        <f>VC_NEW2!DT17</f>
        <v>0</v>
      </c>
      <c r="DZ45" s="1">
        <f>VC_NEW2!DU17</f>
        <v>0</v>
      </c>
      <c r="EA45" s="1">
        <f>VC_NEW2!DV17</f>
        <v>0</v>
      </c>
      <c r="EB45" s="1">
        <f>VC_NEW2!DW17</f>
        <v>0</v>
      </c>
      <c r="EC45" s="1" t="str">
        <f>VC_NEW2!DX17</f>
        <v>G175S</v>
      </c>
      <c r="ED45" s="1">
        <f>VC_NEW2!DY17</f>
        <v>0</v>
      </c>
      <c r="EE45" s="1">
        <f>VC_NEW2!DZ17</f>
        <v>0</v>
      </c>
      <c r="EF45" s="1" t="str">
        <f>VC_NEW2!EA17</f>
        <v>aa207∆4</v>
      </c>
      <c r="EG45" s="1" t="str">
        <f>VC_NEW2!EB17</f>
        <v>Y12C, L21R, G56S</v>
      </c>
      <c r="EH45" s="1">
        <f>VC_NEW2!EC17</f>
        <v>0</v>
      </c>
      <c r="EI45" s="1">
        <f>VC_NEW2!ED17</f>
        <v>0</v>
      </c>
      <c r="EJ45" s="1">
        <f>VC_NEW2!EE17</f>
        <v>0</v>
      </c>
      <c r="EK45" s="1">
        <f>VC_NEW2!EF17</f>
        <v>0</v>
      </c>
      <c r="EL45" s="1">
        <f>VC_NEW2!EG17</f>
        <v>0</v>
      </c>
      <c r="EM45" s="1">
        <f>VC_NEW2!EH17</f>
        <v>0</v>
      </c>
      <c r="EN45" s="1">
        <f>VC_NEW2!EI17</f>
        <v>0</v>
      </c>
      <c r="EO45" s="1">
        <f>VC_NEW2!EJ17</f>
        <v>0</v>
      </c>
      <c r="EP45" s="1">
        <f>VC_NEW2!EK17</f>
        <v>0</v>
      </c>
      <c r="EQ45" s="1">
        <f>VC_NEW2!EL17</f>
        <v>0</v>
      </c>
      <c r="ER45" s="1">
        <f>VC_NEW2!EM17</f>
        <v>0</v>
      </c>
      <c r="ES45" s="1" t="str">
        <f>VC_NEW2!EN17</f>
        <v>C242X</v>
      </c>
      <c r="ET45" s="1">
        <f>VC_NEW2!EO17</f>
        <v>0</v>
      </c>
      <c r="EU45" s="1">
        <f>VC_NEW2!EP17</f>
        <v>0</v>
      </c>
      <c r="EV45" s="1">
        <f>VC_NEW2!EQ17</f>
        <v>0</v>
      </c>
      <c r="EW45" s="1">
        <f>VC_NEW2!ER17</f>
        <v>0</v>
      </c>
      <c r="EX45" s="1">
        <f>VC_NEW2!ES17</f>
        <v>0</v>
      </c>
      <c r="EY45" s="1">
        <f>VC_NEW2!ET17</f>
        <v>0</v>
      </c>
      <c r="EZ45" s="1">
        <f>VC_NEW2!EU17</f>
        <v>0</v>
      </c>
      <c r="FA45" s="1">
        <f>VC_NEW2!EV17</f>
        <v>0</v>
      </c>
      <c r="FB45" s="1">
        <f>VC_NEW2!EW17</f>
        <v>0</v>
      </c>
      <c r="FC45" s="1">
        <f>VC_NEW2!EX17</f>
        <v>0</v>
      </c>
      <c r="FD45" s="1">
        <f>VC_NEW2!EY17</f>
        <v>0</v>
      </c>
      <c r="FE45" s="1">
        <f>VC_NEW2!EZ17</f>
        <v>0</v>
      </c>
      <c r="FF45" s="1">
        <f>VC_NEW2!FA17</f>
        <v>0</v>
      </c>
      <c r="FG45" s="1">
        <f>VC_NEW2!FB17</f>
        <v>0</v>
      </c>
      <c r="FH45" s="1">
        <f>VC_NEW2!FC17</f>
        <v>0</v>
      </c>
      <c r="FI45" s="1">
        <f>VC_NEW2!FD17</f>
        <v>0</v>
      </c>
      <c r="FJ45" s="1" t="str">
        <f>VC_NEW2!FE17</f>
        <v>nt679∆1</v>
      </c>
      <c r="FK45" s="1">
        <f>VC_NEW2!FF17</f>
        <v>0</v>
      </c>
      <c r="FL45" s="1">
        <f>VC_NEW2!FG17</f>
        <v>0</v>
      </c>
      <c r="FM45" s="1">
        <f>VC_NEW2!FH17</f>
        <v>0</v>
      </c>
      <c r="FN45" s="1">
        <f>VC_NEW2!FI17</f>
        <v>0</v>
      </c>
      <c r="FO45" s="1">
        <f>VC_NEW2!FJ17</f>
        <v>0</v>
      </c>
      <c r="FP45" s="1">
        <f>VC_NEW2!FK17</f>
        <v>0</v>
      </c>
      <c r="FQ45" s="1">
        <f>VC_NEW2!FL17</f>
        <v>0</v>
      </c>
      <c r="FR45" s="1">
        <f>VC_NEW2!FM17</f>
        <v>0</v>
      </c>
      <c r="FS45" s="1">
        <f>VC_NEW2!FN17</f>
        <v>0</v>
      </c>
      <c r="FT45" s="1">
        <f>VC_NEW2!FO17</f>
        <v>0</v>
      </c>
      <c r="FU45" s="1">
        <f>VC_NEW2!FP17</f>
        <v>0</v>
      </c>
      <c r="FV45" s="1">
        <f>VC_NEW2!FQ17</f>
        <v>0</v>
      </c>
      <c r="FW45" s="1">
        <f>VC_NEW2!FR17</f>
        <v>0</v>
      </c>
      <c r="FX45" s="1">
        <f>VC_NEW2!FS17</f>
        <v>0</v>
      </c>
      <c r="FY45" s="1">
        <f>VC_NEW2!FT17</f>
        <v>0</v>
      </c>
      <c r="FZ45" s="1">
        <f>VC_NEW2!FU17</f>
        <v>0</v>
      </c>
      <c r="GA45" s="1">
        <f>VC_NEW2!FV17</f>
        <v>0</v>
      </c>
      <c r="GB45" s="1">
        <f>VC_NEW2!FW17</f>
        <v>0</v>
      </c>
      <c r="GC45" s="1">
        <f>VC_NEW2!FX17</f>
        <v>0</v>
      </c>
      <c r="GD45" s="1">
        <f>VC_NEW2!FY17</f>
        <v>0</v>
      </c>
      <c r="GE45" s="1">
        <f>VC_NEW2!FZ17</f>
        <v>0</v>
      </c>
      <c r="GF45" s="1">
        <f>VC_NEW2!GA17</f>
        <v>0</v>
      </c>
      <c r="GG45" s="1">
        <f>VC_NEW2!GB17</f>
        <v>0</v>
      </c>
      <c r="GH45" s="1">
        <f>VC_NEW2!GC17</f>
        <v>0</v>
      </c>
      <c r="GI45" s="1">
        <f>VC_NEW2!GD17</f>
        <v>0</v>
      </c>
      <c r="GJ45" s="1">
        <f>VC_NEW2!GE17</f>
        <v>0</v>
      </c>
      <c r="GK45" s="1">
        <f>VC_NEW2!GF17</f>
        <v>0</v>
      </c>
      <c r="GL45" s="1">
        <f>VC_NEW2!GG17</f>
        <v>0</v>
      </c>
      <c r="GM45" s="1">
        <f>VC_NEW2!GH17</f>
        <v>0</v>
      </c>
      <c r="GN45" s="1">
        <f>VC_NEW2!GI17</f>
        <v>0</v>
      </c>
      <c r="GO45" s="1">
        <f>VC_NEW2!GJ17</f>
        <v>0</v>
      </c>
      <c r="GP45" s="1">
        <f>VC_NEW2!GK17</f>
        <v>0</v>
      </c>
      <c r="GQ45" s="1">
        <f>VC_NEW2!GL17</f>
        <v>0</v>
      </c>
      <c r="GR45" s="1">
        <f>VC_NEW2!GM17</f>
        <v>0</v>
      </c>
      <c r="GS45" s="1">
        <f>VC_NEW2!GN17</f>
        <v>0</v>
      </c>
      <c r="GT45" s="1">
        <f>VC_NEW2!GO17</f>
        <v>0</v>
      </c>
      <c r="GU45" s="1">
        <f>VC_NEW2!GP17</f>
        <v>0</v>
      </c>
      <c r="GV45" s="1">
        <f>VC_NEW2!GQ17</f>
        <v>0</v>
      </c>
      <c r="GW45" s="1">
        <f>VC_NEW2!GR17</f>
        <v>0</v>
      </c>
      <c r="GX45" s="1" t="str">
        <f>VC_NEW2!GS17</f>
        <v>F248S</v>
      </c>
      <c r="GY45" s="1">
        <f>VC_NEW2!GT17</f>
        <v>0</v>
      </c>
      <c r="GZ45" s="1">
        <f>VC_NEW2!GU17</f>
        <v>0</v>
      </c>
      <c r="HA45" s="1">
        <f>VC_NEW2!GV17</f>
        <v>0</v>
      </c>
      <c r="HB45" s="1">
        <f>VC_NEW2!GW17</f>
        <v>0</v>
      </c>
      <c r="HC45" s="1">
        <f>VC_NEW2!GX17</f>
        <v>0</v>
      </c>
    </row>
    <row r="46" spans="1:211" s="1" customFormat="1" ht="15" hidden="1" customHeight="1" x14ac:dyDescent="0.3">
      <c r="A46" s="2" t="s">
        <v>16</v>
      </c>
      <c r="B46" s="2" t="s">
        <v>17</v>
      </c>
      <c r="C46" s="4" t="s">
        <v>3</v>
      </c>
      <c r="D46" s="2" t="s">
        <v>76</v>
      </c>
      <c r="E46" s="2" t="s">
        <v>138</v>
      </c>
      <c r="F46" s="2" t="s">
        <v>74</v>
      </c>
      <c r="G46" s="2" t="s">
        <v>136</v>
      </c>
      <c r="H46" s="1">
        <f>VC_NEW2!C17</f>
        <v>0</v>
      </c>
      <c r="I46" s="1">
        <f>VC_NEW2!D17</f>
        <v>0</v>
      </c>
      <c r="J46" s="1">
        <f>VC_NEW2!E17</f>
        <v>0</v>
      </c>
      <c r="K46" s="1">
        <f>VC_NEW2!F17</f>
        <v>0</v>
      </c>
      <c r="L46" s="1">
        <f>VC_NEW2!G17</f>
        <v>0</v>
      </c>
      <c r="M46" s="1">
        <f>VC_NEW2!H17</f>
        <v>0</v>
      </c>
      <c r="N46" s="1">
        <f>VC_NEW2!I17</f>
        <v>0</v>
      </c>
      <c r="O46" s="1">
        <f>VC_NEW2!J17</f>
        <v>0</v>
      </c>
      <c r="P46" s="1">
        <f>VC_NEW2!K17</f>
        <v>0</v>
      </c>
      <c r="Q46" s="1">
        <f>VC_NEW2!L17</f>
        <v>0</v>
      </c>
      <c r="R46" s="1">
        <f>VC_NEW2!M17</f>
        <v>0</v>
      </c>
      <c r="S46" s="1">
        <f>VC_NEW2!N17</f>
        <v>0</v>
      </c>
      <c r="T46" s="1">
        <f>VC_NEW2!O17</f>
        <v>0</v>
      </c>
      <c r="U46" s="1">
        <f>VC_NEW2!P17</f>
        <v>0</v>
      </c>
      <c r="V46" s="1">
        <f>VC_NEW2!Q17</f>
        <v>0</v>
      </c>
      <c r="W46" s="1">
        <f>VC_NEW2!R17</f>
        <v>0</v>
      </c>
      <c r="X46" s="1">
        <f>VC_NEW2!S17</f>
        <v>0</v>
      </c>
      <c r="Y46" s="1">
        <f>VC_NEW2!T17</f>
        <v>0</v>
      </c>
      <c r="Z46" s="1">
        <f>VC_NEW2!U17</f>
        <v>0</v>
      </c>
      <c r="AA46" s="1">
        <f>VC_NEW2!V17</f>
        <v>0</v>
      </c>
      <c r="AB46" s="1">
        <f>VC_NEW2!W17</f>
        <v>0</v>
      </c>
      <c r="AC46" s="1">
        <f>VC_NEW2!X17</f>
        <v>0</v>
      </c>
      <c r="AD46" s="1">
        <f>VC_NEW2!Y17</f>
        <v>0</v>
      </c>
      <c r="AE46" s="1">
        <f>VC_NEW2!Z17</f>
        <v>0</v>
      </c>
      <c r="AF46" s="1">
        <f>VC_NEW2!AA17</f>
        <v>0</v>
      </c>
      <c r="AG46" s="1">
        <f>VC_NEW2!AB17</f>
        <v>0</v>
      </c>
      <c r="AH46" s="1">
        <f>VC_NEW2!AC17</f>
        <v>0</v>
      </c>
      <c r="AI46" s="1">
        <f>VC_NEW2!AD17</f>
        <v>0</v>
      </c>
      <c r="AJ46" s="1">
        <f>VC_NEW2!AE17</f>
        <v>0</v>
      </c>
      <c r="AK46" s="1">
        <f>VC_NEW2!AF17</f>
        <v>0</v>
      </c>
      <c r="AL46" s="1">
        <f>VC_NEW2!AG17</f>
        <v>0</v>
      </c>
      <c r="AM46" s="1">
        <f>VC_NEW2!AH17</f>
        <v>0</v>
      </c>
      <c r="AN46" s="1">
        <f>VC_NEW2!AI17</f>
        <v>0</v>
      </c>
      <c r="AO46" s="1">
        <f>VC_NEW2!AJ17</f>
        <v>0</v>
      </c>
      <c r="AP46" s="1">
        <f>VC_NEW2!AK17</f>
        <v>0</v>
      </c>
      <c r="AQ46" s="1">
        <f>VC_NEW2!AL17</f>
        <v>0</v>
      </c>
      <c r="AR46" s="1">
        <f>VC_NEW2!AM17</f>
        <v>0</v>
      </c>
      <c r="AS46" s="1">
        <f>VC_NEW2!AN17</f>
        <v>0</v>
      </c>
      <c r="AT46" s="1">
        <f>VC_NEW2!AO17</f>
        <v>0</v>
      </c>
      <c r="AU46" s="1">
        <f>VC_NEW2!AP17</f>
        <v>0</v>
      </c>
      <c r="AV46" s="1">
        <f>VC_NEW2!AQ17</f>
        <v>0</v>
      </c>
      <c r="AW46" s="1">
        <f>VC_NEW2!AR17</f>
        <v>0</v>
      </c>
      <c r="AX46" s="1">
        <f>VC_NEW2!AS17</f>
        <v>0</v>
      </c>
      <c r="AY46" s="1">
        <f>VC_NEW2!AT17</f>
        <v>0</v>
      </c>
      <c r="AZ46" s="1">
        <f>VC_NEW2!AU17</f>
        <v>0</v>
      </c>
      <c r="BA46" s="1">
        <f>VC_NEW2!AV17</f>
        <v>0</v>
      </c>
      <c r="BB46" s="1">
        <f>VC_NEW2!AW17</f>
        <v>0</v>
      </c>
      <c r="BC46" s="1">
        <f>VC_NEW2!AX17</f>
        <v>0</v>
      </c>
      <c r="BD46" s="1">
        <f>VC_NEW2!AY17</f>
        <v>0</v>
      </c>
      <c r="BE46" s="1">
        <f>VC_NEW2!AZ17</f>
        <v>0</v>
      </c>
      <c r="BF46" s="1">
        <f>VC_NEW2!BA17</f>
        <v>0</v>
      </c>
      <c r="BG46" s="1">
        <f>VC_NEW2!BB17</f>
        <v>0</v>
      </c>
      <c r="BH46" s="1">
        <f>VC_NEW2!BC17</f>
        <v>0</v>
      </c>
      <c r="BI46" s="1">
        <f>VC_NEW2!BD17</f>
        <v>0</v>
      </c>
      <c r="BJ46" s="1">
        <f>VC_NEW2!BE17</f>
        <v>0</v>
      </c>
      <c r="BK46" s="1">
        <f>VC_NEW2!BF17</f>
        <v>0</v>
      </c>
      <c r="BL46" s="1">
        <f>VC_NEW2!BG17</f>
        <v>0</v>
      </c>
      <c r="BM46" s="1">
        <f>VC_NEW2!BH17</f>
        <v>0</v>
      </c>
      <c r="BN46" s="1">
        <f>VC_NEW2!BI17</f>
        <v>0</v>
      </c>
      <c r="BO46" s="1">
        <f>VC_NEW2!BJ17</f>
        <v>0</v>
      </c>
      <c r="BP46" s="1">
        <f>VC_NEW2!BK17</f>
        <v>0</v>
      </c>
      <c r="BQ46" s="1">
        <f>VC_NEW2!BL17</f>
        <v>0</v>
      </c>
      <c r="BR46" s="1">
        <f>VC_NEW2!BM17</f>
        <v>0</v>
      </c>
      <c r="BS46" s="1">
        <f>VC_NEW2!BN17</f>
        <v>0</v>
      </c>
      <c r="BT46" s="1">
        <f>VC_NEW2!BO17</f>
        <v>0</v>
      </c>
      <c r="BU46" s="1">
        <f>VC_NEW2!BP17</f>
        <v>0</v>
      </c>
      <c r="BV46" s="1">
        <f>VC_NEW2!BQ17</f>
        <v>0</v>
      </c>
      <c r="BW46" s="1">
        <f>VC_NEW2!BR17</f>
        <v>0</v>
      </c>
      <c r="BX46" s="1">
        <f>VC_NEW2!BS17</f>
        <v>0</v>
      </c>
      <c r="BY46" s="1">
        <f>VC_NEW2!BT17</f>
        <v>0</v>
      </c>
      <c r="BZ46" s="1">
        <f>VC_NEW2!BU17</f>
        <v>0</v>
      </c>
      <c r="CA46" s="1">
        <f>VC_NEW2!BV17</f>
        <v>0</v>
      </c>
      <c r="CB46" s="1">
        <f>VC_NEW2!BW17</f>
        <v>0</v>
      </c>
      <c r="CC46" s="1">
        <f>VC_NEW2!BX17</f>
        <v>0</v>
      </c>
      <c r="CD46" s="1">
        <f>VC_NEW2!BY17</f>
        <v>0</v>
      </c>
      <c r="CE46" s="1">
        <f>VC_NEW2!BZ17</f>
        <v>0</v>
      </c>
      <c r="CF46" s="1">
        <f>VC_NEW2!CA17</f>
        <v>0</v>
      </c>
      <c r="CG46" s="1">
        <f>VC_NEW2!CB17</f>
        <v>0</v>
      </c>
      <c r="CH46" s="1">
        <f>VC_NEW2!CC17</f>
        <v>0</v>
      </c>
      <c r="CI46" s="1">
        <f>VC_NEW2!CD17</f>
        <v>0</v>
      </c>
      <c r="CJ46" s="1">
        <f>VC_NEW2!CE17</f>
        <v>0</v>
      </c>
      <c r="CK46" s="1" t="str">
        <f>VC_NEW2!CF17</f>
        <v>nt61∆5</v>
      </c>
      <c r="CL46" s="1">
        <f>VC_NEW2!CG17</f>
        <v>0</v>
      </c>
      <c r="CM46" s="1">
        <f>VC_NEW2!CH17</f>
        <v>0</v>
      </c>
      <c r="CN46" s="1">
        <f>VC_NEW2!CI17</f>
        <v>0</v>
      </c>
      <c r="CO46" s="1">
        <f>VC_NEW2!CJ17</f>
        <v>0</v>
      </c>
      <c r="CP46" s="1">
        <f>VC_NEW2!CK17</f>
        <v>0</v>
      </c>
      <c r="CQ46" s="1">
        <f>VC_NEW2!CL17</f>
        <v>0</v>
      </c>
      <c r="CR46" s="1">
        <f>VC_NEW2!CM17</f>
        <v>0</v>
      </c>
      <c r="CS46" s="1">
        <f>VC_NEW2!CN17</f>
        <v>0</v>
      </c>
      <c r="CT46" s="1">
        <f>VC_NEW2!CO17</f>
        <v>0</v>
      </c>
      <c r="CU46" s="1">
        <f>VC_NEW2!CP17</f>
        <v>0</v>
      </c>
      <c r="CV46" s="1">
        <f>VC_NEW2!CQ17</f>
        <v>0</v>
      </c>
      <c r="CW46" s="1">
        <f>VC_NEW2!CR17</f>
        <v>0</v>
      </c>
      <c r="CX46" s="1">
        <f>VC_NEW2!CS17</f>
        <v>0</v>
      </c>
      <c r="CY46" s="1">
        <f>VC_NEW2!CT17</f>
        <v>0</v>
      </c>
      <c r="CZ46" s="1">
        <f>VC_NEW2!CU17</f>
        <v>0</v>
      </c>
      <c r="DA46" s="1">
        <f>VC_NEW2!CV17</f>
        <v>0</v>
      </c>
      <c r="DB46" s="1">
        <f>VC_NEW2!CW17</f>
        <v>0</v>
      </c>
      <c r="DC46" s="1">
        <f>VC_NEW2!CX17</f>
        <v>0</v>
      </c>
      <c r="DD46" s="1">
        <f>VC_NEW2!CY17</f>
        <v>0</v>
      </c>
      <c r="DE46" s="1">
        <f>VC_NEW2!CZ17</f>
        <v>0</v>
      </c>
      <c r="DF46" s="1">
        <f>VC_NEW2!DA17</f>
        <v>0</v>
      </c>
      <c r="DG46" s="1">
        <f>VC_NEW2!DB17</f>
        <v>0</v>
      </c>
      <c r="DH46" s="1">
        <f>VC_NEW2!DC17</f>
        <v>0</v>
      </c>
      <c r="DI46" s="1" t="str">
        <f>VC_NEW2!DD17</f>
        <v>∆63nt</v>
      </c>
      <c r="DJ46" s="1">
        <f>VC_NEW2!DE17</f>
        <v>0</v>
      </c>
      <c r="DK46" s="1">
        <f>VC_NEW2!DF17</f>
        <v>0</v>
      </c>
      <c r="DL46" s="1">
        <f>VC_NEW2!DG17</f>
        <v>0</v>
      </c>
      <c r="DM46" s="1">
        <f>VC_NEW2!DH17</f>
        <v>0</v>
      </c>
      <c r="DN46" s="1" t="str">
        <f>VC_NEW2!DI17</f>
        <v>DELETED</v>
      </c>
      <c r="DO46" s="1">
        <f>VC_NEW2!DJ17</f>
        <v>0</v>
      </c>
      <c r="DP46" s="1">
        <f>VC_NEW2!DK17</f>
        <v>0</v>
      </c>
      <c r="DQ46" s="1">
        <f>VC_NEW2!DL17</f>
        <v>0</v>
      </c>
      <c r="DR46" s="1">
        <f>VC_NEW2!DM17</f>
        <v>0</v>
      </c>
      <c r="DS46" s="1">
        <f>VC_NEW2!DN17</f>
        <v>0</v>
      </c>
      <c r="DT46" s="1">
        <f>VC_NEW2!DO17</f>
        <v>0</v>
      </c>
      <c r="DU46" s="1">
        <f>VC_NEW2!DP17</f>
        <v>0</v>
      </c>
      <c r="DV46" s="1">
        <f>VC_NEW2!DQ17</f>
        <v>0</v>
      </c>
      <c r="DW46" s="1">
        <f>VC_NEW2!DR17</f>
        <v>0</v>
      </c>
      <c r="DX46" s="1">
        <f>VC_NEW2!DS17</f>
        <v>0</v>
      </c>
      <c r="DY46" s="1">
        <f>VC_NEW2!DT17</f>
        <v>0</v>
      </c>
      <c r="DZ46" s="1">
        <f>VC_NEW2!DU17</f>
        <v>0</v>
      </c>
      <c r="EA46" s="1">
        <f>VC_NEW2!DV17</f>
        <v>0</v>
      </c>
      <c r="EB46" s="1">
        <f>VC_NEW2!DW17</f>
        <v>0</v>
      </c>
      <c r="EC46" s="1" t="str">
        <f>VC_NEW2!DX17</f>
        <v>G175S</v>
      </c>
      <c r="ED46" s="1">
        <f>VC_NEW2!DY17</f>
        <v>0</v>
      </c>
      <c r="EE46" s="1">
        <f>VC_NEW2!DZ17</f>
        <v>0</v>
      </c>
      <c r="EF46" s="1" t="str">
        <f>VC_NEW2!EA17</f>
        <v>aa207∆4</v>
      </c>
      <c r="EG46" s="1" t="str">
        <f>VC_NEW2!EB17</f>
        <v>Y12C, L21R, G56S</v>
      </c>
      <c r="EH46" s="1">
        <f>VC_NEW2!EC17</f>
        <v>0</v>
      </c>
      <c r="EI46" s="1">
        <f>VC_NEW2!ED17</f>
        <v>0</v>
      </c>
      <c r="EJ46" s="1">
        <f>VC_NEW2!EE17</f>
        <v>0</v>
      </c>
      <c r="EK46" s="1">
        <f>VC_NEW2!EF17</f>
        <v>0</v>
      </c>
      <c r="EL46" s="1">
        <f>VC_NEW2!EG17</f>
        <v>0</v>
      </c>
      <c r="EM46" s="1">
        <f>VC_NEW2!EH17</f>
        <v>0</v>
      </c>
      <c r="EN46" s="1">
        <f>VC_NEW2!EI17</f>
        <v>0</v>
      </c>
      <c r="EO46" s="1">
        <f>VC_NEW2!EJ17</f>
        <v>0</v>
      </c>
      <c r="EP46" s="1">
        <f>VC_NEW2!EK17</f>
        <v>0</v>
      </c>
      <c r="EQ46" s="1">
        <f>VC_NEW2!EL17</f>
        <v>0</v>
      </c>
      <c r="ER46" s="1">
        <f>VC_NEW2!EM17</f>
        <v>0</v>
      </c>
      <c r="ES46" s="1" t="str">
        <f>VC_NEW2!EN17</f>
        <v>C242X</v>
      </c>
      <c r="ET46" s="1">
        <f>VC_NEW2!EO17</f>
        <v>0</v>
      </c>
      <c r="EU46" s="1">
        <f>VC_NEW2!EP17</f>
        <v>0</v>
      </c>
      <c r="EV46" s="1">
        <f>VC_NEW2!EQ17</f>
        <v>0</v>
      </c>
      <c r="EW46" s="1">
        <f>VC_NEW2!ER17</f>
        <v>0</v>
      </c>
      <c r="EX46" s="1">
        <f>VC_NEW2!ES17</f>
        <v>0</v>
      </c>
      <c r="EY46" s="1">
        <f>VC_NEW2!ET17</f>
        <v>0</v>
      </c>
      <c r="EZ46" s="1">
        <f>VC_NEW2!EU17</f>
        <v>0</v>
      </c>
      <c r="FA46" s="1">
        <f>VC_NEW2!EV17</f>
        <v>0</v>
      </c>
      <c r="FB46" s="1">
        <f>VC_NEW2!EW17</f>
        <v>0</v>
      </c>
      <c r="FC46" s="1">
        <f>VC_NEW2!EX17</f>
        <v>0</v>
      </c>
      <c r="FD46" s="1">
        <f>VC_NEW2!EY17</f>
        <v>0</v>
      </c>
      <c r="FE46" s="1">
        <f>VC_NEW2!EZ17</f>
        <v>0</v>
      </c>
      <c r="FF46" s="1">
        <f>VC_NEW2!FA17</f>
        <v>0</v>
      </c>
      <c r="FG46" s="1">
        <f>VC_NEW2!FB17</f>
        <v>0</v>
      </c>
      <c r="FH46" s="1">
        <f>VC_NEW2!FC17</f>
        <v>0</v>
      </c>
      <c r="FI46" s="1">
        <f>VC_NEW2!FD17</f>
        <v>0</v>
      </c>
      <c r="FJ46" s="1" t="str">
        <f>VC_NEW2!FE17</f>
        <v>nt679∆1</v>
      </c>
      <c r="FK46" s="1">
        <f>VC_NEW2!FF17</f>
        <v>0</v>
      </c>
      <c r="FL46" s="1">
        <f>VC_NEW2!FG17</f>
        <v>0</v>
      </c>
      <c r="FM46" s="1">
        <f>VC_NEW2!FH17</f>
        <v>0</v>
      </c>
      <c r="FN46" s="1">
        <f>VC_NEW2!FI17</f>
        <v>0</v>
      </c>
      <c r="FO46" s="1">
        <f>VC_NEW2!FJ17</f>
        <v>0</v>
      </c>
      <c r="FP46" s="1">
        <f>VC_NEW2!FK17</f>
        <v>0</v>
      </c>
      <c r="FQ46" s="1">
        <f>VC_NEW2!FL17</f>
        <v>0</v>
      </c>
      <c r="FR46" s="1">
        <f>VC_NEW2!FM17</f>
        <v>0</v>
      </c>
      <c r="FS46" s="1">
        <f>VC_NEW2!FN17</f>
        <v>0</v>
      </c>
      <c r="FT46" s="1">
        <f>VC_NEW2!FO17</f>
        <v>0</v>
      </c>
      <c r="FU46" s="1">
        <f>VC_NEW2!FP17</f>
        <v>0</v>
      </c>
      <c r="FV46" s="1">
        <f>VC_NEW2!FQ17</f>
        <v>0</v>
      </c>
      <c r="FW46" s="1">
        <f>VC_NEW2!FR17</f>
        <v>0</v>
      </c>
      <c r="FX46" s="1">
        <f>VC_NEW2!FS17</f>
        <v>0</v>
      </c>
      <c r="FY46" s="1">
        <f>VC_NEW2!FT17</f>
        <v>0</v>
      </c>
      <c r="FZ46" s="1">
        <f>VC_NEW2!FU17</f>
        <v>0</v>
      </c>
      <c r="GA46" s="1">
        <f>VC_NEW2!FV17</f>
        <v>0</v>
      </c>
      <c r="GB46" s="1">
        <f>VC_NEW2!FW17</f>
        <v>0</v>
      </c>
      <c r="GC46" s="1">
        <f>VC_NEW2!FX17</f>
        <v>0</v>
      </c>
      <c r="GD46" s="1">
        <f>VC_NEW2!FY17</f>
        <v>0</v>
      </c>
      <c r="GE46" s="1">
        <f>VC_NEW2!FZ17</f>
        <v>0</v>
      </c>
      <c r="GF46" s="1">
        <f>VC_NEW2!GA17</f>
        <v>0</v>
      </c>
      <c r="GG46" s="1">
        <f>VC_NEW2!GB17</f>
        <v>0</v>
      </c>
      <c r="GH46" s="1">
        <f>VC_NEW2!GC17</f>
        <v>0</v>
      </c>
      <c r="GI46" s="1">
        <f>VC_NEW2!GD17</f>
        <v>0</v>
      </c>
      <c r="GJ46" s="1">
        <f>VC_NEW2!GE17</f>
        <v>0</v>
      </c>
      <c r="GK46" s="1">
        <f>VC_NEW2!GF17</f>
        <v>0</v>
      </c>
      <c r="GL46" s="1">
        <f>VC_NEW2!GG17</f>
        <v>0</v>
      </c>
      <c r="GM46" s="1">
        <f>VC_NEW2!GH17</f>
        <v>0</v>
      </c>
      <c r="GN46" s="1">
        <f>VC_NEW2!GI17</f>
        <v>0</v>
      </c>
      <c r="GO46" s="1">
        <f>VC_NEW2!GJ17</f>
        <v>0</v>
      </c>
      <c r="GP46" s="1">
        <f>VC_NEW2!GK17</f>
        <v>0</v>
      </c>
      <c r="GQ46" s="1">
        <f>VC_NEW2!GL17</f>
        <v>0</v>
      </c>
      <c r="GR46" s="1">
        <f>VC_NEW2!GM17</f>
        <v>0</v>
      </c>
      <c r="GS46" s="1">
        <f>VC_NEW2!GN17</f>
        <v>0</v>
      </c>
      <c r="GT46" s="1">
        <f>VC_NEW2!GO17</f>
        <v>0</v>
      </c>
      <c r="GU46" s="1">
        <f>VC_NEW2!GP17</f>
        <v>0</v>
      </c>
      <c r="GV46" s="1">
        <f>VC_NEW2!GQ17</f>
        <v>0</v>
      </c>
      <c r="GW46" s="1">
        <f>VC_NEW2!GR17</f>
        <v>0</v>
      </c>
      <c r="GX46" s="1" t="str">
        <f>VC_NEW2!GS17</f>
        <v>F248S</v>
      </c>
      <c r="GY46" s="1">
        <f>VC_NEW2!GT17</f>
        <v>0</v>
      </c>
      <c r="GZ46" s="1">
        <f>VC_NEW2!GU17</f>
        <v>0</v>
      </c>
      <c r="HA46" s="1">
        <f>VC_NEW2!GV17</f>
        <v>0</v>
      </c>
      <c r="HB46" s="1">
        <f>VC_NEW2!GW17</f>
        <v>0</v>
      </c>
      <c r="HC46" s="1">
        <f>VC_NEW2!GX17</f>
        <v>0</v>
      </c>
    </row>
    <row r="47" spans="1:211" s="7" customFormat="1" ht="15" customHeight="1" x14ac:dyDescent="0.25">
      <c r="A47" s="13" t="s">
        <v>55</v>
      </c>
      <c r="B47" s="15" t="s">
        <v>151</v>
      </c>
      <c r="C47" s="14" t="s">
        <v>2</v>
      </c>
      <c r="D47" s="15" t="s">
        <v>76</v>
      </c>
      <c r="E47" s="15" t="s">
        <v>138</v>
      </c>
      <c r="F47" s="15" t="s">
        <v>74</v>
      </c>
      <c r="G47" s="16" t="s">
        <v>136</v>
      </c>
      <c r="H47" s="7">
        <f>VC_NEW2!C19</f>
        <v>0</v>
      </c>
      <c r="I47" s="7">
        <f>VC_NEW2!D19</f>
        <v>0</v>
      </c>
      <c r="J47" s="7">
        <f>VC_NEW2!E19</f>
        <v>0</v>
      </c>
      <c r="K47" s="7">
        <f>VC_NEW2!F19</f>
        <v>0</v>
      </c>
      <c r="L47" s="7">
        <f>VC_NEW2!G19</f>
        <v>0</v>
      </c>
      <c r="M47" s="7">
        <f>VC_NEW2!H19</f>
        <v>0</v>
      </c>
      <c r="N47" s="7">
        <f>VC_NEW2!I19</f>
        <v>0</v>
      </c>
      <c r="O47" s="7">
        <f>VC_NEW2!J19</f>
        <v>0</v>
      </c>
      <c r="P47" s="7">
        <f>VC_NEW2!K19</f>
        <v>0</v>
      </c>
      <c r="Q47" s="7">
        <f>VC_NEW2!L19</f>
        <v>0</v>
      </c>
      <c r="R47" s="7">
        <f>VC_NEW2!M19</f>
        <v>0</v>
      </c>
      <c r="S47" s="7">
        <f>VC_NEW2!N19</f>
        <v>0</v>
      </c>
      <c r="T47" s="7">
        <f>VC_NEW2!O19</f>
        <v>0</v>
      </c>
      <c r="U47" s="7">
        <f>VC_NEW2!P19</f>
        <v>0</v>
      </c>
      <c r="V47" s="7" t="str">
        <f>VC_NEW2!Q19</f>
        <v>L32Q, V333M</v>
      </c>
      <c r="W47" s="7">
        <f>VC_NEW2!R19</f>
        <v>0</v>
      </c>
      <c r="X47" s="7">
        <f>VC_NEW2!S19</f>
        <v>0</v>
      </c>
      <c r="Y47" s="7">
        <f>VC_NEW2!T19</f>
        <v>0</v>
      </c>
      <c r="Z47" s="7">
        <f>VC_NEW2!U19</f>
        <v>0</v>
      </c>
      <c r="AA47" s="7">
        <f>VC_NEW2!V19</f>
        <v>0</v>
      </c>
      <c r="AB47" s="7">
        <f>VC_NEW2!W19</f>
        <v>0</v>
      </c>
      <c r="AC47" s="7">
        <f>VC_NEW2!X19</f>
        <v>0</v>
      </c>
      <c r="AD47" s="7">
        <f>VC_NEW2!Y19</f>
        <v>0</v>
      </c>
      <c r="AE47" s="7">
        <f>VC_NEW2!Z19</f>
        <v>0</v>
      </c>
      <c r="AF47" s="7">
        <f>VC_NEW2!AA19</f>
        <v>0</v>
      </c>
      <c r="AG47" s="7">
        <f>VC_NEW2!AB19</f>
        <v>0</v>
      </c>
      <c r="AH47" s="7" t="str">
        <f>VC_NEW2!AC19</f>
        <v xml:space="preserve">P90L </v>
      </c>
      <c r="AI47" s="7">
        <f>VC_NEW2!AD19</f>
        <v>0</v>
      </c>
      <c r="AJ47" s="7">
        <f>VC_NEW2!AE19</f>
        <v>0</v>
      </c>
      <c r="AK47" s="7">
        <f>VC_NEW2!AF19</f>
        <v>0</v>
      </c>
      <c r="AL47" s="7">
        <f>VC_NEW2!AG19</f>
        <v>0</v>
      </c>
      <c r="AM47" s="7">
        <f>VC_NEW2!AH19</f>
        <v>0</v>
      </c>
      <c r="AN47" s="7">
        <f>VC_NEW2!AI19</f>
        <v>0</v>
      </c>
      <c r="AO47" s="7">
        <f>VC_NEW2!AJ19</f>
        <v>0</v>
      </c>
      <c r="AP47" s="7">
        <f>VC_NEW2!AK19</f>
        <v>0</v>
      </c>
      <c r="AQ47" s="7">
        <f>VC_NEW2!AL19</f>
        <v>0</v>
      </c>
      <c r="AR47" s="7">
        <f>VC_NEW2!AM19</f>
        <v>0</v>
      </c>
      <c r="AS47" s="7">
        <f>VC_NEW2!AN19</f>
        <v>0</v>
      </c>
      <c r="AT47" s="7">
        <f>VC_NEW2!AO19</f>
        <v>0</v>
      </c>
      <c r="AU47" s="7">
        <f>VC_NEW2!AP19</f>
        <v>0</v>
      </c>
      <c r="AV47" s="7">
        <f>VC_NEW2!AQ19</f>
        <v>0</v>
      </c>
      <c r="AW47" s="7" t="str">
        <f>VC_NEW2!AR19</f>
        <v xml:space="preserve">Q100H </v>
      </c>
      <c r="AX47" s="7">
        <f>VC_NEW2!AS19</f>
        <v>0</v>
      </c>
      <c r="AY47" s="7">
        <f>VC_NEW2!AT19</f>
        <v>0</v>
      </c>
      <c r="AZ47" s="7">
        <f>VC_NEW2!AU19</f>
        <v>0</v>
      </c>
      <c r="BA47" s="7">
        <f>VC_NEW2!AV19</f>
        <v>0</v>
      </c>
      <c r="BB47" s="7">
        <f>VC_NEW2!AW19</f>
        <v>0</v>
      </c>
      <c r="BC47" s="7">
        <f>VC_NEW2!AX19</f>
        <v>0</v>
      </c>
      <c r="BD47" s="7">
        <f>VC_NEW2!AY19</f>
        <v>0</v>
      </c>
      <c r="BE47" s="7" t="str">
        <f>VC_NEW2!AZ19</f>
        <v xml:space="preserve">G231S </v>
      </c>
      <c r="BF47" s="7">
        <f>VC_NEW2!BA19</f>
        <v>0</v>
      </c>
      <c r="BG47" s="7" t="str">
        <f>VC_NEW2!BB19</f>
        <v xml:space="preserve">V104A </v>
      </c>
      <c r="BH47" s="7">
        <f>VC_NEW2!BC19</f>
        <v>0</v>
      </c>
      <c r="BI47" s="7">
        <f>VC_NEW2!BD19</f>
        <v>0</v>
      </c>
      <c r="BJ47" s="7">
        <f>VC_NEW2!BE19</f>
        <v>0</v>
      </c>
      <c r="BK47" s="7">
        <f>VC_NEW2!BF19</f>
        <v>0</v>
      </c>
      <c r="BL47" s="7">
        <f>VC_NEW2!BG19</f>
        <v>0</v>
      </c>
      <c r="BM47" s="7">
        <f>VC_NEW2!BH19</f>
        <v>0</v>
      </c>
      <c r="BN47" s="7">
        <f>VC_NEW2!BI19</f>
        <v>0</v>
      </c>
      <c r="BO47" s="7">
        <f>VC_NEW2!BJ19</f>
        <v>0</v>
      </c>
      <c r="BP47" s="7">
        <f>VC_NEW2!BK19</f>
        <v>0</v>
      </c>
      <c r="BQ47" s="7">
        <f>VC_NEW2!BL19</f>
        <v>0</v>
      </c>
      <c r="BR47" s="7">
        <f>VC_NEW2!BM19</f>
        <v>0</v>
      </c>
      <c r="BS47" s="7">
        <f>VC_NEW2!BN19</f>
        <v>0</v>
      </c>
      <c r="BT47" s="7">
        <f>VC_NEW2!BO19</f>
        <v>0</v>
      </c>
      <c r="BU47" s="7">
        <f>VC_NEW2!BP19</f>
        <v>0</v>
      </c>
      <c r="BV47" s="7">
        <f>VC_NEW2!BQ19</f>
        <v>0</v>
      </c>
      <c r="BW47" s="7">
        <f>VC_NEW2!BR19</f>
        <v>0</v>
      </c>
      <c r="BX47" s="7">
        <f>VC_NEW2!BS19</f>
        <v>0</v>
      </c>
      <c r="BY47" s="7">
        <f>VC_NEW2!BT19</f>
        <v>0</v>
      </c>
      <c r="BZ47" s="7">
        <f>VC_NEW2!BU19</f>
        <v>0</v>
      </c>
      <c r="CA47" s="7">
        <f>VC_NEW2!BV19</f>
        <v>0</v>
      </c>
      <c r="CB47" s="7">
        <f>VC_NEW2!BW19</f>
        <v>0</v>
      </c>
      <c r="CC47" s="7" t="str">
        <f>VC_NEW2!BX19</f>
        <v xml:space="preserve">K43E </v>
      </c>
      <c r="CD47" s="7">
        <f>VC_NEW2!BY19</f>
        <v>0</v>
      </c>
      <c r="CE47" s="7">
        <f>VC_NEW2!BZ19</f>
        <v>0</v>
      </c>
      <c r="CF47" s="7">
        <f>VC_NEW2!CA19</f>
        <v>0</v>
      </c>
      <c r="CG47" s="7" t="str">
        <f>VC_NEW2!CB19</f>
        <v xml:space="preserve">V77I </v>
      </c>
      <c r="CH47" s="7">
        <f>VC_NEW2!CC19</f>
        <v>0</v>
      </c>
      <c r="CI47" s="7" t="str">
        <f>VC_NEW2!CD19</f>
        <v xml:space="preserve">V77I </v>
      </c>
      <c r="CJ47" s="7">
        <f>VC_NEW2!CE19</f>
        <v>0</v>
      </c>
      <c r="CK47" s="7">
        <f>VC_NEW2!CF19</f>
        <v>0</v>
      </c>
      <c r="CL47" s="7">
        <f>VC_NEW2!CG19</f>
        <v>0</v>
      </c>
      <c r="CM47" s="7">
        <f>VC_NEW2!CH19</f>
        <v>0</v>
      </c>
      <c r="CN47" s="7">
        <f>VC_NEW2!CI19</f>
        <v>0</v>
      </c>
      <c r="CO47" s="7" t="str">
        <f>VC_NEW2!CJ19</f>
        <v xml:space="preserve">M106T </v>
      </c>
      <c r="CP47" s="7">
        <f>VC_NEW2!CK19</f>
        <v>0</v>
      </c>
      <c r="CQ47" s="7">
        <f>VC_NEW2!CL19</f>
        <v>0</v>
      </c>
      <c r="CR47" s="7">
        <f>VC_NEW2!CM19</f>
        <v>0</v>
      </c>
      <c r="CS47" s="7">
        <f>VC_NEW2!CN19</f>
        <v>0</v>
      </c>
      <c r="CT47" s="7">
        <f>VC_NEW2!CO19</f>
        <v>0</v>
      </c>
      <c r="CU47" s="7" t="str">
        <f>VC_NEW2!CP19</f>
        <v xml:space="preserve">G11S </v>
      </c>
      <c r="CV47" s="7">
        <f>VC_NEW2!CQ19</f>
        <v>0</v>
      </c>
      <c r="CW47" s="7">
        <f>VC_NEW2!CR19</f>
        <v>0</v>
      </c>
      <c r="CX47" s="7">
        <f>VC_NEW2!CS19</f>
        <v>0</v>
      </c>
      <c r="CY47" s="7">
        <f>VC_NEW2!CT19</f>
        <v>0</v>
      </c>
      <c r="CZ47" s="7" t="str">
        <f>VC_NEW2!CU19</f>
        <v xml:space="preserve">A52V </v>
      </c>
      <c r="DA47" s="7" t="str">
        <f>VC_NEW2!CV19</f>
        <v xml:space="preserve">F10L </v>
      </c>
      <c r="DB47" s="7">
        <f>VC_NEW2!CW19</f>
        <v>0</v>
      </c>
      <c r="DC47" s="7">
        <f>VC_NEW2!CX19</f>
        <v>0</v>
      </c>
      <c r="DD47" s="7">
        <f>VC_NEW2!CY19</f>
        <v>0</v>
      </c>
      <c r="DE47" s="7">
        <f>VC_NEW2!CZ19</f>
        <v>0</v>
      </c>
      <c r="DF47" s="7">
        <f>VC_NEW2!DA19</f>
        <v>0</v>
      </c>
      <c r="DG47" s="7">
        <f>VC_NEW2!DB19</f>
        <v>0</v>
      </c>
      <c r="DH47" s="7">
        <f>VC_NEW2!DC19</f>
        <v>0</v>
      </c>
      <c r="DI47" s="7">
        <f>VC_NEW2!DD19</f>
        <v>0</v>
      </c>
      <c r="DJ47" s="7">
        <f>VC_NEW2!DE19</f>
        <v>0</v>
      </c>
      <c r="DK47" s="7">
        <f>VC_NEW2!DF19</f>
        <v>0</v>
      </c>
      <c r="DL47" s="7">
        <f>VC_NEW2!DG19</f>
        <v>0</v>
      </c>
      <c r="DM47" s="7">
        <f>VC_NEW2!DH19</f>
        <v>0</v>
      </c>
      <c r="DN47" s="7">
        <f>VC_NEW2!DI19</f>
        <v>0</v>
      </c>
      <c r="DO47" s="7">
        <f>VC_NEW2!DJ19</f>
        <v>0</v>
      </c>
      <c r="DP47" s="7" t="str">
        <f>VC_NEW2!DK19</f>
        <v xml:space="preserve">P13L  </v>
      </c>
      <c r="DQ47" s="7">
        <f>VC_NEW2!DL19</f>
        <v>0</v>
      </c>
      <c r="DR47" s="7">
        <f>VC_NEW2!DM19</f>
        <v>0</v>
      </c>
      <c r="DS47" s="7">
        <f>VC_NEW2!DN19</f>
        <v>0</v>
      </c>
      <c r="DT47" s="7">
        <f>VC_NEW2!DO19</f>
        <v>0</v>
      </c>
      <c r="DU47" s="7">
        <f>VC_NEW2!DP19</f>
        <v>0</v>
      </c>
      <c r="DV47" s="7" t="str">
        <f>VC_NEW2!DQ19</f>
        <v>nt907∆14</v>
      </c>
      <c r="DW47" s="7">
        <f>VC_NEW2!DR19</f>
        <v>0</v>
      </c>
      <c r="DX47" s="7">
        <f>VC_NEW2!DS19</f>
        <v>0</v>
      </c>
      <c r="DY47" s="7">
        <f>VC_NEW2!DT19</f>
        <v>0</v>
      </c>
      <c r="DZ47" s="7" t="str">
        <f>VC_NEW2!DU19</f>
        <v xml:space="preserve">P24L </v>
      </c>
      <c r="EA47" s="7">
        <f>VC_NEW2!DV19</f>
        <v>0</v>
      </c>
      <c r="EB47" s="7">
        <f>VC_NEW2!DW19</f>
        <v>0</v>
      </c>
      <c r="EC47" s="7">
        <f>VC_NEW2!DX19</f>
        <v>0</v>
      </c>
      <c r="ED47" s="7">
        <f>VC_NEW2!DY19</f>
        <v>0</v>
      </c>
      <c r="EE47" s="7">
        <f>VC_NEW2!DZ19</f>
        <v>0</v>
      </c>
      <c r="EF47" s="7">
        <f>VC_NEW2!EA19</f>
        <v>0</v>
      </c>
      <c r="EG47" s="7">
        <f>VC_NEW2!EB19</f>
        <v>0</v>
      </c>
      <c r="EH47" s="7" t="str">
        <f>VC_NEW2!EC19</f>
        <v xml:space="preserve">V241M </v>
      </c>
      <c r="EI47" s="7">
        <f>VC_NEW2!ED19</f>
        <v>0</v>
      </c>
      <c r="EJ47" s="7" t="str">
        <f>VC_NEW2!EE19</f>
        <v xml:space="preserve"> nt396InsGT</v>
      </c>
      <c r="EK47" s="7" t="str">
        <f>VC_NEW2!EF19</f>
        <v>X340ext</v>
      </c>
      <c r="EL47" s="7" t="str">
        <f>VC_NEW2!EG19</f>
        <v xml:space="preserve">V308I </v>
      </c>
      <c r="EM47" s="7">
        <f>VC_NEW2!EH19</f>
        <v>0</v>
      </c>
      <c r="EN47" s="7">
        <f>VC_NEW2!EI19</f>
        <v>0</v>
      </c>
      <c r="EO47" s="7">
        <f>VC_NEW2!EJ19</f>
        <v>0</v>
      </c>
      <c r="EP47" s="7">
        <f>VC_NEW2!EK19</f>
        <v>0</v>
      </c>
      <c r="EQ47" s="7" t="str">
        <f>VC_NEW2!EL19</f>
        <v xml:space="preserve">N246K </v>
      </c>
      <c r="ER47" s="7">
        <f>VC_NEW2!EM19</f>
        <v>0</v>
      </c>
      <c r="ES47" s="7" t="str">
        <f>VC_NEW2!EN19</f>
        <v xml:space="preserve">G76S </v>
      </c>
      <c r="ET47" s="7" t="str">
        <f>VC_NEW2!EO19</f>
        <v xml:space="preserve">P225L </v>
      </c>
      <c r="EU47" s="7" t="str">
        <f>VC_NEW2!EP19</f>
        <v xml:space="preserve">N246K </v>
      </c>
      <c r="EV47" s="7" t="str">
        <f>VC_NEW2!EQ19</f>
        <v>DELETED</v>
      </c>
      <c r="EW47" s="7" t="str">
        <f>VC_NEW2!ER19</f>
        <v>E286D</v>
      </c>
      <c r="EX47" s="7">
        <f>VC_NEW2!ES19</f>
        <v>0</v>
      </c>
      <c r="EY47" s="7">
        <f>VC_NEW2!ET19</f>
        <v>0</v>
      </c>
      <c r="EZ47" s="7">
        <f>VC_NEW2!EU19</f>
        <v>0</v>
      </c>
      <c r="FA47" s="7">
        <f>VC_NEW2!EV19</f>
        <v>0</v>
      </c>
      <c r="FB47" s="7" t="str">
        <f>VC_NEW2!EW19</f>
        <v xml:space="preserve">G248C </v>
      </c>
      <c r="FC47" s="7">
        <f>VC_NEW2!EX19</f>
        <v>0</v>
      </c>
      <c r="FD47" s="7">
        <f>VC_NEW2!EY19</f>
        <v>0</v>
      </c>
      <c r="FE47" s="7">
        <f>VC_NEW2!EZ19</f>
        <v>0</v>
      </c>
      <c r="FF47" s="7">
        <f>VC_NEW2!FA19</f>
        <v>0</v>
      </c>
      <c r="FG47" s="7">
        <f>VC_NEW2!FB19</f>
        <v>0</v>
      </c>
      <c r="FH47" s="7" t="str">
        <f>VC_NEW2!FC19</f>
        <v>V308I</v>
      </c>
      <c r="FI47" s="7">
        <f>VC_NEW2!FD19</f>
        <v>0</v>
      </c>
      <c r="FJ47" s="7">
        <f>VC_NEW2!FE19</f>
        <v>0</v>
      </c>
      <c r="FK47" s="7">
        <f>VC_NEW2!FF19</f>
        <v>0</v>
      </c>
      <c r="FL47" s="7">
        <f>VC_NEW2!FG19</f>
        <v>0</v>
      </c>
      <c r="FM47" s="7">
        <f>VC_NEW2!FH19</f>
        <v>0</v>
      </c>
      <c r="FN47" s="7">
        <f>VC_NEW2!FI19</f>
        <v>0</v>
      </c>
      <c r="FO47" s="7">
        <f>VC_NEW2!FJ19</f>
        <v>0</v>
      </c>
      <c r="FP47" s="7" t="str">
        <f>VC_NEW2!FK19</f>
        <v>nt350∆1</v>
      </c>
      <c r="FQ47" s="7">
        <f>VC_NEW2!FL19</f>
        <v>0</v>
      </c>
      <c r="FR47" s="7">
        <f>VC_NEW2!FM19</f>
        <v>0</v>
      </c>
      <c r="FS47" s="7">
        <f>VC_NEW2!FN19</f>
        <v>0</v>
      </c>
      <c r="FT47" s="7">
        <f>VC_NEW2!FO19</f>
        <v>0</v>
      </c>
      <c r="FU47" s="7">
        <f>VC_NEW2!FP19</f>
        <v>0</v>
      </c>
      <c r="FV47" s="7">
        <f>VC_NEW2!FQ19</f>
        <v>0</v>
      </c>
      <c r="FW47" s="7">
        <f>VC_NEW2!FR19</f>
        <v>0</v>
      </c>
      <c r="FX47" s="7">
        <f>VC_NEW2!FS19</f>
        <v>0</v>
      </c>
      <c r="FY47" s="7">
        <f>VC_NEW2!FT19</f>
        <v>0</v>
      </c>
      <c r="FZ47" s="7">
        <f>VC_NEW2!FU19</f>
        <v>0</v>
      </c>
      <c r="GA47" s="7">
        <f>VC_NEW2!FV19</f>
        <v>0</v>
      </c>
      <c r="GB47" s="7">
        <f>VC_NEW2!FW19</f>
        <v>0</v>
      </c>
      <c r="GC47" s="7">
        <f>VC_NEW2!FX19</f>
        <v>0</v>
      </c>
      <c r="GD47" s="7">
        <f>VC_NEW2!FY19</f>
        <v>0</v>
      </c>
      <c r="GE47" s="7">
        <f>VC_NEW2!FZ19</f>
        <v>0</v>
      </c>
      <c r="GF47" s="7">
        <f>VC_NEW2!GA19</f>
        <v>0</v>
      </c>
      <c r="GG47" s="7">
        <f>VC_NEW2!GB19</f>
        <v>0</v>
      </c>
      <c r="GH47" s="7">
        <f>VC_NEW2!GC19</f>
        <v>0</v>
      </c>
      <c r="GI47" s="7">
        <f>VC_NEW2!GD19</f>
        <v>0</v>
      </c>
      <c r="GJ47" s="7">
        <f>VC_NEW2!GE19</f>
        <v>0</v>
      </c>
      <c r="GK47" s="7">
        <f>VC_NEW2!GF19</f>
        <v>0</v>
      </c>
      <c r="GL47" s="7">
        <f>VC_NEW2!GG19</f>
        <v>0</v>
      </c>
      <c r="GM47" s="7">
        <f>VC_NEW2!GH19</f>
        <v>0</v>
      </c>
      <c r="GN47" s="7" t="str">
        <f>VC_NEW2!GI19</f>
        <v xml:space="preserve">E205V </v>
      </c>
      <c r="GO47" s="7">
        <f>VC_NEW2!GJ19</f>
        <v>0</v>
      </c>
      <c r="GP47" s="7">
        <f>VC_NEW2!GK19</f>
        <v>0</v>
      </c>
      <c r="GQ47" s="7">
        <f>VC_NEW2!GL19</f>
        <v>0</v>
      </c>
      <c r="GR47" s="7">
        <f>VC_NEW2!GM19</f>
        <v>0</v>
      </c>
      <c r="GS47" s="7">
        <f>VC_NEW2!GN19</f>
        <v>0</v>
      </c>
      <c r="GT47" s="7">
        <f>VC_NEW2!GO19</f>
        <v>0</v>
      </c>
      <c r="GU47" s="7">
        <f>VC_NEW2!GP19</f>
        <v>0</v>
      </c>
      <c r="GV47" s="7" t="str">
        <f>VC_NEW2!GQ19</f>
        <v>G78S, aa147InsLKAG</v>
      </c>
      <c r="GW47" s="7">
        <f>VC_NEW2!GR19</f>
        <v>0</v>
      </c>
      <c r="GX47" s="7">
        <f>VC_NEW2!GS19</f>
        <v>0</v>
      </c>
      <c r="GY47" s="7">
        <f>VC_NEW2!GT19</f>
        <v>0</v>
      </c>
      <c r="GZ47" s="7">
        <f>VC_NEW2!GU19</f>
        <v>0</v>
      </c>
      <c r="HA47" s="7" t="str">
        <f>VC_NEW2!GV19</f>
        <v xml:space="preserve">D232G </v>
      </c>
      <c r="HB47" s="7">
        <f>VC_NEW2!GW19</f>
        <v>0</v>
      </c>
      <c r="HC47" s="7" t="str">
        <f>VC_NEW2!GX19</f>
        <v xml:space="preserve">S84F </v>
      </c>
    </row>
    <row r="48" spans="1:211" s="7" customFormat="1" ht="15" hidden="1" customHeight="1" x14ac:dyDescent="0.25">
      <c r="A48" s="48" t="s">
        <v>55</v>
      </c>
      <c r="B48" s="49" t="s">
        <v>153</v>
      </c>
      <c r="C48" s="50" t="s">
        <v>4</v>
      </c>
      <c r="D48" s="49" t="s">
        <v>76</v>
      </c>
      <c r="E48" s="49" t="s">
        <v>147</v>
      </c>
      <c r="F48" s="49" t="s">
        <v>74</v>
      </c>
      <c r="G48" s="51" t="s">
        <v>136</v>
      </c>
      <c r="H48" s="7">
        <f>VC_NEW2!C19</f>
        <v>0</v>
      </c>
      <c r="I48" s="7">
        <f>VC_NEW2!D19</f>
        <v>0</v>
      </c>
      <c r="J48" s="7">
        <f>VC_NEW2!E19</f>
        <v>0</v>
      </c>
      <c r="K48" s="7">
        <f>VC_NEW2!F19</f>
        <v>0</v>
      </c>
      <c r="L48" s="7">
        <f>VC_NEW2!G19</f>
        <v>0</v>
      </c>
      <c r="M48" s="7">
        <f>VC_NEW2!H19</f>
        <v>0</v>
      </c>
      <c r="N48" s="7">
        <f>VC_NEW2!I19</f>
        <v>0</v>
      </c>
      <c r="O48" s="7">
        <f>VC_NEW2!J19</f>
        <v>0</v>
      </c>
      <c r="P48" s="7">
        <f>VC_NEW2!K19</f>
        <v>0</v>
      </c>
      <c r="Q48" s="7">
        <f>VC_NEW2!L19</f>
        <v>0</v>
      </c>
      <c r="R48" s="7">
        <f>VC_NEW2!M19</f>
        <v>0</v>
      </c>
      <c r="S48" s="7">
        <f>VC_NEW2!N19</f>
        <v>0</v>
      </c>
      <c r="T48" s="7">
        <f>VC_NEW2!O19</f>
        <v>0</v>
      </c>
      <c r="U48" s="7">
        <f>VC_NEW2!P19</f>
        <v>0</v>
      </c>
      <c r="V48" s="7" t="str">
        <f>VC_NEW2!Q19</f>
        <v>L32Q, V333M</v>
      </c>
      <c r="W48" s="7">
        <f>VC_NEW2!R19</f>
        <v>0</v>
      </c>
      <c r="X48" s="7">
        <f>VC_NEW2!S19</f>
        <v>0</v>
      </c>
      <c r="Y48" s="7">
        <f>VC_NEW2!T19</f>
        <v>0</v>
      </c>
      <c r="Z48" s="7">
        <f>VC_NEW2!U19</f>
        <v>0</v>
      </c>
      <c r="AA48" s="7">
        <f>VC_NEW2!V19</f>
        <v>0</v>
      </c>
      <c r="AB48" s="7">
        <f>VC_NEW2!W19</f>
        <v>0</v>
      </c>
      <c r="AC48" s="7">
        <f>VC_NEW2!X19</f>
        <v>0</v>
      </c>
      <c r="AD48" s="7">
        <f>VC_NEW2!Y19</f>
        <v>0</v>
      </c>
      <c r="AE48" s="7">
        <f>VC_NEW2!Z19</f>
        <v>0</v>
      </c>
      <c r="AF48" s="7">
        <f>VC_NEW2!AA19</f>
        <v>0</v>
      </c>
      <c r="AG48" s="7">
        <f>VC_NEW2!AB19</f>
        <v>0</v>
      </c>
      <c r="AH48" s="7" t="str">
        <f>VC_NEW2!AC19</f>
        <v xml:space="preserve">P90L </v>
      </c>
      <c r="AI48" s="7">
        <f>VC_NEW2!AD19</f>
        <v>0</v>
      </c>
      <c r="AJ48" s="7">
        <f>VC_NEW2!AE19</f>
        <v>0</v>
      </c>
      <c r="AK48" s="7">
        <f>VC_NEW2!AF19</f>
        <v>0</v>
      </c>
      <c r="AL48" s="7">
        <f>VC_NEW2!AG19</f>
        <v>0</v>
      </c>
      <c r="AM48" s="7">
        <f>VC_NEW2!AH19</f>
        <v>0</v>
      </c>
      <c r="AN48" s="7">
        <f>VC_NEW2!AI19</f>
        <v>0</v>
      </c>
      <c r="AO48" s="7">
        <f>VC_NEW2!AJ19</f>
        <v>0</v>
      </c>
      <c r="AP48" s="7">
        <f>VC_NEW2!AK19</f>
        <v>0</v>
      </c>
      <c r="AQ48" s="7">
        <f>VC_NEW2!AL19</f>
        <v>0</v>
      </c>
      <c r="AR48" s="7">
        <f>VC_NEW2!AM19</f>
        <v>0</v>
      </c>
      <c r="AS48" s="7">
        <f>VC_NEW2!AN19</f>
        <v>0</v>
      </c>
      <c r="AT48" s="7">
        <f>VC_NEW2!AO19</f>
        <v>0</v>
      </c>
      <c r="AU48" s="7">
        <f>VC_NEW2!AP19</f>
        <v>0</v>
      </c>
      <c r="AV48" s="7">
        <f>VC_NEW2!AQ19</f>
        <v>0</v>
      </c>
      <c r="AW48" s="7" t="str">
        <f>VC_NEW2!AR19</f>
        <v xml:space="preserve">Q100H </v>
      </c>
      <c r="AX48" s="7">
        <f>VC_NEW2!AS19</f>
        <v>0</v>
      </c>
      <c r="AY48" s="7">
        <f>VC_NEW2!AT19</f>
        <v>0</v>
      </c>
      <c r="AZ48" s="7">
        <f>VC_NEW2!AU19</f>
        <v>0</v>
      </c>
      <c r="BA48" s="7">
        <f>VC_NEW2!AV19</f>
        <v>0</v>
      </c>
      <c r="BB48" s="7">
        <f>VC_NEW2!AW19</f>
        <v>0</v>
      </c>
      <c r="BC48" s="7">
        <f>VC_NEW2!AX19</f>
        <v>0</v>
      </c>
      <c r="BD48" s="7">
        <f>VC_NEW2!AY19</f>
        <v>0</v>
      </c>
      <c r="BE48" s="7" t="str">
        <f>VC_NEW2!AZ19</f>
        <v xml:space="preserve">G231S </v>
      </c>
      <c r="BF48" s="7">
        <f>VC_NEW2!BA19</f>
        <v>0</v>
      </c>
      <c r="BG48" s="7" t="str">
        <f>VC_NEW2!BB19</f>
        <v xml:space="preserve">V104A </v>
      </c>
      <c r="BH48" s="7">
        <f>VC_NEW2!BC19</f>
        <v>0</v>
      </c>
      <c r="BI48" s="7">
        <f>VC_NEW2!BD19</f>
        <v>0</v>
      </c>
      <c r="BJ48" s="7">
        <f>VC_NEW2!BE19</f>
        <v>0</v>
      </c>
      <c r="BK48" s="7">
        <f>VC_NEW2!BF19</f>
        <v>0</v>
      </c>
      <c r="BL48" s="7">
        <f>VC_NEW2!BG19</f>
        <v>0</v>
      </c>
      <c r="BM48" s="7">
        <f>VC_NEW2!BH19</f>
        <v>0</v>
      </c>
      <c r="BN48" s="7">
        <f>VC_NEW2!BI19</f>
        <v>0</v>
      </c>
      <c r="BO48" s="7">
        <f>VC_NEW2!BJ19</f>
        <v>0</v>
      </c>
      <c r="BP48" s="7">
        <f>VC_NEW2!BK19</f>
        <v>0</v>
      </c>
      <c r="BQ48" s="7">
        <f>VC_NEW2!BL19</f>
        <v>0</v>
      </c>
      <c r="BR48" s="7">
        <f>VC_NEW2!BM19</f>
        <v>0</v>
      </c>
      <c r="BS48" s="7">
        <f>VC_NEW2!BN19</f>
        <v>0</v>
      </c>
      <c r="BT48" s="7">
        <f>VC_NEW2!BO19</f>
        <v>0</v>
      </c>
      <c r="BU48" s="7">
        <f>VC_NEW2!BP19</f>
        <v>0</v>
      </c>
      <c r="BV48" s="7">
        <f>VC_NEW2!BQ19</f>
        <v>0</v>
      </c>
      <c r="BW48" s="7">
        <f>VC_NEW2!BR19</f>
        <v>0</v>
      </c>
      <c r="BX48" s="7">
        <f>VC_NEW2!BS19</f>
        <v>0</v>
      </c>
      <c r="BY48" s="7">
        <f>VC_NEW2!BT19</f>
        <v>0</v>
      </c>
      <c r="BZ48" s="7">
        <f>VC_NEW2!BU19</f>
        <v>0</v>
      </c>
      <c r="CA48" s="7">
        <f>VC_NEW2!BV19</f>
        <v>0</v>
      </c>
      <c r="CB48" s="7">
        <f>VC_NEW2!BW19</f>
        <v>0</v>
      </c>
      <c r="CC48" s="7" t="str">
        <f>VC_NEW2!BX19</f>
        <v xml:space="preserve">K43E </v>
      </c>
      <c r="CD48" s="7">
        <f>VC_NEW2!BY19</f>
        <v>0</v>
      </c>
      <c r="CE48" s="7">
        <f>VC_NEW2!BZ19</f>
        <v>0</v>
      </c>
      <c r="CF48" s="7">
        <f>VC_NEW2!CA19</f>
        <v>0</v>
      </c>
      <c r="CG48" s="7" t="str">
        <f>VC_NEW2!CB19</f>
        <v xml:space="preserve">V77I </v>
      </c>
      <c r="CH48" s="7">
        <f>VC_NEW2!CC19</f>
        <v>0</v>
      </c>
      <c r="CI48" s="7" t="str">
        <f>VC_NEW2!CD19</f>
        <v xml:space="preserve">V77I </v>
      </c>
      <c r="CJ48" s="7">
        <f>VC_NEW2!CE19</f>
        <v>0</v>
      </c>
      <c r="CK48" s="7">
        <f>VC_NEW2!CF19</f>
        <v>0</v>
      </c>
      <c r="CL48" s="7">
        <f>VC_NEW2!CG19</f>
        <v>0</v>
      </c>
      <c r="CM48" s="7">
        <f>VC_NEW2!CH19</f>
        <v>0</v>
      </c>
      <c r="CN48" s="7">
        <f>VC_NEW2!CI19</f>
        <v>0</v>
      </c>
      <c r="CO48" s="7" t="str">
        <f>VC_NEW2!CJ19</f>
        <v xml:space="preserve">M106T </v>
      </c>
      <c r="CP48" s="7">
        <f>VC_NEW2!CK19</f>
        <v>0</v>
      </c>
      <c r="CQ48" s="7">
        <f>VC_NEW2!CL19</f>
        <v>0</v>
      </c>
      <c r="CR48" s="7">
        <f>VC_NEW2!CM19</f>
        <v>0</v>
      </c>
      <c r="CS48" s="7">
        <f>VC_NEW2!CN19</f>
        <v>0</v>
      </c>
      <c r="CT48" s="7">
        <f>VC_NEW2!CO19</f>
        <v>0</v>
      </c>
      <c r="CU48" s="7" t="str">
        <f>VC_NEW2!CP19</f>
        <v xml:space="preserve">G11S </v>
      </c>
      <c r="CV48" s="7">
        <f>VC_NEW2!CQ19</f>
        <v>0</v>
      </c>
      <c r="CW48" s="7">
        <f>VC_NEW2!CR19</f>
        <v>0</v>
      </c>
      <c r="CX48" s="7">
        <f>VC_NEW2!CS19</f>
        <v>0</v>
      </c>
      <c r="CY48" s="7">
        <f>VC_NEW2!CT19</f>
        <v>0</v>
      </c>
      <c r="CZ48" s="7" t="str">
        <f>VC_NEW2!CU19</f>
        <v xml:space="preserve">A52V </v>
      </c>
      <c r="DA48" s="7" t="str">
        <f>VC_NEW2!CV19</f>
        <v xml:space="preserve">F10L </v>
      </c>
      <c r="DB48" s="7">
        <f>VC_NEW2!CW19</f>
        <v>0</v>
      </c>
      <c r="DC48" s="7">
        <f>VC_NEW2!CX19</f>
        <v>0</v>
      </c>
      <c r="DD48" s="7">
        <f>VC_NEW2!CY19</f>
        <v>0</v>
      </c>
      <c r="DE48" s="7">
        <f>VC_NEW2!CZ19</f>
        <v>0</v>
      </c>
      <c r="DF48" s="7">
        <f>VC_NEW2!DA19</f>
        <v>0</v>
      </c>
      <c r="DG48" s="7">
        <f>VC_NEW2!DB19</f>
        <v>0</v>
      </c>
      <c r="DH48" s="7">
        <f>VC_NEW2!DC19</f>
        <v>0</v>
      </c>
      <c r="DI48" s="7">
        <f>VC_NEW2!DD19</f>
        <v>0</v>
      </c>
      <c r="DJ48" s="7">
        <f>VC_NEW2!DE19</f>
        <v>0</v>
      </c>
      <c r="DK48" s="7">
        <f>VC_NEW2!DF19</f>
        <v>0</v>
      </c>
      <c r="DL48" s="7">
        <f>VC_NEW2!DG19</f>
        <v>0</v>
      </c>
      <c r="DM48" s="7">
        <f>VC_NEW2!DH19</f>
        <v>0</v>
      </c>
      <c r="DN48" s="7">
        <f>VC_NEW2!DI19</f>
        <v>0</v>
      </c>
      <c r="DO48" s="7">
        <f>VC_NEW2!DJ19</f>
        <v>0</v>
      </c>
      <c r="DP48" s="7" t="str">
        <f>VC_NEW2!DK19</f>
        <v xml:space="preserve">P13L  </v>
      </c>
      <c r="DQ48" s="7">
        <f>VC_NEW2!DL19</f>
        <v>0</v>
      </c>
      <c r="DR48" s="7">
        <f>VC_NEW2!DM19</f>
        <v>0</v>
      </c>
      <c r="DS48" s="7">
        <f>VC_NEW2!DN19</f>
        <v>0</v>
      </c>
      <c r="DT48" s="7">
        <f>VC_NEW2!DO19</f>
        <v>0</v>
      </c>
      <c r="DU48" s="7">
        <f>VC_NEW2!DP19</f>
        <v>0</v>
      </c>
      <c r="DV48" s="7" t="str">
        <f>VC_NEW2!DQ19</f>
        <v>nt907∆14</v>
      </c>
      <c r="DW48" s="7">
        <f>VC_NEW2!DR19</f>
        <v>0</v>
      </c>
      <c r="DX48" s="7">
        <f>VC_NEW2!DS19</f>
        <v>0</v>
      </c>
      <c r="DY48" s="7">
        <f>VC_NEW2!DT19</f>
        <v>0</v>
      </c>
      <c r="DZ48" s="7" t="str">
        <f>VC_NEW2!DU19</f>
        <v xml:space="preserve">P24L </v>
      </c>
      <c r="EA48" s="7">
        <f>VC_NEW2!DV19</f>
        <v>0</v>
      </c>
      <c r="EB48" s="7">
        <f>VC_NEW2!DW19</f>
        <v>0</v>
      </c>
      <c r="EC48" s="7">
        <f>VC_NEW2!DX19</f>
        <v>0</v>
      </c>
      <c r="ED48" s="7">
        <f>VC_NEW2!DY19</f>
        <v>0</v>
      </c>
      <c r="EE48" s="7">
        <f>VC_NEW2!DZ19</f>
        <v>0</v>
      </c>
      <c r="EF48" s="7">
        <f>VC_NEW2!EA19</f>
        <v>0</v>
      </c>
      <c r="EG48" s="7">
        <f>VC_NEW2!EB19</f>
        <v>0</v>
      </c>
      <c r="EH48" s="7" t="str">
        <f>VC_NEW2!EC19</f>
        <v xml:space="preserve">V241M </v>
      </c>
      <c r="EI48" s="7">
        <f>VC_NEW2!ED19</f>
        <v>0</v>
      </c>
      <c r="EJ48" s="7" t="str">
        <f>VC_NEW2!EE19</f>
        <v xml:space="preserve"> nt396InsGT</v>
      </c>
      <c r="EK48" s="7" t="str">
        <f>VC_NEW2!EF19</f>
        <v>X340ext</v>
      </c>
      <c r="EL48" s="7" t="str">
        <f>VC_NEW2!EG19</f>
        <v xml:space="preserve">V308I </v>
      </c>
      <c r="EM48" s="7">
        <f>VC_NEW2!EH19</f>
        <v>0</v>
      </c>
      <c r="EN48" s="7">
        <f>VC_NEW2!EI19</f>
        <v>0</v>
      </c>
      <c r="EO48" s="7">
        <f>VC_NEW2!EJ19</f>
        <v>0</v>
      </c>
      <c r="EP48" s="7">
        <f>VC_NEW2!EK19</f>
        <v>0</v>
      </c>
      <c r="EQ48" s="7" t="str">
        <f>VC_NEW2!EL19</f>
        <v xml:space="preserve">N246K </v>
      </c>
      <c r="ER48" s="7">
        <f>VC_NEW2!EM19</f>
        <v>0</v>
      </c>
      <c r="ES48" s="7" t="str">
        <f>VC_NEW2!EN19</f>
        <v xml:space="preserve">G76S </v>
      </c>
      <c r="ET48" s="7" t="str">
        <f>VC_NEW2!EO19</f>
        <v xml:space="preserve">P225L </v>
      </c>
      <c r="EU48" s="7" t="str">
        <f>VC_NEW2!EP19</f>
        <v xml:space="preserve">N246K </v>
      </c>
      <c r="EV48" s="7" t="str">
        <f>VC_NEW2!EQ19</f>
        <v>DELETED</v>
      </c>
      <c r="EW48" s="7" t="str">
        <f>VC_NEW2!ER19</f>
        <v>E286D</v>
      </c>
      <c r="EX48" s="7">
        <f>VC_NEW2!ES19</f>
        <v>0</v>
      </c>
      <c r="EY48" s="7">
        <f>VC_NEW2!ET19</f>
        <v>0</v>
      </c>
      <c r="EZ48" s="7">
        <f>VC_NEW2!EU19</f>
        <v>0</v>
      </c>
      <c r="FA48" s="7">
        <f>VC_NEW2!EV19</f>
        <v>0</v>
      </c>
      <c r="FB48" s="7" t="str">
        <f>VC_NEW2!EW19</f>
        <v xml:space="preserve">G248C </v>
      </c>
      <c r="FC48" s="7">
        <f>VC_NEW2!EX19</f>
        <v>0</v>
      </c>
      <c r="FD48" s="7">
        <f>VC_NEW2!EY19</f>
        <v>0</v>
      </c>
      <c r="FE48" s="7">
        <f>VC_NEW2!EZ19</f>
        <v>0</v>
      </c>
      <c r="FF48" s="7">
        <f>VC_NEW2!FA19</f>
        <v>0</v>
      </c>
      <c r="FG48" s="7">
        <f>VC_NEW2!FB19</f>
        <v>0</v>
      </c>
      <c r="FH48" s="7" t="str">
        <f>VC_NEW2!FC19</f>
        <v>V308I</v>
      </c>
      <c r="FI48" s="7">
        <f>VC_NEW2!FD19</f>
        <v>0</v>
      </c>
      <c r="FJ48" s="7">
        <f>VC_NEW2!FE19</f>
        <v>0</v>
      </c>
      <c r="FK48" s="7">
        <f>VC_NEW2!FF19</f>
        <v>0</v>
      </c>
      <c r="FL48" s="7">
        <f>VC_NEW2!FG19</f>
        <v>0</v>
      </c>
      <c r="FM48" s="7">
        <f>VC_NEW2!FH19</f>
        <v>0</v>
      </c>
      <c r="FN48" s="7">
        <f>VC_NEW2!FI19</f>
        <v>0</v>
      </c>
      <c r="FO48" s="7">
        <f>VC_NEW2!FJ19</f>
        <v>0</v>
      </c>
      <c r="FP48" s="7" t="str">
        <f>VC_NEW2!FK19</f>
        <v>nt350∆1</v>
      </c>
      <c r="FQ48" s="7">
        <f>VC_NEW2!FL19</f>
        <v>0</v>
      </c>
      <c r="FR48" s="7">
        <f>VC_NEW2!FM19</f>
        <v>0</v>
      </c>
      <c r="FS48" s="7">
        <f>VC_NEW2!FN19</f>
        <v>0</v>
      </c>
      <c r="FT48" s="7">
        <f>VC_NEW2!FO19</f>
        <v>0</v>
      </c>
      <c r="FU48" s="7">
        <f>VC_NEW2!FP19</f>
        <v>0</v>
      </c>
      <c r="FV48" s="7">
        <f>VC_NEW2!FQ19</f>
        <v>0</v>
      </c>
      <c r="FW48" s="7">
        <f>VC_NEW2!FR19</f>
        <v>0</v>
      </c>
      <c r="FX48" s="7">
        <f>VC_NEW2!FS19</f>
        <v>0</v>
      </c>
      <c r="FY48" s="7">
        <f>VC_NEW2!FT19</f>
        <v>0</v>
      </c>
      <c r="FZ48" s="7">
        <f>VC_NEW2!FU19</f>
        <v>0</v>
      </c>
      <c r="GA48" s="7">
        <f>VC_NEW2!FV19</f>
        <v>0</v>
      </c>
      <c r="GB48" s="7">
        <f>VC_NEW2!FW19</f>
        <v>0</v>
      </c>
      <c r="GC48" s="7">
        <f>VC_NEW2!FX19</f>
        <v>0</v>
      </c>
      <c r="GD48" s="7">
        <f>VC_NEW2!FY19</f>
        <v>0</v>
      </c>
      <c r="GE48" s="7">
        <f>VC_NEW2!FZ19</f>
        <v>0</v>
      </c>
      <c r="GF48" s="7">
        <f>VC_NEW2!GA19</f>
        <v>0</v>
      </c>
      <c r="GG48" s="7">
        <f>VC_NEW2!GB19</f>
        <v>0</v>
      </c>
      <c r="GH48" s="7">
        <f>VC_NEW2!GC19</f>
        <v>0</v>
      </c>
      <c r="GI48" s="7">
        <f>VC_NEW2!GD19</f>
        <v>0</v>
      </c>
      <c r="GJ48" s="7">
        <f>VC_NEW2!GE19</f>
        <v>0</v>
      </c>
      <c r="GK48" s="7">
        <f>VC_NEW2!GF19</f>
        <v>0</v>
      </c>
      <c r="GL48" s="7">
        <f>VC_NEW2!GG19</f>
        <v>0</v>
      </c>
      <c r="GM48" s="7">
        <f>VC_NEW2!GH19</f>
        <v>0</v>
      </c>
      <c r="GN48" s="7" t="str">
        <f>VC_NEW2!GI19</f>
        <v xml:space="preserve">E205V </v>
      </c>
      <c r="GO48" s="7">
        <f>VC_NEW2!GJ19</f>
        <v>0</v>
      </c>
      <c r="GP48" s="7">
        <f>VC_NEW2!GK19</f>
        <v>0</v>
      </c>
      <c r="GQ48" s="7">
        <f>VC_NEW2!GL19</f>
        <v>0</v>
      </c>
      <c r="GR48" s="7">
        <f>VC_NEW2!GM19</f>
        <v>0</v>
      </c>
      <c r="GS48" s="7">
        <f>VC_NEW2!GN19</f>
        <v>0</v>
      </c>
      <c r="GT48" s="7">
        <f>VC_NEW2!GO19</f>
        <v>0</v>
      </c>
      <c r="GU48" s="7">
        <f>VC_NEW2!GP19</f>
        <v>0</v>
      </c>
      <c r="GV48" s="7" t="str">
        <f>VC_NEW2!GQ19</f>
        <v>G78S, aa147InsLKAG</v>
      </c>
      <c r="GW48" s="7">
        <f>VC_NEW2!GR19</f>
        <v>0</v>
      </c>
      <c r="GX48" s="7">
        <f>VC_NEW2!GS19</f>
        <v>0</v>
      </c>
      <c r="GY48" s="7">
        <f>VC_NEW2!GT19</f>
        <v>0</v>
      </c>
      <c r="GZ48" s="7">
        <f>VC_NEW2!GU19</f>
        <v>0</v>
      </c>
      <c r="HA48" s="7" t="str">
        <f>VC_NEW2!GV19</f>
        <v xml:space="preserve">D232G </v>
      </c>
      <c r="HB48" s="7">
        <f>VC_NEW2!GW19</f>
        <v>0</v>
      </c>
      <c r="HC48" s="7" t="str">
        <f>VC_NEW2!GX19</f>
        <v xml:space="preserve">S84F </v>
      </c>
    </row>
    <row r="49" spans="1:211" s="10" customFormat="1" ht="15" customHeight="1" x14ac:dyDescent="0.25">
      <c r="A49" s="18" t="s">
        <v>57</v>
      </c>
      <c r="B49" s="20" t="s">
        <v>150</v>
      </c>
      <c r="C49" s="19" t="s">
        <v>2</v>
      </c>
      <c r="D49" s="20" t="s">
        <v>76</v>
      </c>
      <c r="E49" s="20" t="s">
        <v>138</v>
      </c>
      <c r="F49" s="20" t="s">
        <v>73</v>
      </c>
      <c r="G49" s="21" t="s">
        <v>144</v>
      </c>
      <c r="H49" s="1" t="str">
        <f>VC_NEW2!C20</f>
        <v xml:space="preserve"> nt234∆8</v>
      </c>
      <c r="I49" s="1" t="str">
        <f>VC_NEW2!D20</f>
        <v xml:space="preserve">  nt234∆8</v>
      </c>
      <c r="J49" s="1" t="str">
        <f>VC_NEW2!E20</f>
        <v xml:space="preserve"> nt234∆8</v>
      </c>
      <c r="K49" s="1" t="str">
        <f>VC_NEW2!F20</f>
        <v>nt234∆8</v>
      </c>
      <c r="L49" s="1" t="str">
        <f>VC_NEW2!G20</f>
        <v xml:space="preserve"> nt234∆8</v>
      </c>
      <c r="M49" s="1" t="str">
        <f>VC_NEW2!H20</f>
        <v xml:space="preserve"> nt234∆8</v>
      </c>
      <c r="N49" s="1" t="str">
        <f>VC_NEW2!I20</f>
        <v xml:space="preserve"> nt234∆8</v>
      </c>
      <c r="O49" s="1" t="str">
        <f>VC_NEW2!J20</f>
        <v xml:space="preserve">  nt234∆8</v>
      </c>
      <c r="P49" s="1" t="str">
        <f>VC_NEW2!K20</f>
        <v xml:space="preserve"> nt234∆8</v>
      </c>
      <c r="Q49" s="1" t="str">
        <f>VC_NEW2!L20</f>
        <v xml:space="preserve">  nt234∆8</v>
      </c>
      <c r="R49" s="1" t="str">
        <f>VC_NEW2!M20</f>
        <v xml:space="preserve"> nt234∆8</v>
      </c>
      <c r="S49" s="1" t="str">
        <f>VC_NEW2!N20</f>
        <v xml:space="preserve"> nt234∆8</v>
      </c>
      <c r="T49" s="1" t="str">
        <f>VC_NEW2!O20</f>
        <v xml:space="preserve"> nt234∆8</v>
      </c>
      <c r="U49" s="1" t="str">
        <f>VC_NEW2!P20</f>
        <v xml:space="preserve"> nt234∆8</v>
      </c>
      <c r="V49" s="1" t="str">
        <f>VC_NEW2!Q20</f>
        <v>R334C, nt234∆8</v>
      </c>
      <c r="W49" s="1" t="str">
        <f>VC_NEW2!R20</f>
        <v xml:space="preserve"> nt234∆8</v>
      </c>
      <c r="X49" s="1" t="str">
        <f>VC_NEW2!S20</f>
        <v xml:space="preserve">  nt234∆8</v>
      </c>
      <c r="Y49" s="1" t="str">
        <f>VC_NEW2!T20</f>
        <v>nt234∆8</v>
      </c>
      <c r="Z49" s="1" t="str">
        <f>VC_NEW2!U20</f>
        <v xml:space="preserve"> nt234∆8</v>
      </c>
      <c r="AA49" s="1" t="str">
        <f>VC_NEW2!V20</f>
        <v xml:space="preserve"> nt234∆8</v>
      </c>
      <c r="AB49" s="1" t="str">
        <f>VC_NEW2!W20</f>
        <v xml:space="preserve">  nt234∆8</v>
      </c>
      <c r="AC49" s="1" t="str">
        <f>VC_NEW2!X20</f>
        <v xml:space="preserve">  nt234∆8</v>
      </c>
      <c r="AD49" s="1" t="str">
        <f>VC_NEW2!Y20</f>
        <v xml:space="preserve"> nt234∆8</v>
      </c>
      <c r="AE49" s="1" t="str">
        <f>VC_NEW2!Z20</f>
        <v xml:space="preserve"> nt234∆8</v>
      </c>
      <c r="AF49" s="1">
        <f>VC_NEW2!AA20</f>
        <v>0</v>
      </c>
      <c r="AG49" s="1" t="str">
        <f>VC_NEW2!AB20</f>
        <v>nt234∆8</v>
      </c>
      <c r="AH49" s="1" t="str">
        <f>VC_NEW2!AC20</f>
        <v>nt234∆8</v>
      </c>
      <c r="AI49" s="1" t="str">
        <f>VC_NEW2!AD20</f>
        <v>nt234∆8</v>
      </c>
      <c r="AJ49" s="1" t="str">
        <f>VC_NEW2!AE20</f>
        <v>nt234∆8</v>
      </c>
      <c r="AK49" s="1" t="str">
        <f>VC_NEW2!AF20</f>
        <v>nt234∆8</v>
      </c>
      <c r="AL49" s="1" t="str">
        <f>VC_NEW2!AG20</f>
        <v>nt234∆8</v>
      </c>
      <c r="AM49" s="1" t="str">
        <f>VC_NEW2!AH20</f>
        <v>nt234∆8</v>
      </c>
      <c r="AN49" s="1" t="str">
        <f>VC_NEW2!AI20</f>
        <v>nt234∆8</v>
      </c>
      <c r="AO49" s="1" t="str">
        <f>VC_NEW2!AJ20</f>
        <v>nt234∆8</v>
      </c>
      <c r="AP49" s="1" t="str">
        <f>VC_NEW2!AK20</f>
        <v>nt234∆8</v>
      </c>
      <c r="AQ49" s="1" t="str">
        <f>VC_NEW2!AL20</f>
        <v>nt234∆8</v>
      </c>
      <c r="AR49" s="1" t="str">
        <f>VC_NEW2!AM20</f>
        <v>nt234∆8</v>
      </c>
      <c r="AS49" s="1" t="str">
        <f>VC_NEW2!AN20</f>
        <v>nt234∆8</v>
      </c>
      <c r="AT49" s="1" t="str">
        <f>VC_NEW2!AO20</f>
        <v>nt234∆8</v>
      </c>
      <c r="AU49" s="1" t="str">
        <f>VC_NEW2!AP20</f>
        <v>nt234∆8</v>
      </c>
      <c r="AV49" s="1" t="str">
        <f>VC_NEW2!AQ20</f>
        <v>nt234∆8</v>
      </c>
      <c r="AW49" s="1" t="str">
        <f>VC_NEW2!AR20</f>
        <v>nt234∆8</v>
      </c>
      <c r="AX49" s="1" t="str">
        <f>VC_NEW2!AS20</f>
        <v>nt234∆8</v>
      </c>
      <c r="AY49" s="1" t="str">
        <f>VC_NEW2!AT20</f>
        <v>nt234∆8</v>
      </c>
      <c r="AZ49" s="1" t="str">
        <f>VC_NEW2!AU20</f>
        <v>nt234∆8</v>
      </c>
      <c r="BA49" s="1" t="str">
        <f>VC_NEW2!AV20</f>
        <v>nt234∆8</v>
      </c>
      <c r="BB49" s="1" t="str">
        <f>VC_NEW2!AW20</f>
        <v>nt234∆8</v>
      </c>
      <c r="BC49" s="1" t="str">
        <f>VC_NEW2!AX20</f>
        <v>nt234∆8</v>
      </c>
      <c r="BD49" s="1" t="str">
        <f>VC_NEW2!AY20</f>
        <v>nt234∆8</v>
      </c>
      <c r="BE49" s="1" t="str">
        <f>VC_NEW2!AZ20</f>
        <v>nt234∆8</v>
      </c>
      <c r="BF49" s="1" t="str">
        <f>VC_NEW2!BA20</f>
        <v>nt234∆8</v>
      </c>
      <c r="BG49" s="1" t="str">
        <f>VC_NEW2!BB20</f>
        <v>nt234∆8</v>
      </c>
      <c r="BH49" s="1" t="str">
        <f>VC_NEW2!BC20</f>
        <v>nt234∆8</v>
      </c>
      <c r="BI49" s="1" t="str">
        <f>VC_NEW2!BD20</f>
        <v>nt234∆8</v>
      </c>
      <c r="BJ49" s="1" t="str">
        <f>VC_NEW2!BE20</f>
        <v>nt234∆8</v>
      </c>
      <c r="BK49" s="1" t="str">
        <f>VC_NEW2!BF20</f>
        <v>nt234∆8</v>
      </c>
      <c r="BL49" s="1" t="str">
        <f>VC_NEW2!BG20</f>
        <v>nt234∆8</v>
      </c>
      <c r="BM49" s="1" t="str">
        <f>VC_NEW2!BH20</f>
        <v>nt234∆8</v>
      </c>
      <c r="BN49" s="1" t="str">
        <f>VC_NEW2!BI20</f>
        <v>nt234∆8</v>
      </c>
      <c r="BO49" s="1" t="str">
        <f>VC_NEW2!BJ20</f>
        <v>nt234∆8</v>
      </c>
      <c r="BP49" s="1" t="str">
        <f>VC_NEW2!BK20</f>
        <v>nt234∆8</v>
      </c>
      <c r="BQ49" s="1" t="str">
        <f>VC_NEW2!BL20</f>
        <v>G276D, nt234∆8</v>
      </c>
      <c r="BR49" s="1" t="str">
        <f>VC_NEW2!BM20</f>
        <v>nt234∆8</v>
      </c>
      <c r="BS49" s="1" t="str">
        <f>VC_NEW2!BN20</f>
        <v>nt234∆8</v>
      </c>
      <c r="BT49" s="1" t="str">
        <f>VC_NEW2!BO20</f>
        <v>nt234∆8</v>
      </c>
      <c r="BU49" s="1" t="str">
        <f>VC_NEW2!BP20</f>
        <v>nt234∆8</v>
      </c>
      <c r="BV49" s="1" t="str">
        <f>VC_NEW2!BQ20</f>
        <v>nt234∆8</v>
      </c>
      <c r="BW49" s="1" t="str">
        <f>VC_NEW2!BR20</f>
        <v>nt234∆8</v>
      </c>
      <c r="BX49" s="1" t="str">
        <f>VC_NEW2!BS20</f>
        <v>nt234∆8</v>
      </c>
      <c r="BY49" s="1" t="str">
        <f>VC_NEW2!BT20</f>
        <v>nt234∆8</v>
      </c>
      <c r="BZ49" s="1" t="str">
        <f>VC_NEW2!BU20</f>
        <v>nt234∆8</v>
      </c>
      <c r="CA49" s="1" t="str">
        <f>VC_NEW2!BV20</f>
        <v>nt234∆8</v>
      </c>
      <c r="CB49" s="1" t="str">
        <f>VC_NEW2!BW20</f>
        <v>nt234∆8</v>
      </c>
      <c r="CC49" s="1" t="str">
        <f>VC_NEW2!BX20</f>
        <v>nt234∆8</v>
      </c>
      <c r="CD49" s="1" t="str">
        <f>VC_NEW2!BY20</f>
        <v>nt234∆8</v>
      </c>
      <c r="CE49" s="1" t="str">
        <f>VC_NEW2!BZ20</f>
        <v>nt234∆8</v>
      </c>
      <c r="CF49" s="1" t="str">
        <f>VC_NEW2!CA20</f>
        <v>nt234∆8</v>
      </c>
      <c r="CG49" s="1" t="str">
        <f>VC_NEW2!CB20</f>
        <v>nt234∆8</v>
      </c>
      <c r="CH49" s="1" t="str">
        <f>VC_NEW2!CC20</f>
        <v>nt234∆8</v>
      </c>
      <c r="CI49" s="1" t="str">
        <f>VC_NEW2!CD20</f>
        <v>nt234∆8</v>
      </c>
      <c r="CJ49" s="1" t="str">
        <f>VC_NEW2!CE20</f>
        <v>nt234∆8</v>
      </c>
      <c r="CK49" s="1" t="str">
        <f>VC_NEW2!CF20</f>
        <v>nt234∆8</v>
      </c>
      <c r="CL49" s="1" t="str">
        <f>VC_NEW2!CG20</f>
        <v>nt234∆8</v>
      </c>
      <c r="CM49" s="1" t="str">
        <f>VC_NEW2!CH20</f>
        <v>nt234∆8</v>
      </c>
      <c r="CN49" s="1" t="str">
        <f>VC_NEW2!CI20</f>
        <v>nt234∆8</v>
      </c>
      <c r="CO49" s="1" t="str">
        <f>VC_NEW2!CJ20</f>
        <v>nt234∆8</v>
      </c>
      <c r="CP49" s="1" t="str">
        <f>VC_NEW2!CK20</f>
        <v>nt234∆8</v>
      </c>
      <c r="CQ49" s="1" t="str">
        <f>VC_NEW2!CL20</f>
        <v>nt234∆8</v>
      </c>
      <c r="CR49" s="1" t="str">
        <f>VC_NEW2!CM20</f>
        <v>nt234∆8</v>
      </c>
      <c r="CS49" s="1" t="str">
        <f>VC_NEW2!CN20</f>
        <v>V265A, nt234∆8</v>
      </c>
      <c r="CT49" s="1" t="str">
        <f>VC_NEW2!CO20</f>
        <v>nt234∆8</v>
      </c>
      <c r="CU49" s="1" t="str">
        <f>VC_NEW2!CP20</f>
        <v>A245V, nt234∆8</v>
      </c>
      <c r="CV49" s="1" t="str">
        <f>VC_NEW2!CQ20</f>
        <v xml:space="preserve"> nt234∆8</v>
      </c>
      <c r="CW49" s="1" t="str">
        <f>VC_NEW2!CR20</f>
        <v xml:space="preserve"> nt234∆8</v>
      </c>
      <c r="CX49" s="1" t="str">
        <f>VC_NEW2!CS20</f>
        <v xml:space="preserve"> nt234∆8</v>
      </c>
      <c r="CY49" s="1" t="str">
        <f>VC_NEW2!CT20</f>
        <v xml:space="preserve"> nt234∆8</v>
      </c>
      <c r="CZ49" s="1" t="str">
        <f>VC_NEW2!CU20</f>
        <v>nt234∆8, nt395InsC</v>
      </c>
      <c r="DA49" s="1" t="str">
        <f>VC_NEW2!CV20</f>
        <v xml:space="preserve"> nt234∆8</v>
      </c>
      <c r="DB49" s="1" t="str">
        <f>VC_NEW2!CW20</f>
        <v xml:space="preserve"> nt234∆8</v>
      </c>
      <c r="DC49" s="1" t="str">
        <f>VC_NEW2!CX20</f>
        <v>nt234∆8</v>
      </c>
      <c r="DD49" s="1" t="str">
        <f>VC_NEW2!CY20</f>
        <v>nt234∆8</v>
      </c>
      <c r="DE49" s="1" t="str">
        <f>VC_NEW2!CZ20</f>
        <v>nt234∆8</v>
      </c>
      <c r="DF49" s="1" t="str">
        <f>VC_NEW2!DA20</f>
        <v>nt234∆8</v>
      </c>
      <c r="DG49" s="1" t="str">
        <f>VC_NEW2!DB20</f>
        <v>nt234∆8</v>
      </c>
      <c r="DH49" s="1" t="str">
        <f>VC_NEW2!DC20</f>
        <v>nt234∆8</v>
      </c>
      <c r="DI49" s="1" t="str">
        <f>VC_NEW2!DD20</f>
        <v>nt234∆8</v>
      </c>
      <c r="DJ49" s="1" t="str">
        <f>VC_NEW2!DE20</f>
        <v>nt234∆8</v>
      </c>
      <c r="DK49" s="1" t="str">
        <f>VC_NEW2!DF20</f>
        <v>nt234∆8</v>
      </c>
      <c r="DL49" s="1" t="str">
        <f>VC_NEW2!DG20</f>
        <v>nt234∆8</v>
      </c>
      <c r="DM49" s="1" t="str">
        <f>VC_NEW2!DH20</f>
        <v>nt234∆8</v>
      </c>
      <c r="DN49" s="1" t="str">
        <f>VC_NEW2!DI20</f>
        <v>nt234∆8</v>
      </c>
      <c r="DO49" s="1" t="str">
        <f>VC_NEW2!DJ20</f>
        <v>nt234∆8</v>
      </c>
      <c r="DP49" s="1" t="str">
        <f>VC_NEW2!DK20</f>
        <v>nt234∆8</v>
      </c>
      <c r="DQ49" s="1" t="str">
        <f>VC_NEW2!DL20</f>
        <v>nt234∆8</v>
      </c>
      <c r="DR49" s="1" t="str">
        <f>VC_NEW2!DM20</f>
        <v>nt234∆8</v>
      </c>
      <c r="DS49" s="1" t="str">
        <f>VC_NEW2!DN20</f>
        <v>nt234∆8</v>
      </c>
      <c r="DT49" s="1" t="str">
        <f>VC_NEW2!DO20</f>
        <v>nt234∆8</v>
      </c>
      <c r="DU49" s="1" t="str">
        <f>VC_NEW2!DP20</f>
        <v>nt234∆8</v>
      </c>
      <c r="DV49" s="1" t="str">
        <f>VC_NEW2!DQ20</f>
        <v>nt234∆8</v>
      </c>
      <c r="DW49" s="1" t="str">
        <f>VC_NEW2!DR20</f>
        <v>nt234∆8</v>
      </c>
      <c r="DX49" s="1" t="str">
        <f>VC_NEW2!DS20</f>
        <v>nt234∆8</v>
      </c>
      <c r="DY49" s="1" t="str">
        <f>VC_NEW2!DT20</f>
        <v>nt234∆8</v>
      </c>
      <c r="DZ49" s="1" t="str">
        <f>VC_NEW2!DU20</f>
        <v>nt234∆8</v>
      </c>
      <c r="EA49" s="1" t="str">
        <f>VC_NEW2!DV20</f>
        <v>nt234∆8</v>
      </c>
      <c r="EB49" s="1" t="str">
        <f>VC_NEW2!DW20</f>
        <v>nt234∆8</v>
      </c>
      <c r="EC49" s="1" t="str">
        <f>VC_NEW2!DX20</f>
        <v>nt234∆8</v>
      </c>
      <c r="ED49" s="1" t="str">
        <f>VC_NEW2!DY20</f>
        <v>nt234∆8</v>
      </c>
      <c r="EE49" s="1" t="str">
        <f>VC_NEW2!DZ20</f>
        <v>nt234∆8</v>
      </c>
      <c r="EF49" s="1" t="str">
        <f>VC_NEW2!EA20</f>
        <v>nt234∆8</v>
      </c>
      <c r="EG49" s="1" t="str">
        <f>VC_NEW2!EB20</f>
        <v>nt234∆8</v>
      </c>
      <c r="EH49" s="1" t="str">
        <f>VC_NEW2!EC20</f>
        <v>D96A, nt234∆8</v>
      </c>
      <c r="EI49" s="1" t="str">
        <f>VC_NEW2!ED20</f>
        <v>nt234∆8</v>
      </c>
      <c r="EJ49" s="1" t="str">
        <f>VC_NEW2!EE20</f>
        <v>A47V, nt234∆8</v>
      </c>
      <c r="EK49" s="1" t="str">
        <f>VC_NEW2!EF20</f>
        <v>R334P, nt234∆8</v>
      </c>
      <c r="EL49" s="1" t="str">
        <f>VC_NEW2!EG20</f>
        <v>nt234∆8</v>
      </c>
      <c r="EM49" s="1" t="str">
        <f>VC_NEW2!EH20</f>
        <v>nt234∆8</v>
      </c>
      <c r="EN49" s="1" t="str">
        <f>VC_NEW2!EI20</f>
        <v>nt234∆8</v>
      </c>
      <c r="EO49" s="1" t="str">
        <f>VC_NEW2!EJ20</f>
        <v>nt234∆8</v>
      </c>
      <c r="EP49" s="1" t="str">
        <f>VC_NEW2!EK20</f>
        <v>nt234∆8</v>
      </c>
      <c r="EQ49" s="1" t="str">
        <f>VC_NEW2!EL20</f>
        <v>nt234∆8</v>
      </c>
      <c r="ER49" s="1" t="str">
        <f>VC_NEW2!EM20</f>
        <v>nt234∆8</v>
      </c>
      <c r="ES49" s="1" t="str">
        <f>VC_NEW2!EN20</f>
        <v>nt234∆8</v>
      </c>
      <c r="ET49" s="1" t="str">
        <f>VC_NEW2!EO20</f>
        <v>nt234∆8</v>
      </c>
      <c r="EU49" s="1" t="str">
        <f>VC_NEW2!EP20</f>
        <v>nt234∆8</v>
      </c>
      <c r="EV49" s="1" t="str">
        <f>VC_NEW2!EQ20</f>
        <v>DELETED</v>
      </c>
      <c r="EW49" s="1" t="str">
        <f>VC_NEW2!ER20</f>
        <v xml:space="preserve"> nt234∆8</v>
      </c>
      <c r="EX49" s="1" t="str">
        <f>VC_NEW2!ES20</f>
        <v xml:space="preserve"> nt234∆8</v>
      </c>
      <c r="EY49" s="1" t="str">
        <f>VC_NEW2!ET20</f>
        <v>nt234∆8</v>
      </c>
      <c r="EZ49" s="1" t="str">
        <f>VC_NEW2!EU20</f>
        <v>nt234∆8</v>
      </c>
      <c r="FA49" s="1" t="str">
        <f>VC_NEW2!EV20</f>
        <v>nt234∆8</v>
      </c>
      <c r="FB49" s="1" t="str">
        <f>VC_NEW2!EW20</f>
        <v>nt234∆8</v>
      </c>
      <c r="FC49" s="1" t="str">
        <f>VC_NEW2!EX20</f>
        <v>nt234∆8</v>
      </c>
      <c r="FD49" s="1" t="str">
        <f>VC_NEW2!EY20</f>
        <v>nt234∆8</v>
      </c>
      <c r="FE49" s="1" t="str">
        <f>VC_NEW2!EZ20</f>
        <v>nt234∆8</v>
      </c>
      <c r="FF49" s="1" t="str">
        <f>VC_NEW2!FA20</f>
        <v>nt234∆8</v>
      </c>
      <c r="FG49" s="1" t="str">
        <f>VC_NEW2!FB20</f>
        <v>nt234∆8</v>
      </c>
      <c r="FH49" s="1" t="str">
        <f>VC_NEW2!FC20</f>
        <v>nt234∆8</v>
      </c>
      <c r="FI49" s="1" t="str">
        <f>VC_NEW2!FD20</f>
        <v>nt234∆8</v>
      </c>
      <c r="FJ49" s="1" t="str">
        <f>VC_NEW2!FE20</f>
        <v>nt234∆8</v>
      </c>
      <c r="FK49" s="1" t="str">
        <f>VC_NEW2!FF20</f>
        <v>nt234∆8</v>
      </c>
      <c r="FL49" s="1" t="str">
        <f>VC_NEW2!FG20</f>
        <v>nt234∆8</v>
      </c>
      <c r="FM49" s="1" t="str">
        <f>VC_NEW2!FH20</f>
        <v>nt234∆8</v>
      </c>
      <c r="FN49" s="1" t="str">
        <f>VC_NEW2!FI20</f>
        <v>nt234∆8</v>
      </c>
      <c r="FO49" s="1" t="str">
        <f>VC_NEW2!FJ20</f>
        <v>nt234∆8</v>
      </c>
      <c r="FP49" s="1" t="str">
        <f>VC_NEW2!FK20</f>
        <v>nt234∆8</v>
      </c>
      <c r="FQ49" s="1" t="str">
        <f>VC_NEW2!FL20</f>
        <v>nt234∆8</v>
      </c>
      <c r="FR49" s="1" t="str">
        <f>VC_NEW2!FM20</f>
        <v>nt234∆8</v>
      </c>
      <c r="FS49" s="1" t="str">
        <f>VC_NEW2!FN20</f>
        <v>nt234∆8</v>
      </c>
      <c r="FT49" s="1" t="str">
        <f>VC_NEW2!FO20</f>
        <v>nt234∆8</v>
      </c>
      <c r="FU49" s="1" t="str">
        <f>VC_NEW2!FP20</f>
        <v>nt234∆8</v>
      </c>
      <c r="FV49" s="1" t="str">
        <f>VC_NEW2!FQ20</f>
        <v>nt234∆8</v>
      </c>
      <c r="FW49" s="1" t="str">
        <f>VC_NEW2!FR20</f>
        <v>nt234∆8</v>
      </c>
      <c r="FX49" s="1" t="str">
        <f>VC_NEW2!FS20</f>
        <v>nt234∆8</v>
      </c>
      <c r="FY49" s="1" t="str">
        <f>VC_NEW2!FT20</f>
        <v>nt234∆8</v>
      </c>
      <c r="FZ49" s="1" t="str">
        <f>VC_NEW2!FU20</f>
        <v>nt234∆8</v>
      </c>
      <c r="GA49" s="1" t="str">
        <f>VC_NEW2!FV20</f>
        <v>nt234∆8</v>
      </c>
      <c r="GB49" s="1" t="str">
        <f>VC_NEW2!FW20</f>
        <v>R209S, nt234∆8</v>
      </c>
      <c r="GC49" s="1" t="str">
        <f>VC_NEW2!FX20</f>
        <v xml:space="preserve"> nt234∆8</v>
      </c>
      <c r="GD49" s="1" t="str">
        <f>VC_NEW2!FY20</f>
        <v xml:space="preserve">  nt234∆8</v>
      </c>
      <c r="GE49" s="1" t="str">
        <f>VC_NEW2!FZ20</f>
        <v xml:space="preserve"> nt234∆8</v>
      </c>
      <c r="GF49" s="1" t="str">
        <f>VC_NEW2!GA20</f>
        <v xml:space="preserve"> nt234∆8</v>
      </c>
      <c r="GG49" s="1" t="str">
        <f>VC_NEW2!GB20</f>
        <v xml:space="preserve"> nt234∆8</v>
      </c>
      <c r="GH49" s="1" t="str">
        <f>VC_NEW2!GC20</f>
        <v>nt234∆8</v>
      </c>
      <c r="GI49" s="1" t="str">
        <f>VC_NEW2!GD20</f>
        <v>nt234∆8</v>
      </c>
      <c r="GJ49" s="1" t="str">
        <f>VC_NEW2!GE20</f>
        <v>nt234∆8</v>
      </c>
      <c r="GK49" s="1" t="str">
        <f>VC_NEW2!GF20</f>
        <v>nt234∆8</v>
      </c>
      <c r="GL49" s="1" t="str">
        <f>VC_NEW2!GG20</f>
        <v>nt234∆8</v>
      </c>
      <c r="GM49" s="1" t="str">
        <f>VC_NEW2!GH20</f>
        <v>nt234∆8</v>
      </c>
      <c r="GN49" s="1" t="str">
        <f>VC_NEW2!GI20</f>
        <v>nt234∆8</v>
      </c>
      <c r="GO49" s="1" t="str">
        <f>VC_NEW2!GJ20</f>
        <v>nt234∆8</v>
      </c>
      <c r="GP49" s="1" t="str">
        <f>VC_NEW2!GK20</f>
        <v>nt234∆8</v>
      </c>
      <c r="GQ49" s="1" t="str">
        <f>VC_NEW2!GL20</f>
        <v>nt234∆8</v>
      </c>
      <c r="GR49" s="1" t="str">
        <f>VC_NEW2!GM20</f>
        <v>nt234∆8</v>
      </c>
      <c r="GS49" s="1" t="str">
        <f>VC_NEW2!GN20</f>
        <v>nt234∆8</v>
      </c>
      <c r="GT49" s="1" t="str">
        <f>VC_NEW2!GO20</f>
        <v>nt234∆8</v>
      </c>
      <c r="GU49" s="1" t="str">
        <f>VC_NEW2!GP20</f>
        <v>nt234∆8</v>
      </c>
      <c r="GV49" s="1" t="str">
        <f>VC_NEW2!GQ20</f>
        <v>nt234∆8</v>
      </c>
      <c r="GW49" s="1" t="str">
        <f>VC_NEW2!GR20</f>
        <v>nt234∆8</v>
      </c>
      <c r="GX49" s="1" t="str">
        <f>VC_NEW2!GS20</f>
        <v>nt234∆8</v>
      </c>
      <c r="GY49" s="1" t="str">
        <f>VC_NEW2!GT20</f>
        <v>nt234∆8</v>
      </c>
      <c r="GZ49" s="1" t="str">
        <f>VC_NEW2!GU20</f>
        <v>nt234∆8</v>
      </c>
      <c r="HA49" s="1" t="str">
        <f>VC_NEW2!GV20</f>
        <v>nt234∆8</v>
      </c>
      <c r="HB49" s="1" t="str">
        <f>VC_NEW2!GW20</f>
        <v>nt234∆8</v>
      </c>
      <c r="HC49" s="1" t="str">
        <f>VC_NEW2!GX20</f>
        <v>nt234∆8</v>
      </c>
    </row>
    <row r="50" spans="1:211" s="10" customFormat="1" ht="15.75" hidden="1" customHeight="1" thickBot="1" x14ac:dyDescent="0.3">
      <c r="A50" s="52" t="s">
        <v>57</v>
      </c>
      <c r="B50" s="53" t="s">
        <v>154</v>
      </c>
      <c r="C50" s="54" t="s">
        <v>4</v>
      </c>
      <c r="D50" s="53" t="s">
        <v>76</v>
      </c>
      <c r="E50" s="53" t="s">
        <v>147</v>
      </c>
      <c r="F50" s="53" t="s">
        <v>73</v>
      </c>
      <c r="G50" s="55" t="s">
        <v>144</v>
      </c>
      <c r="H50" s="1" t="str">
        <f>VC_NEW2!C20</f>
        <v xml:space="preserve"> nt234∆8</v>
      </c>
      <c r="I50" s="1" t="str">
        <f>VC_NEW2!D20</f>
        <v xml:space="preserve">  nt234∆8</v>
      </c>
      <c r="J50" s="1" t="str">
        <f>VC_NEW2!E20</f>
        <v xml:space="preserve"> nt234∆8</v>
      </c>
      <c r="K50" s="1" t="str">
        <f>VC_NEW2!F20</f>
        <v>nt234∆8</v>
      </c>
      <c r="L50" s="1" t="str">
        <f>VC_NEW2!G20</f>
        <v xml:space="preserve"> nt234∆8</v>
      </c>
      <c r="M50" s="1" t="str">
        <f>VC_NEW2!H20</f>
        <v xml:space="preserve"> nt234∆8</v>
      </c>
      <c r="N50" s="1" t="str">
        <f>VC_NEW2!I20</f>
        <v xml:space="preserve"> nt234∆8</v>
      </c>
      <c r="O50" s="1" t="str">
        <f>VC_NEW2!J20</f>
        <v xml:space="preserve">  nt234∆8</v>
      </c>
      <c r="P50" s="1" t="str">
        <f>VC_NEW2!K20</f>
        <v xml:space="preserve"> nt234∆8</v>
      </c>
      <c r="Q50" s="1" t="str">
        <f>VC_NEW2!L20</f>
        <v xml:space="preserve">  nt234∆8</v>
      </c>
      <c r="R50" s="1" t="str">
        <f>VC_NEW2!M20</f>
        <v xml:space="preserve"> nt234∆8</v>
      </c>
      <c r="S50" s="1" t="str">
        <f>VC_NEW2!N20</f>
        <v xml:space="preserve"> nt234∆8</v>
      </c>
      <c r="T50" s="1" t="str">
        <f>VC_NEW2!O20</f>
        <v xml:space="preserve"> nt234∆8</v>
      </c>
      <c r="U50" s="1" t="str">
        <f>VC_NEW2!P20</f>
        <v xml:space="preserve"> nt234∆8</v>
      </c>
      <c r="V50" s="1" t="str">
        <f>VC_NEW2!Q20</f>
        <v>R334C, nt234∆8</v>
      </c>
      <c r="W50" s="1" t="str">
        <f>VC_NEW2!R20</f>
        <v xml:space="preserve"> nt234∆8</v>
      </c>
      <c r="X50" s="1" t="str">
        <f>VC_NEW2!S20</f>
        <v xml:space="preserve">  nt234∆8</v>
      </c>
      <c r="Y50" s="1" t="str">
        <f>VC_NEW2!T20</f>
        <v>nt234∆8</v>
      </c>
      <c r="Z50" s="1" t="str">
        <f>VC_NEW2!U20</f>
        <v xml:space="preserve"> nt234∆8</v>
      </c>
      <c r="AA50" s="1" t="str">
        <f>VC_NEW2!V20</f>
        <v xml:space="preserve"> nt234∆8</v>
      </c>
      <c r="AB50" s="1" t="str">
        <f>VC_NEW2!W20</f>
        <v xml:space="preserve">  nt234∆8</v>
      </c>
      <c r="AC50" s="1" t="str">
        <f>VC_NEW2!X20</f>
        <v xml:space="preserve">  nt234∆8</v>
      </c>
      <c r="AD50" s="1" t="str">
        <f>VC_NEW2!Y20</f>
        <v xml:space="preserve"> nt234∆8</v>
      </c>
      <c r="AE50" s="1" t="str">
        <f>VC_NEW2!Z20</f>
        <v xml:space="preserve"> nt234∆8</v>
      </c>
      <c r="AF50" s="1">
        <f>VC_NEW2!AA20</f>
        <v>0</v>
      </c>
      <c r="AG50" s="1" t="str">
        <f>VC_NEW2!AB20</f>
        <v>nt234∆8</v>
      </c>
      <c r="AH50" s="1" t="str">
        <f>VC_NEW2!AC20</f>
        <v>nt234∆8</v>
      </c>
      <c r="AI50" s="1" t="str">
        <f>VC_NEW2!AD20</f>
        <v>nt234∆8</v>
      </c>
      <c r="AJ50" s="1" t="str">
        <f>VC_NEW2!AE20</f>
        <v>nt234∆8</v>
      </c>
      <c r="AK50" s="1" t="str">
        <f>VC_NEW2!AF20</f>
        <v>nt234∆8</v>
      </c>
      <c r="AL50" s="1" t="str">
        <f>VC_NEW2!AG20</f>
        <v>nt234∆8</v>
      </c>
      <c r="AM50" s="1" t="str">
        <f>VC_NEW2!AH20</f>
        <v>nt234∆8</v>
      </c>
      <c r="AN50" s="1" t="str">
        <f>VC_NEW2!AI20</f>
        <v>nt234∆8</v>
      </c>
      <c r="AO50" s="1" t="str">
        <f>VC_NEW2!AJ20</f>
        <v>nt234∆8</v>
      </c>
      <c r="AP50" s="1" t="str">
        <f>VC_NEW2!AK20</f>
        <v>nt234∆8</v>
      </c>
      <c r="AQ50" s="1" t="str">
        <f>VC_NEW2!AL20</f>
        <v>nt234∆8</v>
      </c>
      <c r="AR50" s="1" t="str">
        <f>VC_NEW2!AM20</f>
        <v>nt234∆8</v>
      </c>
      <c r="AS50" s="1" t="str">
        <f>VC_NEW2!AN20</f>
        <v>nt234∆8</v>
      </c>
      <c r="AT50" s="1" t="str">
        <f>VC_NEW2!AO20</f>
        <v>nt234∆8</v>
      </c>
      <c r="AU50" s="1" t="str">
        <f>VC_NEW2!AP20</f>
        <v>nt234∆8</v>
      </c>
      <c r="AV50" s="1" t="str">
        <f>VC_NEW2!AQ20</f>
        <v>nt234∆8</v>
      </c>
      <c r="AW50" s="1" t="str">
        <f>VC_NEW2!AR20</f>
        <v>nt234∆8</v>
      </c>
      <c r="AX50" s="1" t="str">
        <f>VC_NEW2!AS20</f>
        <v>nt234∆8</v>
      </c>
      <c r="AY50" s="1" t="str">
        <f>VC_NEW2!AT20</f>
        <v>nt234∆8</v>
      </c>
      <c r="AZ50" s="1" t="str">
        <f>VC_NEW2!AU20</f>
        <v>nt234∆8</v>
      </c>
      <c r="BA50" s="1" t="str">
        <f>VC_NEW2!AV20</f>
        <v>nt234∆8</v>
      </c>
      <c r="BB50" s="1" t="str">
        <f>VC_NEW2!AW20</f>
        <v>nt234∆8</v>
      </c>
      <c r="BC50" s="1" t="str">
        <f>VC_NEW2!AX20</f>
        <v>nt234∆8</v>
      </c>
      <c r="BD50" s="1" t="str">
        <f>VC_NEW2!AY20</f>
        <v>nt234∆8</v>
      </c>
      <c r="BE50" s="1" t="str">
        <f>VC_NEW2!AZ20</f>
        <v>nt234∆8</v>
      </c>
      <c r="BF50" s="1" t="str">
        <f>VC_NEW2!BA20</f>
        <v>nt234∆8</v>
      </c>
      <c r="BG50" s="1" t="str">
        <f>VC_NEW2!BB20</f>
        <v>nt234∆8</v>
      </c>
      <c r="BH50" s="1" t="str">
        <f>VC_NEW2!BC20</f>
        <v>nt234∆8</v>
      </c>
      <c r="BI50" s="1" t="str">
        <f>VC_NEW2!BD20</f>
        <v>nt234∆8</v>
      </c>
      <c r="BJ50" s="1" t="str">
        <f>VC_NEW2!BE20</f>
        <v>nt234∆8</v>
      </c>
      <c r="BK50" s="1" t="str">
        <f>VC_NEW2!BF20</f>
        <v>nt234∆8</v>
      </c>
      <c r="BL50" s="1" t="str">
        <f>VC_NEW2!BG20</f>
        <v>nt234∆8</v>
      </c>
      <c r="BM50" s="1" t="str">
        <f>VC_NEW2!BH20</f>
        <v>nt234∆8</v>
      </c>
      <c r="BN50" s="1" t="str">
        <f>VC_NEW2!BI20</f>
        <v>nt234∆8</v>
      </c>
      <c r="BO50" s="1" t="str">
        <f>VC_NEW2!BJ20</f>
        <v>nt234∆8</v>
      </c>
      <c r="BP50" s="1" t="str">
        <f>VC_NEW2!BK20</f>
        <v>nt234∆8</v>
      </c>
      <c r="BQ50" s="1" t="str">
        <f>VC_NEW2!BL20</f>
        <v>G276D, nt234∆8</v>
      </c>
      <c r="BR50" s="1" t="str">
        <f>VC_NEW2!BM20</f>
        <v>nt234∆8</v>
      </c>
      <c r="BS50" s="1" t="str">
        <f>VC_NEW2!BN20</f>
        <v>nt234∆8</v>
      </c>
      <c r="BT50" s="1" t="str">
        <f>VC_NEW2!BO20</f>
        <v>nt234∆8</v>
      </c>
      <c r="BU50" s="1" t="str">
        <f>VC_NEW2!BP20</f>
        <v>nt234∆8</v>
      </c>
      <c r="BV50" s="1" t="str">
        <f>VC_NEW2!BQ20</f>
        <v>nt234∆8</v>
      </c>
      <c r="BW50" s="1" t="str">
        <f>VC_NEW2!BR20</f>
        <v>nt234∆8</v>
      </c>
      <c r="BX50" s="1" t="str">
        <f>VC_NEW2!BS20</f>
        <v>nt234∆8</v>
      </c>
      <c r="BY50" s="1" t="str">
        <f>VC_NEW2!BT20</f>
        <v>nt234∆8</v>
      </c>
      <c r="BZ50" s="1" t="str">
        <f>VC_NEW2!BU20</f>
        <v>nt234∆8</v>
      </c>
      <c r="CA50" s="1" t="str">
        <f>VC_NEW2!BV20</f>
        <v>nt234∆8</v>
      </c>
      <c r="CB50" s="1" t="str">
        <f>VC_NEW2!BW20</f>
        <v>nt234∆8</v>
      </c>
      <c r="CC50" s="1" t="str">
        <f>VC_NEW2!BX20</f>
        <v>nt234∆8</v>
      </c>
      <c r="CD50" s="1" t="str">
        <f>VC_NEW2!BY20</f>
        <v>nt234∆8</v>
      </c>
      <c r="CE50" s="1" t="str">
        <f>VC_NEW2!BZ20</f>
        <v>nt234∆8</v>
      </c>
      <c r="CF50" s="1" t="str">
        <f>VC_NEW2!CA20</f>
        <v>nt234∆8</v>
      </c>
      <c r="CG50" s="1" t="str">
        <f>VC_NEW2!CB20</f>
        <v>nt234∆8</v>
      </c>
      <c r="CH50" s="1" t="str">
        <f>VC_NEW2!CC20</f>
        <v>nt234∆8</v>
      </c>
      <c r="CI50" s="1" t="str">
        <f>VC_NEW2!CD20</f>
        <v>nt234∆8</v>
      </c>
      <c r="CJ50" s="1" t="str">
        <f>VC_NEW2!CE20</f>
        <v>nt234∆8</v>
      </c>
      <c r="CK50" s="1" t="str">
        <f>VC_NEW2!CF20</f>
        <v>nt234∆8</v>
      </c>
      <c r="CL50" s="1" t="str">
        <f>VC_NEW2!CG20</f>
        <v>nt234∆8</v>
      </c>
      <c r="CM50" s="1" t="str">
        <f>VC_NEW2!CH20</f>
        <v>nt234∆8</v>
      </c>
      <c r="CN50" s="1" t="str">
        <f>VC_NEW2!CI20</f>
        <v>nt234∆8</v>
      </c>
      <c r="CO50" s="1" t="str">
        <f>VC_NEW2!CJ20</f>
        <v>nt234∆8</v>
      </c>
      <c r="CP50" s="1" t="str">
        <f>VC_NEW2!CK20</f>
        <v>nt234∆8</v>
      </c>
      <c r="CQ50" s="1" t="str">
        <f>VC_NEW2!CL20</f>
        <v>nt234∆8</v>
      </c>
      <c r="CR50" s="1" t="str">
        <f>VC_NEW2!CM20</f>
        <v>nt234∆8</v>
      </c>
      <c r="CS50" s="1" t="str">
        <f>VC_NEW2!CN20</f>
        <v>V265A, nt234∆8</v>
      </c>
      <c r="CT50" s="1" t="str">
        <f>VC_NEW2!CO20</f>
        <v>nt234∆8</v>
      </c>
      <c r="CU50" s="1" t="str">
        <f>VC_NEW2!CP20</f>
        <v>A245V, nt234∆8</v>
      </c>
      <c r="CV50" s="1" t="str">
        <f>VC_NEW2!CQ20</f>
        <v xml:space="preserve"> nt234∆8</v>
      </c>
      <c r="CW50" s="1" t="str">
        <f>VC_NEW2!CR20</f>
        <v xml:space="preserve"> nt234∆8</v>
      </c>
      <c r="CX50" s="1" t="str">
        <f>VC_NEW2!CS20</f>
        <v xml:space="preserve"> nt234∆8</v>
      </c>
      <c r="CY50" s="1" t="str">
        <f>VC_NEW2!CT20</f>
        <v xml:space="preserve"> nt234∆8</v>
      </c>
      <c r="CZ50" s="1" t="str">
        <f>VC_NEW2!CU20</f>
        <v>nt234∆8, nt395InsC</v>
      </c>
      <c r="DA50" s="1" t="str">
        <f>VC_NEW2!CV20</f>
        <v xml:space="preserve"> nt234∆8</v>
      </c>
      <c r="DB50" s="1" t="str">
        <f>VC_NEW2!CW20</f>
        <v xml:space="preserve"> nt234∆8</v>
      </c>
      <c r="DC50" s="1" t="str">
        <f>VC_NEW2!CX20</f>
        <v>nt234∆8</v>
      </c>
      <c r="DD50" s="1" t="str">
        <f>VC_NEW2!CY20</f>
        <v>nt234∆8</v>
      </c>
      <c r="DE50" s="1" t="str">
        <f>VC_NEW2!CZ20</f>
        <v>nt234∆8</v>
      </c>
      <c r="DF50" s="1" t="str">
        <f>VC_NEW2!DA20</f>
        <v>nt234∆8</v>
      </c>
      <c r="DG50" s="1" t="str">
        <f>VC_NEW2!DB20</f>
        <v>nt234∆8</v>
      </c>
      <c r="DH50" s="1" t="str">
        <f>VC_NEW2!DC20</f>
        <v>nt234∆8</v>
      </c>
      <c r="DI50" s="1" t="str">
        <f>VC_NEW2!DD20</f>
        <v>nt234∆8</v>
      </c>
      <c r="DJ50" s="1" t="str">
        <f>VC_NEW2!DE20</f>
        <v>nt234∆8</v>
      </c>
      <c r="DK50" s="1" t="str">
        <f>VC_NEW2!DF20</f>
        <v>nt234∆8</v>
      </c>
      <c r="DL50" s="1" t="str">
        <f>VC_NEW2!DG20</f>
        <v>nt234∆8</v>
      </c>
      <c r="DM50" s="1" t="str">
        <f>VC_NEW2!DH20</f>
        <v>nt234∆8</v>
      </c>
      <c r="DN50" s="1" t="str">
        <f>VC_NEW2!DI20</f>
        <v>nt234∆8</v>
      </c>
      <c r="DO50" s="1" t="str">
        <f>VC_NEW2!DJ20</f>
        <v>nt234∆8</v>
      </c>
      <c r="DP50" s="1" t="str">
        <f>VC_NEW2!DK20</f>
        <v>nt234∆8</v>
      </c>
      <c r="DQ50" s="1" t="str">
        <f>VC_NEW2!DL20</f>
        <v>nt234∆8</v>
      </c>
      <c r="DR50" s="1" t="str">
        <f>VC_NEW2!DM20</f>
        <v>nt234∆8</v>
      </c>
      <c r="DS50" s="1" t="str">
        <f>VC_NEW2!DN20</f>
        <v>nt234∆8</v>
      </c>
      <c r="DT50" s="1" t="str">
        <f>VC_NEW2!DO20</f>
        <v>nt234∆8</v>
      </c>
      <c r="DU50" s="1" t="str">
        <f>VC_NEW2!DP20</f>
        <v>nt234∆8</v>
      </c>
      <c r="DV50" s="1" t="str">
        <f>VC_NEW2!DQ20</f>
        <v>nt234∆8</v>
      </c>
      <c r="DW50" s="1" t="str">
        <f>VC_NEW2!DR20</f>
        <v>nt234∆8</v>
      </c>
      <c r="DX50" s="1" t="str">
        <f>VC_NEW2!DS20</f>
        <v>nt234∆8</v>
      </c>
      <c r="DY50" s="1" t="str">
        <f>VC_NEW2!DT20</f>
        <v>nt234∆8</v>
      </c>
      <c r="DZ50" s="1" t="str">
        <f>VC_NEW2!DU20</f>
        <v>nt234∆8</v>
      </c>
      <c r="EA50" s="1" t="str">
        <f>VC_NEW2!DV20</f>
        <v>nt234∆8</v>
      </c>
      <c r="EB50" s="1" t="str">
        <f>VC_NEW2!DW20</f>
        <v>nt234∆8</v>
      </c>
      <c r="EC50" s="1" t="str">
        <f>VC_NEW2!DX20</f>
        <v>nt234∆8</v>
      </c>
      <c r="ED50" s="1" t="str">
        <f>VC_NEW2!DY20</f>
        <v>nt234∆8</v>
      </c>
      <c r="EE50" s="1" t="str">
        <f>VC_NEW2!DZ20</f>
        <v>nt234∆8</v>
      </c>
      <c r="EF50" s="1" t="str">
        <f>VC_NEW2!EA20</f>
        <v>nt234∆8</v>
      </c>
      <c r="EG50" s="1" t="str">
        <f>VC_NEW2!EB20</f>
        <v>nt234∆8</v>
      </c>
      <c r="EH50" s="1" t="str">
        <f>VC_NEW2!EC20</f>
        <v>D96A, nt234∆8</v>
      </c>
      <c r="EI50" s="1" t="str">
        <f>VC_NEW2!ED20</f>
        <v>nt234∆8</v>
      </c>
      <c r="EJ50" s="1" t="str">
        <f>VC_NEW2!EE20</f>
        <v>A47V, nt234∆8</v>
      </c>
      <c r="EK50" s="1" t="str">
        <f>VC_NEW2!EF20</f>
        <v>R334P, nt234∆8</v>
      </c>
      <c r="EL50" s="1" t="str">
        <f>VC_NEW2!EG20</f>
        <v>nt234∆8</v>
      </c>
      <c r="EM50" s="1" t="str">
        <f>VC_NEW2!EH20</f>
        <v>nt234∆8</v>
      </c>
      <c r="EN50" s="1" t="str">
        <f>VC_NEW2!EI20</f>
        <v>nt234∆8</v>
      </c>
      <c r="EO50" s="1" t="str">
        <f>VC_NEW2!EJ20</f>
        <v>nt234∆8</v>
      </c>
      <c r="EP50" s="1" t="str">
        <f>VC_NEW2!EK20</f>
        <v>nt234∆8</v>
      </c>
      <c r="EQ50" s="1" t="str">
        <f>VC_NEW2!EL20</f>
        <v>nt234∆8</v>
      </c>
      <c r="ER50" s="1" t="str">
        <f>VC_NEW2!EM20</f>
        <v>nt234∆8</v>
      </c>
      <c r="ES50" s="1" t="str">
        <f>VC_NEW2!EN20</f>
        <v>nt234∆8</v>
      </c>
      <c r="ET50" s="1" t="str">
        <f>VC_NEW2!EO20</f>
        <v>nt234∆8</v>
      </c>
      <c r="EU50" s="1" t="str">
        <f>VC_NEW2!EP20</f>
        <v>nt234∆8</v>
      </c>
      <c r="EV50" s="1" t="str">
        <f>VC_NEW2!EQ20</f>
        <v>DELETED</v>
      </c>
      <c r="EW50" s="1" t="str">
        <f>VC_NEW2!ER20</f>
        <v xml:space="preserve"> nt234∆8</v>
      </c>
      <c r="EX50" s="1" t="str">
        <f>VC_NEW2!ES20</f>
        <v xml:space="preserve"> nt234∆8</v>
      </c>
      <c r="EY50" s="1" t="str">
        <f>VC_NEW2!ET20</f>
        <v>nt234∆8</v>
      </c>
      <c r="EZ50" s="1" t="str">
        <f>VC_NEW2!EU20</f>
        <v>nt234∆8</v>
      </c>
      <c r="FA50" s="1" t="str">
        <f>VC_NEW2!EV20</f>
        <v>nt234∆8</v>
      </c>
      <c r="FB50" s="1" t="str">
        <f>VC_NEW2!EW20</f>
        <v>nt234∆8</v>
      </c>
      <c r="FC50" s="1" t="str">
        <f>VC_NEW2!EX20</f>
        <v>nt234∆8</v>
      </c>
      <c r="FD50" s="1" t="str">
        <f>VC_NEW2!EY20</f>
        <v>nt234∆8</v>
      </c>
      <c r="FE50" s="1" t="str">
        <f>VC_NEW2!EZ20</f>
        <v>nt234∆8</v>
      </c>
      <c r="FF50" s="1" t="str">
        <f>VC_NEW2!FA20</f>
        <v>nt234∆8</v>
      </c>
      <c r="FG50" s="1" t="str">
        <f>VC_NEW2!FB20</f>
        <v>nt234∆8</v>
      </c>
      <c r="FH50" s="1" t="str">
        <f>VC_NEW2!FC20</f>
        <v>nt234∆8</v>
      </c>
      <c r="FI50" s="1" t="str">
        <f>VC_NEW2!FD20</f>
        <v>nt234∆8</v>
      </c>
      <c r="FJ50" s="1" t="str">
        <f>VC_NEW2!FE20</f>
        <v>nt234∆8</v>
      </c>
      <c r="FK50" s="1" t="str">
        <f>VC_NEW2!FF20</f>
        <v>nt234∆8</v>
      </c>
      <c r="FL50" s="1" t="str">
        <f>VC_NEW2!FG20</f>
        <v>nt234∆8</v>
      </c>
      <c r="FM50" s="1" t="str">
        <f>VC_NEW2!FH20</f>
        <v>nt234∆8</v>
      </c>
      <c r="FN50" s="1" t="str">
        <f>VC_NEW2!FI20</f>
        <v>nt234∆8</v>
      </c>
      <c r="FO50" s="1" t="str">
        <f>VC_NEW2!FJ20</f>
        <v>nt234∆8</v>
      </c>
      <c r="FP50" s="1" t="str">
        <f>VC_NEW2!FK20</f>
        <v>nt234∆8</v>
      </c>
      <c r="FQ50" s="1" t="str">
        <f>VC_NEW2!FL20</f>
        <v>nt234∆8</v>
      </c>
      <c r="FR50" s="1" t="str">
        <f>VC_NEW2!FM20</f>
        <v>nt234∆8</v>
      </c>
      <c r="FS50" s="1" t="str">
        <f>VC_NEW2!FN20</f>
        <v>nt234∆8</v>
      </c>
      <c r="FT50" s="1" t="str">
        <f>VC_NEW2!FO20</f>
        <v>nt234∆8</v>
      </c>
      <c r="FU50" s="1" t="str">
        <f>VC_NEW2!FP20</f>
        <v>nt234∆8</v>
      </c>
      <c r="FV50" s="1" t="str">
        <f>VC_NEW2!FQ20</f>
        <v>nt234∆8</v>
      </c>
      <c r="FW50" s="1" t="str">
        <f>VC_NEW2!FR20</f>
        <v>nt234∆8</v>
      </c>
      <c r="FX50" s="1" t="str">
        <f>VC_NEW2!FS20</f>
        <v>nt234∆8</v>
      </c>
      <c r="FY50" s="1" t="str">
        <f>VC_NEW2!FT20</f>
        <v>nt234∆8</v>
      </c>
      <c r="FZ50" s="1" t="str">
        <f>VC_NEW2!FU20</f>
        <v>nt234∆8</v>
      </c>
      <c r="GA50" s="1" t="str">
        <f>VC_NEW2!FV20</f>
        <v>nt234∆8</v>
      </c>
      <c r="GB50" s="1" t="str">
        <f>VC_NEW2!FW20</f>
        <v>R209S, nt234∆8</v>
      </c>
      <c r="GC50" s="1" t="str">
        <f>VC_NEW2!FX20</f>
        <v xml:space="preserve"> nt234∆8</v>
      </c>
      <c r="GD50" s="1" t="str">
        <f>VC_NEW2!FY20</f>
        <v xml:space="preserve">  nt234∆8</v>
      </c>
      <c r="GE50" s="1" t="str">
        <f>VC_NEW2!FZ20</f>
        <v xml:space="preserve"> nt234∆8</v>
      </c>
      <c r="GF50" s="1" t="str">
        <f>VC_NEW2!GA20</f>
        <v xml:space="preserve"> nt234∆8</v>
      </c>
      <c r="GG50" s="1" t="str">
        <f>VC_NEW2!GB20</f>
        <v xml:space="preserve"> nt234∆8</v>
      </c>
      <c r="GH50" s="1" t="str">
        <f>VC_NEW2!GC20</f>
        <v>nt234∆8</v>
      </c>
      <c r="GI50" s="1" t="str">
        <f>VC_NEW2!GD20</f>
        <v>nt234∆8</v>
      </c>
      <c r="GJ50" s="1" t="str">
        <f>VC_NEW2!GE20</f>
        <v>nt234∆8</v>
      </c>
      <c r="GK50" s="1" t="str">
        <f>VC_NEW2!GF20</f>
        <v>nt234∆8</v>
      </c>
      <c r="GL50" s="1" t="str">
        <f>VC_NEW2!GG20</f>
        <v>nt234∆8</v>
      </c>
      <c r="GM50" s="1" t="str">
        <f>VC_NEW2!GH20</f>
        <v>nt234∆8</v>
      </c>
      <c r="GN50" s="1" t="str">
        <f>VC_NEW2!GI20</f>
        <v>nt234∆8</v>
      </c>
      <c r="GO50" s="1" t="str">
        <f>VC_NEW2!GJ20</f>
        <v>nt234∆8</v>
      </c>
      <c r="GP50" s="1" t="str">
        <f>VC_NEW2!GK20</f>
        <v>nt234∆8</v>
      </c>
      <c r="GQ50" s="1" t="str">
        <f>VC_NEW2!GL20</f>
        <v>nt234∆8</v>
      </c>
      <c r="GR50" s="1" t="str">
        <f>VC_NEW2!GM20</f>
        <v>nt234∆8</v>
      </c>
      <c r="GS50" s="1" t="str">
        <f>VC_NEW2!GN20</f>
        <v>nt234∆8</v>
      </c>
      <c r="GT50" s="1" t="str">
        <f>VC_NEW2!GO20</f>
        <v>nt234∆8</v>
      </c>
      <c r="GU50" s="1" t="str">
        <f>VC_NEW2!GP20</f>
        <v>nt234∆8</v>
      </c>
      <c r="GV50" s="1" t="str">
        <f>VC_NEW2!GQ20</f>
        <v>nt234∆8</v>
      </c>
      <c r="GW50" s="1" t="str">
        <f>VC_NEW2!GR20</f>
        <v>nt234∆8</v>
      </c>
      <c r="GX50" s="1" t="str">
        <f>VC_NEW2!GS20</f>
        <v>nt234∆8</v>
      </c>
      <c r="GY50" s="1" t="str">
        <f>VC_NEW2!GT20</f>
        <v>nt234∆8</v>
      </c>
      <c r="GZ50" s="1" t="str">
        <f>VC_NEW2!GU20</f>
        <v>nt234∆8</v>
      </c>
      <c r="HA50" s="1" t="str">
        <f>VC_NEW2!GV20</f>
        <v>nt234∆8</v>
      </c>
      <c r="HB50" s="1" t="str">
        <f>VC_NEW2!GW20</f>
        <v>nt234∆8</v>
      </c>
      <c r="HC50" s="1" t="str">
        <f>VC_NEW2!GX20</f>
        <v>nt234∆8</v>
      </c>
    </row>
    <row r="51" spans="1:211" s="1" customFormat="1" ht="15" hidden="1" customHeight="1" x14ac:dyDescent="0.25">
      <c r="A51" s="78" t="s">
        <v>82</v>
      </c>
      <c r="B51" s="79" t="s">
        <v>85</v>
      </c>
      <c r="C51" s="80" t="s">
        <v>4</v>
      </c>
      <c r="D51" s="79" t="s">
        <v>77</v>
      </c>
      <c r="E51" s="79"/>
      <c r="F51" s="79" t="s">
        <v>74</v>
      </c>
      <c r="G51" s="110" t="s">
        <v>1055</v>
      </c>
      <c r="H51" s="1">
        <f>VC_NEW2!C21</f>
        <v>0</v>
      </c>
      <c r="I51" s="1">
        <f>VC_NEW2!D21</f>
        <v>0</v>
      </c>
      <c r="J51" s="1" t="str">
        <f>VC_NEW2!E21</f>
        <v>G282S</v>
      </c>
      <c r="K51" s="1">
        <f>VC_NEW2!F21</f>
        <v>0</v>
      </c>
      <c r="L51" s="1">
        <f>VC_NEW2!G21</f>
        <v>0</v>
      </c>
      <c r="M51" s="1">
        <f>VC_NEW2!H21</f>
        <v>0</v>
      </c>
      <c r="N51" s="1">
        <f>VC_NEW2!I21</f>
        <v>0</v>
      </c>
      <c r="O51" s="1">
        <f>VC_NEW2!J21</f>
        <v>0</v>
      </c>
      <c r="P51" s="1">
        <f>VC_NEW2!K21</f>
        <v>0</v>
      </c>
      <c r="Q51" s="1">
        <f>VC_NEW2!L21</f>
        <v>0</v>
      </c>
      <c r="R51" s="1">
        <f>VC_NEW2!M21</f>
        <v>0</v>
      </c>
      <c r="S51" s="1">
        <f>VC_NEW2!N21</f>
        <v>0</v>
      </c>
      <c r="T51" s="1">
        <f>VC_NEW2!O21</f>
        <v>0</v>
      </c>
      <c r="U51" s="1">
        <f>VC_NEW2!P21</f>
        <v>0</v>
      </c>
      <c r="V51" s="1">
        <f>VC_NEW2!Q21</f>
        <v>0</v>
      </c>
      <c r="W51" s="1">
        <f>VC_NEW2!R21</f>
        <v>0</v>
      </c>
      <c r="X51" s="1">
        <f>VC_NEW2!S21</f>
        <v>0</v>
      </c>
      <c r="Y51" s="1" t="str">
        <f>VC_NEW2!T21</f>
        <v>V156A</v>
      </c>
      <c r="Z51" s="1">
        <f>VC_NEW2!U21</f>
        <v>0</v>
      </c>
      <c r="AA51" s="1">
        <f>VC_NEW2!V21</f>
        <v>0</v>
      </c>
      <c r="AB51" s="1" t="str">
        <f>VC_NEW2!W21</f>
        <v xml:space="preserve"> P337A</v>
      </c>
      <c r="AC51" s="1">
        <f>VC_NEW2!X21</f>
        <v>0</v>
      </c>
      <c r="AD51" s="1">
        <f>VC_NEW2!Y21</f>
        <v>0</v>
      </c>
      <c r="AE51" s="1">
        <f>VC_NEW2!Z21</f>
        <v>0</v>
      </c>
      <c r="AF51" s="1">
        <f>VC_NEW2!AA21</f>
        <v>0</v>
      </c>
      <c r="AG51" s="1">
        <f>VC_NEW2!AB21</f>
        <v>0</v>
      </c>
      <c r="AH51" s="1">
        <f>VC_NEW2!AC21</f>
        <v>0</v>
      </c>
      <c r="AI51" s="1">
        <f>VC_NEW2!AD21</f>
        <v>0</v>
      </c>
      <c r="AJ51" s="1">
        <f>VC_NEW2!AE21</f>
        <v>0</v>
      </c>
      <c r="AK51" s="1">
        <f>VC_NEW2!AF21</f>
        <v>0</v>
      </c>
      <c r="AL51" s="1">
        <f>VC_NEW2!AG21</f>
        <v>0</v>
      </c>
      <c r="AM51" s="1">
        <f>VC_NEW2!AH21</f>
        <v>0</v>
      </c>
      <c r="AN51" s="1">
        <f>VC_NEW2!AI21</f>
        <v>0</v>
      </c>
      <c r="AO51" s="1">
        <f>VC_NEW2!AJ21</f>
        <v>0</v>
      </c>
      <c r="AP51" s="1">
        <f>VC_NEW2!AK21</f>
        <v>0</v>
      </c>
      <c r="AQ51" s="1">
        <f>VC_NEW2!AL21</f>
        <v>0</v>
      </c>
      <c r="AR51" s="1">
        <f>VC_NEW2!AM21</f>
        <v>0</v>
      </c>
      <c r="AS51" s="1">
        <f>VC_NEW2!AN21</f>
        <v>0</v>
      </c>
      <c r="AT51" s="1">
        <f>VC_NEW2!AO21</f>
        <v>0</v>
      </c>
      <c r="AU51" s="1">
        <f>VC_NEW2!AP21</f>
        <v>0</v>
      </c>
      <c r="AV51" s="1">
        <f>VC_NEW2!AQ21</f>
        <v>0</v>
      </c>
      <c r="AW51" s="1">
        <f>VC_NEW2!AR21</f>
        <v>0</v>
      </c>
      <c r="AX51" s="1">
        <f>VC_NEW2!AS21</f>
        <v>0</v>
      </c>
      <c r="AY51" s="1">
        <f>VC_NEW2!AT21</f>
        <v>0</v>
      </c>
      <c r="AZ51" s="1">
        <f>VC_NEW2!AU21</f>
        <v>0</v>
      </c>
      <c r="BA51" s="1">
        <f>VC_NEW2!AV21</f>
        <v>0</v>
      </c>
      <c r="BB51" s="1">
        <f>VC_NEW2!AW21</f>
        <v>0</v>
      </c>
      <c r="BC51" s="1">
        <f>VC_NEW2!AX21</f>
        <v>0</v>
      </c>
      <c r="BD51" s="1">
        <f>VC_NEW2!AY21</f>
        <v>0</v>
      </c>
      <c r="BE51" s="1">
        <f>VC_NEW2!AZ21</f>
        <v>0</v>
      </c>
      <c r="BF51" s="1">
        <f>VC_NEW2!BA21</f>
        <v>0</v>
      </c>
      <c r="BG51" s="1">
        <f>VC_NEW2!BB21</f>
        <v>0</v>
      </c>
      <c r="BH51" s="1" t="str">
        <f>VC_NEW2!BC21</f>
        <v xml:space="preserve"> P337A</v>
      </c>
      <c r="BI51" s="1">
        <f>VC_NEW2!BD21</f>
        <v>0</v>
      </c>
      <c r="BJ51" s="1">
        <f>VC_NEW2!BE21</f>
        <v>0</v>
      </c>
      <c r="BK51" s="1">
        <f>VC_NEW2!BF21</f>
        <v>0</v>
      </c>
      <c r="BL51" s="1">
        <f>VC_NEW2!BG21</f>
        <v>0</v>
      </c>
      <c r="BM51" s="1">
        <f>VC_NEW2!BH21</f>
        <v>0</v>
      </c>
      <c r="BN51" s="1">
        <f>VC_NEW2!BI21</f>
        <v>0</v>
      </c>
      <c r="BO51" s="1">
        <f>VC_NEW2!BJ21</f>
        <v>0</v>
      </c>
      <c r="BP51" s="1">
        <f>VC_NEW2!BK21</f>
        <v>0</v>
      </c>
      <c r="BQ51" s="1">
        <f>VC_NEW2!BL21</f>
        <v>0</v>
      </c>
      <c r="BR51" s="1">
        <f>VC_NEW2!BM21</f>
        <v>0</v>
      </c>
      <c r="BS51" s="1">
        <f>VC_NEW2!BN21</f>
        <v>0</v>
      </c>
      <c r="BT51" s="1">
        <f>VC_NEW2!BO21</f>
        <v>0</v>
      </c>
      <c r="BU51" s="1">
        <f>VC_NEW2!BP21</f>
        <v>0</v>
      </c>
      <c r="BV51" s="1">
        <f>VC_NEW2!BQ21</f>
        <v>0</v>
      </c>
      <c r="BW51" s="1">
        <f>VC_NEW2!BR21</f>
        <v>0</v>
      </c>
      <c r="BX51" s="1" t="str">
        <f>VC_NEW2!BS21</f>
        <v>G250D</v>
      </c>
      <c r="BY51" s="1">
        <f>VC_NEW2!BT21</f>
        <v>0</v>
      </c>
      <c r="BZ51" s="1">
        <f>VC_NEW2!BU21</f>
        <v>0</v>
      </c>
      <c r="CA51" s="1">
        <f>VC_NEW2!BV21</f>
        <v>0</v>
      </c>
      <c r="CB51" s="1">
        <f>VC_NEW2!BW21</f>
        <v>0</v>
      </c>
      <c r="CC51" s="1">
        <f>VC_NEW2!BX21</f>
        <v>0</v>
      </c>
      <c r="CD51" s="1">
        <f>VC_NEW2!BY21</f>
        <v>0</v>
      </c>
      <c r="CE51" s="1">
        <f>VC_NEW2!BZ21</f>
        <v>0</v>
      </c>
      <c r="CF51" s="1">
        <f>VC_NEW2!CA21</f>
        <v>0</v>
      </c>
      <c r="CG51" s="1">
        <f>VC_NEW2!CB21</f>
        <v>0</v>
      </c>
      <c r="CH51" s="1">
        <f>VC_NEW2!CC21</f>
        <v>0</v>
      </c>
      <c r="CI51" s="1">
        <f>VC_NEW2!CD21</f>
        <v>0</v>
      </c>
      <c r="CJ51" s="1">
        <f>VC_NEW2!CE21</f>
        <v>0</v>
      </c>
      <c r="CK51" s="1">
        <f>VC_NEW2!CF21</f>
        <v>0</v>
      </c>
      <c r="CL51" s="1">
        <f>VC_NEW2!CG21</f>
        <v>0</v>
      </c>
      <c r="CM51" s="1">
        <f>VC_NEW2!CH21</f>
        <v>0</v>
      </c>
      <c r="CN51" s="1">
        <f>VC_NEW2!CI21</f>
        <v>0</v>
      </c>
      <c r="CO51" s="1" t="str">
        <f>VC_NEW2!CJ21</f>
        <v>A377V</v>
      </c>
      <c r="CP51" s="1">
        <f>VC_NEW2!CK21</f>
        <v>0</v>
      </c>
      <c r="CQ51" s="1">
        <f>VC_NEW2!CL21</f>
        <v>0</v>
      </c>
      <c r="CR51" s="1">
        <f>VC_NEW2!CM21</f>
        <v>0</v>
      </c>
      <c r="CS51" s="1" t="str">
        <f>VC_NEW2!CN21</f>
        <v>F284L</v>
      </c>
      <c r="CT51" s="1">
        <f>VC_NEW2!CO21</f>
        <v>0</v>
      </c>
      <c r="CU51" s="1">
        <f>VC_NEW2!CP21</f>
        <v>0</v>
      </c>
      <c r="CV51" s="1">
        <f>VC_NEW2!CQ21</f>
        <v>0</v>
      </c>
      <c r="CW51" s="1">
        <f>VC_NEW2!CR21</f>
        <v>0</v>
      </c>
      <c r="CX51" s="1">
        <f>VC_NEW2!CS21</f>
        <v>0</v>
      </c>
      <c r="CY51" s="1">
        <f>VC_NEW2!CT21</f>
        <v>0</v>
      </c>
      <c r="CZ51" s="1">
        <f>VC_NEW2!CU21</f>
        <v>0</v>
      </c>
      <c r="DA51" s="1">
        <f>VC_NEW2!CV21</f>
        <v>0</v>
      </c>
      <c r="DB51" s="1">
        <f>VC_NEW2!CW21</f>
        <v>0</v>
      </c>
      <c r="DC51" s="1">
        <f>VC_NEW2!CX21</f>
        <v>0</v>
      </c>
      <c r="DD51" s="1">
        <f>VC_NEW2!CY21</f>
        <v>0</v>
      </c>
      <c r="DE51" s="1">
        <f>VC_NEW2!CZ21</f>
        <v>0</v>
      </c>
      <c r="DF51" s="1">
        <f>VC_NEW2!DA21</f>
        <v>0</v>
      </c>
      <c r="DG51" s="1">
        <f>VC_NEW2!DB21</f>
        <v>0</v>
      </c>
      <c r="DH51" s="1">
        <f>VC_NEW2!DC21</f>
        <v>0</v>
      </c>
      <c r="DI51" s="1">
        <f>VC_NEW2!DD21</f>
        <v>0</v>
      </c>
      <c r="DJ51" s="1">
        <f>VC_NEW2!DE21</f>
        <v>0</v>
      </c>
      <c r="DK51" s="1">
        <f>VC_NEW2!DF21</f>
        <v>0</v>
      </c>
      <c r="DL51" s="1">
        <f>VC_NEW2!DG21</f>
        <v>0</v>
      </c>
      <c r="DM51" s="1">
        <f>VC_NEW2!DH21</f>
        <v>0</v>
      </c>
      <c r="DN51" s="1">
        <f>VC_NEW2!DI21</f>
        <v>0</v>
      </c>
      <c r="DO51" s="1">
        <f>VC_NEW2!DJ21</f>
        <v>0</v>
      </c>
      <c r="DP51" s="1">
        <f>VC_NEW2!DK21</f>
        <v>0</v>
      </c>
      <c r="DQ51" s="1">
        <f>VC_NEW2!DL21</f>
        <v>0</v>
      </c>
      <c r="DR51" s="1">
        <f>VC_NEW2!DM21</f>
        <v>0</v>
      </c>
      <c r="DS51" s="1">
        <f>VC_NEW2!DN21</f>
        <v>0</v>
      </c>
      <c r="DT51" s="1">
        <f>VC_NEW2!DO21</f>
        <v>0</v>
      </c>
      <c r="DU51" s="1">
        <f>VC_NEW2!DP21</f>
        <v>0</v>
      </c>
      <c r="DV51" s="1">
        <f>VC_NEW2!DQ21</f>
        <v>0</v>
      </c>
      <c r="DW51" s="1">
        <f>VC_NEW2!DR21</f>
        <v>0</v>
      </c>
      <c r="DX51" s="1">
        <f>VC_NEW2!DS21</f>
        <v>0</v>
      </c>
      <c r="DY51" s="1">
        <f>VC_NEW2!DT21</f>
        <v>0</v>
      </c>
      <c r="DZ51" s="1">
        <f>VC_NEW2!DU21</f>
        <v>0</v>
      </c>
      <c r="EA51" s="1">
        <f>VC_NEW2!DV21</f>
        <v>0</v>
      </c>
      <c r="EB51" s="1">
        <f>VC_NEW2!DW21</f>
        <v>0</v>
      </c>
      <c r="EC51" s="1">
        <f>VC_NEW2!DX21</f>
        <v>0</v>
      </c>
      <c r="ED51" s="1">
        <f>VC_NEW2!DY21</f>
        <v>0</v>
      </c>
      <c r="EE51" s="1">
        <f>VC_NEW2!DZ21</f>
        <v>0</v>
      </c>
      <c r="EF51" s="1">
        <f>VC_NEW2!EA21</f>
        <v>0</v>
      </c>
      <c r="EG51" s="1">
        <f>VC_NEW2!EB21</f>
        <v>0</v>
      </c>
      <c r="EH51" s="1">
        <f>VC_NEW2!EC21</f>
        <v>0</v>
      </c>
      <c r="EI51" s="1">
        <f>VC_NEW2!ED21</f>
        <v>0</v>
      </c>
      <c r="EJ51" s="1">
        <f>VC_NEW2!EE21</f>
        <v>0</v>
      </c>
      <c r="EK51" s="1">
        <f>VC_NEW2!EF21</f>
        <v>0</v>
      </c>
      <c r="EL51" s="1">
        <f>VC_NEW2!EG21</f>
        <v>0</v>
      </c>
      <c r="EM51" s="1">
        <f>VC_NEW2!EH21</f>
        <v>0</v>
      </c>
      <c r="EN51" s="1">
        <f>VC_NEW2!EI21</f>
        <v>0</v>
      </c>
      <c r="EO51" s="1">
        <f>VC_NEW2!EJ21</f>
        <v>0</v>
      </c>
      <c r="EP51" s="1">
        <f>VC_NEW2!EK21</f>
        <v>0</v>
      </c>
      <c r="EQ51" s="1">
        <f>VC_NEW2!EL21</f>
        <v>0</v>
      </c>
      <c r="ER51" s="1">
        <f>VC_NEW2!EM21</f>
        <v>0</v>
      </c>
      <c r="ES51" s="1">
        <f>VC_NEW2!EN21</f>
        <v>0</v>
      </c>
      <c r="ET51" s="1">
        <f>VC_NEW2!EO21</f>
        <v>0</v>
      </c>
      <c r="EU51" s="1">
        <f>VC_NEW2!EP21</f>
        <v>0</v>
      </c>
      <c r="EV51" s="1" t="str">
        <f>VC_NEW2!EQ21</f>
        <v>DELETED</v>
      </c>
      <c r="EW51" s="1">
        <f>VC_NEW2!ER21</f>
        <v>0</v>
      </c>
      <c r="EX51" s="1">
        <f>VC_NEW2!ES21</f>
        <v>0</v>
      </c>
      <c r="EY51" s="1">
        <f>VC_NEW2!ET21</f>
        <v>0</v>
      </c>
      <c r="EZ51" s="1">
        <f>VC_NEW2!EU21</f>
        <v>0</v>
      </c>
      <c r="FA51" s="1">
        <f>VC_NEW2!EV21</f>
        <v>0</v>
      </c>
      <c r="FB51" s="1">
        <f>VC_NEW2!EW21</f>
        <v>0</v>
      </c>
      <c r="FC51" s="1">
        <f>VC_NEW2!EX21</f>
        <v>0</v>
      </c>
      <c r="FD51" s="1">
        <f>VC_NEW2!EY21</f>
        <v>0</v>
      </c>
      <c r="FE51" s="1">
        <f>VC_NEW2!EZ21</f>
        <v>0</v>
      </c>
      <c r="FF51" s="1">
        <f>VC_NEW2!FA21</f>
        <v>0</v>
      </c>
      <c r="FG51" s="1">
        <f>VC_NEW2!FB21</f>
        <v>0</v>
      </c>
      <c r="FH51" s="1">
        <f>VC_NEW2!FC21</f>
        <v>0</v>
      </c>
      <c r="FI51" s="1">
        <f>VC_NEW2!FD21</f>
        <v>0</v>
      </c>
      <c r="FJ51" s="1">
        <f>VC_NEW2!FE21</f>
        <v>0</v>
      </c>
      <c r="FK51" s="1">
        <f>VC_NEW2!FF21</f>
        <v>0</v>
      </c>
      <c r="FL51" s="1">
        <f>VC_NEW2!FG21</f>
        <v>0</v>
      </c>
      <c r="FM51" s="1">
        <f>VC_NEW2!FH21</f>
        <v>0</v>
      </c>
      <c r="FN51" s="1">
        <f>VC_NEW2!FI21</f>
        <v>0</v>
      </c>
      <c r="FO51" s="1" t="str">
        <f>VC_NEW2!FJ21</f>
        <v>V156A</v>
      </c>
      <c r="FP51" s="1">
        <f>VC_NEW2!FK21</f>
        <v>0</v>
      </c>
      <c r="FQ51" s="1">
        <f>VC_NEW2!FL21</f>
        <v>0</v>
      </c>
      <c r="FR51" s="1">
        <f>VC_NEW2!FM21</f>
        <v>0</v>
      </c>
      <c r="FS51" s="1">
        <f>VC_NEW2!FN21</f>
        <v>0</v>
      </c>
      <c r="FT51" s="1">
        <f>VC_NEW2!FO21</f>
        <v>0</v>
      </c>
      <c r="FU51" s="1">
        <f>VC_NEW2!FP21</f>
        <v>0</v>
      </c>
      <c r="FV51" s="1">
        <f>VC_NEW2!FQ21</f>
        <v>0</v>
      </c>
      <c r="FW51" s="1">
        <f>VC_NEW2!FR21</f>
        <v>0</v>
      </c>
      <c r="FX51" s="1">
        <f>VC_NEW2!FS21</f>
        <v>0</v>
      </c>
      <c r="FY51" s="1">
        <f>VC_NEW2!FT21</f>
        <v>0</v>
      </c>
      <c r="FZ51" s="1">
        <f>VC_NEW2!FU21</f>
        <v>0</v>
      </c>
      <c r="GA51" s="1">
        <f>VC_NEW2!FV21</f>
        <v>0</v>
      </c>
      <c r="GB51" s="1">
        <f>VC_NEW2!FW21</f>
        <v>0</v>
      </c>
      <c r="GC51" s="1">
        <f>VC_NEW2!FX21</f>
        <v>0</v>
      </c>
      <c r="GD51" s="1">
        <f>VC_NEW2!FY21</f>
        <v>0</v>
      </c>
      <c r="GE51" s="1">
        <f>VC_NEW2!FZ21</f>
        <v>0</v>
      </c>
      <c r="GF51" s="1">
        <f>VC_NEW2!GA21</f>
        <v>0</v>
      </c>
      <c r="GG51" s="1">
        <f>VC_NEW2!GB21</f>
        <v>0</v>
      </c>
      <c r="GH51" s="1">
        <f>VC_NEW2!GC21</f>
        <v>0</v>
      </c>
      <c r="GI51" s="1">
        <f>VC_NEW2!GD21</f>
        <v>0</v>
      </c>
      <c r="GJ51" s="1">
        <f>VC_NEW2!GE21</f>
        <v>0</v>
      </c>
      <c r="GK51" s="1">
        <f>VC_NEW2!GF21</f>
        <v>0</v>
      </c>
      <c r="GL51" s="1">
        <f>VC_NEW2!GG21</f>
        <v>0</v>
      </c>
      <c r="GM51" s="1">
        <f>VC_NEW2!GH21</f>
        <v>0</v>
      </c>
      <c r="GN51" s="1">
        <f>VC_NEW2!GI21</f>
        <v>0</v>
      </c>
      <c r="GO51" s="1">
        <f>VC_NEW2!GJ21</f>
        <v>0</v>
      </c>
      <c r="GP51" s="1">
        <f>VC_NEW2!GK21</f>
        <v>0</v>
      </c>
      <c r="GQ51" s="1">
        <f>VC_NEW2!GL21</f>
        <v>0</v>
      </c>
      <c r="GR51" s="1">
        <f>VC_NEW2!GM21</f>
        <v>0</v>
      </c>
      <c r="GS51" s="1">
        <f>VC_NEW2!GN21</f>
        <v>0</v>
      </c>
      <c r="GT51" s="1">
        <f>VC_NEW2!GO21</f>
        <v>0</v>
      </c>
      <c r="GU51" s="1">
        <f>VC_NEW2!GP21</f>
        <v>0</v>
      </c>
      <c r="GV51" s="1">
        <f>VC_NEW2!GQ21</f>
        <v>0</v>
      </c>
      <c r="GW51" s="1">
        <f>VC_NEW2!GR21</f>
        <v>0</v>
      </c>
      <c r="GX51" s="1">
        <f>VC_NEW2!GS21</f>
        <v>0</v>
      </c>
      <c r="GY51" s="1">
        <f>VC_NEW2!GT21</f>
        <v>0</v>
      </c>
      <c r="GZ51" s="1">
        <f>VC_NEW2!GU21</f>
        <v>0</v>
      </c>
      <c r="HA51" s="1">
        <f>VC_NEW2!GV21</f>
        <v>0</v>
      </c>
      <c r="HB51" s="1">
        <f>VC_NEW2!GW21</f>
        <v>0</v>
      </c>
      <c r="HC51" s="1">
        <f>VC_NEW2!GX21</f>
        <v>0</v>
      </c>
    </row>
    <row r="52" spans="1:211" s="7" customFormat="1" ht="15" hidden="1" customHeight="1" x14ac:dyDescent="0.25">
      <c r="A52" s="78" t="s">
        <v>83</v>
      </c>
      <c r="B52" s="79" t="s">
        <v>86</v>
      </c>
      <c r="C52" s="80" t="s">
        <v>4</v>
      </c>
      <c r="D52" s="79" t="s">
        <v>77</v>
      </c>
      <c r="E52" s="79"/>
      <c r="F52" s="79" t="s">
        <v>74</v>
      </c>
      <c r="G52" s="110"/>
      <c r="H52" s="7">
        <f>VC_NEW2!C22</f>
        <v>0</v>
      </c>
      <c r="I52" s="7">
        <f>VC_NEW2!D22</f>
        <v>0</v>
      </c>
      <c r="J52" s="7">
        <f>VC_NEW2!E22</f>
        <v>0</v>
      </c>
      <c r="K52" s="7">
        <f>VC_NEW2!F22</f>
        <v>0</v>
      </c>
      <c r="L52" s="7">
        <f>VC_NEW2!G22</f>
        <v>0</v>
      </c>
      <c r="M52" s="7">
        <f>VC_NEW2!H22</f>
        <v>0</v>
      </c>
      <c r="N52" s="7">
        <f>VC_NEW2!I22</f>
        <v>0</v>
      </c>
      <c r="O52" s="7">
        <f>VC_NEW2!J22</f>
        <v>0</v>
      </c>
      <c r="P52" s="7">
        <f>VC_NEW2!K22</f>
        <v>0</v>
      </c>
      <c r="Q52" s="7">
        <f>VC_NEW2!L22</f>
        <v>0</v>
      </c>
      <c r="R52" s="7">
        <f>VC_NEW2!M22</f>
        <v>0</v>
      </c>
      <c r="S52" s="7">
        <f>VC_NEW2!N22</f>
        <v>0</v>
      </c>
      <c r="T52" s="7">
        <f>VC_NEW2!O22</f>
        <v>0</v>
      </c>
      <c r="U52" s="7">
        <f>VC_NEW2!P22</f>
        <v>0</v>
      </c>
      <c r="V52" s="7">
        <f>VC_NEW2!Q22</f>
        <v>0</v>
      </c>
      <c r="W52" s="7">
        <f>VC_NEW2!R22</f>
        <v>0</v>
      </c>
      <c r="X52" s="7">
        <f>VC_NEW2!S22</f>
        <v>0</v>
      </c>
      <c r="Y52" s="7">
        <f>VC_NEW2!T22</f>
        <v>0</v>
      </c>
      <c r="Z52" s="7">
        <f>VC_NEW2!U22</f>
        <v>0</v>
      </c>
      <c r="AA52" s="7">
        <f>VC_NEW2!V22</f>
        <v>0</v>
      </c>
      <c r="AB52" s="7">
        <f>VC_NEW2!W22</f>
        <v>0</v>
      </c>
      <c r="AC52" s="7">
        <f>VC_NEW2!X22</f>
        <v>0</v>
      </c>
      <c r="AD52" s="7">
        <f>VC_NEW2!Y22</f>
        <v>0</v>
      </c>
      <c r="AE52" s="7">
        <f>VC_NEW2!Z22</f>
        <v>0</v>
      </c>
      <c r="AF52" s="7">
        <f>VC_NEW2!AA22</f>
        <v>0</v>
      </c>
      <c r="AG52" s="7">
        <f>VC_NEW2!AB22</f>
        <v>0</v>
      </c>
      <c r="AH52" s="7">
        <f>VC_NEW2!AC22</f>
        <v>0</v>
      </c>
      <c r="AI52" s="7">
        <f>VC_NEW2!AD22</f>
        <v>0</v>
      </c>
      <c r="AJ52" s="7">
        <f>VC_NEW2!AE22</f>
        <v>0</v>
      </c>
      <c r="AK52" s="7">
        <f>VC_NEW2!AF22</f>
        <v>0</v>
      </c>
      <c r="AL52" s="7" t="str">
        <f>VC_NEW2!AG22</f>
        <v>Q363R</v>
      </c>
      <c r="AM52" s="7">
        <f>VC_NEW2!AH22</f>
        <v>0</v>
      </c>
      <c r="AN52" s="7">
        <f>VC_NEW2!AI22</f>
        <v>0</v>
      </c>
      <c r="AO52" s="7">
        <f>VC_NEW2!AJ22</f>
        <v>0</v>
      </c>
      <c r="AP52" s="7">
        <f>VC_NEW2!AK22</f>
        <v>0</v>
      </c>
      <c r="AQ52" s="7">
        <f>VC_NEW2!AL22</f>
        <v>0</v>
      </c>
      <c r="AR52" s="7">
        <f>VC_NEW2!AM22</f>
        <v>0</v>
      </c>
      <c r="AS52" s="7">
        <f>VC_NEW2!AN22</f>
        <v>0</v>
      </c>
      <c r="AT52" s="7">
        <f>VC_NEW2!AO22</f>
        <v>0</v>
      </c>
      <c r="AU52" s="7">
        <f>VC_NEW2!AP22</f>
        <v>0</v>
      </c>
      <c r="AV52" s="7">
        <f>VC_NEW2!AQ22</f>
        <v>0</v>
      </c>
      <c r="AW52" s="7">
        <f>VC_NEW2!AR22</f>
        <v>0</v>
      </c>
      <c r="AX52" s="7" t="str">
        <f>VC_NEW2!AS22</f>
        <v>G1056D</v>
      </c>
      <c r="AY52" s="7">
        <f>VC_NEW2!AT22</f>
        <v>0</v>
      </c>
      <c r="AZ52" s="7">
        <f>VC_NEW2!AU22</f>
        <v>0</v>
      </c>
      <c r="BA52" s="7">
        <f>VC_NEW2!AV22</f>
        <v>0</v>
      </c>
      <c r="BB52" s="7">
        <f>VC_NEW2!AW22</f>
        <v>0</v>
      </c>
      <c r="BC52" s="7">
        <f>VC_NEW2!AX22</f>
        <v>0</v>
      </c>
      <c r="BD52" s="7">
        <f>VC_NEW2!AY22</f>
        <v>0</v>
      </c>
      <c r="BE52" s="7">
        <f>VC_NEW2!AZ22</f>
        <v>0</v>
      </c>
      <c r="BF52" s="7">
        <f>VC_NEW2!BA22</f>
        <v>0</v>
      </c>
      <c r="BG52" s="7">
        <f>VC_NEW2!BB22</f>
        <v>0</v>
      </c>
      <c r="BH52" s="7">
        <f>VC_NEW2!BC22</f>
        <v>0</v>
      </c>
      <c r="BI52" s="7">
        <f>VC_NEW2!BD22</f>
        <v>0</v>
      </c>
      <c r="BJ52" s="7">
        <f>VC_NEW2!BE22</f>
        <v>0</v>
      </c>
      <c r="BK52" s="7">
        <f>VC_NEW2!BF22</f>
        <v>0</v>
      </c>
      <c r="BL52" s="7" t="str">
        <f>VC_NEW2!BG22</f>
        <v>A1062T</v>
      </c>
      <c r="BM52" s="7">
        <f>VC_NEW2!BH22</f>
        <v>0</v>
      </c>
      <c r="BN52" s="7">
        <f>VC_NEW2!BI22</f>
        <v>0</v>
      </c>
      <c r="BO52" s="7">
        <f>VC_NEW2!BJ22</f>
        <v>0</v>
      </c>
      <c r="BP52" s="7">
        <f>VC_NEW2!BK22</f>
        <v>0</v>
      </c>
      <c r="BQ52" s="7">
        <f>VC_NEW2!BL22</f>
        <v>0</v>
      </c>
      <c r="BR52" s="7">
        <f>VC_NEW2!BM22</f>
        <v>0</v>
      </c>
      <c r="BS52" s="7">
        <f>VC_NEW2!BN22</f>
        <v>0</v>
      </c>
      <c r="BT52" s="7">
        <f>VC_NEW2!BO22</f>
        <v>0</v>
      </c>
      <c r="BU52" s="7">
        <f>VC_NEW2!BP22</f>
        <v>0</v>
      </c>
      <c r="BV52" s="7">
        <f>VC_NEW2!BQ22</f>
        <v>0</v>
      </c>
      <c r="BW52" s="7">
        <f>VC_NEW2!BR22</f>
        <v>0</v>
      </c>
      <c r="BX52" s="7">
        <f>VC_NEW2!BS22</f>
        <v>0</v>
      </c>
      <c r="BY52" s="7">
        <f>VC_NEW2!BT22</f>
        <v>0</v>
      </c>
      <c r="BZ52" s="7">
        <f>VC_NEW2!BU22</f>
        <v>0</v>
      </c>
      <c r="CA52" s="7">
        <f>VC_NEW2!BV22</f>
        <v>0</v>
      </c>
      <c r="CB52" s="7">
        <f>VC_NEW2!BW22</f>
        <v>0</v>
      </c>
      <c r="CC52" s="7">
        <f>VC_NEW2!BX22</f>
        <v>0</v>
      </c>
      <c r="CD52" s="7">
        <f>VC_NEW2!BY22</f>
        <v>0</v>
      </c>
      <c r="CE52" s="7">
        <f>VC_NEW2!BZ22</f>
        <v>0</v>
      </c>
      <c r="CF52" s="7">
        <f>VC_NEW2!CA22</f>
        <v>0</v>
      </c>
      <c r="CG52" s="7">
        <f>VC_NEW2!CB22</f>
        <v>0</v>
      </c>
      <c r="CH52" s="7">
        <f>VC_NEW2!CC22</f>
        <v>0</v>
      </c>
      <c r="CI52" s="7">
        <f>VC_NEW2!CD22</f>
        <v>0</v>
      </c>
      <c r="CJ52" s="7">
        <f>VC_NEW2!CE22</f>
        <v>0</v>
      </c>
      <c r="CK52" s="7">
        <f>VC_NEW2!CF22</f>
        <v>0</v>
      </c>
      <c r="CL52" s="7">
        <f>VC_NEW2!CG22</f>
        <v>0</v>
      </c>
      <c r="CM52" s="7">
        <f>VC_NEW2!CH22</f>
        <v>0</v>
      </c>
      <c r="CN52" s="7">
        <f>VC_NEW2!CI22</f>
        <v>0</v>
      </c>
      <c r="CO52" s="7">
        <f>VC_NEW2!CJ22</f>
        <v>0</v>
      </c>
      <c r="CP52" s="7">
        <f>VC_NEW2!CK22</f>
        <v>0</v>
      </c>
      <c r="CQ52" s="7">
        <f>VC_NEW2!CL22</f>
        <v>0</v>
      </c>
      <c r="CR52" s="7">
        <f>VC_NEW2!CM22</f>
        <v>0</v>
      </c>
      <c r="CS52" s="7">
        <f>VC_NEW2!CN22</f>
        <v>0</v>
      </c>
      <c r="CT52" s="7">
        <f>VC_NEW2!CO22</f>
        <v>0</v>
      </c>
      <c r="CU52" s="7">
        <f>VC_NEW2!CP22</f>
        <v>0</v>
      </c>
      <c r="CV52" s="7">
        <f>VC_NEW2!CQ22</f>
        <v>0</v>
      </c>
      <c r="CW52" s="7">
        <f>VC_NEW2!CR22</f>
        <v>0</v>
      </c>
      <c r="CX52" s="7">
        <f>VC_NEW2!CS22</f>
        <v>0</v>
      </c>
      <c r="CY52" s="7">
        <f>VC_NEW2!CT22</f>
        <v>0</v>
      </c>
      <c r="CZ52" s="7">
        <f>VC_NEW2!CU22</f>
        <v>0</v>
      </c>
      <c r="DA52" s="7">
        <f>VC_NEW2!CV22</f>
        <v>0</v>
      </c>
      <c r="DB52" s="7">
        <f>VC_NEW2!CW22</f>
        <v>0</v>
      </c>
      <c r="DC52" s="7">
        <f>VC_NEW2!CX22</f>
        <v>0</v>
      </c>
      <c r="DD52" s="7">
        <f>VC_NEW2!CY22</f>
        <v>0</v>
      </c>
      <c r="DE52" s="7">
        <f>VC_NEW2!CZ22</f>
        <v>0</v>
      </c>
      <c r="DF52" s="7">
        <f>VC_NEW2!DA22</f>
        <v>0</v>
      </c>
      <c r="DG52" s="7">
        <f>VC_NEW2!DB22</f>
        <v>0</v>
      </c>
      <c r="DH52" s="7" t="str">
        <f>VC_NEW2!DC22</f>
        <v>S510L</v>
      </c>
      <c r="DI52" s="7">
        <f>VC_NEW2!DD22</f>
        <v>0</v>
      </c>
      <c r="DJ52" s="7">
        <f>VC_NEW2!DE22</f>
        <v>0</v>
      </c>
      <c r="DK52" s="7">
        <f>VC_NEW2!DF22</f>
        <v>0</v>
      </c>
      <c r="DL52" s="7">
        <f>VC_NEW2!DG22</f>
        <v>0</v>
      </c>
      <c r="DM52" s="7">
        <f>VC_NEW2!DH22</f>
        <v>0</v>
      </c>
      <c r="DN52" s="7">
        <f>VC_NEW2!DI22</f>
        <v>0</v>
      </c>
      <c r="DO52" s="7">
        <f>VC_NEW2!DJ22</f>
        <v>0</v>
      </c>
      <c r="DP52" s="7">
        <f>VC_NEW2!DK22</f>
        <v>0</v>
      </c>
      <c r="DQ52" s="7">
        <f>VC_NEW2!DL22</f>
        <v>0</v>
      </c>
      <c r="DR52" s="7">
        <f>VC_NEW2!DM22</f>
        <v>0</v>
      </c>
      <c r="DS52" s="7">
        <f>VC_NEW2!DN22</f>
        <v>0</v>
      </c>
      <c r="DT52" s="7">
        <f>VC_NEW2!DO22</f>
        <v>0</v>
      </c>
      <c r="DU52" s="7">
        <f>VC_NEW2!DP22</f>
        <v>0</v>
      </c>
      <c r="DV52" s="7">
        <f>VC_NEW2!DQ22</f>
        <v>0</v>
      </c>
      <c r="DW52" s="7">
        <f>VC_NEW2!DR22</f>
        <v>0</v>
      </c>
      <c r="DX52" s="7">
        <f>VC_NEW2!DS22</f>
        <v>0</v>
      </c>
      <c r="DY52" s="7">
        <f>VC_NEW2!DT22</f>
        <v>0</v>
      </c>
      <c r="DZ52" s="7">
        <f>VC_NEW2!DU22</f>
        <v>0</v>
      </c>
      <c r="EA52" s="7">
        <f>VC_NEW2!DV22</f>
        <v>0</v>
      </c>
      <c r="EB52" s="7">
        <f>VC_NEW2!DW22</f>
        <v>0</v>
      </c>
      <c r="EC52" s="7" t="str">
        <f>VC_NEW2!DX22</f>
        <v>I753V</v>
      </c>
      <c r="ED52" s="7" t="str">
        <f>VC_NEW2!DY22</f>
        <v>A598S</v>
      </c>
      <c r="EE52" s="7">
        <f>VC_NEW2!DZ22</f>
        <v>0</v>
      </c>
      <c r="EF52" s="7">
        <f>VC_NEW2!EA22</f>
        <v>0</v>
      </c>
      <c r="EG52" s="7" t="str">
        <f>VC_NEW2!EB22</f>
        <v>T95I</v>
      </c>
      <c r="EH52" s="7" t="str">
        <f>VC_NEW2!EC22</f>
        <v>A550V</v>
      </c>
      <c r="EI52" s="7">
        <f>VC_NEW2!ED22</f>
        <v>0</v>
      </c>
      <c r="EJ52" s="7">
        <f>VC_NEW2!EE22</f>
        <v>0</v>
      </c>
      <c r="EK52" s="7">
        <f>VC_NEW2!EF22</f>
        <v>0</v>
      </c>
      <c r="EL52" s="7">
        <f>VC_NEW2!EG22</f>
        <v>0</v>
      </c>
      <c r="EM52" s="7">
        <f>VC_NEW2!EH22</f>
        <v>0</v>
      </c>
      <c r="EN52" s="7">
        <f>VC_NEW2!EI22</f>
        <v>0</v>
      </c>
      <c r="EO52" s="7">
        <f>VC_NEW2!EJ22</f>
        <v>0</v>
      </c>
      <c r="EP52" s="7">
        <f>VC_NEW2!EK22</f>
        <v>0</v>
      </c>
      <c r="EQ52" s="7">
        <f>VC_NEW2!EL22</f>
        <v>0</v>
      </c>
      <c r="ER52" s="7">
        <f>VC_NEW2!EM22</f>
        <v>0</v>
      </c>
      <c r="ES52" s="7">
        <f>VC_NEW2!EN22</f>
        <v>0</v>
      </c>
      <c r="ET52" s="7">
        <f>VC_NEW2!EO22</f>
        <v>0</v>
      </c>
      <c r="EU52" s="7">
        <f>VC_NEW2!EP22</f>
        <v>0</v>
      </c>
      <c r="EV52" s="7" t="str">
        <f>VC_NEW2!EQ22</f>
        <v>DELETED</v>
      </c>
      <c r="EW52" s="7" t="str">
        <f>VC_NEW2!ER22</f>
        <v>A256T, N276S, T713A</v>
      </c>
      <c r="EX52" s="7">
        <f>VC_NEW2!ES22</f>
        <v>0</v>
      </c>
      <c r="EY52" s="7">
        <f>VC_NEW2!ET22</f>
        <v>0</v>
      </c>
      <c r="EZ52" s="7">
        <f>VC_NEW2!EU22</f>
        <v>0</v>
      </c>
      <c r="FA52" s="7">
        <f>VC_NEW2!EV22</f>
        <v>0</v>
      </c>
      <c r="FB52" s="7">
        <f>VC_NEW2!EW22</f>
        <v>0</v>
      </c>
      <c r="FC52" s="7">
        <f>VC_NEW2!EX22</f>
        <v>0</v>
      </c>
      <c r="FD52" s="7">
        <f>VC_NEW2!EY22</f>
        <v>0</v>
      </c>
      <c r="FE52" s="7">
        <f>VC_NEW2!EZ22</f>
        <v>0</v>
      </c>
      <c r="FF52" s="7">
        <f>VC_NEW2!FA22</f>
        <v>0</v>
      </c>
      <c r="FG52" s="7">
        <f>VC_NEW2!FB22</f>
        <v>0</v>
      </c>
      <c r="FH52" s="7">
        <f>VC_NEW2!FC22</f>
        <v>0</v>
      </c>
      <c r="FI52" s="7">
        <f>VC_NEW2!FD22</f>
        <v>0</v>
      </c>
      <c r="FJ52" s="7">
        <f>VC_NEW2!FE22</f>
        <v>0</v>
      </c>
      <c r="FK52" s="7">
        <f>VC_NEW2!FF22</f>
        <v>0</v>
      </c>
      <c r="FL52" s="7">
        <f>VC_NEW2!FG22</f>
        <v>0</v>
      </c>
      <c r="FM52" s="7">
        <f>VC_NEW2!FH22</f>
        <v>0</v>
      </c>
      <c r="FN52" s="7">
        <f>VC_NEW2!FI22</f>
        <v>0</v>
      </c>
      <c r="FO52" s="7">
        <f>VC_NEW2!FJ22</f>
        <v>0</v>
      </c>
      <c r="FP52" s="7">
        <f>VC_NEW2!FK22</f>
        <v>0</v>
      </c>
      <c r="FQ52" s="7">
        <f>VC_NEW2!FL22</f>
        <v>0</v>
      </c>
      <c r="FR52" s="7">
        <f>VC_NEW2!FM22</f>
        <v>0</v>
      </c>
      <c r="FS52" s="7">
        <f>VC_NEW2!FN22</f>
        <v>0</v>
      </c>
      <c r="FT52" s="7">
        <f>VC_NEW2!FO22</f>
        <v>0</v>
      </c>
      <c r="FU52" s="7">
        <f>VC_NEW2!FP22</f>
        <v>0</v>
      </c>
      <c r="FV52" s="7">
        <f>VC_NEW2!FQ22</f>
        <v>0</v>
      </c>
      <c r="FW52" s="7" t="str">
        <f>VC_NEW2!FR22</f>
        <v>A842T</v>
      </c>
      <c r="FX52" s="7">
        <f>VC_NEW2!FS22</f>
        <v>0</v>
      </c>
      <c r="FY52" s="7">
        <f>VC_NEW2!FT22</f>
        <v>0</v>
      </c>
      <c r="FZ52" s="7">
        <f>VC_NEW2!FU22</f>
        <v>0</v>
      </c>
      <c r="GA52" s="7">
        <f>VC_NEW2!FV22</f>
        <v>0</v>
      </c>
      <c r="GB52" s="7">
        <f>VC_NEW2!FW22</f>
        <v>0</v>
      </c>
      <c r="GC52" s="7">
        <f>VC_NEW2!FX22</f>
        <v>0</v>
      </c>
      <c r="GD52" s="7">
        <f>VC_NEW2!FY22</f>
        <v>0</v>
      </c>
      <c r="GE52" s="7">
        <f>VC_NEW2!FZ22</f>
        <v>0</v>
      </c>
      <c r="GF52" s="7" t="str">
        <f>VC_NEW2!GA22</f>
        <v>D669G</v>
      </c>
      <c r="GG52" s="7">
        <f>VC_NEW2!GB22</f>
        <v>0</v>
      </c>
      <c r="GH52" s="7">
        <f>VC_NEW2!GC22</f>
        <v>0</v>
      </c>
      <c r="GI52" s="7" t="str">
        <f>VC_NEW2!GD22</f>
        <v>D669G</v>
      </c>
      <c r="GJ52" s="7">
        <f>VC_NEW2!GE22</f>
        <v>0</v>
      </c>
      <c r="GK52" s="7">
        <f>VC_NEW2!GF22</f>
        <v>0</v>
      </c>
      <c r="GL52" s="7">
        <f>VC_NEW2!GG22</f>
        <v>0</v>
      </c>
      <c r="GM52" s="7">
        <f>VC_NEW2!GH22</f>
        <v>0</v>
      </c>
      <c r="GN52" s="7">
        <f>VC_NEW2!GI22</f>
        <v>0</v>
      </c>
      <c r="GO52" s="7">
        <f>VC_NEW2!GJ22</f>
        <v>0</v>
      </c>
      <c r="GP52" s="7">
        <f>VC_NEW2!GK22</f>
        <v>0</v>
      </c>
      <c r="GQ52" s="7">
        <f>VC_NEW2!GL22</f>
        <v>0</v>
      </c>
      <c r="GR52" s="7">
        <f>VC_NEW2!GM22</f>
        <v>0</v>
      </c>
      <c r="GS52" s="7">
        <f>VC_NEW2!GN22</f>
        <v>0</v>
      </c>
      <c r="GT52" s="7">
        <f>VC_NEW2!GO22</f>
        <v>0</v>
      </c>
      <c r="GU52" s="7">
        <f>VC_NEW2!GP22</f>
        <v>0</v>
      </c>
      <c r="GV52" s="7">
        <f>VC_NEW2!GQ22</f>
        <v>0</v>
      </c>
      <c r="GW52" s="7">
        <f>VC_NEW2!GR22</f>
        <v>0</v>
      </c>
      <c r="GX52" s="7">
        <f>VC_NEW2!GS22</f>
        <v>0</v>
      </c>
      <c r="GY52" s="7">
        <f>VC_NEW2!GT22</f>
        <v>0</v>
      </c>
      <c r="GZ52" s="7">
        <f>VC_NEW2!GU22</f>
        <v>0</v>
      </c>
      <c r="HA52" s="7">
        <f>VC_NEW2!GV22</f>
        <v>0</v>
      </c>
      <c r="HB52" s="7">
        <f>VC_NEW2!GW22</f>
        <v>0</v>
      </c>
      <c r="HC52" s="7">
        <f>VC_NEW2!GX22</f>
        <v>0</v>
      </c>
    </row>
    <row r="53" spans="1:211" s="1" customFormat="1" ht="15.75" hidden="1" customHeight="1" thickBot="1" x14ac:dyDescent="0.3">
      <c r="A53" s="81" t="s">
        <v>84</v>
      </c>
      <c r="B53" s="82" t="s">
        <v>87</v>
      </c>
      <c r="C53" s="83" t="s">
        <v>4</v>
      </c>
      <c r="D53" s="82" t="s">
        <v>77</v>
      </c>
      <c r="E53" s="82"/>
      <c r="F53" s="82" t="s">
        <v>74</v>
      </c>
      <c r="G53" s="111"/>
      <c r="H53" s="1" t="str">
        <f>VC_NEW2!C23</f>
        <v xml:space="preserve">A12T </v>
      </c>
      <c r="I53" s="1">
        <f>VC_NEW2!D23</f>
        <v>0</v>
      </c>
      <c r="J53" s="1">
        <f>VC_NEW2!E23</f>
        <v>0</v>
      </c>
      <c r="K53" s="1">
        <f>VC_NEW2!F23</f>
        <v>0</v>
      </c>
      <c r="L53" s="1">
        <f>VC_NEW2!G23</f>
        <v>0</v>
      </c>
      <c r="M53" s="1">
        <f>VC_NEW2!H23</f>
        <v>0</v>
      </c>
      <c r="N53" s="1">
        <f>VC_NEW2!I23</f>
        <v>0</v>
      </c>
      <c r="O53" s="1">
        <f>VC_NEW2!J23</f>
        <v>0</v>
      </c>
      <c r="P53" s="1">
        <f>VC_NEW2!K23</f>
        <v>0</v>
      </c>
      <c r="Q53" s="1" t="str">
        <f>VC_NEW2!L23</f>
        <v>A228V</v>
      </c>
      <c r="R53" s="1">
        <f>VC_NEW2!M23</f>
        <v>0</v>
      </c>
      <c r="S53" s="1">
        <f>VC_NEW2!N23</f>
        <v>0</v>
      </c>
      <c r="T53" s="1">
        <f>VC_NEW2!O23</f>
        <v>0</v>
      </c>
      <c r="U53" s="1">
        <f>VC_NEW2!P23</f>
        <v>0</v>
      </c>
      <c r="V53" s="1">
        <f>VC_NEW2!Q23</f>
        <v>0</v>
      </c>
      <c r="W53" s="1">
        <f>VC_NEW2!R23</f>
        <v>0</v>
      </c>
      <c r="X53" s="1">
        <f>VC_NEW2!S23</f>
        <v>0</v>
      </c>
      <c r="Y53" s="1">
        <f>VC_NEW2!T23</f>
        <v>0</v>
      </c>
      <c r="Z53" s="1">
        <f>VC_NEW2!U23</f>
        <v>0</v>
      </c>
      <c r="AA53" s="1">
        <f>VC_NEW2!V23</f>
        <v>0</v>
      </c>
      <c r="AB53" s="1">
        <f>VC_NEW2!W23</f>
        <v>0</v>
      </c>
      <c r="AC53" s="1">
        <f>VC_NEW2!X23</f>
        <v>0</v>
      </c>
      <c r="AD53" s="1">
        <f>VC_NEW2!Y23</f>
        <v>0</v>
      </c>
      <c r="AE53" s="1">
        <f>VC_NEW2!Z23</f>
        <v>0</v>
      </c>
      <c r="AF53" s="1">
        <f>VC_NEW2!AA23</f>
        <v>0</v>
      </c>
      <c r="AG53" s="1">
        <f>VC_NEW2!AB23</f>
        <v>0</v>
      </c>
      <c r="AH53" s="1" t="str">
        <f>VC_NEW2!AC23</f>
        <v xml:space="preserve"> R363H</v>
      </c>
      <c r="AI53" s="1">
        <f>VC_NEW2!AD23</f>
        <v>0</v>
      </c>
      <c r="AJ53" s="1">
        <f>VC_NEW2!AE23</f>
        <v>0</v>
      </c>
      <c r="AK53" s="1">
        <f>VC_NEW2!AF23</f>
        <v>0</v>
      </c>
      <c r="AL53" s="1">
        <f>VC_NEW2!AG23</f>
        <v>0</v>
      </c>
      <c r="AM53" s="1">
        <f>VC_NEW2!AH23</f>
        <v>0</v>
      </c>
      <c r="AN53" s="1">
        <f>VC_NEW2!AI23</f>
        <v>0</v>
      </c>
      <c r="AO53" s="1">
        <f>VC_NEW2!AJ23</f>
        <v>0</v>
      </c>
      <c r="AP53" s="1" t="str">
        <f>VC_NEW2!AK23</f>
        <v>R151L</v>
      </c>
      <c r="AQ53" s="1">
        <f>VC_NEW2!AL23</f>
        <v>0</v>
      </c>
      <c r="AR53" s="1">
        <f>VC_NEW2!AM23</f>
        <v>0</v>
      </c>
      <c r="AS53" s="1">
        <f>VC_NEW2!AN23</f>
        <v>0</v>
      </c>
      <c r="AT53" s="1">
        <f>VC_NEW2!AO23</f>
        <v>0</v>
      </c>
      <c r="AU53" s="1">
        <f>VC_NEW2!AP23</f>
        <v>0</v>
      </c>
      <c r="AV53" s="1">
        <f>VC_NEW2!AQ23</f>
        <v>0</v>
      </c>
      <c r="AW53" s="1">
        <f>VC_NEW2!AR23</f>
        <v>0</v>
      </c>
      <c r="AX53" s="1" t="str">
        <f>VC_NEW2!AS23</f>
        <v>D102N</v>
      </c>
      <c r="AY53" s="1">
        <f>VC_NEW2!AT23</f>
        <v>0</v>
      </c>
      <c r="AZ53" s="1">
        <f>VC_NEW2!AU23</f>
        <v>0</v>
      </c>
      <c r="BA53" s="1">
        <f>VC_NEW2!AV23</f>
        <v>0</v>
      </c>
      <c r="BB53" s="1">
        <f>VC_NEW2!AW23</f>
        <v>0</v>
      </c>
      <c r="BC53" s="1">
        <f>VC_NEW2!AX23</f>
        <v>0</v>
      </c>
      <c r="BD53" s="1">
        <f>VC_NEW2!AY23</f>
        <v>0</v>
      </c>
      <c r="BE53" s="1">
        <f>VC_NEW2!AZ23</f>
        <v>0</v>
      </c>
      <c r="BF53" s="1" t="str">
        <f>VC_NEW2!BA23</f>
        <v>R455H</v>
      </c>
      <c r="BG53" s="1">
        <f>VC_NEW2!BB23</f>
        <v>0</v>
      </c>
      <c r="BH53" s="1" t="str">
        <f>VC_NEW2!BC23</f>
        <v xml:space="preserve"> G364S</v>
      </c>
      <c r="BI53" s="1">
        <f>VC_NEW2!BD23</f>
        <v>0</v>
      </c>
      <c r="BJ53" s="1">
        <f>VC_NEW2!BE23</f>
        <v>0</v>
      </c>
      <c r="BK53" s="1">
        <f>VC_NEW2!BF23</f>
        <v>0</v>
      </c>
      <c r="BL53" s="1">
        <f>VC_NEW2!BG23</f>
        <v>0</v>
      </c>
      <c r="BM53" s="1">
        <f>VC_NEW2!BH23</f>
        <v>0</v>
      </c>
      <c r="BN53" s="1">
        <f>VC_NEW2!BI23</f>
        <v>0</v>
      </c>
      <c r="BO53" s="1">
        <f>VC_NEW2!BJ23</f>
        <v>0</v>
      </c>
      <c r="BP53" s="1">
        <f>VC_NEW2!BK23</f>
        <v>0</v>
      </c>
      <c r="BQ53" s="1">
        <f>VC_NEW2!BL23</f>
        <v>0</v>
      </c>
      <c r="BR53" s="1">
        <f>VC_NEW2!BM23</f>
        <v>0</v>
      </c>
      <c r="BS53" s="1">
        <f>VC_NEW2!BN23</f>
        <v>0</v>
      </c>
      <c r="BT53" s="1">
        <f>VC_NEW2!BO23</f>
        <v>0</v>
      </c>
      <c r="BU53" s="1">
        <f>VC_NEW2!BP23</f>
        <v>0</v>
      </c>
      <c r="BV53" s="1">
        <f>VC_NEW2!BQ23</f>
        <v>0</v>
      </c>
      <c r="BW53" s="1">
        <f>VC_NEW2!BR23</f>
        <v>0</v>
      </c>
      <c r="BX53" s="1">
        <f>VC_NEW2!BS23</f>
        <v>0</v>
      </c>
      <c r="BY53" s="1">
        <f>VC_NEW2!BT23</f>
        <v>0</v>
      </c>
      <c r="BZ53" s="1">
        <f>VC_NEW2!BU23</f>
        <v>0</v>
      </c>
      <c r="CA53" s="1">
        <f>VC_NEW2!BV23</f>
        <v>0</v>
      </c>
      <c r="CB53" s="1">
        <f>VC_NEW2!BW23</f>
        <v>0</v>
      </c>
      <c r="CC53" s="1">
        <f>VC_NEW2!BX23</f>
        <v>0</v>
      </c>
      <c r="CD53" s="1">
        <f>VC_NEW2!BY23</f>
        <v>0</v>
      </c>
      <c r="CE53" s="1">
        <f>VC_NEW2!BZ23</f>
        <v>0</v>
      </c>
      <c r="CF53" s="1">
        <f>VC_NEW2!CA23</f>
        <v>0</v>
      </c>
      <c r="CG53" s="1">
        <f>VC_NEW2!CB23</f>
        <v>0</v>
      </c>
      <c r="CH53" s="1">
        <f>VC_NEW2!CC23</f>
        <v>0</v>
      </c>
      <c r="CI53" s="1">
        <f>VC_NEW2!CD23</f>
        <v>0</v>
      </c>
      <c r="CJ53" s="1">
        <f>VC_NEW2!CE23</f>
        <v>0</v>
      </c>
      <c r="CK53" s="1">
        <f>VC_NEW2!CF23</f>
        <v>0</v>
      </c>
      <c r="CL53" s="1">
        <f>VC_NEW2!CG23</f>
        <v>0</v>
      </c>
      <c r="CM53" s="1">
        <f>VC_NEW2!CH23</f>
        <v>0</v>
      </c>
      <c r="CN53" s="1">
        <f>VC_NEW2!CI23</f>
        <v>0</v>
      </c>
      <c r="CO53" s="1" t="str">
        <f>VC_NEW2!CJ23</f>
        <v xml:space="preserve"> T27A </v>
      </c>
      <c r="CP53" s="1">
        <f>VC_NEW2!CK23</f>
        <v>0</v>
      </c>
      <c r="CQ53" s="1">
        <f>VC_NEW2!CL23</f>
        <v>0</v>
      </c>
      <c r="CR53" s="1" t="str">
        <f>VC_NEW2!CM23</f>
        <v xml:space="preserve"> P35L</v>
      </c>
      <c r="CS53" s="1">
        <f>VC_NEW2!CN23</f>
        <v>0</v>
      </c>
      <c r="CT53" s="1">
        <f>VC_NEW2!CO23</f>
        <v>0</v>
      </c>
      <c r="CU53" s="1">
        <f>VC_NEW2!CP23</f>
        <v>0</v>
      </c>
      <c r="CV53" s="1">
        <f>VC_NEW2!CQ23</f>
        <v>0</v>
      </c>
      <c r="CW53" s="1">
        <f>VC_NEW2!CR23</f>
        <v>0</v>
      </c>
      <c r="CX53" s="1">
        <f>VC_NEW2!CS23</f>
        <v>0</v>
      </c>
      <c r="CY53" s="1">
        <f>VC_NEW2!CT23</f>
        <v>0</v>
      </c>
      <c r="CZ53" s="1">
        <f>VC_NEW2!CU23</f>
        <v>0</v>
      </c>
      <c r="DA53" s="1">
        <f>VC_NEW2!CV23</f>
        <v>0</v>
      </c>
      <c r="DB53" s="1">
        <f>VC_NEW2!CW23</f>
        <v>0</v>
      </c>
      <c r="DC53" s="1">
        <f>VC_NEW2!CX23</f>
        <v>0</v>
      </c>
      <c r="DD53" s="1">
        <f>VC_NEW2!CY23</f>
        <v>0</v>
      </c>
      <c r="DE53" s="1">
        <f>VC_NEW2!CZ23</f>
        <v>0</v>
      </c>
      <c r="DF53" s="1">
        <f>VC_NEW2!DA23</f>
        <v>0</v>
      </c>
      <c r="DG53" s="1">
        <f>VC_NEW2!DB23</f>
        <v>0</v>
      </c>
      <c r="DH53" s="1" t="str">
        <f>VC_NEW2!DC23</f>
        <v xml:space="preserve">A12T </v>
      </c>
      <c r="DI53" s="1">
        <f>VC_NEW2!DD23</f>
        <v>0</v>
      </c>
      <c r="DJ53" s="1">
        <f>VC_NEW2!DE23</f>
        <v>0</v>
      </c>
      <c r="DK53" s="1">
        <f>VC_NEW2!DF23</f>
        <v>0</v>
      </c>
      <c r="DL53" s="1">
        <f>VC_NEW2!DG23</f>
        <v>0</v>
      </c>
      <c r="DM53" s="1">
        <f>VC_NEW2!DH23</f>
        <v>0</v>
      </c>
      <c r="DN53" s="1">
        <f>VC_NEW2!DI23</f>
        <v>0</v>
      </c>
      <c r="DO53" s="1">
        <f>VC_NEW2!DJ23</f>
        <v>0</v>
      </c>
      <c r="DP53" s="1" t="str">
        <f>VC_NEW2!DK23</f>
        <v>R151L</v>
      </c>
      <c r="DQ53" s="1">
        <f>VC_NEW2!DL23</f>
        <v>0</v>
      </c>
      <c r="DR53" s="1">
        <f>VC_NEW2!DM23</f>
        <v>0</v>
      </c>
      <c r="DS53" s="1" t="str">
        <f>VC_NEW2!DN23</f>
        <v xml:space="preserve"> A113S</v>
      </c>
      <c r="DT53" s="1">
        <f>VC_NEW2!DO23</f>
        <v>0</v>
      </c>
      <c r="DU53" s="1" t="str">
        <f>VC_NEW2!DP23</f>
        <v>P470S</v>
      </c>
      <c r="DV53" s="1">
        <f>VC_NEW2!DQ23</f>
        <v>0</v>
      </c>
      <c r="DW53" s="1">
        <f>VC_NEW2!DR23</f>
        <v>0</v>
      </c>
      <c r="DX53" s="1">
        <f>VC_NEW2!DS23</f>
        <v>0</v>
      </c>
      <c r="DY53" s="1">
        <f>VC_NEW2!DT23</f>
        <v>0</v>
      </c>
      <c r="DZ53" s="1">
        <f>VC_NEW2!DU23</f>
        <v>0</v>
      </c>
      <c r="EA53" s="1">
        <f>VC_NEW2!DV23</f>
        <v>0</v>
      </c>
      <c r="EB53" s="1">
        <f>VC_NEW2!DW23</f>
        <v>0</v>
      </c>
      <c r="EC53" s="1">
        <f>VC_NEW2!DX23</f>
        <v>0</v>
      </c>
      <c r="ED53" s="1">
        <f>VC_NEW2!DY23</f>
        <v>0</v>
      </c>
      <c r="EE53" s="1">
        <f>VC_NEW2!DZ23</f>
        <v>0</v>
      </c>
      <c r="EF53" s="1">
        <f>VC_NEW2!EA23</f>
        <v>0</v>
      </c>
      <c r="EG53" s="1">
        <f>VC_NEW2!EB23</f>
        <v>0</v>
      </c>
      <c r="EH53" s="1">
        <f>VC_NEW2!EC23</f>
        <v>0</v>
      </c>
      <c r="EI53" s="1">
        <f>VC_NEW2!ED23</f>
        <v>0</v>
      </c>
      <c r="EJ53" s="1">
        <f>VC_NEW2!EE23</f>
        <v>0</v>
      </c>
      <c r="EK53" s="1" t="str">
        <f>VC_NEW2!EF23</f>
        <v xml:space="preserve">A12T </v>
      </c>
      <c r="EL53" s="1">
        <f>VC_NEW2!EG23</f>
        <v>0</v>
      </c>
      <c r="EM53" s="1">
        <f>VC_NEW2!EH23</f>
        <v>0</v>
      </c>
      <c r="EN53" s="1">
        <f>VC_NEW2!EI23</f>
        <v>0</v>
      </c>
      <c r="EO53" s="1">
        <f>VC_NEW2!EJ23</f>
        <v>0</v>
      </c>
      <c r="EP53" s="1">
        <f>VC_NEW2!EK23</f>
        <v>0</v>
      </c>
      <c r="EQ53" s="1">
        <f>VC_NEW2!EL23</f>
        <v>0</v>
      </c>
      <c r="ER53" s="1">
        <f>VC_NEW2!EM23</f>
        <v>0</v>
      </c>
      <c r="ES53" s="1">
        <f>VC_NEW2!EN23</f>
        <v>0</v>
      </c>
      <c r="ET53" s="1">
        <f>VC_NEW2!EO23</f>
        <v>0</v>
      </c>
      <c r="EU53" s="1">
        <f>VC_NEW2!EP23</f>
        <v>0</v>
      </c>
      <c r="EV53" s="1" t="str">
        <f>VC_NEW2!EQ23</f>
        <v>DELETED</v>
      </c>
      <c r="EW53" s="1" t="str">
        <f>VC_NEW2!ER23</f>
        <v xml:space="preserve">S77T </v>
      </c>
      <c r="EX53" s="1">
        <f>VC_NEW2!ES23</f>
        <v>0</v>
      </c>
      <c r="EY53" s="1">
        <f>VC_NEW2!ET23</f>
        <v>0</v>
      </c>
      <c r="EZ53" s="1">
        <f>VC_NEW2!EU23</f>
        <v>0</v>
      </c>
      <c r="FA53" s="1">
        <f>VC_NEW2!EV23</f>
        <v>0</v>
      </c>
      <c r="FB53" s="1">
        <f>VC_NEW2!EW23</f>
        <v>0</v>
      </c>
      <c r="FC53" s="1">
        <f>VC_NEW2!EX23</f>
        <v>0</v>
      </c>
      <c r="FD53" s="1">
        <f>VC_NEW2!EY23</f>
        <v>0</v>
      </c>
      <c r="FE53" s="1">
        <f>VC_NEW2!EZ23</f>
        <v>0</v>
      </c>
      <c r="FF53" s="1">
        <f>VC_NEW2!FA23</f>
        <v>0</v>
      </c>
      <c r="FG53" s="1">
        <f>VC_NEW2!FB23</f>
        <v>0</v>
      </c>
      <c r="FH53" s="1">
        <f>VC_NEW2!FC23</f>
        <v>0</v>
      </c>
      <c r="FI53" s="1">
        <f>VC_NEW2!FD23</f>
        <v>0</v>
      </c>
      <c r="FJ53" s="1">
        <f>VC_NEW2!FE23</f>
        <v>0</v>
      </c>
      <c r="FK53" s="1">
        <f>VC_NEW2!FF23</f>
        <v>0</v>
      </c>
      <c r="FL53" s="1">
        <f>VC_NEW2!FG23</f>
        <v>0</v>
      </c>
      <c r="FM53" s="1">
        <f>VC_NEW2!FH23</f>
        <v>0</v>
      </c>
      <c r="FN53" s="1">
        <f>VC_NEW2!FI23</f>
        <v>0</v>
      </c>
      <c r="FO53" s="1">
        <f>VC_NEW2!FJ23</f>
        <v>0</v>
      </c>
      <c r="FP53" s="1">
        <f>VC_NEW2!FK23</f>
        <v>0</v>
      </c>
      <c r="FQ53" s="1">
        <f>VC_NEW2!FL23</f>
        <v>0</v>
      </c>
      <c r="FR53" s="1">
        <f>VC_NEW2!FM23</f>
        <v>0</v>
      </c>
      <c r="FS53" s="1">
        <f>VC_NEW2!FN23</f>
        <v>0</v>
      </c>
      <c r="FT53" s="1">
        <f>VC_NEW2!FO23</f>
        <v>0</v>
      </c>
      <c r="FU53" s="1">
        <f>VC_NEW2!FP23</f>
        <v>0</v>
      </c>
      <c r="FV53" s="1">
        <f>VC_NEW2!FQ23</f>
        <v>0</v>
      </c>
      <c r="FW53" s="1">
        <f>VC_NEW2!FR23</f>
        <v>0</v>
      </c>
      <c r="FX53" s="1">
        <f>VC_NEW2!FS23</f>
        <v>0</v>
      </c>
      <c r="FY53" s="1">
        <f>VC_NEW2!FT23</f>
        <v>0</v>
      </c>
      <c r="FZ53" s="1">
        <f>VC_NEW2!FU23</f>
        <v>0</v>
      </c>
      <c r="GA53" s="1">
        <f>VC_NEW2!FV23</f>
        <v>0</v>
      </c>
      <c r="GB53" s="1">
        <f>VC_NEW2!FW23</f>
        <v>0</v>
      </c>
      <c r="GC53" s="1">
        <f>VC_NEW2!FX23</f>
        <v>0</v>
      </c>
      <c r="GD53" s="1">
        <f>VC_NEW2!FY23</f>
        <v>0</v>
      </c>
      <c r="GE53" s="1" t="str">
        <f>VC_NEW2!FZ23</f>
        <v xml:space="preserve"> V172I</v>
      </c>
      <c r="GF53" s="1">
        <f>VC_NEW2!GA23</f>
        <v>0</v>
      </c>
      <c r="GG53" s="1">
        <f>VC_NEW2!GB23</f>
        <v>0</v>
      </c>
      <c r="GH53" s="1" t="str">
        <f>VC_NEW2!GC23</f>
        <v>D31V</v>
      </c>
      <c r="GI53" s="1">
        <f>VC_NEW2!GD23</f>
        <v>0</v>
      </c>
      <c r="GJ53" s="1">
        <f>VC_NEW2!GE23</f>
        <v>0</v>
      </c>
      <c r="GK53" s="1">
        <f>VC_NEW2!GF23</f>
        <v>0</v>
      </c>
      <c r="GL53" s="1">
        <f>VC_NEW2!GG23</f>
        <v>0</v>
      </c>
      <c r="GM53" s="1">
        <f>VC_NEW2!GH23</f>
        <v>0</v>
      </c>
      <c r="GN53" s="1">
        <f>VC_NEW2!GI23</f>
        <v>0</v>
      </c>
      <c r="GO53" s="1">
        <f>VC_NEW2!GJ23</f>
        <v>0</v>
      </c>
      <c r="GP53" s="1">
        <f>VC_NEW2!GK23</f>
        <v>0</v>
      </c>
      <c r="GQ53" s="1">
        <f>VC_NEW2!GL23</f>
        <v>0</v>
      </c>
      <c r="GR53" s="1" t="str">
        <f>VC_NEW2!GM23</f>
        <v xml:space="preserve"> A113S</v>
      </c>
      <c r="GS53" s="1">
        <f>VC_NEW2!GN23</f>
        <v>0</v>
      </c>
      <c r="GT53" s="1">
        <f>VC_NEW2!GO23</f>
        <v>0</v>
      </c>
      <c r="GU53" s="1">
        <f>VC_NEW2!GP23</f>
        <v>0</v>
      </c>
      <c r="GV53" s="1">
        <f>VC_NEW2!GQ23</f>
        <v>0</v>
      </c>
      <c r="GW53" s="1" t="str">
        <f>VC_NEW2!GR23</f>
        <v>D98E</v>
      </c>
      <c r="GX53" s="1">
        <f>VC_NEW2!GS23</f>
        <v>0</v>
      </c>
      <c r="GY53" s="1">
        <f>VC_NEW2!GT23</f>
        <v>0</v>
      </c>
      <c r="GZ53" s="1">
        <f>VC_NEW2!GU23</f>
        <v>0</v>
      </c>
      <c r="HA53" s="1">
        <f>VC_NEW2!GV23</f>
        <v>0</v>
      </c>
      <c r="HB53" s="1">
        <f>VC_NEW2!GW23</f>
        <v>0</v>
      </c>
      <c r="HC53" s="1">
        <f>VC_NEW2!GX23</f>
        <v>0</v>
      </c>
    </row>
    <row r="54" spans="1:211" s="7" customFormat="1" ht="15" hidden="1" customHeight="1" thickBot="1" x14ac:dyDescent="0.25">
      <c r="A54" s="30" t="s">
        <v>19</v>
      </c>
      <c r="B54" s="30" t="s">
        <v>79</v>
      </c>
      <c r="C54" s="31" t="s">
        <v>1</v>
      </c>
      <c r="D54" s="30" t="s">
        <v>76</v>
      </c>
      <c r="E54" s="30" t="s">
        <v>147</v>
      </c>
      <c r="F54" s="30" t="s">
        <v>74</v>
      </c>
      <c r="G54" s="30" t="s">
        <v>136</v>
      </c>
      <c r="H54" s="7">
        <f>VC_NEW2!C24</f>
        <v>0</v>
      </c>
      <c r="I54" s="7">
        <f>VC_NEW2!D24</f>
        <v>0</v>
      </c>
      <c r="J54" s="7">
        <f>VC_NEW2!E24</f>
        <v>0</v>
      </c>
      <c r="K54" s="7">
        <f>VC_NEW2!F24</f>
        <v>0</v>
      </c>
      <c r="L54" s="7">
        <f>VC_NEW2!G24</f>
        <v>0</v>
      </c>
      <c r="M54" s="7">
        <f>VC_NEW2!H24</f>
        <v>0</v>
      </c>
      <c r="N54" s="7">
        <f>VC_NEW2!I24</f>
        <v>0</v>
      </c>
      <c r="O54" s="7">
        <f>VC_NEW2!J24</f>
        <v>0</v>
      </c>
      <c r="P54" s="7">
        <f>VC_NEW2!K24</f>
        <v>0</v>
      </c>
      <c r="Q54" s="7">
        <f>VC_NEW2!L24</f>
        <v>0</v>
      </c>
      <c r="R54" s="7">
        <f>VC_NEW2!M24</f>
        <v>0</v>
      </c>
      <c r="S54" s="7">
        <f>VC_NEW2!N24</f>
        <v>0</v>
      </c>
      <c r="T54" s="7">
        <f>VC_NEW2!O24</f>
        <v>0</v>
      </c>
      <c r="U54" s="7">
        <f>VC_NEW2!P24</f>
        <v>0</v>
      </c>
      <c r="V54" s="7">
        <f>VC_NEW2!Q24</f>
        <v>0</v>
      </c>
      <c r="W54" s="7">
        <f>VC_NEW2!R24</f>
        <v>0</v>
      </c>
      <c r="X54" s="7">
        <f>VC_NEW2!S24</f>
        <v>0</v>
      </c>
      <c r="Y54" s="7">
        <f>VC_NEW2!T24</f>
        <v>0</v>
      </c>
      <c r="Z54" s="7">
        <f>VC_NEW2!U24</f>
        <v>0</v>
      </c>
      <c r="AA54" s="7">
        <f>VC_NEW2!V24</f>
        <v>0</v>
      </c>
      <c r="AB54" s="7">
        <f>VC_NEW2!W24</f>
        <v>0</v>
      </c>
      <c r="AC54" s="7">
        <f>VC_NEW2!X24</f>
        <v>0</v>
      </c>
      <c r="AD54" s="7">
        <f>VC_NEW2!Y24</f>
        <v>0</v>
      </c>
      <c r="AE54" s="7">
        <f>VC_NEW2!Z24</f>
        <v>0</v>
      </c>
      <c r="AF54" s="7">
        <f>VC_NEW2!AA24</f>
        <v>0</v>
      </c>
      <c r="AG54" s="7">
        <f>VC_NEW2!AB24</f>
        <v>0</v>
      </c>
      <c r="AH54" s="7">
        <f>VC_NEW2!AC24</f>
        <v>0</v>
      </c>
      <c r="AI54" s="7">
        <f>VC_NEW2!AD24</f>
        <v>0</v>
      </c>
      <c r="AJ54" s="7">
        <f>VC_NEW2!AE24</f>
        <v>0</v>
      </c>
      <c r="AK54" s="7">
        <f>VC_NEW2!AF24</f>
        <v>0</v>
      </c>
      <c r="AL54" s="7">
        <f>VC_NEW2!AG24</f>
        <v>0</v>
      </c>
      <c r="AM54" s="7">
        <f>VC_NEW2!AH24</f>
        <v>0</v>
      </c>
      <c r="AN54" s="7">
        <f>VC_NEW2!AI24</f>
        <v>0</v>
      </c>
      <c r="AO54" s="7" t="str">
        <f>VC_NEW2!AJ24</f>
        <v>Y61H</v>
      </c>
      <c r="AP54" s="7">
        <f>VC_NEW2!AK24</f>
        <v>0</v>
      </c>
      <c r="AQ54" s="7">
        <f>VC_NEW2!AL24</f>
        <v>0</v>
      </c>
      <c r="AR54" s="7">
        <f>VC_NEW2!AM24</f>
        <v>0</v>
      </c>
      <c r="AS54" s="7">
        <f>VC_NEW2!AN24</f>
        <v>0</v>
      </c>
      <c r="AT54" s="7">
        <f>VC_NEW2!AO24</f>
        <v>0</v>
      </c>
      <c r="AU54" s="7">
        <f>VC_NEW2!AP24</f>
        <v>0</v>
      </c>
      <c r="AV54" s="7">
        <f>VC_NEW2!AQ24</f>
        <v>0</v>
      </c>
      <c r="AW54" s="7">
        <f>VC_NEW2!AR24</f>
        <v>0</v>
      </c>
      <c r="AX54" s="7">
        <f>VC_NEW2!AS24</f>
        <v>0</v>
      </c>
      <c r="AY54" s="7">
        <f>VC_NEW2!AT24</f>
        <v>0</v>
      </c>
      <c r="AZ54" s="7">
        <f>VC_NEW2!AU24</f>
        <v>0</v>
      </c>
      <c r="BA54" s="7">
        <f>VC_NEW2!AV24</f>
        <v>0</v>
      </c>
      <c r="BB54" s="7">
        <f>VC_NEW2!AW24</f>
        <v>0</v>
      </c>
      <c r="BC54" s="7">
        <f>VC_NEW2!AX24</f>
        <v>0</v>
      </c>
      <c r="BD54" s="7">
        <f>VC_NEW2!AY24</f>
        <v>0</v>
      </c>
      <c r="BE54" s="7">
        <f>VC_NEW2!AZ24</f>
        <v>0</v>
      </c>
      <c r="BF54" s="7">
        <f>VC_NEW2!BA24</f>
        <v>0</v>
      </c>
      <c r="BG54" s="7">
        <f>VC_NEW2!BB24</f>
        <v>0</v>
      </c>
      <c r="BH54" s="7">
        <f>VC_NEW2!BC24</f>
        <v>0</v>
      </c>
      <c r="BI54" s="7">
        <f>VC_NEW2!BD24</f>
        <v>0</v>
      </c>
      <c r="BJ54" s="7">
        <f>VC_NEW2!BE24</f>
        <v>0</v>
      </c>
      <c r="BK54" s="7">
        <f>VC_NEW2!BF24</f>
        <v>0</v>
      </c>
      <c r="BL54" s="7">
        <f>VC_NEW2!BG24</f>
        <v>0</v>
      </c>
      <c r="BM54" s="7">
        <f>VC_NEW2!BH24</f>
        <v>0</v>
      </c>
      <c r="BN54" s="7">
        <f>VC_NEW2!BI24</f>
        <v>0</v>
      </c>
      <c r="BO54" s="7">
        <f>VC_NEW2!BJ24</f>
        <v>0</v>
      </c>
      <c r="BP54" s="7">
        <f>VC_NEW2!BK24</f>
        <v>0</v>
      </c>
      <c r="BQ54" s="7">
        <f>VC_NEW2!BL24</f>
        <v>0</v>
      </c>
      <c r="BR54" s="7">
        <f>VC_NEW2!BM24</f>
        <v>0</v>
      </c>
      <c r="BS54" s="7">
        <f>VC_NEW2!BN24</f>
        <v>0</v>
      </c>
      <c r="BT54" s="7">
        <f>VC_NEW2!BO24</f>
        <v>0</v>
      </c>
      <c r="BU54" s="7">
        <f>VC_NEW2!BP24</f>
        <v>0</v>
      </c>
      <c r="BV54" s="7" t="str">
        <f>VC_NEW2!BQ24</f>
        <v>G263S</v>
      </c>
      <c r="BW54" s="7">
        <f>VC_NEW2!BR24</f>
        <v>0</v>
      </c>
      <c r="BX54" s="7" t="str">
        <f>VC_NEW2!BS24</f>
        <v>D176N</v>
      </c>
      <c r="BY54" s="7">
        <f>VC_NEW2!BT24</f>
        <v>0</v>
      </c>
      <c r="BZ54" s="7">
        <f>VC_NEW2!BU24</f>
        <v>0</v>
      </c>
      <c r="CA54" s="7" t="str">
        <f>VC_NEW2!BV24</f>
        <v>A340G</v>
      </c>
      <c r="CB54" s="7">
        <f>VC_NEW2!BW24</f>
        <v>0</v>
      </c>
      <c r="CC54" s="7">
        <f>VC_NEW2!BX24</f>
        <v>0</v>
      </c>
      <c r="CD54" s="7">
        <f>VC_NEW2!BY24</f>
        <v>0</v>
      </c>
      <c r="CE54" s="7">
        <f>VC_NEW2!BZ24</f>
        <v>0</v>
      </c>
      <c r="CF54" s="7">
        <f>VC_NEW2!CA24</f>
        <v>0</v>
      </c>
      <c r="CG54" s="7">
        <f>VC_NEW2!CB24</f>
        <v>0</v>
      </c>
      <c r="CH54" s="7">
        <f>VC_NEW2!CC24</f>
        <v>0</v>
      </c>
      <c r="CI54" s="7">
        <f>VC_NEW2!CD24</f>
        <v>0</v>
      </c>
      <c r="CJ54" s="7">
        <f>VC_NEW2!CE24</f>
        <v>0</v>
      </c>
      <c r="CK54" s="7">
        <f>VC_NEW2!CF24</f>
        <v>0</v>
      </c>
      <c r="CL54" s="7">
        <f>VC_NEW2!CG24</f>
        <v>0</v>
      </c>
      <c r="CM54" s="7">
        <f>VC_NEW2!CH24</f>
        <v>0</v>
      </c>
      <c r="CN54" s="7">
        <f>VC_NEW2!CI24</f>
        <v>0</v>
      </c>
      <c r="CO54" s="7">
        <f>VC_NEW2!CJ24</f>
        <v>0</v>
      </c>
      <c r="CP54" s="7">
        <f>VC_NEW2!CK24</f>
        <v>0</v>
      </c>
      <c r="CQ54" s="7" t="str">
        <f>VC_NEW2!CL24</f>
        <v>A434T</v>
      </c>
      <c r="CR54" s="7">
        <f>VC_NEW2!CM24</f>
        <v>0</v>
      </c>
      <c r="CS54" s="7">
        <f>VC_NEW2!CN24</f>
        <v>0</v>
      </c>
      <c r="CT54" s="7">
        <f>VC_NEW2!CO24</f>
        <v>0</v>
      </c>
      <c r="CU54" s="7">
        <f>VC_NEW2!CP24</f>
        <v>0</v>
      </c>
      <c r="CV54" s="7">
        <f>VC_NEW2!CQ24</f>
        <v>0</v>
      </c>
      <c r="CW54" s="7">
        <f>VC_NEW2!CR24</f>
        <v>0</v>
      </c>
      <c r="CX54" s="7">
        <f>VC_NEW2!CS24</f>
        <v>0</v>
      </c>
      <c r="CY54" s="7">
        <f>VC_NEW2!CT24</f>
        <v>0</v>
      </c>
      <c r="CZ54" s="7">
        <f>VC_NEW2!CU24</f>
        <v>0</v>
      </c>
      <c r="DA54" s="7">
        <f>VC_NEW2!CV24</f>
        <v>0</v>
      </c>
      <c r="DB54" s="7">
        <f>VC_NEW2!CW24</f>
        <v>0</v>
      </c>
      <c r="DC54" s="7">
        <f>VC_NEW2!CX24</f>
        <v>0</v>
      </c>
      <c r="DD54" s="7">
        <f>VC_NEW2!CY24</f>
        <v>0</v>
      </c>
      <c r="DE54" s="7">
        <f>VC_NEW2!CZ24</f>
        <v>0</v>
      </c>
      <c r="DF54" s="7">
        <f>VC_NEW2!DA24</f>
        <v>0</v>
      </c>
      <c r="DG54" s="7">
        <f>VC_NEW2!DB24</f>
        <v>0</v>
      </c>
      <c r="DH54" s="7">
        <f>VC_NEW2!DC24</f>
        <v>0</v>
      </c>
      <c r="DI54" s="7">
        <f>VC_NEW2!DD24</f>
        <v>0</v>
      </c>
      <c r="DJ54" s="7">
        <f>VC_NEW2!DE24</f>
        <v>0</v>
      </c>
      <c r="DK54" s="7">
        <f>VC_NEW2!DF24</f>
        <v>0</v>
      </c>
      <c r="DL54" s="7">
        <f>VC_NEW2!DG24</f>
        <v>0</v>
      </c>
      <c r="DM54" s="7">
        <f>VC_NEW2!DH24</f>
        <v>0</v>
      </c>
      <c r="DN54" s="7">
        <f>VC_NEW2!DI24</f>
        <v>0</v>
      </c>
      <c r="DO54" s="7">
        <f>VC_NEW2!DJ24</f>
        <v>0</v>
      </c>
      <c r="DP54" s="7">
        <f>VC_NEW2!DK24</f>
        <v>0</v>
      </c>
      <c r="DQ54" s="7">
        <f>VC_NEW2!DL24</f>
        <v>0</v>
      </c>
      <c r="DR54" s="7">
        <f>VC_NEW2!DM24</f>
        <v>0</v>
      </c>
      <c r="DS54" s="7">
        <f>VC_NEW2!DN24</f>
        <v>0</v>
      </c>
      <c r="DT54" s="7">
        <f>VC_NEW2!DO24</f>
        <v>0</v>
      </c>
      <c r="DU54" s="7">
        <f>VC_NEW2!DP24</f>
        <v>0</v>
      </c>
      <c r="DV54" s="7">
        <f>VC_NEW2!DQ24</f>
        <v>0</v>
      </c>
      <c r="DW54" s="7">
        <f>VC_NEW2!DR24</f>
        <v>0</v>
      </c>
      <c r="DX54" s="7">
        <f>VC_NEW2!DS24</f>
        <v>0</v>
      </c>
      <c r="DY54" s="7">
        <f>VC_NEW2!DT24</f>
        <v>0</v>
      </c>
      <c r="DZ54" s="7">
        <f>VC_NEW2!DU24</f>
        <v>0</v>
      </c>
      <c r="EA54" s="7">
        <f>VC_NEW2!DV24</f>
        <v>0</v>
      </c>
      <c r="EB54" s="7">
        <f>VC_NEW2!DW24</f>
        <v>0</v>
      </c>
      <c r="EC54" s="7">
        <f>VC_NEW2!DX24</f>
        <v>0</v>
      </c>
      <c r="ED54" s="7">
        <f>VC_NEW2!DY24</f>
        <v>0</v>
      </c>
      <c r="EE54" s="7">
        <f>VC_NEW2!DZ24</f>
        <v>0</v>
      </c>
      <c r="EF54" s="7">
        <f>VC_NEW2!EA24</f>
        <v>0</v>
      </c>
      <c r="EG54" s="7">
        <f>VC_NEW2!EB24</f>
        <v>0</v>
      </c>
      <c r="EH54" s="7" t="str">
        <f>VC_NEW2!EC24</f>
        <v>T27S, S150G</v>
      </c>
      <c r="EI54" s="7">
        <f>VC_NEW2!ED24</f>
        <v>0</v>
      </c>
      <c r="EJ54" s="7">
        <f>VC_NEW2!EE24</f>
        <v>0</v>
      </c>
      <c r="EK54" s="7">
        <f>VC_NEW2!EF24</f>
        <v>0</v>
      </c>
      <c r="EL54" s="7">
        <f>VC_NEW2!EG24</f>
        <v>0</v>
      </c>
      <c r="EM54" s="7">
        <f>VC_NEW2!EH24</f>
        <v>0</v>
      </c>
      <c r="EN54" s="7">
        <f>VC_NEW2!EI24</f>
        <v>0</v>
      </c>
      <c r="EO54" s="7">
        <f>VC_NEW2!EJ24</f>
        <v>0</v>
      </c>
      <c r="EP54" s="7">
        <f>VC_NEW2!EK24</f>
        <v>0</v>
      </c>
      <c r="EQ54" s="7">
        <f>VC_NEW2!EL24</f>
        <v>0</v>
      </c>
      <c r="ER54" s="7">
        <f>VC_NEW2!EM24</f>
        <v>0</v>
      </c>
      <c r="ES54" s="7">
        <f>VC_NEW2!EN24</f>
        <v>0</v>
      </c>
      <c r="ET54" s="7">
        <f>VC_NEW2!EO24</f>
        <v>0</v>
      </c>
      <c r="EU54" s="7">
        <f>VC_NEW2!EP24</f>
        <v>0</v>
      </c>
      <c r="EV54" s="7">
        <f>VC_NEW2!EQ24</f>
        <v>0</v>
      </c>
      <c r="EW54" s="7" t="str">
        <f>VC_NEW2!ER24</f>
        <v>R475Q</v>
      </c>
      <c r="EX54" s="7">
        <f>VC_NEW2!ES24</f>
        <v>0</v>
      </c>
      <c r="EY54" s="7">
        <f>VC_NEW2!ET24</f>
        <v>0</v>
      </c>
      <c r="EZ54" s="7">
        <f>VC_NEW2!EU24</f>
        <v>0</v>
      </c>
      <c r="FA54" s="7">
        <f>VC_NEW2!EV24</f>
        <v>0</v>
      </c>
      <c r="FB54" s="7">
        <f>VC_NEW2!EW24</f>
        <v>0</v>
      </c>
      <c r="FC54" s="7">
        <f>VC_NEW2!EX24</f>
        <v>0</v>
      </c>
      <c r="FD54" s="7">
        <f>VC_NEW2!EY24</f>
        <v>0</v>
      </c>
      <c r="FE54" s="7">
        <f>VC_NEW2!EZ24</f>
        <v>0</v>
      </c>
      <c r="FF54" s="7">
        <f>VC_NEW2!FA24</f>
        <v>0</v>
      </c>
      <c r="FG54" s="7">
        <f>VC_NEW2!FB24</f>
        <v>0</v>
      </c>
      <c r="FH54" s="7">
        <f>VC_NEW2!FC24</f>
        <v>0</v>
      </c>
      <c r="FI54" s="7" t="str">
        <f>VC_NEW2!FD24</f>
        <v>F324I</v>
      </c>
      <c r="FJ54" s="7">
        <f>VC_NEW2!FE24</f>
        <v>0</v>
      </c>
      <c r="FK54" s="7">
        <f>VC_NEW2!FF24</f>
        <v>0</v>
      </c>
      <c r="FL54" s="7" t="str">
        <f>VC_NEW2!FG24</f>
        <v>Q212K</v>
      </c>
      <c r="FM54" s="7">
        <f>VC_NEW2!FH24</f>
        <v>0</v>
      </c>
      <c r="FN54" s="7">
        <f>VC_NEW2!FI24</f>
        <v>0</v>
      </c>
      <c r="FO54" s="7">
        <f>VC_NEW2!FJ24</f>
        <v>0</v>
      </c>
      <c r="FP54" s="7">
        <f>VC_NEW2!FK24</f>
        <v>0</v>
      </c>
      <c r="FQ54" s="7">
        <f>VC_NEW2!FL24</f>
        <v>0</v>
      </c>
      <c r="FR54" s="7">
        <f>VC_NEW2!FM24</f>
        <v>0</v>
      </c>
      <c r="FS54" s="7">
        <f>VC_NEW2!FN24</f>
        <v>0</v>
      </c>
      <c r="FT54" s="7">
        <f>VC_NEW2!FO24</f>
        <v>0</v>
      </c>
      <c r="FU54" s="7">
        <f>VC_NEW2!FP24</f>
        <v>0</v>
      </c>
      <c r="FV54" s="7">
        <f>VC_NEW2!FQ24</f>
        <v>0</v>
      </c>
      <c r="FW54" s="7">
        <f>VC_NEW2!FR24</f>
        <v>0</v>
      </c>
      <c r="FX54" s="7">
        <f>VC_NEW2!FS24</f>
        <v>0</v>
      </c>
      <c r="FY54" s="7">
        <f>VC_NEW2!FT24</f>
        <v>0</v>
      </c>
      <c r="FZ54" s="7">
        <f>VC_NEW2!FU24</f>
        <v>0</v>
      </c>
      <c r="GA54" s="7">
        <f>VC_NEW2!FV24</f>
        <v>0</v>
      </c>
      <c r="GB54" s="7">
        <f>VC_NEW2!FW24</f>
        <v>0</v>
      </c>
      <c r="GC54" s="7">
        <f>VC_NEW2!FX24</f>
        <v>0</v>
      </c>
      <c r="GD54" s="7">
        <f>VC_NEW2!FY24</f>
        <v>0</v>
      </c>
      <c r="GE54" s="7">
        <f>VC_NEW2!FZ24</f>
        <v>0</v>
      </c>
      <c r="GF54" s="7">
        <f>VC_NEW2!GA24</f>
        <v>0</v>
      </c>
      <c r="GG54" s="7">
        <f>VC_NEW2!GB24</f>
        <v>0</v>
      </c>
      <c r="GH54" s="7">
        <f>VC_NEW2!GC24</f>
        <v>0</v>
      </c>
      <c r="GI54" s="7">
        <f>VC_NEW2!GD24</f>
        <v>0</v>
      </c>
      <c r="GJ54" s="7">
        <f>VC_NEW2!GE24</f>
        <v>0</v>
      </c>
      <c r="GK54" s="7">
        <f>VC_NEW2!GF24</f>
        <v>0</v>
      </c>
      <c r="GL54" s="7">
        <f>VC_NEW2!GG24</f>
        <v>0</v>
      </c>
      <c r="GM54" s="7">
        <f>VC_NEW2!GH24</f>
        <v>0</v>
      </c>
      <c r="GN54" s="7">
        <f>VC_NEW2!GI24</f>
        <v>0</v>
      </c>
      <c r="GO54" s="7">
        <f>VC_NEW2!GJ24</f>
        <v>0</v>
      </c>
      <c r="GP54" s="7">
        <f>VC_NEW2!GK24</f>
        <v>0</v>
      </c>
      <c r="GQ54" s="7">
        <f>VC_NEW2!GL24</f>
        <v>0</v>
      </c>
      <c r="GR54" s="7">
        <f>VC_NEW2!GM24</f>
        <v>0</v>
      </c>
      <c r="GS54" s="7" t="str">
        <f>VC_NEW2!GN24</f>
        <v>V289I</v>
      </c>
      <c r="GT54" s="7">
        <f>VC_NEW2!GO24</f>
        <v>0</v>
      </c>
      <c r="GU54" s="7">
        <f>VC_NEW2!GP24</f>
        <v>0</v>
      </c>
      <c r="GV54" s="7">
        <f>VC_NEW2!GQ24</f>
        <v>0</v>
      </c>
      <c r="GW54" s="7">
        <f>VC_NEW2!GR24</f>
        <v>0</v>
      </c>
      <c r="GX54" s="7">
        <f>VC_NEW2!GS24</f>
        <v>0</v>
      </c>
      <c r="GY54" s="7" t="str">
        <f>VC_NEW2!GT24</f>
        <v>nt675InsTGGCC</v>
      </c>
      <c r="GZ54" s="7">
        <f>VC_NEW2!GU24</f>
        <v>0</v>
      </c>
      <c r="HA54" s="7">
        <f>VC_NEW2!GV24</f>
        <v>0</v>
      </c>
      <c r="HB54" s="7">
        <f>VC_NEW2!GW24</f>
        <v>0</v>
      </c>
      <c r="HC54" s="7">
        <f>VC_NEW2!GX24</f>
        <v>0</v>
      </c>
    </row>
    <row r="55" spans="1:211" s="7" customFormat="1" ht="15.75" customHeight="1" x14ac:dyDescent="0.25">
      <c r="A55" s="30" t="s">
        <v>19</v>
      </c>
      <c r="B55" s="30" t="s">
        <v>79</v>
      </c>
      <c r="C55" s="31" t="s">
        <v>2</v>
      </c>
      <c r="D55" s="30" t="s">
        <v>76</v>
      </c>
      <c r="E55" s="30" t="s">
        <v>139</v>
      </c>
      <c r="F55" s="30" t="s">
        <v>74</v>
      </c>
      <c r="G55" s="30" t="s">
        <v>136</v>
      </c>
      <c r="H55" s="7">
        <f>VC_NEW2!C24</f>
        <v>0</v>
      </c>
      <c r="I55" s="7">
        <f>VC_NEW2!D24</f>
        <v>0</v>
      </c>
      <c r="J55" s="7">
        <f>VC_NEW2!E24</f>
        <v>0</v>
      </c>
      <c r="K55" s="7">
        <f>VC_NEW2!F24</f>
        <v>0</v>
      </c>
      <c r="L55" s="7">
        <f>VC_NEW2!G24</f>
        <v>0</v>
      </c>
      <c r="M55" s="7">
        <f>VC_NEW2!H24</f>
        <v>0</v>
      </c>
      <c r="N55" s="7">
        <f>VC_NEW2!I24</f>
        <v>0</v>
      </c>
      <c r="O55" s="7">
        <f>VC_NEW2!J24</f>
        <v>0</v>
      </c>
      <c r="P55" s="7">
        <f>VC_NEW2!K24</f>
        <v>0</v>
      </c>
      <c r="Q55" s="7">
        <f>VC_NEW2!L24</f>
        <v>0</v>
      </c>
      <c r="R55" s="7">
        <f>VC_NEW2!M24</f>
        <v>0</v>
      </c>
      <c r="S55" s="7">
        <f>VC_NEW2!N24</f>
        <v>0</v>
      </c>
      <c r="T55" s="7">
        <f>VC_NEW2!O24</f>
        <v>0</v>
      </c>
      <c r="U55" s="7">
        <f>VC_NEW2!P24</f>
        <v>0</v>
      </c>
      <c r="V55" s="7">
        <f>VC_NEW2!Q24</f>
        <v>0</v>
      </c>
      <c r="W55" s="7">
        <f>VC_NEW2!R24</f>
        <v>0</v>
      </c>
      <c r="X55" s="7">
        <f>VC_NEW2!S24</f>
        <v>0</v>
      </c>
      <c r="Y55" s="7">
        <f>VC_NEW2!T24</f>
        <v>0</v>
      </c>
      <c r="Z55" s="7">
        <f>VC_NEW2!U24</f>
        <v>0</v>
      </c>
      <c r="AA55" s="7">
        <f>VC_NEW2!V24</f>
        <v>0</v>
      </c>
      <c r="AB55" s="7">
        <f>VC_NEW2!W24</f>
        <v>0</v>
      </c>
      <c r="AC55" s="7">
        <f>VC_NEW2!X24</f>
        <v>0</v>
      </c>
      <c r="AD55" s="7">
        <f>VC_NEW2!Y24</f>
        <v>0</v>
      </c>
      <c r="AE55" s="7">
        <f>VC_NEW2!Z24</f>
        <v>0</v>
      </c>
      <c r="AF55" s="7">
        <f>VC_NEW2!AA24</f>
        <v>0</v>
      </c>
      <c r="AG55" s="7">
        <f>VC_NEW2!AB24</f>
        <v>0</v>
      </c>
      <c r="AH55" s="7">
        <f>VC_NEW2!AC24</f>
        <v>0</v>
      </c>
      <c r="AI55" s="7">
        <f>VC_NEW2!AD24</f>
        <v>0</v>
      </c>
      <c r="AJ55" s="7">
        <f>VC_NEW2!AE24</f>
        <v>0</v>
      </c>
      <c r="AK55" s="7">
        <f>VC_NEW2!AF24</f>
        <v>0</v>
      </c>
      <c r="AL55" s="7">
        <f>VC_NEW2!AG24</f>
        <v>0</v>
      </c>
      <c r="AM55" s="7">
        <f>VC_NEW2!AH24</f>
        <v>0</v>
      </c>
      <c r="AN55" s="7">
        <f>VC_NEW2!AI24</f>
        <v>0</v>
      </c>
      <c r="AO55" s="7" t="str">
        <f>VC_NEW2!AJ24</f>
        <v>Y61H</v>
      </c>
      <c r="AP55" s="7">
        <f>VC_NEW2!AK24</f>
        <v>0</v>
      </c>
      <c r="AQ55" s="7">
        <f>VC_NEW2!AL24</f>
        <v>0</v>
      </c>
      <c r="AR55" s="7">
        <f>VC_NEW2!AM24</f>
        <v>0</v>
      </c>
      <c r="AS55" s="7">
        <f>VC_NEW2!AN24</f>
        <v>0</v>
      </c>
      <c r="AT55" s="7">
        <f>VC_NEW2!AO24</f>
        <v>0</v>
      </c>
      <c r="AU55" s="7">
        <f>VC_NEW2!AP24</f>
        <v>0</v>
      </c>
      <c r="AV55" s="7">
        <f>VC_NEW2!AQ24</f>
        <v>0</v>
      </c>
      <c r="AW55" s="7">
        <f>VC_NEW2!AR24</f>
        <v>0</v>
      </c>
      <c r="AX55" s="7">
        <f>VC_NEW2!AS24</f>
        <v>0</v>
      </c>
      <c r="AY55" s="7">
        <f>VC_NEW2!AT24</f>
        <v>0</v>
      </c>
      <c r="AZ55" s="7">
        <f>VC_NEW2!AU24</f>
        <v>0</v>
      </c>
      <c r="BA55" s="7">
        <f>VC_NEW2!AV24</f>
        <v>0</v>
      </c>
      <c r="BB55" s="7">
        <f>VC_NEW2!AW24</f>
        <v>0</v>
      </c>
      <c r="BC55" s="7">
        <f>VC_NEW2!AX24</f>
        <v>0</v>
      </c>
      <c r="BD55" s="7">
        <f>VC_NEW2!AY24</f>
        <v>0</v>
      </c>
      <c r="BE55" s="7">
        <f>VC_NEW2!AZ24</f>
        <v>0</v>
      </c>
      <c r="BF55" s="7">
        <f>VC_NEW2!BA24</f>
        <v>0</v>
      </c>
      <c r="BG55" s="7">
        <f>VC_NEW2!BB24</f>
        <v>0</v>
      </c>
      <c r="BH55" s="7">
        <f>VC_NEW2!BC24</f>
        <v>0</v>
      </c>
      <c r="BI55" s="7">
        <f>VC_NEW2!BD24</f>
        <v>0</v>
      </c>
      <c r="BJ55" s="7">
        <f>VC_NEW2!BE24</f>
        <v>0</v>
      </c>
      <c r="BK55" s="7">
        <f>VC_NEW2!BF24</f>
        <v>0</v>
      </c>
      <c r="BL55" s="7">
        <f>VC_NEW2!BG24</f>
        <v>0</v>
      </c>
      <c r="BM55" s="7">
        <f>VC_NEW2!BH24</f>
        <v>0</v>
      </c>
      <c r="BN55" s="7">
        <f>VC_NEW2!BI24</f>
        <v>0</v>
      </c>
      <c r="BO55" s="7">
        <f>VC_NEW2!BJ24</f>
        <v>0</v>
      </c>
      <c r="BP55" s="7">
        <f>VC_NEW2!BK24</f>
        <v>0</v>
      </c>
      <c r="BQ55" s="7">
        <f>VC_NEW2!BL24</f>
        <v>0</v>
      </c>
      <c r="BR55" s="7">
        <f>VC_NEW2!BM24</f>
        <v>0</v>
      </c>
      <c r="BS55" s="7">
        <f>VC_NEW2!BN24</f>
        <v>0</v>
      </c>
      <c r="BT55" s="7">
        <f>VC_NEW2!BO24</f>
        <v>0</v>
      </c>
      <c r="BU55" s="7">
        <f>VC_NEW2!BP24</f>
        <v>0</v>
      </c>
      <c r="BV55" s="7" t="str">
        <f>VC_NEW2!BQ24</f>
        <v>G263S</v>
      </c>
      <c r="BW55" s="7">
        <f>VC_NEW2!BR24</f>
        <v>0</v>
      </c>
      <c r="BX55" s="7" t="str">
        <f>VC_NEW2!BS24</f>
        <v>D176N</v>
      </c>
      <c r="BY55" s="7">
        <f>VC_NEW2!BT24</f>
        <v>0</v>
      </c>
      <c r="BZ55" s="7">
        <f>VC_NEW2!BU24</f>
        <v>0</v>
      </c>
      <c r="CA55" s="7" t="str">
        <f>VC_NEW2!BV24</f>
        <v>A340G</v>
      </c>
      <c r="CB55" s="7">
        <f>VC_NEW2!BW24</f>
        <v>0</v>
      </c>
      <c r="CC55" s="7">
        <f>VC_NEW2!BX24</f>
        <v>0</v>
      </c>
      <c r="CD55" s="7">
        <f>VC_NEW2!BY24</f>
        <v>0</v>
      </c>
      <c r="CE55" s="7">
        <f>VC_NEW2!BZ24</f>
        <v>0</v>
      </c>
      <c r="CF55" s="7">
        <f>VC_NEW2!CA24</f>
        <v>0</v>
      </c>
      <c r="CG55" s="7">
        <f>VC_NEW2!CB24</f>
        <v>0</v>
      </c>
      <c r="CH55" s="7">
        <f>VC_NEW2!CC24</f>
        <v>0</v>
      </c>
      <c r="CI55" s="7">
        <f>VC_NEW2!CD24</f>
        <v>0</v>
      </c>
      <c r="CJ55" s="7">
        <f>VC_NEW2!CE24</f>
        <v>0</v>
      </c>
      <c r="CK55" s="7">
        <f>VC_NEW2!CF24</f>
        <v>0</v>
      </c>
      <c r="CL55" s="7">
        <f>VC_NEW2!CG24</f>
        <v>0</v>
      </c>
      <c r="CM55" s="7">
        <f>VC_NEW2!CH24</f>
        <v>0</v>
      </c>
      <c r="CN55" s="7">
        <f>VC_NEW2!CI24</f>
        <v>0</v>
      </c>
      <c r="CO55" s="7">
        <f>VC_NEW2!CJ24</f>
        <v>0</v>
      </c>
      <c r="CP55" s="7">
        <f>VC_NEW2!CK24</f>
        <v>0</v>
      </c>
      <c r="CQ55" s="7" t="str">
        <f>VC_NEW2!CL24</f>
        <v>A434T</v>
      </c>
      <c r="CR55" s="7">
        <f>VC_NEW2!CM24</f>
        <v>0</v>
      </c>
      <c r="CS55" s="7">
        <f>VC_NEW2!CN24</f>
        <v>0</v>
      </c>
      <c r="CT55" s="7">
        <f>VC_NEW2!CO24</f>
        <v>0</v>
      </c>
      <c r="CU55" s="7">
        <f>VC_NEW2!CP24</f>
        <v>0</v>
      </c>
      <c r="CV55" s="7">
        <f>VC_NEW2!CQ24</f>
        <v>0</v>
      </c>
      <c r="CW55" s="7">
        <f>VC_NEW2!CR24</f>
        <v>0</v>
      </c>
      <c r="CX55" s="7">
        <f>VC_NEW2!CS24</f>
        <v>0</v>
      </c>
      <c r="CY55" s="7">
        <f>VC_NEW2!CT24</f>
        <v>0</v>
      </c>
      <c r="CZ55" s="7">
        <f>VC_NEW2!CU24</f>
        <v>0</v>
      </c>
      <c r="DA55" s="7">
        <f>VC_NEW2!CV24</f>
        <v>0</v>
      </c>
      <c r="DB55" s="7">
        <f>VC_NEW2!CW24</f>
        <v>0</v>
      </c>
      <c r="DC55" s="7">
        <f>VC_NEW2!CX24</f>
        <v>0</v>
      </c>
      <c r="DD55" s="7">
        <f>VC_NEW2!CY24</f>
        <v>0</v>
      </c>
      <c r="DE55" s="7">
        <f>VC_NEW2!CZ24</f>
        <v>0</v>
      </c>
      <c r="DF55" s="7">
        <f>VC_NEW2!DA24</f>
        <v>0</v>
      </c>
      <c r="DG55" s="7">
        <f>VC_NEW2!DB24</f>
        <v>0</v>
      </c>
      <c r="DH55" s="7">
        <f>VC_NEW2!DC24</f>
        <v>0</v>
      </c>
      <c r="DI55" s="7">
        <f>VC_NEW2!DD24</f>
        <v>0</v>
      </c>
      <c r="DJ55" s="7">
        <f>VC_NEW2!DE24</f>
        <v>0</v>
      </c>
      <c r="DK55" s="7">
        <f>VC_NEW2!DF24</f>
        <v>0</v>
      </c>
      <c r="DL55" s="7">
        <f>VC_NEW2!DG24</f>
        <v>0</v>
      </c>
      <c r="DM55" s="7">
        <f>VC_NEW2!DH24</f>
        <v>0</v>
      </c>
      <c r="DN55" s="7">
        <f>VC_NEW2!DI24</f>
        <v>0</v>
      </c>
      <c r="DO55" s="7">
        <f>VC_NEW2!DJ24</f>
        <v>0</v>
      </c>
      <c r="DP55" s="7">
        <f>VC_NEW2!DK24</f>
        <v>0</v>
      </c>
      <c r="DQ55" s="7">
        <f>VC_NEW2!DL24</f>
        <v>0</v>
      </c>
      <c r="DR55" s="7">
        <f>VC_NEW2!DM24</f>
        <v>0</v>
      </c>
      <c r="DS55" s="7">
        <f>VC_NEW2!DN24</f>
        <v>0</v>
      </c>
      <c r="DT55" s="7">
        <f>VC_NEW2!DO24</f>
        <v>0</v>
      </c>
      <c r="DU55" s="7">
        <f>VC_NEW2!DP24</f>
        <v>0</v>
      </c>
      <c r="DV55" s="7">
        <f>VC_NEW2!DQ24</f>
        <v>0</v>
      </c>
      <c r="DW55" s="7">
        <f>VC_NEW2!DR24</f>
        <v>0</v>
      </c>
      <c r="DX55" s="7">
        <f>VC_NEW2!DS24</f>
        <v>0</v>
      </c>
      <c r="DY55" s="7">
        <f>VC_NEW2!DT24</f>
        <v>0</v>
      </c>
      <c r="DZ55" s="7">
        <f>VC_NEW2!DU24</f>
        <v>0</v>
      </c>
      <c r="EA55" s="7">
        <f>VC_NEW2!DV24</f>
        <v>0</v>
      </c>
      <c r="EB55" s="7">
        <f>VC_NEW2!DW24</f>
        <v>0</v>
      </c>
      <c r="EC55" s="7">
        <f>VC_NEW2!DX24</f>
        <v>0</v>
      </c>
      <c r="ED55" s="7">
        <f>VC_NEW2!DY24</f>
        <v>0</v>
      </c>
      <c r="EE55" s="7">
        <f>VC_NEW2!DZ24</f>
        <v>0</v>
      </c>
      <c r="EF55" s="7">
        <f>VC_NEW2!EA24</f>
        <v>0</v>
      </c>
      <c r="EG55" s="7">
        <f>VC_NEW2!EB24</f>
        <v>0</v>
      </c>
      <c r="EH55" s="7" t="str">
        <f>VC_NEW2!EC24</f>
        <v>T27S, S150G</v>
      </c>
      <c r="EI55" s="7">
        <f>VC_NEW2!ED24</f>
        <v>0</v>
      </c>
      <c r="EJ55" s="7">
        <f>VC_NEW2!EE24</f>
        <v>0</v>
      </c>
      <c r="EK55" s="7">
        <f>VC_NEW2!EF24</f>
        <v>0</v>
      </c>
      <c r="EL55" s="7">
        <f>VC_NEW2!EG24</f>
        <v>0</v>
      </c>
      <c r="EM55" s="7">
        <f>VC_NEW2!EH24</f>
        <v>0</v>
      </c>
      <c r="EN55" s="7">
        <f>VC_NEW2!EI24</f>
        <v>0</v>
      </c>
      <c r="EO55" s="7">
        <f>VC_NEW2!EJ24</f>
        <v>0</v>
      </c>
      <c r="EP55" s="7">
        <f>VC_NEW2!EK24</f>
        <v>0</v>
      </c>
      <c r="EQ55" s="7">
        <f>VC_NEW2!EL24</f>
        <v>0</v>
      </c>
      <c r="ER55" s="7">
        <f>VC_NEW2!EM24</f>
        <v>0</v>
      </c>
      <c r="ES55" s="7">
        <f>VC_NEW2!EN24</f>
        <v>0</v>
      </c>
      <c r="ET55" s="7">
        <f>VC_NEW2!EO24</f>
        <v>0</v>
      </c>
      <c r="EU55" s="7">
        <f>VC_NEW2!EP24</f>
        <v>0</v>
      </c>
      <c r="EV55" s="7">
        <f>VC_NEW2!EQ24</f>
        <v>0</v>
      </c>
      <c r="EW55" s="7" t="str">
        <f>VC_NEW2!ER24</f>
        <v>R475Q</v>
      </c>
      <c r="EX55" s="7">
        <f>VC_NEW2!ES24</f>
        <v>0</v>
      </c>
      <c r="EY55" s="7">
        <f>VC_NEW2!ET24</f>
        <v>0</v>
      </c>
      <c r="EZ55" s="7">
        <f>VC_NEW2!EU24</f>
        <v>0</v>
      </c>
      <c r="FA55" s="7">
        <f>VC_NEW2!EV24</f>
        <v>0</v>
      </c>
      <c r="FB55" s="7">
        <f>VC_NEW2!EW24</f>
        <v>0</v>
      </c>
      <c r="FC55" s="7">
        <f>VC_NEW2!EX24</f>
        <v>0</v>
      </c>
      <c r="FD55" s="7">
        <f>VC_NEW2!EY24</f>
        <v>0</v>
      </c>
      <c r="FE55" s="7">
        <f>VC_NEW2!EZ24</f>
        <v>0</v>
      </c>
      <c r="FF55" s="7">
        <f>VC_NEW2!FA24</f>
        <v>0</v>
      </c>
      <c r="FG55" s="7">
        <f>VC_NEW2!FB24</f>
        <v>0</v>
      </c>
      <c r="FH55" s="7">
        <f>VC_NEW2!FC24</f>
        <v>0</v>
      </c>
      <c r="FI55" s="7" t="str">
        <f>VC_NEW2!FD24</f>
        <v>F324I</v>
      </c>
      <c r="FJ55" s="7">
        <f>VC_NEW2!FE24</f>
        <v>0</v>
      </c>
      <c r="FK55" s="7">
        <f>VC_NEW2!FF24</f>
        <v>0</v>
      </c>
      <c r="FL55" s="7" t="str">
        <f>VC_NEW2!FG24</f>
        <v>Q212K</v>
      </c>
      <c r="FM55" s="7">
        <f>VC_NEW2!FH24</f>
        <v>0</v>
      </c>
      <c r="FN55" s="7">
        <f>VC_NEW2!FI24</f>
        <v>0</v>
      </c>
      <c r="FO55" s="7">
        <f>VC_NEW2!FJ24</f>
        <v>0</v>
      </c>
      <c r="FP55" s="7">
        <f>VC_NEW2!FK24</f>
        <v>0</v>
      </c>
      <c r="FQ55" s="7">
        <f>VC_NEW2!FL24</f>
        <v>0</v>
      </c>
      <c r="FR55" s="7">
        <f>VC_NEW2!FM24</f>
        <v>0</v>
      </c>
      <c r="FS55" s="7">
        <f>VC_NEW2!FN24</f>
        <v>0</v>
      </c>
      <c r="FT55" s="7">
        <f>VC_NEW2!FO24</f>
        <v>0</v>
      </c>
      <c r="FU55" s="7">
        <f>VC_NEW2!FP24</f>
        <v>0</v>
      </c>
      <c r="FV55" s="7">
        <f>VC_NEW2!FQ24</f>
        <v>0</v>
      </c>
      <c r="FW55" s="7">
        <f>VC_NEW2!FR24</f>
        <v>0</v>
      </c>
      <c r="FX55" s="7">
        <f>VC_NEW2!FS24</f>
        <v>0</v>
      </c>
      <c r="FY55" s="7">
        <f>VC_NEW2!FT24</f>
        <v>0</v>
      </c>
      <c r="FZ55" s="7">
        <f>VC_NEW2!FU24</f>
        <v>0</v>
      </c>
      <c r="GA55" s="7">
        <f>VC_NEW2!FV24</f>
        <v>0</v>
      </c>
      <c r="GB55" s="7">
        <f>VC_NEW2!FW24</f>
        <v>0</v>
      </c>
      <c r="GC55" s="7">
        <f>VC_NEW2!FX24</f>
        <v>0</v>
      </c>
      <c r="GD55" s="7">
        <f>VC_NEW2!FY24</f>
        <v>0</v>
      </c>
      <c r="GE55" s="7">
        <f>VC_NEW2!FZ24</f>
        <v>0</v>
      </c>
      <c r="GF55" s="7">
        <f>VC_NEW2!GA24</f>
        <v>0</v>
      </c>
      <c r="GG55" s="7">
        <f>VC_NEW2!GB24</f>
        <v>0</v>
      </c>
      <c r="GH55" s="7">
        <f>VC_NEW2!GC24</f>
        <v>0</v>
      </c>
      <c r="GI55" s="7">
        <f>VC_NEW2!GD24</f>
        <v>0</v>
      </c>
      <c r="GJ55" s="7">
        <f>VC_NEW2!GE24</f>
        <v>0</v>
      </c>
      <c r="GK55" s="7">
        <f>VC_NEW2!GF24</f>
        <v>0</v>
      </c>
      <c r="GL55" s="7">
        <f>VC_NEW2!GG24</f>
        <v>0</v>
      </c>
      <c r="GM55" s="7">
        <f>VC_NEW2!GH24</f>
        <v>0</v>
      </c>
      <c r="GN55" s="7">
        <f>VC_NEW2!GI24</f>
        <v>0</v>
      </c>
      <c r="GO55" s="7">
        <f>VC_NEW2!GJ24</f>
        <v>0</v>
      </c>
      <c r="GP55" s="7">
        <f>VC_NEW2!GK24</f>
        <v>0</v>
      </c>
      <c r="GQ55" s="7">
        <f>VC_NEW2!GL24</f>
        <v>0</v>
      </c>
      <c r="GR55" s="7">
        <f>VC_NEW2!GM24</f>
        <v>0</v>
      </c>
      <c r="GS55" s="7" t="str">
        <f>VC_NEW2!GN24</f>
        <v>V289I</v>
      </c>
      <c r="GT55" s="7">
        <f>VC_NEW2!GO24</f>
        <v>0</v>
      </c>
      <c r="GU55" s="7">
        <f>VC_NEW2!GP24</f>
        <v>0</v>
      </c>
      <c r="GV55" s="7">
        <f>VC_NEW2!GQ24</f>
        <v>0</v>
      </c>
      <c r="GW55" s="7">
        <f>VC_NEW2!GR24</f>
        <v>0</v>
      </c>
      <c r="GX55" s="7">
        <f>VC_NEW2!GS24</f>
        <v>0</v>
      </c>
      <c r="GY55" s="7" t="str">
        <f>VC_NEW2!GT24</f>
        <v>nt675InsTGGCC</v>
      </c>
      <c r="GZ55" s="7">
        <f>VC_NEW2!GU24</f>
        <v>0</v>
      </c>
      <c r="HA55" s="7">
        <f>VC_NEW2!GV24</f>
        <v>0</v>
      </c>
      <c r="HB55" s="7">
        <f>VC_NEW2!GW24</f>
        <v>0</v>
      </c>
      <c r="HC55" s="7">
        <f>VC_NEW2!GX24</f>
        <v>0</v>
      </c>
    </row>
    <row r="56" spans="1:211" s="7" customFormat="1" ht="15.75" hidden="1" customHeight="1" x14ac:dyDescent="0.25">
      <c r="A56" s="30" t="s">
        <v>19</v>
      </c>
      <c r="B56" s="30" t="s">
        <v>79</v>
      </c>
      <c r="C56" s="31" t="s">
        <v>3</v>
      </c>
      <c r="D56" s="30" t="s">
        <v>76</v>
      </c>
      <c r="E56" s="30" t="s">
        <v>139</v>
      </c>
      <c r="F56" s="30" t="s">
        <v>74</v>
      </c>
      <c r="G56" s="30" t="s">
        <v>136</v>
      </c>
      <c r="H56" s="7">
        <f>VC_NEW2!C24</f>
        <v>0</v>
      </c>
      <c r="I56" s="7">
        <f>VC_NEW2!D24</f>
        <v>0</v>
      </c>
      <c r="J56" s="7">
        <f>VC_NEW2!E24</f>
        <v>0</v>
      </c>
      <c r="K56" s="7">
        <f>VC_NEW2!F24</f>
        <v>0</v>
      </c>
      <c r="L56" s="7">
        <f>VC_NEW2!G24</f>
        <v>0</v>
      </c>
      <c r="M56" s="7">
        <f>VC_NEW2!H24</f>
        <v>0</v>
      </c>
      <c r="N56" s="7">
        <f>VC_NEW2!I24</f>
        <v>0</v>
      </c>
      <c r="O56" s="7">
        <f>VC_NEW2!J24</f>
        <v>0</v>
      </c>
      <c r="P56" s="7">
        <f>VC_NEW2!K24</f>
        <v>0</v>
      </c>
      <c r="Q56" s="7">
        <f>VC_NEW2!L24</f>
        <v>0</v>
      </c>
      <c r="R56" s="7">
        <f>VC_NEW2!M24</f>
        <v>0</v>
      </c>
      <c r="S56" s="7">
        <f>VC_NEW2!N24</f>
        <v>0</v>
      </c>
      <c r="T56" s="7">
        <f>VC_NEW2!O24</f>
        <v>0</v>
      </c>
      <c r="U56" s="7">
        <f>VC_NEW2!P24</f>
        <v>0</v>
      </c>
      <c r="V56" s="7">
        <f>VC_NEW2!Q24</f>
        <v>0</v>
      </c>
      <c r="W56" s="7">
        <f>VC_NEW2!R24</f>
        <v>0</v>
      </c>
      <c r="X56" s="7">
        <f>VC_NEW2!S24</f>
        <v>0</v>
      </c>
      <c r="Y56" s="7">
        <f>VC_NEW2!T24</f>
        <v>0</v>
      </c>
      <c r="Z56" s="7">
        <f>VC_NEW2!U24</f>
        <v>0</v>
      </c>
      <c r="AA56" s="7">
        <f>VC_NEW2!V24</f>
        <v>0</v>
      </c>
      <c r="AB56" s="7">
        <f>VC_NEW2!W24</f>
        <v>0</v>
      </c>
      <c r="AC56" s="7">
        <f>VC_NEW2!X24</f>
        <v>0</v>
      </c>
      <c r="AD56" s="7">
        <f>VC_NEW2!Y24</f>
        <v>0</v>
      </c>
      <c r="AE56" s="7">
        <f>VC_NEW2!Z24</f>
        <v>0</v>
      </c>
      <c r="AF56" s="7">
        <f>VC_NEW2!AA24</f>
        <v>0</v>
      </c>
      <c r="AG56" s="7">
        <f>VC_NEW2!AB24</f>
        <v>0</v>
      </c>
      <c r="AH56" s="7">
        <f>VC_NEW2!AC24</f>
        <v>0</v>
      </c>
      <c r="AI56" s="7">
        <f>VC_NEW2!AD24</f>
        <v>0</v>
      </c>
      <c r="AJ56" s="7">
        <f>VC_NEW2!AE24</f>
        <v>0</v>
      </c>
      <c r="AK56" s="7">
        <f>VC_NEW2!AF24</f>
        <v>0</v>
      </c>
      <c r="AL56" s="7">
        <f>VC_NEW2!AG24</f>
        <v>0</v>
      </c>
      <c r="AM56" s="7">
        <f>VC_NEW2!AH24</f>
        <v>0</v>
      </c>
      <c r="AN56" s="7">
        <f>VC_NEW2!AI24</f>
        <v>0</v>
      </c>
      <c r="AO56" s="7" t="str">
        <f>VC_NEW2!AJ24</f>
        <v>Y61H</v>
      </c>
      <c r="AP56" s="7">
        <f>VC_NEW2!AK24</f>
        <v>0</v>
      </c>
      <c r="AQ56" s="7">
        <f>VC_NEW2!AL24</f>
        <v>0</v>
      </c>
      <c r="AR56" s="7">
        <f>VC_NEW2!AM24</f>
        <v>0</v>
      </c>
      <c r="AS56" s="7">
        <f>VC_NEW2!AN24</f>
        <v>0</v>
      </c>
      <c r="AT56" s="7">
        <f>VC_NEW2!AO24</f>
        <v>0</v>
      </c>
      <c r="AU56" s="7">
        <f>VC_NEW2!AP24</f>
        <v>0</v>
      </c>
      <c r="AV56" s="7">
        <f>VC_NEW2!AQ24</f>
        <v>0</v>
      </c>
      <c r="AW56" s="7">
        <f>VC_NEW2!AR24</f>
        <v>0</v>
      </c>
      <c r="AX56" s="7">
        <f>VC_NEW2!AS24</f>
        <v>0</v>
      </c>
      <c r="AY56" s="7">
        <f>VC_NEW2!AT24</f>
        <v>0</v>
      </c>
      <c r="AZ56" s="7">
        <f>VC_NEW2!AU24</f>
        <v>0</v>
      </c>
      <c r="BA56" s="7">
        <f>VC_NEW2!AV24</f>
        <v>0</v>
      </c>
      <c r="BB56" s="7">
        <f>VC_NEW2!AW24</f>
        <v>0</v>
      </c>
      <c r="BC56" s="7">
        <f>VC_NEW2!AX24</f>
        <v>0</v>
      </c>
      <c r="BD56" s="7">
        <f>VC_NEW2!AY24</f>
        <v>0</v>
      </c>
      <c r="BE56" s="7">
        <f>VC_NEW2!AZ24</f>
        <v>0</v>
      </c>
      <c r="BF56" s="7">
        <f>VC_NEW2!BA24</f>
        <v>0</v>
      </c>
      <c r="BG56" s="7">
        <f>VC_NEW2!BB24</f>
        <v>0</v>
      </c>
      <c r="BH56" s="7">
        <f>VC_NEW2!BC24</f>
        <v>0</v>
      </c>
      <c r="BI56" s="7">
        <f>VC_NEW2!BD24</f>
        <v>0</v>
      </c>
      <c r="BJ56" s="7">
        <f>VC_NEW2!BE24</f>
        <v>0</v>
      </c>
      <c r="BK56" s="7">
        <f>VC_NEW2!BF24</f>
        <v>0</v>
      </c>
      <c r="BL56" s="7">
        <f>VC_NEW2!BG24</f>
        <v>0</v>
      </c>
      <c r="BM56" s="7">
        <f>VC_NEW2!BH24</f>
        <v>0</v>
      </c>
      <c r="BN56" s="7">
        <f>VC_NEW2!BI24</f>
        <v>0</v>
      </c>
      <c r="BO56" s="7">
        <f>VC_NEW2!BJ24</f>
        <v>0</v>
      </c>
      <c r="BP56" s="7">
        <f>VC_NEW2!BK24</f>
        <v>0</v>
      </c>
      <c r="BQ56" s="7">
        <f>VC_NEW2!BL24</f>
        <v>0</v>
      </c>
      <c r="BR56" s="7">
        <f>VC_NEW2!BM24</f>
        <v>0</v>
      </c>
      <c r="BS56" s="7">
        <f>VC_NEW2!BN24</f>
        <v>0</v>
      </c>
      <c r="BT56" s="7">
        <f>VC_NEW2!BO24</f>
        <v>0</v>
      </c>
      <c r="BU56" s="7">
        <f>VC_NEW2!BP24</f>
        <v>0</v>
      </c>
      <c r="BV56" s="7" t="str">
        <f>VC_NEW2!BQ24</f>
        <v>G263S</v>
      </c>
      <c r="BW56" s="7">
        <f>VC_NEW2!BR24</f>
        <v>0</v>
      </c>
      <c r="BX56" s="7" t="str">
        <f>VC_NEW2!BS24</f>
        <v>D176N</v>
      </c>
      <c r="BY56" s="7">
        <f>VC_NEW2!BT24</f>
        <v>0</v>
      </c>
      <c r="BZ56" s="7">
        <f>VC_NEW2!BU24</f>
        <v>0</v>
      </c>
      <c r="CA56" s="7" t="str">
        <f>VC_NEW2!BV24</f>
        <v>A340G</v>
      </c>
      <c r="CB56" s="7">
        <f>VC_NEW2!BW24</f>
        <v>0</v>
      </c>
      <c r="CC56" s="7">
        <f>VC_NEW2!BX24</f>
        <v>0</v>
      </c>
      <c r="CD56" s="7">
        <f>VC_NEW2!BY24</f>
        <v>0</v>
      </c>
      <c r="CE56" s="7">
        <f>VC_NEW2!BZ24</f>
        <v>0</v>
      </c>
      <c r="CF56" s="7">
        <f>VC_NEW2!CA24</f>
        <v>0</v>
      </c>
      <c r="CG56" s="7">
        <f>VC_NEW2!CB24</f>
        <v>0</v>
      </c>
      <c r="CH56" s="7">
        <f>VC_NEW2!CC24</f>
        <v>0</v>
      </c>
      <c r="CI56" s="7">
        <f>VC_NEW2!CD24</f>
        <v>0</v>
      </c>
      <c r="CJ56" s="7">
        <f>VC_NEW2!CE24</f>
        <v>0</v>
      </c>
      <c r="CK56" s="7">
        <f>VC_NEW2!CF24</f>
        <v>0</v>
      </c>
      <c r="CL56" s="7">
        <f>VC_NEW2!CG24</f>
        <v>0</v>
      </c>
      <c r="CM56" s="7">
        <f>VC_NEW2!CH24</f>
        <v>0</v>
      </c>
      <c r="CN56" s="7">
        <f>VC_NEW2!CI24</f>
        <v>0</v>
      </c>
      <c r="CO56" s="7">
        <f>VC_NEW2!CJ24</f>
        <v>0</v>
      </c>
      <c r="CP56" s="7">
        <f>VC_NEW2!CK24</f>
        <v>0</v>
      </c>
      <c r="CQ56" s="7" t="str">
        <f>VC_NEW2!CL24</f>
        <v>A434T</v>
      </c>
      <c r="CR56" s="7">
        <f>VC_NEW2!CM24</f>
        <v>0</v>
      </c>
      <c r="CS56" s="7">
        <f>VC_NEW2!CN24</f>
        <v>0</v>
      </c>
      <c r="CT56" s="7">
        <f>VC_NEW2!CO24</f>
        <v>0</v>
      </c>
      <c r="CU56" s="7">
        <f>VC_NEW2!CP24</f>
        <v>0</v>
      </c>
      <c r="CV56" s="7">
        <f>VC_NEW2!CQ24</f>
        <v>0</v>
      </c>
      <c r="CW56" s="7">
        <f>VC_NEW2!CR24</f>
        <v>0</v>
      </c>
      <c r="CX56" s="7">
        <f>VC_NEW2!CS24</f>
        <v>0</v>
      </c>
      <c r="CY56" s="7">
        <f>VC_NEW2!CT24</f>
        <v>0</v>
      </c>
      <c r="CZ56" s="7">
        <f>VC_NEW2!CU24</f>
        <v>0</v>
      </c>
      <c r="DA56" s="7">
        <f>VC_NEW2!CV24</f>
        <v>0</v>
      </c>
      <c r="DB56" s="7">
        <f>VC_NEW2!CW24</f>
        <v>0</v>
      </c>
      <c r="DC56" s="7">
        <f>VC_NEW2!CX24</f>
        <v>0</v>
      </c>
      <c r="DD56" s="7">
        <f>VC_NEW2!CY24</f>
        <v>0</v>
      </c>
      <c r="DE56" s="7">
        <f>VC_NEW2!CZ24</f>
        <v>0</v>
      </c>
      <c r="DF56" s="7">
        <f>VC_NEW2!DA24</f>
        <v>0</v>
      </c>
      <c r="DG56" s="7">
        <f>VC_NEW2!DB24</f>
        <v>0</v>
      </c>
      <c r="DH56" s="7">
        <f>VC_NEW2!DC24</f>
        <v>0</v>
      </c>
      <c r="DI56" s="7">
        <f>VC_NEW2!DD24</f>
        <v>0</v>
      </c>
      <c r="DJ56" s="7">
        <f>VC_NEW2!DE24</f>
        <v>0</v>
      </c>
      <c r="DK56" s="7">
        <f>VC_NEW2!DF24</f>
        <v>0</v>
      </c>
      <c r="DL56" s="7">
        <f>VC_NEW2!DG24</f>
        <v>0</v>
      </c>
      <c r="DM56" s="7">
        <f>VC_NEW2!DH24</f>
        <v>0</v>
      </c>
      <c r="DN56" s="7">
        <f>VC_NEW2!DI24</f>
        <v>0</v>
      </c>
      <c r="DO56" s="7">
        <f>VC_NEW2!DJ24</f>
        <v>0</v>
      </c>
      <c r="DP56" s="7">
        <f>VC_NEW2!DK24</f>
        <v>0</v>
      </c>
      <c r="DQ56" s="7">
        <f>VC_NEW2!DL24</f>
        <v>0</v>
      </c>
      <c r="DR56" s="7">
        <f>VC_NEW2!DM24</f>
        <v>0</v>
      </c>
      <c r="DS56" s="7">
        <f>VC_NEW2!DN24</f>
        <v>0</v>
      </c>
      <c r="DT56" s="7">
        <f>VC_NEW2!DO24</f>
        <v>0</v>
      </c>
      <c r="DU56" s="7">
        <f>VC_NEW2!DP24</f>
        <v>0</v>
      </c>
      <c r="DV56" s="7">
        <f>VC_NEW2!DQ24</f>
        <v>0</v>
      </c>
      <c r="DW56" s="7">
        <f>VC_NEW2!DR24</f>
        <v>0</v>
      </c>
      <c r="DX56" s="7">
        <f>VC_NEW2!DS24</f>
        <v>0</v>
      </c>
      <c r="DY56" s="7">
        <f>VC_NEW2!DT24</f>
        <v>0</v>
      </c>
      <c r="DZ56" s="7">
        <f>VC_NEW2!DU24</f>
        <v>0</v>
      </c>
      <c r="EA56" s="7">
        <f>VC_NEW2!DV24</f>
        <v>0</v>
      </c>
      <c r="EB56" s="7">
        <f>VC_NEW2!DW24</f>
        <v>0</v>
      </c>
      <c r="EC56" s="7">
        <f>VC_NEW2!DX24</f>
        <v>0</v>
      </c>
      <c r="ED56" s="7">
        <f>VC_NEW2!DY24</f>
        <v>0</v>
      </c>
      <c r="EE56" s="7">
        <f>VC_NEW2!DZ24</f>
        <v>0</v>
      </c>
      <c r="EF56" s="7">
        <f>VC_NEW2!EA24</f>
        <v>0</v>
      </c>
      <c r="EG56" s="7">
        <f>VC_NEW2!EB24</f>
        <v>0</v>
      </c>
      <c r="EH56" s="7" t="str">
        <f>VC_NEW2!EC24</f>
        <v>T27S, S150G</v>
      </c>
      <c r="EI56" s="7">
        <f>VC_NEW2!ED24</f>
        <v>0</v>
      </c>
      <c r="EJ56" s="7">
        <f>VC_NEW2!EE24</f>
        <v>0</v>
      </c>
      <c r="EK56" s="7">
        <f>VC_NEW2!EF24</f>
        <v>0</v>
      </c>
      <c r="EL56" s="7">
        <f>VC_NEW2!EG24</f>
        <v>0</v>
      </c>
      <c r="EM56" s="7">
        <f>VC_NEW2!EH24</f>
        <v>0</v>
      </c>
      <c r="EN56" s="7">
        <f>VC_NEW2!EI24</f>
        <v>0</v>
      </c>
      <c r="EO56" s="7">
        <f>VC_NEW2!EJ24</f>
        <v>0</v>
      </c>
      <c r="EP56" s="7">
        <f>VC_NEW2!EK24</f>
        <v>0</v>
      </c>
      <c r="EQ56" s="7">
        <f>VC_NEW2!EL24</f>
        <v>0</v>
      </c>
      <c r="ER56" s="7">
        <f>VC_NEW2!EM24</f>
        <v>0</v>
      </c>
      <c r="ES56" s="7">
        <f>VC_NEW2!EN24</f>
        <v>0</v>
      </c>
      <c r="ET56" s="7">
        <f>VC_NEW2!EO24</f>
        <v>0</v>
      </c>
      <c r="EU56" s="7">
        <f>VC_NEW2!EP24</f>
        <v>0</v>
      </c>
      <c r="EV56" s="7">
        <f>VC_NEW2!EQ24</f>
        <v>0</v>
      </c>
      <c r="EW56" s="7" t="str">
        <f>VC_NEW2!ER24</f>
        <v>R475Q</v>
      </c>
      <c r="EX56" s="7">
        <f>VC_NEW2!ES24</f>
        <v>0</v>
      </c>
      <c r="EY56" s="7">
        <f>VC_NEW2!ET24</f>
        <v>0</v>
      </c>
      <c r="EZ56" s="7">
        <f>VC_NEW2!EU24</f>
        <v>0</v>
      </c>
      <c r="FA56" s="7">
        <f>VC_NEW2!EV24</f>
        <v>0</v>
      </c>
      <c r="FB56" s="7">
        <f>VC_NEW2!EW24</f>
        <v>0</v>
      </c>
      <c r="FC56" s="7">
        <f>VC_NEW2!EX24</f>
        <v>0</v>
      </c>
      <c r="FD56" s="7">
        <f>VC_NEW2!EY24</f>
        <v>0</v>
      </c>
      <c r="FE56" s="7">
        <f>VC_NEW2!EZ24</f>
        <v>0</v>
      </c>
      <c r="FF56" s="7">
        <f>VC_NEW2!FA24</f>
        <v>0</v>
      </c>
      <c r="FG56" s="7">
        <f>VC_NEW2!FB24</f>
        <v>0</v>
      </c>
      <c r="FH56" s="7">
        <f>VC_NEW2!FC24</f>
        <v>0</v>
      </c>
      <c r="FI56" s="7" t="str">
        <f>VC_NEW2!FD24</f>
        <v>F324I</v>
      </c>
      <c r="FJ56" s="7">
        <f>VC_NEW2!FE24</f>
        <v>0</v>
      </c>
      <c r="FK56" s="7">
        <f>VC_NEW2!FF24</f>
        <v>0</v>
      </c>
      <c r="FL56" s="7" t="str">
        <f>VC_NEW2!FG24</f>
        <v>Q212K</v>
      </c>
      <c r="FM56" s="7">
        <f>VC_NEW2!FH24</f>
        <v>0</v>
      </c>
      <c r="FN56" s="7">
        <f>VC_NEW2!FI24</f>
        <v>0</v>
      </c>
      <c r="FO56" s="7">
        <f>VC_NEW2!FJ24</f>
        <v>0</v>
      </c>
      <c r="FP56" s="7">
        <f>VC_NEW2!FK24</f>
        <v>0</v>
      </c>
      <c r="FQ56" s="7">
        <f>VC_NEW2!FL24</f>
        <v>0</v>
      </c>
      <c r="FR56" s="7">
        <f>VC_NEW2!FM24</f>
        <v>0</v>
      </c>
      <c r="FS56" s="7">
        <f>VC_NEW2!FN24</f>
        <v>0</v>
      </c>
      <c r="FT56" s="7">
        <f>VC_NEW2!FO24</f>
        <v>0</v>
      </c>
      <c r="FU56" s="7">
        <f>VC_NEW2!FP24</f>
        <v>0</v>
      </c>
      <c r="FV56" s="7">
        <f>VC_NEW2!FQ24</f>
        <v>0</v>
      </c>
      <c r="FW56" s="7">
        <f>VC_NEW2!FR24</f>
        <v>0</v>
      </c>
      <c r="FX56" s="7">
        <f>VC_NEW2!FS24</f>
        <v>0</v>
      </c>
      <c r="FY56" s="7">
        <f>VC_NEW2!FT24</f>
        <v>0</v>
      </c>
      <c r="FZ56" s="7">
        <f>VC_NEW2!FU24</f>
        <v>0</v>
      </c>
      <c r="GA56" s="7">
        <f>VC_NEW2!FV24</f>
        <v>0</v>
      </c>
      <c r="GB56" s="7">
        <f>VC_NEW2!FW24</f>
        <v>0</v>
      </c>
      <c r="GC56" s="7">
        <f>VC_NEW2!FX24</f>
        <v>0</v>
      </c>
      <c r="GD56" s="7">
        <f>VC_NEW2!FY24</f>
        <v>0</v>
      </c>
      <c r="GE56" s="7">
        <f>VC_NEW2!FZ24</f>
        <v>0</v>
      </c>
      <c r="GF56" s="7">
        <f>VC_NEW2!GA24</f>
        <v>0</v>
      </c>
      <c r="GG56" s="7">
        <f>VC_NEW2!GB24</f>
        <v>0</v>
      </c>
      <c r="GH56" s="7">
        <f>VC_NEW2!GC24</f>
        <v>0</v>
      </c>
      <c r="GI56" s="7">
        <f>VC_NEW2!GD24</f>
        <v>0</v>
      </c>
      <c r="GJ56" s="7">
        <f>VC_NEW2!GE24</f>
        <v>0</v>
      </c>
      <c r="GK56" s="7">
        <f>VC_NEW2!GF24</f>
        <v>0</v>
      </c>
      <c r="GL56" s="7">
        <f>VC_NEW2!GG24</f>
        <v>0</v>
      </c>
      <c r="GM56" s="7">
        <f>VC_NEW2!GH24</f>
        <v>0</v>
      </c>
      <c r="GN56" s="7">
        <f>VC_NEW2!GI24</f>
        <v>0</v>
      </c>
      <c r="GO56" s="7">
        <f>VC_NEW2!GJ24</f>
        <v>0</v>
      </c>
      <c r="GP56" s="7">
        <f>VC_NEW2!GK24</f>
        <v>0</v>
      </c>
      <c r="GQ56" s="7">
        <f>VC_NEW2!GL24</f>
        <v>0</v>
      </c>
      <c r="GR56" s="7">
        <f>VC_NEW2!GM24</f>
        <v>0</v>
      </c>
      <c r="GS56" s="7" t="str">
        <f>VC_NEW2!GN24</f>
        <v>V289I</v>
      </c>
      <c r="GT56" s="7">
        <f>VC_NEW2!GO24</f>
        <v>0</v>
      </c>
      <c r="GU56" s="7">
        <f>VC_NEW2!GP24</f>
        <v>0</v>
      </c>
      <c r="GV56" s="7">
        <f>VC_NEW2!GQ24</f>
        <v>0</v>
      </c>
      <c r="GW56" s="7">
        <f>VC_NEW2!GR24</f>
        <v>0</v>
      </c>
      <c r="GX56" s="7">
        <f>VC_NEW2!GS24</f>
        <v>0</v>
      </c>
      <c r="GY56" s="7" t="str">
        <f>VC_NEW2!GT24</f>
        <v>nt675InsTGGCC</v>
      </c>
      <c r="GZ56" s="7">
        <f>VC_NEW2!GU24</f>
        <v>0</v>
      </c>
      <c r="HA56" s="7">
        <f>VC_NEW2!GV24</f>
        <v>0</v>
      </c>
      <c r="HB56" s="7">
        <f>VC_NEW2!GW24</f>
        <v>0</v>
      </c>
      <c r="HC56" s="7">
        <f>VC_NEW2!GX24</f>
        <v>0</v>
      </c>
    </row>
    <row r="57" spans="1:211" s="1" customFormat="1" ht="15" hidden="1" customHeight="1" x14ac:dyDescent="0.25">
      <c r="A57" s="1" t="s">
        <v>64</v>
      </c>
      <c r="B57" s="1" t="s">
        <v>65</v>
      </c>
      <c r="C57" s="4" t="s">
        <v>4</v>
      </c>
      <c r="D57" s="1" t="s">
        <v>76</v>
      </c>
      <c r="E57" s="2">
        <v>1</v>
      </c>
      <c r="F57" s="2" t="s">
        <v>73</v>
      </c>
      <c r="G57" s="12" t="s">
        <v>145</v>
      </c>
      <c r="H57" s="1">
        <f>VC_NEW2!C25</f>
        <v>0</v>
      </c>
      <c r="I57" s="1">
        <f>VC_NEW2!D25</f>
        <v>0</v>
      </c>
      <c r="J57" s="1">
        <f>VC_NEW2!E25</f>
        <v>0</v>
      </c>
      <c r="K57" s="1" t="str">
        <f>VC_NEW2!F25</f>
        <v>T83I</v>
      </c>
      <c r="L57" s="1" t="str">
        <f>VC_NEW2!G25</f>
        <v>T83I</v>
      </c>
      <c r="M57" s="1">
        <f>VC_NEW2!H25</f>
        <v>0</v>
      </c>
      <c r="N57" s="1" t="str">
        <f>VC_NEW2!I25</f>
        <v>T83I</v>
      </c>
      <c r="O57" s="1">
        <f>VC_NEW2!J25</f>
        <v>0</v>
      </c>
      <c r="P57" s="1">
        <f>VC_NEW2!K25</f>
        <v>0</v>
      </c>
      <c r="Q57" s="1">
        <f>VC_NEW2!L25</f>
        <v>0</v>
      </c>
      <c r="R57" s="1">
        <f>VC_NEW2!M25</f>
        <v>0</v>
      </c>
      <c r="S57" s="1">
        <f>VC_NEW2!N25</f>
        <v>0</v>
      </c>
      <c r="T57" s="1">
        <f>VC_NEW2!O25</f>
        <v>0</v>
      </c>
      <c r="U57" s="1">
        <f>VC_NEW2!P25</f>
        <v>0</v>
      </c>
      <c r="V57" s="1" t="str">
        <f>VC_NEW2!Q25</f>
        <v>T83I, K162R</v>
      </c>
      <c r="W57" s="1">
        <f>VC_NEW2!R25</f>
        <v>0</v>
      </c>
      <c r="X57" s="1">
        <f>VC_NEW2!S25</f>
        <v>0</v>
      </c>
      <c r="Y57" s="1">
        <f>VC_NEW2!T25</f>
        <v>0</v>
      </c>
      <c r="Z57" s="1">
        <f>VC_NEW2!U25</f>
        <v>0</v>
      </c>
      <c r="AA57" s="1">
        <f>VC_NEW2!V25</f>
        <v>0</v>
      </c>
      <c r="AB57" s="1">
        <f>VC_NEW2!W25</f>
        <v>0</v>
      </c>
      <c r="AC57" s="1" t="str">
        <f>VC_NEW2!X25</f>
        <v>D87N</v>
      </c>
      <c r="AD57" s="1">
        <f>VC_NEW2!Y25</f>
        <v>0</v>
      </c>
      <c r="AE57" s="1">
        <f>VC_NEW2!Z25</f>
        <v>0</v>
      </c>
      <c r="AF57" s="1">
        <f>VC_NEW2!AA25</f>
        <v>0</v>
      </c>
      <c r="AG57" s="1">
        <f>VC_NEW2!AB25</f>
        <v>0</v>
      </c>
      <c r="AH57" s="1">
        <f>VC_NEW2!AC25</f>
        <v>0</v>
      </c>
      <c r="AI57" s="1">
        <f>VC_NEW2!AD25</f>
        <v>0</v>
      </c>
      <c r="AJ57" s="1">
        <f>VC_NEW2!AE25</f>
        <v>0</v>
      </c>
      <c r="AK57" s="1">
        <f>VC_NEW2!AF25</f>
        <v>0</v>
      </c>
      <c r="AL57" s="1">
        <f>VC_NEW2!AG25</f>
        <v>0</v>
      </c>
      <c r="AM57" s="1">
        <f>VC_NEW2!AH25</f>
        <v>0</v>
      </c>
      <c r="AN57" s="1">
        <f>VC_NEW2!AI25</f>
        <v>0</v>
      </c>
      <c r="AO57" s="1">
        <f>VC_NEW2!AJ25</f>
        <v>0</v>
      </c>
      <c r="AP57" s="1">
        <f>VC_NEW2!AK25</f>
        <v>0</v>
      </c>
      <c r="AQ57" s="1" t="str">
        <f>VC_NEW2!AL25</f>
        <v>P440S</v>
      </c>
      <c r="AR57" s="1">
        <f>VC_NEW2!AM25</f>
        <v>0</v>
      </c>
      <c r="AS57" s="1">
        <f>VC_NEW2!AN25</f>
        <v>0</v>
      </c>
      <c r="AT57" s="1">
        <f>VC_NEW2!AO25</f>
        <v>0</v>
      </c>
      <c r="AU57" s="1" t="str">
        <f>VC_NEW2!AP25</f>
        <v>D87N</v>
      </c>
      <c r="AV57" s="1">
        <f>VC_NEW2!AQ25</f>
        <v>0</v>
      </c>
      <c r="AW57" s="1">
        <f>VC_NEW2!AR25</f>
        <v>0</v>
      </c>
      <c r="AX57" s="1">
        <f>VC_NEW2!AS25</f>
        <v>0</v>
      </c>
      <c r="AY57" s="1">
        <f>VC_NEW2!AT25</f>
        <v>0</v>
      </c>
      <c r="AZ57" s="1">
        <f>VC_NEW2!AU25</f>
        <v>0</v>
      </c>
      <c r="BA57" s="1" t="str">
        <f>VC_NEW2!AV25</f>
        <v>T83I, D87N</v>
      </c>
      <c r="BB57" s="1">
        <f>VC_NEW2!AW25</f>
        <v>0</v>
      </c>
      <c r="BC57" s="1" t="str">
        <f>VC_NEW2!AX25</f>
        <v>T83I, D87N</v>
      </c>
      <c r="BD57" s="1">
        <f>VC_NEW2!AY25</f>
        <v>0</v>
      </c>
      <c r="BE57" s="1">
        <f>VC_NEW2!AZ25</f>
        <v>0</v>
      </c>
      <c r="BF57" s="1">
        <f>VC_NEW2!BA25</f>
        <v>0</v>
      </c>
      <c r="BG57" s="1">
        <f>VC_NEW2!BB25</f>
        <v>0</v>
      </c>
      <c r="BH57" s="1">
        <f>VC_NEW2!BC25</f>
        <v>0</v>
      </c>
      <c r="BI57" s="1" t="str">
        <f>VC_NEW2!BD25</f>
        <v>T83I, D87N</v>
      </c>
      <c r="BJ57" s="1">
        <f>VC_NEW2!BE25</f>
        <v>0</v>
      </c>
      <c r="BK57" s="1" t="str">
        <f>VC_NEW2!BF25</f>
        <v>D87G</v>
      </c>
      <c r="BL57" s="1">
        <f>VC_NEW2!BG25</f>
        <v>0</v>
      </c>
      <c r="BM57" s="1">
        <f>VC_NEW2!BH25</f>
        <v>0</v>
      </c>
      <c r="BN57" s="1" t="str">
        <f>VC_NEW2!BI25</f>
        <v>T83I</v>
      </c>
      <c r="BO57" s="1">
        <f>VC_NEW2!BJ25</f>
        <v>0</v>
      </c>
      <c r="BP57" s="1">
        <f>VC_NEW2!BK25</f>
        <v>0</v>
      </c>
      <c r="BQ57" s="1">
        <f>VC_NEW2!BL25</f>
        <v>0</v>
      </c>
      <c r="BR57" s="1" t="str">
        <f>VC_NEW2!BM25</f>
        <v>T83I, V671I, G860S</v>
      </c>
      <c r="BS57" s="1" t="str">
        <f>VC_NEW2!BN25</f>
        <v>T83I, D87N</v>
      </c>
      <c r="BT57" s="1" t="str">
        <f>VC_NEW2!BO25</f>
        <v>T83I</v>
      </c>
      <c r="BU57" s="1">
        <f>VC_NEW2!BP25</f>
        <v>0</v>
      </c>
      <c r="BV57" s="1">
        <f>VC_NEW2!BQ25</f>
        <v>0</v>
      </c>
      <c r="BW57" s="1" t="str">
        <f>VC_NEW2!BR25</f>
        <v>T83I, D87N, V671I</v>
      </c>
      <c r="BX57" s="1">
        <f>VC_NEW2!BS25</f>
        <v>0</v>
      </c>
      <c r="BY57" s="1">
        <f>VC_NEW2!BT25</f>
        <v>0</v>
      </c>
      <c r="BZ57" s="1">
        <f>VC_NEW2!BU25</f>
        <v>0</v>
      </c>
      <c r="CA57" s="1">
        <f>VC_NEW2!BV25</f>
        <v>0</v>
      </c>
      <c r="CB57" s="1">
        <f>VC_NEW2!BW25</f>
        <v>0</v>
      </c>
      <c r="CC57" s="1">
        <f>VC_NEW2!BX25</f>
        <v>0</v>
      </c>
      <c r="CD57" s="1" t="str">
        <f>VC_NEW2!BY25</f>
        <v>T83I, D87N</v>
      </c>
      <c r="CE57" s="1">
        <f>VC_NEW2!BZ25</f>
        <v>0</v>
      </c>
      <c r="CF57" s="1" t="str">
        <f>VC_NEW2!CA25</f>
        <v xml:space="preserve">T83I </v>
      </c>
      <c r="CG57" s="1">
        <f>VC_NEW2!CB25</f>
        <v>0</v>
      </c>
      <c r="CH57" s="1">
        <f>VC_NEW2!CC25</f>
        <v>0</v>
      </c>
      <c r="CI57" s="1">
        <f>VC_NEW2!CD25</f>
        <v>0</v>
      </c>
      <c r="CJ57" s="1" t="str">
        <f>VC_NEW2!CE25</f>
        <v>T83I, D87N</v>
      </c>
      <c r="CK57" s="1" t="str">
        <f>VC_NEW2!CF25</f>
        <v>T83I, D87N</v>
      </c>
      <c r="CL57" s="1">
        <f>VC_NEW2!CG25</f>
        <v>0</v>
      </c>
      <c r="CM57" s="1" t="str">
        <f>VC_NEW2!CH25</f>
        <v>T83I, V671I, G860S</v>
      </c>
      <c r="CN57" s="1">
        <f>VC_NEW2!CI25</f>
        <v>0</v>
      </c>
      <c r="CO57" s="1">
        <f>VC_NEW2!CJ25</f>
        <v>0</v>
      </c>
      <c r="CP57" s="1" t="str">
        <f>VC_NEW2!CK25</f>
        <v>T83I, D87N</v>
      </c>
      <c r="CQ57" s="1" t="str">
        <f>VC_NEW2!CL25</f>
        <v>T83I, D87N</v>
      </c>
      <c r="CR57" s="1">
        <f>VC_NEW2!CM25</f>
        <v>0</v>
      </c>
      <c r="CS57" s="1">
        <f>VC_NEW2!CN25</f>
        <v>0</v>
      </c>
      <c r="CT57" s="1" t="str">
        <f>VC_NEW2!CO25</f>
        <v>N200S</v>
      </c>
      <c r="CU57" s="1">
        <f>VC_NEW2!CP25</f>
        <v>0</v>
      </c>
      <c r="CV57" s="1">
        <f>VC_NEW2!CQ25</f>
        <v>0</v>
      </c>
      <c r="CW57" s="1" t="str">
        <f>VC_NEW2!CR25</f>
        <v>T83I</v>
      </c>
      <c r="CX57" s="1">
        <f>VC_NEW2!CS25</f>
        <v>0</v>
      </c>
      <c r="CY57" s="1">
        <f>VC_NEW2!CT25</f>
        <v>0</v>
      </c>
      <c r="CZ57" s="1" t="str">
        <f>VC_NEW2!CU25</f>
        <v>T83I</v>
      </c>
      <c r="DA57" s="1">
        <f>VC_NEW2!CV25</f>
        <v>0</v>
      </c>
      <c r="DB57" s="1">
        <f>VC_NEW2!CW25</f>
        <v>0</v>
      </c>
      <c r="DC57" s="1">
        <f>VC_NEW2!CX25</f>
        <v>0</v>
      </c>
      <c r="DD57" s="1">
        <f>VC_NEW2!CY25</f>
        <v>0</v>
      </c>
      <c r="DE57" s="1">
        <f>VC_NEW2!CZ25</f>
        <v>0</v>
      </c>
      <c r="DF57" s="1">
        <f>VC_NEW2!DA25</f>
        <v>0</v>
      </c>
      <c r="DG57" s="1">
        <f>VC_NEW2!DB25</f>
        <v>0</v>
      </c>
      <c r="DH57" s="1" t="str">
        <f>VC_NEW2!DC25</f>
        <v xml:space="preserve">A669P </v>
      </c>
      <c r="DI57" s="1">
        <f>VC_NEW2!DD25</f>
        <v>0</v>
      </c>
      <c r="DJ57" s="1" t="str">
        <f>VC_NEW2!DE25</f>
        <v>T83I</v>
      </c>
      <c r="DK57" s="1" t="str">
        <f>VC_NEW2!DF25</f>
        <v>T83I</v>
      </c>
      <c r="DL57" s="1" t="str">
        <f>VC_NEW2!DG25</f>
        <v xml:space="preserve">T83I </v>
      </c>
      <c r="DM57" s="1">
        <f>VC_NEW2!DH25</f>
        <v>0</v>
      </c>
      <c r="DN57" s="1">
        <f>VC_NEW2!DI25</f>
        <v>0</v>
      </c>
      <c r="DO57" s="1" t="str">
        <f>VC_NEW2!DJ25</f>
        <v xml:space="preserve">D87N </v>
      </c>
      <c r="DP57" s="1" t="str">
        <f>VC_NEW2!DK25</f>
        <v>T83I</v>
      </c>
      <c r="DQ57" s="1">
        <f>VC_NEW2!DL25</f>
        <v>0</v>
      </c>
      <c r="DR57" s="1">
        <f>VC_NEW2!DM25</f>
        <v>0</v>
      </c>
      <c r="DS57" s="1">
        <f>VC_NEW2!DN25</f>
        <v>0</v>
      </c>
      <c r="DT57" s="1">
        <f>VC_NEW2!DO25</f>
        <v>0</v>
      </c>
      <c r="DU57" s="1" t="str">
        <f>VC_NEW2!DP25</f>
        <v>T83I</v>
      </c>
      <c r="DV57" s="1" t="str">
        <f>VC_NEW2!DQ25</f>
        <v>T83I</v>
      </c>
      <c r="DW57" s="1" t="str">
        <f>VC_NEW2!DR25</f>
        <v>T83I</v>
      </c>
      <c r="DX57" s="1">
        <f>VC_NEW2!DS25</f>
        <v>0</v>
      </c>
      <c r="DY57" s="1" t="str">
        <f>VC_NEW2!DT25</f>
        <v>D87N</v>
      </c>
      <c r="DZ57" s="1">
        <f>VC_NEW2!DU25</f>
        <v>0</v>
      </c>
      <c r="EA57" s="1" t="str">
        <f>VC_NEW2!DV25</f>
        <v>T83I, D87N</v>
      </c>
      <c r="EB57" s="1">
        <f>VC_NEW2!DW25</f>
        <v>0</v>
      </c>
      <c r="EC57" s="1">
        <f>VC_NEW2!DX25</f>
        <v>0</v>
      </c>
      <c r="ED57" s="1">
        <f>VC_NEW2!DY25</f>
        <v>0</v>
      </c>
      <c r="EE57" s="1" t="str">
        <f>VC_NEW2!DZ25</f>
        <v>T83I, D87N</v>
      </c>
      <c r="EF57" s="1">
        <f>VC_NEW2!EA25</f>
        <v>0</v>
      </c>
      <c r="EG57" s="1" t="str">
        <f>VC_NEW2!EB25</f>
        <v>T83I, D87N</v>
      </c>
      <c r="EH57" s="1" t="str">
        <f>VC_NEW2!EC25</f>
        <v>T83I, V671I, G860S</v>
      </c>
      <c r="EI57" s="1">
        <f>VC_NEW2!ED25</f>
        <v>0</v>
      </c>
      <c r="EJ57" s="1" t="str">
        <f>VC_NEW2!EE25</f>
        <v xml:space="preserve">T83I </v>
      </c>
      <c r="EK57" s="1" t="str">
        <f>VC_NEW2!EF25</f>
        <v xml:space="preserve">T83I, A669P </v>
      </c>
      <c r="EL57" s="1">
        <f>VC_NEW2!EG25</f>
        <v>0</v>
      </c>
      <c r="EM57" s="1">
        <f>VC_NEW2!EH25</f>
        <v>0</v>
      </c>
      <c r="EN57" s="1" t="str">
        <f>VC_NEW2!EI25</f>
        <v>T83I</v>
      </c>
      <c r="EO57" s="1">
        <f>VC_NEW2!EJ25</f>
        <v>0</v>
      </c>
      <c r="EP57" s="1">
        <f>VC_NEW2!EK25</f>
        <v>0</v>
      </c>
      <c r="EQ57" s="1" t="str">
        <f>VC_NEW2!EL25</f>
        <v>T83I</v>
      </c>
      <c r="ER57" s="1">
        <f>VC_NEW2!EM25</f>
        <v>0</v>
      </c>
      <c r="ES57" s="1">
        <f>VC_NEW2!EN25</f>
        <v>0</v>
      </c>
      <c r="ET57" s="1" t="str">
        <f>VC_NEW2!EO25</f>
        <v>A908T</v>
      </c>
      <c r="EU57" s="1" t="str">
        <f>VC_NEW2!EP25</f>
        <v>T83I</v>
      </c>
      <c r="EV57" s="1" t="str">
        <f>VC_NEW2!EQ25</f>
        <v>D87N</v>
      </c>
      <c r="EW57" s="1">
        <f>VC_NEW2!ER25</f>
        <v>0</v>
      </c>
      <c r="EX57" s="1" t="str">
        <f>VC_NEW2!ES25</f>
        <v>aa914InsPK</v>
      </c>
      <c r="EY57" s="1">
        <f>VC_NEW2!ET25</f>
        <v>0</v>
      </c>
      <c r="EZ57" s="1">
        <f>VC_NEW2!EU25</f>
        <v>0</v>
      </c>
      <c r="FA57" s="1" t="str">
        <f>VC_NEW2!EV25</f>
        <v>T83I</v>
      </c>
      <c r="FB57" s="1">
        <f>VC_NEW2!EW25</f>
        <v>0</v>
      </c>
      <c r="FC57" s="1" t="str">
        <f>VC_NEW2!EX25</f>
        <v xml:space="preserve">T83I </v>
      </c>
      <c r="FD57" s="1">
        <f>VC_NEW2!EY25</f>
        <v>0</v>
      </c>
      <c r="FE57" s="1" t="str">
        <f>VC_NEW2!EZ25</f>
        <v>T83I</v>
      </c>
      <c r="FF57" s="1">
        <f>VC_NEW2!FA25</f>
        <v>0</v>
      </c>
      <c r="FG57" s="1">
        <f>VC_NEW2!FB25</f>
        <v>0</v>
      </c>
      <c r="FH57" s="1">
        <f>VC_NEW2!FC25</f>
        <v>0</v>
      </c>
      <c r="FI57" s="1" t="str">
        <f>VC_NEW2!FD25</f>
        <v>T83I, D87N</v>
      </c>
      <c r="FJ57" s="1">
        <f>VC_NEW2!FE25</f>
        <v>0</v>
      </c>
      <c r="FK57" s="1">
        <f>VC_NEW2!FF25</f>
        <v>0</v>
      </c>
      <c r="FL57" s="1" t="str">
        <f>VC_NEW2!FG25</f>
        <v>T83I</v>
      </c>
      <c r="FM57" s="1">
        <f>VC_NEW2!FH25</f>
        <v>0</v>
      </c>
      <c r="FN57" s="1">
        <f>VC_NEW2!FI25</f>
        <v>0</v>
      </c>
      <c r="FO57" s="1">
        <f>VC_NEW2!FJ25</f>
        <v>0</v>
      </c>
      <c r="FP57" s="1">
        <f>VC_NEW2!FK25</f>
        <v>0</v>
      </c>
      <c r="FQ57" s="1" t="str">
        <f>VC_NEW2!FL25</f>
        <v>T83I, D87N</v>
      </c>
      <c r="FR57" s="1">
        <f>VC_NEW2!FM25</f>
        <v>0</v>
      </c>
      <c r="FS57" s="1">
        <f>VC_NEW2!FN25</f>
        <v>0</v>
      </c>
      <c r="FT57" s="1">
        <f>VC_NEW2!FO25</f>
        <v>0</v>
      </c>
      <c r="FU57" s="1">
        <f>VC_NEW2!FP25</f>
        <v>0</v>
      </c>
      <c r="FV57" s="1">
        <f>VC_NEW2!FQ25</f>
        <v>0</v>
      </c>
      <c r="FW57" s="1" t="str">
        <f>VC_NEW2!FR25</f>
        <v>T83I, V671I</v>
      </c>
      <c r="FX57" s="1">
        <f>VC_NEW2!FS25</f>
        <v>0</v>
      </c>
      <c r="FY57" s="1">
        <f>VC_NEW2!FT25</f>
        <v>0</v>
      </c>
      <c r="FZ57" s="1">
        <f>VC_NEW2!FU25</f>
        <v>0</v>
      </c>
      <c r="GA57" s="1" t="str">
        <f>VC_NEW2!FV25</f>
        <v>T83I, D87N</v>
      </c>
      <c r="GB57" s="1" t="str">
        <f>VC_NEW2!FW25</f>
        <v>T83I</v>
      </c>
      <c r="GC57" s="1" t="str">
        <f>VC_NEW2!FX25</f>
        <v xml:space="preserve">D87N </v>
      </c>
      <c r="GD57" s="1">
        <f>VC_NEW2!FY25</f>
        <v>0</v>
      </c>
      <c r="GE57" s="1">
        <f>VC_NEW2!FZ25</f>
        <v>0</v>
      </c>
      <c r="GF57" s="1">
        <f>VC_NEW2!GA25</f>
        <v>0</v>
      </c>
      <c r="GG57" s="1">
        <f>VC_NEW2!GB25</f>
        <v>0</v>
      </c>
      <c r="GH57" s="1">
        <f>VC_NEW2!GC25</f>
        <v>0</v>
      </c>
      <c r="GI57" s="1">
        <f>VC_NEW2!GD25</f>
        <v>0</v>
      </c>
      <c r="GJ57" s="1" t="str">
        <f>VC_NEW2!GE25</f>
        <v xml:space="preserve">E793K </v>
      </c>
      <c r="GK57" s="1">
        <f>VC_NEW2!GF25</f>
        <v>0</v>
      </c>
      <c r="GL57" s="1">
        <f>VC_NEW2!GG25</f>
        <v>0</v>
      </c>
      <c r="GM57" s="1" t="str">
        <f>VC_NEW2!GH25</f>
        <v>T83I, D87N</v>
      </c>
      <c r="GN57" s="1">
        <f>VC_NEW2!GI25</f>
        <v>0</v>
      </c>
      <c r="GO57" s="1">
        <f>VC_NEW2!GJ25</f>
        <v>0</v>
      </c>
      <c r="GP57" s="1">
        <f>VC_NEW2!GK25</f>
        <v>0</v>
      </c>
      <c r="GQ57" s="1">
        <f>VC_NEW2!GL25</f>
        <v>0</v>
      </c>
      <c r="GR57" s="1">
        <f>VC_NEW2!GM25</f>
        <v>0</v>
      </c>
      <c r="GS57" s="1" t="str">
        <f>VC_NEW2!GN25</f>
        <v>A668T</v>
      </c>
      <c r="GT57" s="1">
        <f>VC_NEW2!GO25</f>
        <v>0</v>
      </c>
      <c r="GU57" s="1">
        <f>VC_NEW2!GP25</f>
        <v>0</v>
      </c>
      <c r="GV57" s="1">
        <f>VC_NEW2!GQ25</f>
        <v>0</v>
      </c>
      <c r="GW57" s="1" t="str">
        <f>VC_NEW2!GR25</f>
        <v>V671A</v>
      </c>
      <c r="GX57" s="1">
        <f>VC_NEW2!GS25</f>
        <v>0</v>
      </c>
      <c r="GY57" s="1" t="str">
        <f>VC_NEW2!GT25</f>
        <v>T83I, V671I, G860S</v>
      </c>
      <c r="GZ57" s="1">
        <f>VC_NEW2!GU25</f>
        <v>0</v>
      </c>
      <c r="HA57" s="1" t="str">
        <f>VC_NEW2!GV25</f>
        <v>T83I</v>
      </c>
      <c r="HB57" s="1" t="str">
        <f>VC_NEW2!GW25</f>
        <v>T83I, D87N</v>
      </c>
      <c r="HC57" s="1">
        <f>VC_NEW2!GX25</f>
        <v>0</v>
      </c>
    </row>
    <row r="58" spans="1:211" s="7" customFormat="1" ht="15" hidden="1" customHeight="1" thickBot="1" x14ac:dyDescent="0.25">
      <c r="A58" s="32" t="s">
        <v>20</v>
      </c>
      <c r="B58" s="33" t="s">
        <v>21</v>
      </c>
      <c r="C58" s="34" t="s">
        <v>1</v>
      </c>
      <c r="D58" s="33" t="s">
        <v>76</v>
      </c>
      <c r="E58" s="33" t="s">
        <v>138</v>
      </c>
      <c r="F58" s="33" t="s">
        <v>74</v>
      </c>
      <c r="G58" s="35" t="s">
        <v>136</v>
      </c>
      <c r="H58" s="7">
        <f>VC_NEW2!C26</f>
        <v>0</v>
      </c>
      <c r="I58" s="7">
        <f>VC_NEW2!D26</f>
        <v>0</v>
      </c>
      <c r="J58" s="7">
        <f>VC_NEW2!E26</f>
        <v>0</v>
      </c>
      <c r="K58" s="7" t="str">
        <f>VC_NEW2!F26</f>
        <v>nt451Δ16</v>
      </c>
      <c r="L58" s="7">
        <f>VC_NEW2!G26</f>
        <v>0</v>
      </c>
      <c r="M58" s="7">
        <f>VC_NEW2!H26</f>
        <v>0</v>
      </c>
      <c r="N58" s="7">
        <f>VC_NEW2!I26</f>
        <v>0</v>
      </c>
      <c r="O58" s="7">
        <f>VC_NEW2!J26</f>
        <v>0</v>
      </c>
      <c r="P58" s="7">
        <f>VC_NEW2!K26</f>
        <v>0</v>
      </c>
      <c r="Q58" s="7">
        <f>VC_NEW2!L26</f>
        <v>0</v>
      </c>
      <c r="R58" s="7">
        <f>VC_NEW2!M26</f>
        <v>0</v>
      </c>
      <c r="S58" s="7">
        <f>VC_NEW2!N26</f>
        <v>0</v>
      </c>
      <c r="T58" s="7">
        <f>VC_NEW2!O26</f>
        <v>0</v>
      </c>
      <c r="U58" s="7">
        <f>VC_NEW2!P26</f>
        <v>0</v>
      </c>
      <c r="V58" s="7" t="str">
        <f>VC_NEW2!Q26</f>
        <v>Q97X</v>
      </c>
      <c r="W58" s="7">
        <f>VC_NEW2!R26</f>
        <v>0</v>
      </c>
      <c r="X58" s="7">
        <f>VC_NEW2!S26</f>
        <v>0</v>
      </c>
      <c r="Y58" s="7">
        <f>VC_NEW2!T26</f>
        <v>0</v>
      </c>
      <c r="Z58" s="7">
        <f>VC_NEW2!U26</f>
        <v>0</v>
      </c>
      <c r="AA58" s="7">
        <f>VC_NEW2!V26</f>
        <v>0</v>
      </c>
      <c r="AB58" s="7">
        <f>VC_NEW2!W26</f>
        <v>0</v>
      </c>
      <c r="AC58" s="7">
        <f>VC_NEW2!X26</f>
        <v>0</v>
      </c>
      <c r="AD58" s="7">
        <f>VC_NEW2!Y26</f>
        <v>0</v>
      </c>
      <c r="AE58" s="7">
        <f>VC_NEW2!Z26</f>
        <v>0</v>
      </c>
      <c r="AF58" s="7">
        <f>VC_NEW2!AA26</f>
        <v>0</v>
      </c>
      <c r="AG58" s="7">
        <f>VC_NEW2!AB26</f>
        <v>0</v>
      </c>
      <c r="AH58" s="7">
        <f>VC_NEW2!AC26</f>
        <v>0</v>
      </c>
      <c r="AI58" s="7">
        <f>VC_NEW2!AD26</f>
        <v>0</v>
      </c>
      <c r="AJ58" s="7">
        <f>VC_NEW2!AE26</f>
        <v>0</v>
      </c>
      <c r="AK58" s="7">
        <f>VC_NEW2!AF26</f>
        <v>0</v>
      </c>
      <c r="AL58" s="7">
        <f>VC_NEW2!AG26</f>
        <v>0</v>
      </c>
      <c r="AM58" s="7">
        <f>VC_NEW2!AH26</f>
        <v>0</v>
      </c>
      <c r="AN58" s="7">
        <f>VC_NEW2!AI26</f>
        <v>0</v>
      </c>
      <c r="AO58" s="7">
        <f>VC_NEW2!AJ26</f>
        <v>0</v>
      </c>
      <c r="AP58" s="7">
        <f>VC_NEW2!AK26</f>
        <v>0</v>
      </c>
      <c r="AQ58" s="7">
        <f>VC_NEW2!AL26</f>
        <v>0</v>
      </c>
      <c r="AR58" s="7">
        <f>VC_NEW2!AM26</f>
        <v>0</v>
      </c>
      <c r="AS58" s="7">
        <f>VC_NEW2!AN26</f>
        <v>0</v>
      </c>
      <c r="AT58" s="7">
        <f>VC_NEW2!AO26</f>
        <v>0</v>
      </c>
      <c r="AU58" s="7">
        <f>VC_NEW2!AP26</f>
        <v>0</v>
      </c>
      <c r="AV58" s="7">
        <f>VC_NEW2!AQ26</f>
        <v>0</v>
      </c>
      <c r="AW58" s="7">
        <f>VC_NEW2!AR26</f>
        <v>0</v>
      </c>
      <c r="AX58" s="7">
        <f>VC_NEW2!AS26</f>
        <v>0</v>
      </c>
      <c r="AY58" s="7">
        <f>VC_NEW2!AT26</f>
        <v>0</v>
      </c>
      <c r="AZ58" s="7">
        <f>VC_NEW2!AU26</f>
        <v>0</v>
      </c>
      <c r="BA58" s="7">
        <f>VC_NEW2!AV26</f>
        <v>0</v>
      </c>
      <c r="BB58" s="7">
        <f>VC_NEW2!AW26</f>
        <v>0</v>
      </c>
      <c r="BC58" s="7">
        <f>VC_NEW2!AX26</f>
        <v>0</v>
      </c>
      <c r="BD58" s="7">
        <f>VC_NEW2!AY26</f>
        <v>0</v>
      </c>
      <c r="BE58" s="7">
        <f>VC_NEW2!AZ26</f>
        <v>0</v>
      </c>
      <c r="BF58" s="7">
        <f>VC_NEW2!BA26</f>
        <v>0</v>
      </c>
      <c r="BG58" s="7">
        <f>VC_NEW2!BB26</f>
        <v>0</v>
      </c>
      <c r="BH58" s="7">
        <f>VC_NEW2!BC26</f>
        <v>0</v>
      </c>
      <c r="BI58" s="7">
        <f>VC_NEW2!BD26</f>
        <v>0</v>
      </c>
      <c r="BJ58" s="7" t="str">
        <f>VC_NEW2!BE26</f>
        <v>aa25∆1</v>
      </c>
      <c r="BK58" s="7">
        <f>VC_NEW2!BF26</f>
        <v>0</v>
      </c>
      <c r="BL58" s="7">
        <f>VC_NEW2!BG26</f>
        <v>0</v>
      </c>
      <c r="BM58" s="7">
        <f>VC_NEW2!BH26</f>
        <v>0</v>
      </c>
      <c r="BN58" s="7">
        <f>VC_NEW2!BI26</f>
        <v>0</v>
      </c>
      <c r="BO58" s="7">
        <f>VC_NEW2!BJ26</f>
        <v>0</v>
      </c>
      <c r="BP58" s="7">
        <f>VC_NEW2!BK26</f>
        <v>0</v>
      </c>
      <c r="BQ58" s="7">
        <f>VC_NEW2!BL26</f>
        <v>0</v>
      </c>
      <c r="BR58" s="7">
        <f>VC_NEW2!BM26</f>
        <v>0</v>
      </c>
      <c r="BS58" s="7">
        <f>VC_NEW2!BN26</f>
        <v>0</v>
      </c>
      <c r="BT58" s="7" t="str">
        <f>VC_NEW2!BO26</f>
        <v>T11N</v>
      </c>
      <c r="BU58" s="7">
        <f>VC_NEW2!BP26</f>
        <v>0</v>
      </c>
      <c r="BV58" s="7">
        <f>VC_NEW2!BQ26</f>
        <v>0</v>
      </c>
      <c r="BW58" s="7" t="str">
        <f>VC_NEW2!BR26</f>
        <v>∆204nt</v>
      </c>
      <c r="BX58" s="7">
        <f>VC_NEW2!BS26</f>
        <v>0</v>
      </c>
      <c r="BY58" s="7">
        <f>VC_NEW2!BT26</f>
        <v>0</v>
      </c>
      <c r="BZ58" s="7">
        <f>VC_NEW2!BU26</f>
        <v>0</v>
      </c>
      <c r="CA58" s="7">
        <f>VC_NEW2!BV26</f>
        <v>0</v>
      </c>
      <c r="CB58" s="7">
        <f>VC_NEW2!BW26</f>
        <v>0</v>
      </c>
      <c r="CC58" s="7">
        <f>VC_NEW2!BX26</f>
        <v>0</v>
      </c>
      <c r="CD58" s="7">
        <f>VC_NEW2!BY26</f>
        <v>0</v>
      </c>
      <c r="CE58" s="7">
        <f>VC_NEW2!BZ26</f>
        <v>0</v>
      </c>
      <c r="CF58" s="7">
        <f>VC_NEW2!CA26</f>
        <v>0</v>
      </c>
      <c r="CG58" s="7">
        <f>VC_NEW2!CB26</f>
        <v>0</v>
      </c>
      <c r="CH58" s="7">
        <f>VC_NEW2!CC26</f>
        <v>0</v>
      </c>
      <c r="CI58" s="7">
        <f>VC_NEW2!CD26</f>
        <v>0</v>
      </c>
      <c r="CJ58" s="7">
        <f>VC_NEW2!CE26</f>
        <v>0</v>
      </c>
      <c r="CK58" s="7">
        <f>VC_NEW2!CF26</f>
        <v>0</v>
      </c>
      <c r="CL58" s="7">
        <f>VC_NEW2!CG26</f>
        <v>0</v>
      </c>
      <c r="CM58" s="7">
        <f>VC_NEW2!CH26</f>
        <v>0</v>
      </c>
      <c r="CN58" s="7">
        <f>VC_NEW2!CI26</f>
        <v>0</v>
      </c>
      <c r="CO58" s="7">
        <f>VC_NEW2!CJ26</f>
        <v>0</v>
      </c>
      <c r="CP58" s="7">
        <f>VC_NEW2!CK26</f>
        <v>0</v>
      </c>
      <c r="CQ58" s="7">
        <f>VC_NEW2!CL26</f>
        <v>0</v>
      </c>
      <c r="CR58" s="7">
        <f>VC_NEW2!CM26</f>
        <v>0</v>
      </c>
      <c r="CS58" s="7">
        <f>VC_NEW2!CN26</f>
        <v>0</v>
      </c>
      <c r="CT58" s="7">
        <f>VC_NEW2!CO26</f>
        <v>0</v>
      </c>
      <c r="CU58" s="7">
        <f>VC_NEW2!CP26</f>
        <v>0</v>
      </c>
      <c r="CV58" s="7">
        <f>VC_NEW2!CQ26</f>
        <v>0</v>
      </c>
      <c r="CW58" s="7">
        <f>VC_NEW2!CR26</f>
        <v>0</v>
      </c>
      <c r="CX58" s="7" t="str">
        <f>VC_NEW2!CS26</f>
        <v>T188A</v>
      </c>
      <c r="CY58" s="7">
        <f>VC_NEW2!CT26</f>
        <v>0</v>
      </c>
      <c r="CZ58" s="7" t="str">
        <f>VC_NEW2!CU26</f>
        <v>nt263∆17</v>
      </c>
      <c r="DA58" s="7">
        <f>VC_NEW2!CV26</f>
        <v>0</v>
      </c>
      <c r="DB58" s="7">
        <f>VC_NEW2!CW26</f>
        <v>0</v>
      </c>
      <c r="DC58" s="7">
        <f>VC_NEW2!CX26</f>
        <v>0</v>
      </c>
      <c r="DD58" s="7">
        <f>VC_NEW2!CY26</f>
        <v>0</v>
      </c>
      <c r="DE58" s="7">
        <f>VC_NEW2!CZ26</f>
        <v>0</v>
      </c>
      <c r="DF58" s="7">
        <f>VC_NEW2!DA26</f>
        <v>0</v>
      </c>
      <c r="DG58" s="7">
        <f>VC_NEW2!DB26</f>
        <v>0</v>
      </c>
      <c r="DH58" s="7">
        <f>VC_NEW2!DC26</f>
        <v>0</v>
      </c>
      <c r="DI58" s="7">
        <f>VC_NEW2!DD26</f>
        <v>0</v>
      </c>
      <c r="DJ58" s="7">
        <f>VC_NEW2!DE26</f>
        <v>0</v>
      </c>
      <c r="DK58" s="7" t="str">
        <f>VC_NEW2!DF26</f>
        <v>nt396∆2</v>
      </c>
      <c r="DL58" s="7">
        <f>VC_NEW2!DG26</f>
        <v>0</v>
      </c>
      <c r="DM58" s="7">
        <f>VC_NEW2!DH26</f>
        <v>0</v>
      </c>
      <c r="DN58" s="7">
        <f>VC_NEW2!DI26</f>
        <v>0</v>
      </c>
      <c r="DO58" s="7">
        <f>VC_NEW2!DJ26</f>
        <v>0</v>
      </c>
      <c r="DP58" s="7" t="str">
        <f>VC_NEW2!DK26</f>
        <v>C149Y</v>
      </c>
      <c r="DQ58" s="7">
        <f>VC_NEW2!DL26</f>
        <v>0</v>
      </c>
      <c r="DR58" s="7">
        <f>VC_NEW2!DM26</f>
        <v>0</v>
      </c>
      <c r="DS58" s="7">
        <f>VC_NEW2!DN26</f>
        <v>0</v>
      </c>
      <c r="DT58" s="7">
        <f>VC_NEW2!DO26</f>
        <v>0</v>
      </c>
      <c r="DU58" s="7">
        <f>VC_NEW2!DP26</f>
        <v>0</v>
      </c>
      <c r="DV58" s="7">
        <f>VC_NEW2!DQ26</f>
        <v>0</v>
      </c>
      <c r="DW58" s="7">
        <f>VC_NEW2!DR26</f>
        <v>0</v>
      </c>
      <c r="DX58" s="7">
        <f>VC_NEW2!DS26</f>
        <v>0</v>
      </c>
      <c r="DY58" s="7">
        <f>VC_NEW2!DT26</f>
        <v>0</v>
      </c>
      <c r="DZ58" s="7">
        <f>VC_NEW2!DU26</f>
        <v>0</v>
      </c>
      <c r="EA58" s="7">
        <f>VC_NEW2!DV26</f>
        <v>0</v>
      </c>
      <c r="EB58" s="7">
        <f>VC_NEW2!DW26</f>
        <v>0</v>
      </c>
      <c r="EC58" s="7">
        <f>VC_NEW2!DX26</f>
        <v>0</v>
      </c>
      <c r="ED58" s="7">
        <f>VC_NEW2!DY26</f>
        <v>0</v>
      </c>
      <c r="EE58" s="7">
        <f>VC_NEW2!DZ26</f>
        <v>0</v>
      </c>
      <c r="EF58" s="7">
        <f>VC_NEW2!EA26</f>
        <v>0</v>
      </c>
      <c r="EG58" s="7">
        <f>VC_NEW2!EB26</f>
        <v>0</v>
      </c>
      <c r="EH58" s="7" t="str">
        <f>VC_NEW2!EC26</f>
        <v>G78R, nt232∆19</v>
      </c>
      <c r="EI58" s="7">
        <f>VC_NEW2!ED26</f>
        <v>0</v>
      </c>
      <c r="EJ58" s="7">
        <f>VC_NEW2!EE26</f>
        <v>0</v>
      </c>
      <c r="EK58" s="7">
        <f>VC_NEW2!EF26</f>
        <v>0</v>
      </c>
      <c r="EL58" s="7">
        <f>VC_NEW2!EG26</f>
        <v>0</v>
      </c>
      <c r="EM58" s="7">
        <f>VC_NEW2!EH26</f>
        <v>0</v>
      </c>
      <c r="EN58" s="7">
        <f>VC_NEW2!EI26</f>
        <v>0</v>
      </c>
      <c r="EO58" s="7">
        <f>VC_NEW2!EJ26</f>
        <v>0</v>
      </c>
      <c r="EP58" s="7">
        <f>VC_NEW2!EK26</f>
        <v>0</v>
      </c>
      <c r="EQ58" s="7" t="str">
        <f>VC_NEW2!EL26</f>
        <v>nt232∆19</v>
      </c>
      <c r="ER58" s="7">
        <f>VC_NEW2!EM26</f>
        <v>0</v>
      </c>
      <c r="ES58" s="7">
        <f>VC_NEW2!EN26</f>
        <v>0</v>
      </c>
      <c r="ET58" s="7">
        <f>VC_NEW2!EO26</f>
        <v>0</v>
      </c>
      <c r="EU58" s="7" t="str">
        <f>VC_NEW2!EP26</f>
        <v>nt232∆19</v>
      </c>
      <c r="EV58" s="7">
        <f>VC_NEW2!EQ26</f>
        <v>0</v>
      </c>
      <c r="EW58" s="7" t="str">
        <f>VC_NEW2!ER26</f>
        <v>E21D</v>
      </c>
      <c r="EX58" s="7">
        <f>VC_NEW2!ES26</f>
        <v>0</v>
      </c>
      <c r="EY58" s="7">
        <f>VC_NEW2!ET26</f>
        <v>0</v>
      </c>
      <c r="EZ58" s="7">
        <f>VC_NEW2!EU26</f>
        <v>0</v>
      </c>
      <c r="FA58" s="7" t="str">
        <f>VC_NEW2!EV26</f>
        <v>nt295∆17</v>
      </c>
      <c r="FB58" s="7">
        <f>VC_NEW2!EW26</f>
        <v>0</v>
      </c>
      <c r="FC58" s="7" t="str">
        <f>VC_NEW2!EX26</f>
        <v>T188A</v>
      </c>
      <c r="FD58" s="7">
        <f>VC_NEW2!EY26</f>
        <v>0</v>
      </c>
      <c r="FE58" s="7">
        <f>VC_NEW2!EZ26</f>
        <v>0</v>
      </c>
      <c r="FF58" s="7">
        <f>VC_NEW2!FA26</f>
        <v>0</v>
      </c>
      <c r="FG58" s="7">
        <f>VC_NEW2!FB26</f>
        <v>0</v>
      </c>
      <c r="FH58" s="7">
        <f>VC_NEW2!FC26</f>
        <v>0</v>
      </c>
      <c r="FI58" s="7" t="str">
        <f>VC_NEW2!FD26</f>
        <v>∆605nt</v>
      </c>
      <c r="FJ58" s="7">
        <f>VC_NEW2!FE26</f>
        <v>0</v>
      </c>
      <c r="FK58" s="7">
        <f>VC_NEW2!FF26</f>
        <v>0</v>
      </c>
      <c r="FL58" s="7">
        <f>VC_NEW2!FG26</f>
        <v>0</v>
      </c>
      <c r="FM58" s="7">
        <f>VC_NEW2!FH26</f>
        <v>0</v>
      </c>
      <c r="FN58" s="7">
        <f>VC_NEW2!FI26</f>
        <v>0</v>
      </c>
      <c r="FO58" s="7">
        <f>VC_NEW2!FJ26</f>
        <v>0</v>
      </c>
      <c r="FP58" s="7">
        <f>VC_NEW2!FK26</f>
        <v>0</v>
      </c>
      <c r="FQ58" s="7">
        <f>VC_NEW2!FL26</f>
        <v>0</v>
      </c>
      <c r="FR58" s="7">
        <f>VC_NEW2!FM26</f>
        <v>0</v>
      </c>
      <c r="FS58" s="7">
        <f>VC_NEW2!FN26</f>
        <v>0</v>
      </c>
      <c r="FT58" s="7">
        <f>VC_NEW2!FO26</f>
        <v>0</v>
      </c>
      <c r="FU58" s="7">
        <f>VC_NEW2!FP26</f>
        <v>0</v>
      </c>
      <c r="FV58" s="7">
        <f>VC_NEW2!FQ26</f>
        <v>0</v>
      </c>
      <c r="FW58" s="7">
        <f>VC_NEW2!FR26</f>
        <v>0</v>
      </c>
      <c r="FX58" s="7">
        <f>VC_NEW2!FS26</f>
        <v>0</v>
      </c>
      <c r="FY58" s="7">
        <f>VC_NEW2!FT26</f>
        <v>0</v>
      </c>
      <c r="FZ58" s="7">
        <f>VC_NEW2!FU26</f>
        <v>0</v>
      </c>
      <c r="GA58" s="7">
        <f>VC_NEW2!FV26</f>
        <v>0</v>
      </c>
      <c r="GB58" s="7" t="str">
        <f>VC_NEW2!FW26</f>
        <v>nt475∆16</v>
      </c>
      <c r="GC58" s="7">
        <f>VC_NEW2!FX26</f>
        <v>0</v>
      </c>
      <c r="GD58" s="7">
        <f>VC_NEW2!FY26</f>
        <v>0</v>
      </c>
      <c r="GE58" s="7">
        <f>VC_NEW2!FZ26</f>
        <v>0</v>
      </c>
      <c r="GF58" s="7" t="str">
        <f>VC_NEW2!GA26</f>
        <v>T188A</v>
      </c>
      <c r="GG58" s="7">
        <f>VC_NEW2!GB26</f>
        <v>0</v>
      </c>
      <c r="GH58" s="7">
        <f>VC_NEW2!GC26</f>
        <v>0</v>
      </c>
      <c r="GI58" s="7" t="str">
        <f>VC_NEW2!GD26</f>
        <v>T188A</v>
      </c>
      <c r="GJ58" s="7">
        <f>VC_NEW2!GE26</f>
        <v>0</v>
      </c>
      <c r="GK58" s="7">
        <f>VC_NEW2!GF26</f>
        <v>0</v>
      </c>
      <c r="GL58" s="7">
        <f>VC_NEW2!GG26</f>
        <v>0</v>
      </c>
      <c r="GM58" s="7">
        <f>VC_NEW2!GH26</f>
        <v>0</v>
      </c>
      <c r="GN58" s="7">
        <f>VC_NEW2!GI26</f>
        <v>0</v>
      </c>
      <c r="GO58" s="7" t="str">
        <f>VC_NEW2!GJ26</f>
        <v>T188A</v>
      </c>
      <c r="GP58" s="7">
        <f>VC_NEW2!GK26</f>
        <v>0</v>
      </c>
      <c r="GQ58" s="7">
        <f>VC_NEW2!GL26</f>
        <v>0</v>
      </c>
      <c r="GR58" s="7">
        <f>VC_NEW2!GM26</f>
        <v>0</v>
      </c>
      <c r="GS58" s="7">
        <f>VC_NEW2!GN26</f>
        <v>0</v>
      </c>
      <c r="GT58" s="7">
        <f>VC_NEW2!GO26</f>
        <v>0</v>
      </c>
      <c r="GU58" s="7">
        <f>VC_NEW2!GP26</f>
        <v>0</v>
      </c>
      <c r="GV58" s="7" t="str">
        <f>VC_NEW2!GQ26</f>
        <v>G172D</v>
      </c>
      <c r="GW58" s="7">
        <f>VC_NEW2!GR26</f>
        <v>0</v>
      </c>
      <c r="GX58" s="7">
        <f>VC_NEW2!GS26</f>
        <v>0</v>
      </c>
      <c r="GY58" s="7">
        <f>VC_NEW2!GT26</f>
        <v>0</v>
      </c>
      <c r="GZ58" s="7">
        <f>VC_NEW2!GU26</f>
        <v>0</v>
      </c>
      <c r="HA58" s="7">
        <f>VC_NEW2!GV26</f>
        <v>0</v>
      </c>
      <c r="HB58" s="7">
        <f>VC_NEW2!GW26</f>
        <v>0</v>
      </c>
      <c r="HC58" s="7">
        <f>VC_NEW2!GX26</f>
        <v>0</v>
      </c>
    </row>
    <row r="59" spans="1:211" s="7" customFormat="1" ht="15.75" customHeight="1" x14ac:dyDescent="0.25">
      <c r="A59" s="36" t="s">
        <v>20</v>
      </c>
      <c r="B59" s="37" t="s">
        <v>21</v>
      </c>
      <c r="C59" s="38" t="s">
        <v>2</v>
      </c>
      <c r="D59" s="37" t="s">
        <v>76</v>
      </c>
      <c r="E59" s="37" t="s">
        <v>138</v>
      </c>
      <c r="F59" s="37" t="s">
        <v>74</v>
      </c>
      <c r="G59" s="39" t="s">
        <v>136</v>
      </c>
      <c r="H59" s="7">
        <f>VC_NEW2!C26</f>
        <v>0</v>
      </c>
      <c r="I59" s="7">
        <f>VC_NEW2!D26</f>
        <v>0</v>
      </c>
      <c r="J59" s="7">
        <f>VC_NEW2!E26</f>
        <v>0</v>
      </c>
      <c r="K59" s="7" t="str">
        <f>VC_NEW2!F26</f>
        <v>nt451Δ16</v>
      </c>
      <c r="L59" s="7">
        <f>VC_NEW2!G26</f>
        <v>0</v>
      </c>
      <c r="M59" s="7">
        <f>VC_NEW2!H26</f>
        <v>0</v>
      </c>
      <c r="N59" s="7">
        <f>VC_NEW2!I26</f>
        <v>0</v>
      </c>
      <c r="O59" s="7">
        <f>VC_NEW2!J26</f>
        <v>0</v>
      </c>
      <c r="P59" s="7">
        <f>VC_NEW2!K26</f>
        <v>0</v>
      </c>
      <c r="Q59" s="7">
        <f>VC_NEW2!L26</f>
        <v>0</v>
      </c>
      <c r="R59" s="7">
        <f>VC_NEW2!M26</f>
        <v>0</v>
      </c>
      <c r="S59" s="7">
        <f>VC_NEW2!N26</f>
        <v>0</v>
      </c>
      <c r="T59" s="7">
        <f>VC_NEW2!O26</f>
        <v>0</v>
      </c>
      <c r="U59" s="7">
        <f>VC_NEW2!P26</f>
        <v>0</v>
      </c>
      <c r="V59" s="7" t="str">
        <f>VC_NEW2!Q26</f>
        <v>Q97X</v>
      </c>
      <c r="W59" s="7">
        <f>VC_NEW2!R26</f>
        <v>0</v>
      </c>
      <c r="X59" s="7">
        <f>VC_NEW2!S26</f>
        <v>0</v>
      </c>
      <c r="Y59" s="7">
        <f>VC_NEW2!T26</f>
        <v>0</v>
      </c>
      <c r="Z59" s="7">
        <f>VC_NEW2!U26</f>
        <v>0</v>
      </c>
      <c r="AA59" s="7">
        <f>VC_NEW2!V26</f>
        <v>0</v>
      </c>
      <c r="AB59" s="7">
        <f>VC_NEW2!W26</f>
        <v>0</v>
      </c>
      <c r="AC59" s="7">
        <f>VC_NEW2!X26</f>
        <v>0</v>
      </c>
      <c r="AD59" s="7">
        <f>VC_NEW2!Y26</f>
        <v>0</v>
      </c>
      <c r="AE59" s="7">
        <f>VC_NEW2!Z26</f>
        <v>0</v>
      </c>
      <c r="AF59" s="7">
        <f>VC_NEW2!AA26</f>
        <v>0</v>
      </c>
      <c r="AG59" s="7">
        <f>VC_NEW2!AB26</f>
        <v>0</v>
      </c>
      <c r="AH59" s="7">
        <f>VC_NEW2!AC26</f>
        <v>0</v>
      </c>
      <c r="AI59" s="7">
        <f>VC_NEW2!AD26</f>
        <v>0</v>
      </c>
      <c r="AJ59" s="7">
        <f>VC_NEW2!AE26</f>
        <v>0</v>
      </c>
      <c r="AK59" s="7">
        <f>VC_NEW2!AF26</f>
        <v>0</v>
      </c>
      <c r="AL59" s="7">
        <f>VC_NEW2!AG26</f>
        <v>0</v>
      </c>
      <c r="AM59" s="7">
        <f>VC_NEW2!AH26</f>
        <v>0</v>
      </c>
      <c r="AN59" s="7">
        <f>VC_NEW2!AI26</f>
        <v>0</v>
      </c>
      <c r="AO59" s="7">
        <f>VC_NEW2!AJ26</f>
        <v>0</v>
      </c>
      <c r="AP59" s="7">
        <f>VC_NEW2!AK26</f>
        <v>0</v>
      </c>
      <c r="AQ59" s="7">
        <f>VC_NEW2!AL26</f>
        <v>0</v>
      </c>
      <c r="AR59" s="7">
        <f>VC_NEW2!AM26</f>
        <v>0</v>
      </c>
      <c r="AS59" s="7">
        <f>VC_NEW2!AN26</f>
        <v>0</v>
      </c>
      <c r="AT59" s="7">
        <f>VC_NEW2!AO26</f>
        <v>0</v>
      </c>
      <c r="AU59" s="7">
        <f>VC_NEW2!AP26</f>
        <v>0</v>
      </c>
      <c r="AV59" s="7">
        <f>VC_NEW2!AQ26</f>
        <v>0</v>
      </c>
      <c r="AW59" s="7">
        <f>VC_NEW2!AR26</f>
        <v>0</v>
      </c>
      <c r="AX59" s="7">
        <f>VC_NEW2!AS26</f>
        <v>0</v>
      </c>
      <c r="AY59" s="7">
        <f>VC_NEW2!AT26</f>
        <v>0</v>
      </c>
      <c r="AZ59" s="7">
        <f>VC_NEW2!AU26</f>
        <v>0</v>
      </c>
      <c r="BA59" s="7">
        <f>VC_NEW2!AV26</f>
        <v>0</v>
      </c>
      <c r="BB59" s="7">
        <f>VC_NEW2!AW26</f>
        <v>0</v>
      </c>
      <c r="BC59" s="7">
        <f>VC_NEW2!AX26</f>
        <v>0</v>
      </c>
      <c r="BD59" s="7">
        <f>VC_NEW2!AY26</f>
        <v>0</v>
      </c>
      <c r="BE59" s="7">
        <f>VC_NEW2!AZ26</f>
        <v>0</v>
      </c>
      <c r="BF59" s="7">
        <f>VC_NEW2!BA26</f>
        <v>0</v>
      </c>
      <c r="BG59" s="7">
        <f>VC_NEW2!BB26</f>
        <v>0</v>
      </c>
      <c r="BH59" s="7">
        <f>VC_NEW2!BC26</f>
        <v>0</v>
      </c>
      <c r="BI59" s="7">
        <f>VC_NEW2!BD26</f>
        <v>0</v>
      </c>
      <c r="BJ59" s="7" t="str">
        <f>VC_NEW2!BE26</f>
        <v>aa25∆1</v>
      </c>
      <c r="BK59" s="7">
        <f>VC_NEW2!BF26</f>
        <v>0</v>
      </c>
      <c r="BL59" s="7">
        <f>VC_NEW2!BG26</f>
        <v>0</v>
      </c>
      <c r="BM59" s="7">
        <f>VC_NEW2!BH26</f>
        <v>0</v>
      </c>
      <c r="BN59" s="7">
        <f>VC_NEW2!BI26</f>
        <v>0</v>
      </c>
      <c r="BO59" s="7">
        <f>VC_NEW2!BJ26</f>
        <v>0</v>
      </c>
      <c r="BP59" s="7">
        <f>VC_NEW2!BK26</f>
        <v>0</v>
      </c>
      <c r="BQ59" s="7">
        <f>VC_NEW2!BL26</f>
        <v>0</v>
      </c>
      <c r="BR59" s="7">
        <f>VC_NEW2!BM26</f>
        <v>0</v>
      </c>
      <c r="BS59" s="7">
        <f>VC_NEW2!BN26</f>
        <v>0</v>
      </c>
      <c r="BT59" s="7" t="str">
        <f>VC_NEW2!BO26</f>
        <v>T11N</v>
      </c>
      <c r="BU59" s="7">
        <f>VC_NEW2!BP26</f>
        <v>0</v>
      </c>
      <c r="BV59" s="7">
        <f>VC_NEW2!BQ26</f>
        <v>0</v>
      </c>
      <c r="BW59" s="7" t="str">
        <f>VC_NEW2!BR26</f>
        <v>∆204nt</v>
      </c>
      <c r="BX59" s="7">
        <f>VC_NEW2!BS26</f>
        <v>0</v>
      </c>
      <c r="BY59" s="7">
        <f>VC_NEW2!BT26</f>
        <v>0</v>
      </c>
      <c r="BZ59" s="7">
        <f>VC_NEW2!BU26</f>
        <v>0</v>
      </c>
      <c r="CA59" s="7">
        <f>VC_NEW2!BV26</f>
        <v>0</v>
      </c>
      <c r="CB59" s="7">
        <f>VC_NEW2!BW26</f>
        <v>0</v>
      </c>
      <c r="CC59" s="7">
        <f>VC_NEW2!BX26</f>
        <v>0</v>
      </c>
      <c r="CD59" s="7">
        <f>VC_NEW2!BY26</f>
        <v>0</v>
      </c>
      <c r="CE59" s="7">
        <f>VC_NEW2!BZ26</f>
        <v>0</v>
      </c>
      <c r="CF59" s="7">
        <f>VC_NEW2!CA26</f>
        <v>0</v>
      </c>
      <c r="CG59" s="7">
        <f>VC_NEW2!CB26</f>
        <v>0</v>
      </c>
      <c r="CH59" s="7">
        <f>VC_NEW2!CC26</f>
        <v>0</v>
      </c>
      <c r="CI59" s="7">
        <f>VC_NEW2!CD26</f>
        <v>0</v>
      </c>
      <c r="CJ59" s="7">
        <f>VC_NEW2!CE26</f>
        <v>0</v>
      </c>
      <c r="CK59" s="7">
        <f>VC_NEW2!CF26</f>
        <v>0</v>
      </c>
      <c r="CL59" s="7">
        <f>VC_NEW2!CG26</f>
        <v>0</v>
      </c>
      <c r="CM59" s="7">
        <f>VC_NEW2!CH26</f>
        <v>0</v>
      </c>
      <c r="CN59" s="7">
        <f>VC_NEW2!CI26</f>
        <v>0</v>
      </c>
      <c r="CO59" s="7">
        <f>VC_NEW2!CJ26</f>
        <v>0</v>
      </c>
      <c r="CP59" s="7">
        <f>VC_NEW2!CK26</f>
        <v>0</v>
      </c>
      <c r="CQ59" s="7">
        <f>VC_NEW2!CL26</f>
        <v>0</v>
      </c>
      <c r="CR59" s="7">
        <f>VC_NEW2!CM26</f>
        <v>0</v>
      </c>
      <c r="CS59" s="7">
        <f>VC_NEW2!CN26</f>
        <v>0</v>
      </c>
      <c r="CT59" s="7">
        <f>VC_NEW2!CO26</f>
        <v>0</v>
      </c>
      <c r="CU59" s="7">
        <f>VC_NEW2!CP26</f>
        <v>0</v>
      </c>
      <c r="CV59" s="7">
        <f>VC_NEW2!CQ26</f>
        <v>0</v>
      </c>
      <c r="CW59" s="7">
        <f>VC_NEW2!CR26</f>
        <v>0</v>
      </c>
      <c r="CX59" s="7" t="str">
        <f>VC_NEW2!CS26</f>
        <v>T188A</v>
      </c>
      <c r="CY59" s="7">
        <f>VC_NEW2!CT26</f>
        <v>0</v>
      </c>
      <c r="CZ59" s="7" t="str">
        <f>VC_NEW2!CU26</f>
        <v>nt263∆17</v>
      </c>
      <c r="DA59" s="7">
        <f>VC_NEW2!CV26</f>
        <v>0</v>
      </c>
      <c r="DB59" s="7">
        <f>VC_NEW2!CW26</f>
        <v>0</v>
      </c>
      <c r="DC59" s="7">
        <f>VC_NEW2!CX26</f>
        <v>0</v>
      </c>
      <c r="DD59" s="7">
        <f>VC_NEW2!CY26</f>
        <v>0</v>
      </c>
      <c r="DE59" s="7">
        <f>VC_NEW2!CZ26</f>
        <v>0</v>
      </c>
      <c r="DF59" s="7">
        <f>VC_NEW2!DA26</f>
        <v>0</v>
      </c>
      <c r="DG59" s="7">
        <f>VC_NEW2!DB26</f>
        <v>0</v>
      </c>
      <c r="DH59" s="7">
        <f>VC_NEW2!DC26</f>
        <v>0</v>
      </c>
      <c r="DI59" s="7">
        <f>VC_NEW2!DD26</f>
        <v>0</v>
      </c>
      <c r="DJ59" s="7">
        <f>VC_NEW2!DE26</f>
        <v>0</v>
      </c>
      <c r="DK59" s="7" t="str">
        <f>VC_NEW2!DF26</f>
        <v>nt396∆2</v>
      </c>
      <c r="DL59" s="7">
        <f>VC_NEW2!DG26</f>
        <v>0</v>
      </c>
      <c r="DM59" s="7">
        <f>VC_NEW2!DH26</f>
        <v>0</v>
      </c>
      <c r="DN59" s="7">
        <f>VC_NEW2!DI26</f>
        <v>0</v>
      </c>
      <c r="DO59" s="7">
        <f>VC_NEW2!DJ26</f>
        <v>0</v>
      </c>
      <c r="DP59" s="7" t="str">
        <f>VC_NEW2!DK26</f>
        <v>C149Y</v>
      </c>
      <c r="DQ59" s="7">
        <f>VC_NEW2!DL26</f>
        <v>0</v>
      </c>
      <c r="DR59" s="7">
        <f>VC_NEW2!DM26</f>
        <v>0</v>
      </c>
      <c r="DS59" s="7">
        <f>VC_NEW2!DN26</f>
        <v>0</v>
      </c>
      <c r="DT59" s="7">
        <f>VC_NEW2!DO26</f>
        <v>0</v>
      </c>
      <c r="DU59" s="7">
        <f>VC_NEW2!DP26</f>
        <v>0</v>
      </c>
      <c r="DV59" s="7">
        <f>VC_NEW2!DQ26</f>
        <v>0</v>
      </c>
      <c r="DW59" s="7">
        <f>VC_NEW2!DR26</f>
        <v>0</v>
      </c>
      <c r="DX59" s="7">
        <f>VC_NEW2!DS26</f>
        <v>0</v>
      </c>
      <c r="DY59" s="7">
        <f>VC_NEW2!DT26</f>
        <v>0</v>
      </c>
      <c r="DZ59" s="7">
        <f>VC_NEW2!DU26</f>
        <v>0</v>
      </c>
      <c r="EA59" s="7">
        <f>VC_NEW2!DV26</f>
        <v>0</v>
      </c>
      <c r="EB59" s="7">
        <f>VC_NEW2!DW26</f>
        <v>0</v>
      </c>
      <c r="EC59" s="7">
        <f>VC_NEW2!DX26</f>
        <v>0</v>
      </c>
      <c r="ED59" s="7">
        <f>VC_NEW2!DY26</f>
        <v>0</v>
      </c>
      <c r="EE59" s="7">
        <f>VC_NEW2!DZ26</f>
        <v>0</v>
      </c>
      <c r="EF59" s="7">
        <f>VC_NEW2!EA26</f>
        <v>0</v>
      </c>
      <c r="EG59" s="7">
        <f>VC_NEW2!EB26</f>
        <v>0</v>
      </c>
      <c r="EH59" s="7" t="str">
        <f>VC_NEW2!EC26</f>
        <v>G78R, nt232∆19</v>
      </c>
      <c r="EI59" s="7">
        <f>VC_NEW2!ED26</f>
        <v>0</v>
      </c>
      <c r="EJ59" s="7">
        <f>VC_NEW2!EE26</f>
        <v>0</v>
      </c>
      <c r="EK59" s="7">
        <f>VC_NEW2!EF26</f>
        <v>0</v>
      </c>
      <c r="EL59" s="7">
        <f>VC_NEW2!EG26</f>
        <v>0</v>
      </c>
      <c r="EM59" s="7">
        <f>VC_NEW2!EH26</f>
        <v>0</v>
      </c>
      <c r="EN59" s="7">
        <f>VC_NEW2!EI26</f>
        <v>0</v>
      </c>
      <c r="EO59" s="7">
        <f>VC_NEW2!EJ26</f>
        <v>0</v>
      </c>
      <c r="EP59" s="7">
        <f>VC_NEW2!EK26</f>
        <v>0</v>
      </c>
      <c r="EQ59" s="7" t="str">
        <f>VC_NEW2!EL26</f>
        <v>nt232∆19</v>
      </c>
      <c r="ER59" s="7">
        <f>VC_NEW2!EM26</f>
        <v>0</v>
      </c>
      <c r="ES59" s="7">
        <f>VC_NEW2!EN26</f>
        <v>0</v>
      </c>
      <c r="ET59" s="7">
        <f>VC_NEW2!EO26</f>
        <v>0</v>
      </c>
      <c r="EU59" s="7" t="str">
        <f>VC_NEW2!EP26</f>
        <v>nt232∆19</v>
      </c>
      <c r="EV59" s="7">
        <f>VC_NEW2!EQ26</f>
        <v>0</v>
      </c>
      <c r="EW59" s="7" t="str">
        <f>VC_NEW2!ER26</f>
        <v>E21D</v>
      </c>
      <c r="EX59" s="7">
        <f>VC_NEW2!ES26</f>
        <v>0</v>
      </c>
      <c r="EY59" s="7">
        <f>VC_NEW2!ET26</f>
        <v>0</v>
      </c>
      <c r="EZ59" s="7">
        <f>VC_NEW2!EU26</f>
        <v>0</v>
      </c>
      <c r="FA59" s="7" t="str">
        <f>VC_NEW2!EV26</f>
        <v>nt295∆17</v>
      </c>
      <c r="FB59" s="7">
        <f>VC_NEW2!EW26</f>
        <v>0</v>
      </c>
      <c r="FC59" s="7" t="str">
        <f>VC_NEW2!EX26</f>
        <v>T188A</v>
      </c>
      <c r="FD59" s="7">
        <f>VC_NEW2!EY26</f>
        <v>0</v>
      </c>
      <c r="FE59" s="7">
        <f>VC_NEW2!EZ26</f>
        <v>0</v>
      </c>
      <c r="FF59" s="7">
        <f>VC_NEW2!FA26</f>
        <v>0</v>
      </c>
      <c r="FG59" s="7">
        <f>VC_NEW2!FB26</f>
        <v>0</v>
      </c>
      <c r="FH59" s="7">
        <f>VC_NEW2!FC26</f>
        <v>0</v>
      </c>
      <c r="FI59" s="7" t="str">
        <f>VC_NEW2!FD26</f>
        <v>∆605nt</v>
      </c>
      <c r="FJ59" s="7">
        <f>VC_NEW2!FE26</f>
        <v>0</v>
      </c>
      <c r="FK59" s="7">
        <f>VC_NEW2!FF26</f>
        <v>0</v>
      </c>
      <c r="FL59" s="7">
        <f>VC_NEW2!FG26</f>
        <v>0</v>
      </c>
      <c r="FM59" s="7">
        <f>VC_NEW2!FH26</f>
        <v>0</v>
      </c>
      <c r="FN59" s="7">
        <f>VC_NEW2!FI26</f>
        <v>0</v>
      </c>
      <c r="FO59" s="7">
        <f>VC_NEW2!FJ26</f>
        <v>0</v>
      </c>
      <c r="FP59" s="7">
        <f>VC_NEW2!FK26</f>
        <v>0</v>
      </c>
      <c r="FQ59" s="7">
        <f>VC_NEW2!FL26</f>
        <v>0</v>
      </c>
      <c r="FR59" s="7">
        <f>VC_NEW2!FM26</f>
        <v>0</v>
      </c>
      <c r="FS59" s="7">
        <f>VC_NEW2!FN26</f>
        <v>0</v>
      </c>
      <c r="FT59" s="7">
        <f>VC_NEW2!FO26</f>
        <v>0</v>
      </c>
      <c r="FU59" s="7">
        <f>VC_NEW2!FP26</f>
        <v>0</v>
      </c>
      <c r="FV59" s="7">
        <f>VC_NEW2!FQ26</f>
        <v>0</v>
      </c>
      <c r="FW59" s="7">
        <f>VC_NEW2!FR26</f>
        <v>0</v>
      </c>
      <c r="FX59" s="7">
        <f>VC_NEW2!FS26</f>
        <v>0</v>
      </c>
      <c r="FY59" s="7">
        <f>VC_NEW2!FT26</f>
        <v>0</v>
      </c>
      <c r="FZ59" s="7">
        <f>VC_NEW2!FU26</f>
        <v>0</v>
      </c>
      <c r="GA59" s="7">
        <f>VC_NEW2!FV26</f>
        <v>0</v>
      </c>
      <c r="GB59" s="7" t="str">
        <f>VC_NEW2!FW26</f>
        <v>nt475∆16</v>
      </c>
      <c r="GC59" s="7">
        <f>VC_NEW2!FX26</f>
        <v>0</v>
      </c>
      <c r="GD59" s="7">
        <f>VC_NEW2!FY26</f>
        <v>0</v>
      </c>
      <c r="GE59" s="7">
        <f>VC_NEW2!FZ26</f>
        <v>0</v>
      </c>
      <c r="GF59" s="7" t="str">
        <f>VC_NEW2!GA26</f>
        <v>T188A</v>
      </c>
      <c r="GG59" s="7">
        <f>VC_NEW2!GB26</f>
        <v>0</v>
      </c>
      <c r="GH59" s="7">
        <f>VC_NEW2!GC26</f>
        <v>0</v>
      </c>
      <c r="GI59" s="7" t="str">
        <f>VC_NEW2!GD26</f>
        <v>T188A</v>
      </c>
      <c r="GJ59" s="7">
        <f>VC_NEW2!GE26</f>
        <v>0</v>
      </c>
      <c r="GK59" s="7">
        <f>VC_NEW2!GF26</f>
        <v>0</v>
      </c>
      <c r="GL59" s="7">
        <f>VC_NEW2!GG26</f>
        <v>0</v>
      </c>
      <c r="GM59" s="7">
        <f>VC_NEW2!GH26</f>
        <v>0</v>
      </c>
      <c r="GN59" s="7">
        <f>VC_NEW2!GI26</f>
        <v>0</v>
      </c>
      <c r="GO59" s="7" t="str">
        <f>VC_NEW2!GJ26</f>
        <v>T188A</v>
      </c>
      <c r="GP59" s="7">
        <f>VC_NEW2!GK26</f>
        <v>0</v>
      </c>
      <c r="GQ59" s="7">
        <f>VC_NEW2!GL26</f>
        <v>0</v>
      </c>
      <c r="GR59" s="7">
        <f>VC_NEW2!GM26</f>
        <v>0</v>
      </c>
      <c r="GS59" s="7">
        <f>VC_NEW2!GN26</f>
        <v>0</v>
      </c>
      <c r="GT59" s="7">
        <f>VC_NEW2!GO26</f>
        <v>0</v>
      </c>
      <c r="GU59" s="7">
        <f>VC_NEW2!GP26</f>
        <v>0</v>
      </c>
      <c r="GV59" s="7" t="str">
        <f>VC_NEW2!GQ26</f>
        <v>G172D</v>
      </c>
      <c r="GW59" s="7">
        <f>VC_NEW2!GR26</f>
        <v>0</v>
      </c>
      <c r="GX59" s="7">
        <f>VC_NEW2!GS26</f>
        <v>0</v>
      </c>
      <c r="GY59" s="7">
        <f>VC_NEW2!GT26</f>
        <v>0</v>
      </c>
      <c r="GZ59" s="7">
        <f>VC_NEW2!GU26</f>
        <v>0</v>
      </c>
      <c r="HA59" s="7">
        <f>VC_NEW2!GV26</f>
        <v>0</v>
      </c>
      <c r="HB59" s="7">
        <f>VC_NEW2!GW26</f>
        <v>0</v>
      </c>
      <c r="HC59" s="7">
        <f>VC_NEW2!GX26</f>
        <v>0</v>
      </c>
    </row>
    <row r="60" spans="1:211" s="7" customFormat="1" ht="15" hidden="1" customHeight="1" x14ac:dyDescent="0.25">
      <c r="A60" s="36" t="s">
        <v>20</v>
      </c>
      <c r="B60" s="37" t="s">
        <v>21</v>
      </c>
      <c r="C60" s="38" t="s">
        <v>4</v>
      </c>
      <c r="D60" s="37" t="s">
        <v>76</v>
      </c>
      <c r="E60" s="37" t="s">
        <v>138</v>
      </c>
      <c r="F60" s="37" t="s">
        <v>74</v>
      </c>
      <c r="G60" s="39" t="s">
        <v>136</v>
      </c>
      <c r="H60" s="7">
        <f>VC_NEW2!C26</f>
        <v>0</v>
      </c>
      <c r="I60" s="7">
        <f>VC_NEW2!D26</f>
        <v>0</v>
      </c>
      <c r="J60" s="7">
        <f>VC_NEW2!E26</f>
        <v>0</v>
      </c>
      <c r="K60" s="7" t="str">
        <f>VC_NEW2!F26</f>
        <v>nt451Δ16</v>
      </c>
      <c r="L60" s="7">
        <f>VC_NEW2!G26</f>
        <v>0</v>
      </c>
      <c r="M60" s="7">
        <f>VC_NEW2!H26</f>
        <v>0</v>
      </c>
      <c r="N60" s="7">
        <f>VC_NEW2!I26</f>
        <v>0</v>
      </c>
      <c r="O60" s="7">
        <f>VC_NEW2!J26</f>
        <v>0</v>
      </c>
      <c r="P60" s="7">
        <f>VC_NEW2!K26</f>
        <v>0</v>
      </c>
      <c r="Q60" s="7">
        <f>VC_NEW2!L26</f>
        <v>0</v>
      </c>
      <c r="R60" s="7">
        <f>VC_NEW2!M26</f>
        <v>0</v>
      </c>
      <c r="S60" s="7">
        <f>VC_NEW2!N26</f>
        <v>0</v>
      </c>
      <c r="T60" s="7">
        <f>VC_NEW2!O26</f>
        <v>0</v>
      </c>
      <c r="U60" s="7">
        <f>VC_NEW2!P26</f>
        <v>0</v>
      </c>
      <c r="V60" s="7" t="str">
        <f>VC_NEW2!Q26</f>
        <v>Q97X</v>
      </c>
      <c r="W60" s="7">
        <f>VC_NEW2!R26</f>
        <v>0</v>
      </c>
      <c r="X60" s="7">
        <f>VC_NEW2!S26</f>
        <v>0</v>
      </c>
      <c r="Y60" s="7">
        <f>VC_NEW2!T26</f>
        <v>0</v>
      </c>
      <c r="Z60" s="7">
        <f>VC_NEW2!U26</f>
        <v>0</v>
      </c>
      <c r="AA60" s="7">
        <f>VC_NEW2!V26</f>
        <v>0</v>
      </c>
      <c r="AB60" s="7">
        <f>VC_NEW2!W26</f>
        <v>0</v>
      </c>
      <c r="AC60" s="7">
        <f>VC_NEW2!X26</f>
        <v>0</v>
      </c>
      <c r="AD60" s="7">
        <f>VC_NEW2!Y26</f>
        <v>0</v>
      </c>
      <c r="AE60" s="7">
        <f>VC_NEW2!Z26</f>
        <v>0</v>
      </c>
      <c r="AF60" s="7">
        <f>VC_NEW2!AA26</f>
        <v>0</v>
      </c>
      <c r="AG60" s="7">
        <f>VC_NEW2!AB26</f>
        <v>0</v>
      </c>
      <c r="AH60" s="7">
        <f>VC_NEW2!AC26</f>
        <v>0</v>
      </c>
      <c r="AI60" s="7">
        <f>VC_NEW2!AD26</f>
        <v>0</v>
      </c>
      <c r="AJ60" s="7">
        <f>VC_NEW2!AE26</f>
        <v>0</v>
      </c>
      <c r="AK60" s="7">
        <f>VC_NEW2!AF26</f>
        <v>0</v>
      </c>
      <c r="AL60" s="7">
        <f>VC_NEW2!AG26</f>
        <v>0</v>
      </c>
      <c r="AM60" s="7">
        <f>VC_NEW2!AH26</f>
        <v>0</v>
      </c>
      <c r="AN60" s="7">
        <f>VC_NEW2!AI26</f>
        <v>0</v>
      </c>
      <c r="AO60" s="7">
        <f>VC_NEW2!AJ26</f>
        <v>0</v>
      </c>
      <c r="AP60" s="7">
        <f>VC_NEW2!AK26</f>
        <v>0</v>
      </c>
      <c r="AQ60" s="7">
        <f>VC_NEW2!AL26</f>
        <v>0</v>
      </c>
      <c r="AR60" s="7">
        <f>VC_NEW2!AM26</f>
        <v>0</v>
      </c>
      <c r="AS60" s="7">
        <f>VC_NEW2!AN26</f>
        <v>0</v>
      </c>
      <c r="AT60" s="7">
        <f>VC_NEW2!AO26</f>
        <v>0</v>
      </c>
      <c r="AU60" s="7">
        <f>VC_NEW2!AP26</f>
        <v>0</v>
      </c>
      <c r="AV60" s="7">
        <f>VC_NEW2!AQ26</f>
        <v>0</v>
      </c>
      <c r="AW60" s="7">
        <f>VC_NEW2!AR26</f>
        <v>0</v>
      </c>
      <c r="AX60" s="7">
        <f>VC_NEW2!AS26</f>
        <v>0</v>
      </c>
      <c r="AY60" s="7">
        <f>VC_NEW2!AT26</f>
        <v>0</v>
      </c>
      <c r="AZ60" s="7">
        <f>VC_NEW2!AU26</f>
        <v>0</v>
      </c>
      <c r="BA60" s="7">
        <f>VC_NEW2!AV26</f>
        <v>0</v>
      </c>
      <c r="BB60" s="7">
        <f>VC_NEW2!AW26</f>
        <v>0</v>
      </c>
      <c r="BC60" s="7">
        <f>VC_NEW2!AX26</f>
        <v>0</v>
      </c>
      <c r="BD60" s="7">
        <f>VC_NEW2!AY26</f>
        <v>0</v>
      </c>
      <c r="BE60" s="7">
        <f>VC_NEW2!AZ26</f>
        <v>0</v>
      </c>
      <c r="BF60" s="7">
        <f>VC_NEW2!BA26</f>
        <v>0</v>
      </c>
      <c r="BG60" s="7">
        <f>VC_NEW2!BB26</f>
        <v>0</v>
      </c>
      <c r="BH60" s="7">
        <f>VC_NEW2!BC26</f>
        <v>0</v>
      </c>
      <c r="BI60" s="7">
        <f>VC_NEW2!BD26</f>
        <v>0</v>
      </c>
      <c r="BJ60" s="7" t="str">
        <f>VC_NEW2!BE26</f>
        <v>aa25∆1</v>
      </c>
      <c r="BK60" s="7">
        <f>VC_NEW2!BF26</f>
        <v>0</v>
      </c>
      <c r="BL60" s="7">
        <f>VC_NEW2!BG26</f>
        <v>0</v>
      </c>
      <c r="BM60" s="7">
        <f>VC_NEW2!BH26</f>
        <v>0</v>
      </c>
      <c r="BN60" s="7">
        <f>VC_NEW2!BI26</f>
        <v>0</v>
      </c>
      <c r="BO60" s="7">
        <f>VC_NEW2!BJ26</f>
        <v>0</v>
      </c>
      <c r="BP60" s="7">
        <f>VC_NEW2!BK26</f>
        <v>0</v>
      </c>
      <c r="BQ60" s="7">
        <f>VC_NEW2!BL26</f>
        <v>0</v>
      </c>
      <c r="BR60" s="7">
        <f>VC_NEW2!BM26</f>
        <v>0</v>
      </c>
      <c r="BS60" s="7">
        <f>VC_NEW2!BN26</f>
        <v>0</v>
      </c>
      <c r="BT60" s="7" t="str">
        <f>VC_NEW2!BO26</f>
        <v>T11N</v>
      </c>
      <c r="BU60" s="7">
        <f>VC_NEW2!BP26</f>
        <v>0</v>
      </c>
      <c r="BV60" s="7">
        <f>VC_NEW2!BQ26</f>
        <v>0</v>
      </c>
      <c r="BW60" s="7" t="str">
        <f>VC_NEW2!BR26</f>
        <v>∆204nt</v>
      </c>
      <c r="BX60" s="7">
        <f>VC_NEW2!BS26</f>
        <v>0</v>
      </c>
      <c r="BY60" s="7">
        <f>VC_NEW2!BT26</f>
        <v>0</v>
      </c>
      <c r="BZ60" s="7">
        <f>VC_NEW2!BU26</f>
        <v>0</v>
      </c>
      <c r="CA60" s="7">
        <f>VC_NEW2!BV26</f>
        <v>0</v>
      </c>
      <c r="CB60" s="7">
        <f>VC_NEW2!BW26</f>
        <v>0</v>
      </c>
      <c r="CC60" s="7">
        <f>VC_NEW2!BX26</f>
        <v>0</v>
      </c>
      <c r="CD60" s="7">
        <f>VC_NEW2!BY26</f>
        <v>0</v>
      </c>
      <c r="CE60" s="7">
        <f>VC_NEW2!BZ26</f>
        <v>0</v>
      </c>
      <c r="CF60" s="7">
        <f>VC_NEW2!CA26</f>
        <v>0</v>
      </c>
      <c r="CG60" s="7">
        <f>VC_NEW2!CB26</f>
        <v>0</v>
      </c>
      <c r="CH60" s="7">
        <f>VC_NEW2!CC26</f>
        <v>0</v>
      </c>
      <c r="CI60" s="7">
        <f>VC_NEW2!CD26</f>
        <v>0</v>
      </c>
      <c r="CJ60" s="7">
        <f>VC_NEW2!CE26</f>
        <v>0</v>
      </c>
      <c r="CK60" s="7">
        <f>VC_NEW2!CF26</f>
        <v>0</v>
      </c>
      <c r="CL60" s="7">
        <f>VC_NEW2!CG26</f>
        <v>0</v>
      </c>
      <c r="CM60" s="7">
        <f>VC_NEW2!CH26</f>
        <v>0</v>
      </c>
      <c r="CN60" s="7">
        <f>VC_NEW2!CI26</f>
        <v>0</v>
      </c>
      <c r="CO60" s="7">
        <f>VC_NEW2!CJ26</f>
        <v>0</v>
      </c>
      <c r="CP60" s="7">
        <f>VC_NEW2!CK26</f>
        <v>0</v>
      </c>
      <c r="CQ60" s="7">
        <f>VC_NEW2!CL26</f>
        <v>0</v>
      </c>
      <c r="CR60" s="7">
        <f>VC_NEW2!CM26</f>
        <v>0</v>
      </c>
      <c r="CS60" s="7">
        <f>VC_NEW2!CN26</f>
        <v>0</v>
      </c>
      <c r="CT60" s="7">
        <f>VC_NEW2!CO26</f>
        <v>0</v>
      </c>
      <c r="CU60" s="7">
        <f>VC_NEW2!CP26</f>
        <v>0</v>
      </c>
      <c r="CV60" s="7">
        <f>VC_NEW2!CQ26</f>
        <v>0</v>
      </c>
      <c r="CW60" s="7">
        <f>VC_NEW2!CR26</f>
        <v>0</v>
      </c>
      <c r="CX60" s="7" t="str">
        <f>VC_NEW2!CS26</f>
        <v>T188A</v>
      </c>
      <c r="CY60" s="7">
        <f>VC_NEW2!CT26</f>
        <v>0</v>
      </c>
      <c r="CZ60" s="7" t="str">
        <f>VC_NEW2!CU26</f>
        <v>nt263∆17</v>
      </c>
      <c r="DA60" s="7">
        <f>VC_NEW2!CV26</f>
        <v>0</v>
      </c>
      <c r="DB60" s="7">
        <f>VC_NEW2!CW26</f>
        <v>0</v>
      </c>
      <c r="DC60" s="7">
        <f>VC_NEW2!CX26</f>
        <v>0</v>
      </c>
      <c r="DD60" s="7">
        <f>VC_NEW2!CY26</f>
        <v>0</v>
      </c>
      <c r="DE60" s="7">
        <f>VC_NEW2!CZ26</f>
        <v>0</v>
      </c>
      <c r="DF60" s="7">
        <f>VC_NEW2!DA26</f>
        <v>0</v>
      </c>
      <c r="DG60" s="7">
        <f>VC_NEW2!DB26</f>
        <v>0</v>
      </c>
      <c r="DH60" s="7">
        <f>VC_NEW2!DC26</f>
        <v>0</v>
      </c>
      <c r="DI60" s="7">
        <f>VC_NEW2!DD26</f>
        <v>0</v>
      </c>
      <c r="DJ60" s="7">
        <f>VC_NEW2!DE26</f>
        <v>0</v>
      </c>
      <c r="DK60" s="7" t="str">
        <f>VC_NEW2!DF26</f>
        <v>nt396∆2</v>
      </c>
      <c r="DL60" s="7">
        <f>VC_NEW2!DG26</f>
        <v>0</v>
      </c>
      <c r="DM60" s="7">
        <f>VC_NEW2!DH26</f>
        <v>0</v>
      </c>
      <c r="DN60" s="7">
        <f>VC_NEW2!DI26</f>
        <v>0</v>
      </c>
      <c r="DO60" s="7">
        <f>VC_NEW2!DJ26</f>
        <v>0</v>
      </c>
      <c r="DP60" s="7" t="str">
        <f>VC_NEW2!DK26</f>
        <v>C149Y</v>
      </c>
      <c r="DQ60" s="7">
        <f>VC_NEW2!DL26</f>
        <v>0</v>
      </c>
      <c r="DR60" s="7">
        <f>VC_NEW2!DM26</f>
        <v>0</v>
      </c>
      <c r="DS60" s="7">
        <f>VC_NEW2!DN26</f>
        <v>0</v>
      </c>
      <c r="DT60" s="7">
        <f>VC_NEW2!DO26</f>
        <v>0</v>
      </c>
      <c r="DU60" s="7">
        <f>VC_NEW2!DP26</f>
        <v>0</v>
      </c>
      <c r="DV60" s="7">
        <f>VC_NEW2!DQ26</f>
        <v>0</v>
      </c>
      <c r="DW60" s="7">
        <f>VC_NEW2!DR26</f>
        <v>0</v>
      </c>
      <c r="DX60" s="7">
        <f>VC_NEW2!DS26</f>
        <v>0</v>
      </c>
      <c r="DY60" s="7">
        <f>VC_NEW2!DT26</f>
        <v>0</v>
      </c>
      <c r="DZ60" s="7">
        <f>VC_NEW2!DU26</f>
        <v>0</v>
      </c>
      <c r="EA60" s="7">
        <f>VC_NEW2!DV26</f>
        <v>0</v>
      </c>
      <c r="EB60" s="7">
        <f>VC_NEW2!DW26</f>
        <v>0</v>
      </c>
      <c r="EC60" s="7">
        <f>VC_NEW2!DX26</f>
        <v>0</v>
      </c>
      <c r="ED60" s="7">
        <f>VC_NEW2!DY26</f>
        <v>0</v>
      </c>
      <c r="EE60" s="7">
        <f>VC_NEW2!DZ26</f>
        <v>0</v>
      </c>
      <c r="EF60" s="7">
        <f>VC_NEW2!EA26</f>
        <v>0</v>
      </c>
      <c r="EG60" s="7">
        <f>VC_NEW2!EB26</f>
        <v>0</v>
      </c>
      <c r="EH60" s="7" t="str">
        <f>VC_NEW2!EC26</f>
        <v>G78R, nt232∆19</v>
      </c>
      <c r="EI60" s="7">
        <f>VC_NEW2!ED26</f>
        <v>0</v>
      </c>
      <c r="EJ60" s="7">
        <f>VC_NEW2!EE26</f>
        <v>0</v>
      </c>
      <c r="EK60" s="7">
        <f>VC_NEW2!EF26</f>
        <v>0</v>
      </c>
      <c r="EL60" s="7">
        <f>VC_NEW2!EG26</f>
        <v>0</v>
      </c>
      <c r="EM60" s="7">
        <f>VC_NEW2!EH26</f>
        <v>0</v>
      </c>
      <c r="EN60" s="7">
        <f>VC_NEW2!EI26</f>
        <v>0</v>
      </c>
      <c r="EO60" s="7">
        <f>VC_NEW2!EJ26</f>
        <v>0</v>
      </c>
      <c r="EP60" s="7">
        <f>VC_NEW2!EK26</f>
        <v>0</v>
      </c>
      <c r="EQ60" s="7" t="str">
        <f>VC_NEW2!EL26</f>
        <v>nt232∆19</v>
      </c>
      <c r="ER60" s="7">
        <f>VC_NEW2!EM26</f>
        <v>0</v>
      </c>
      <c r="ES60" s="7">
        <f>VC_NEW2!EN26</f>
        <v>0</v>
      </c>
      <c r="ET60" s="7">
        <f>VC_NEW2!EO26</f>
        <v>0</v>
      </c>
      <c r="EU60" s="7" t="str">
        <f>VC_NEW2!EP26</f>
        <v>nt232∆19</v>
      </c>
      <c r="EV60" s="7">
        <f>VC_NEW2!EQ26</f>
        <v>0</v>
      </c>
      <c r="EW60" s="7" t="str">
        <f>VC_NEW2!ER26</f>
        <v>E21D</v>
      </c>
      <c r="EX60" s="7">
        <f>VC_NEW2!ES26</f>
        <v>0</v>
      </c>
      <c r="EY60" s="7">
        <f>VC_NEW2!ET26</f>
        <v>0</v>
      </c>
      <c r="EZ60" s="7">
        <f>VC_NEW2!EU26</f>
        <v>0</v>
      </c>
      <c r="FA60" s="7" t="str">
        <f>VC_NEW2!EV26</f>
        <v>nt295∆17</v>
      </c>
      <c r="FB60" s="7">
        <f>VC_NEW2!EW26</f>
        <v>0</v>
      </c>
      <c r="FC60" s="7" t="str">
        <f>VC_NEW2!EX26</f>
        <v>T188A</v>
      </c>
      <c r="FD60" s="7">
        <f>VC_NEW2!EY26</f>
        <v>0</v>
      </c>
      <c r="FE60" s="7">
        <f>VC_NEW2!EZ26</f>
        <v>0</v>
      </c>
      <c r="FF60" s="7">
        <f>VC_NEW2!FA26</f>
        <v>0</v>
      </c>
      <c r="FG60" s="7">
        <f>VC_NEW2!FB26</f>
        <v>0</v>
      </c>
      <c r="FH60" s="7">
        <f>VC_NEW2!FC26</f>
        <v>0</v>
      </c>
      <c r="FI60" s="7" t="str">
        <f>VC_NEW2!FD26</f>
        <v>∆605nt</v>
      </c>
      <c r="FJ60" s="7">
        <f>VC_NEW2!FE26</f>
        <v>0</v>
      </c>
      <c r="FK60" s="7">
        <f>VC_NEW2!FF26</f>
        <v>0</v>
      </c>
      <c r="FL60" s="7">
        <f>VC_NEW2!FG26</f>
        <v>0</v>
      </c>
      <c r="FM60" s="7">
        <f>VC_NEW2!FH26</f>
        <v>0</v>
      </c>
      <c r="FN60" s="7">
        <f>VC_NEW2!FI26</f>
        <v>0</v>
      </c>
      <c r="FO60" s="7">
        <f>VC_NEW2!FJ26</f>
        <v>0</v>
      </c>
      <c r="FP60" s="7">
        <f>VC_NEW2!FK26</f>
        <v>0</v>
      </c>
      <c r="FQ60" s="7">
        <f>VC_NEW2!FL26</f>
        <v>0</v>
      </c>
      <c r="FR60" s="7">
        <f>VC_NEW2!FM26</f>
        <v>0</v>
      </c>
      <c r="FS60" s="7">
        <f>VC_NEW2!FN26</f>
        <v>0</v>
      </c>
      <c r="FT60" s="7">
        <f>VC_NEW2!FO26</f>
        <v>0</v>
      </c>
      <c r="FU60" s="7">
        <f>VC_NEW2!FP26</f>
        <v>0</v>
      </c>
      <c r="FV60" s="7">
        <f>VC_NEW2!FQ26</f>
        <v>0</v>
      </c>
      <c r="FW60" s="7">
        <f>VC_NEW2!FR26</f>
        <v>0</v>
      </c>
      <c r="FX60" s="7">
        <f>VC_NEW2!FS26</f>
        <v>0</v>
      </c>
      <c r="FY60" s="7">
        <f>VC_NEW2!FT26</f>
        <v>0</v>
      </c>
      <c r="FZ60" s="7">
        <f>VC_NEW2!FU26</f>
        <v>0</v>
      </c>
      <c r="GA60" s="7">
        <f>VC_NEW2!FV26</f>
        <v>0</v>
      </c>
      <c r="GB60" s="7" t="str">
        <f>VC_NEW2!FW26</f>
        <v>nt475∆16</v>
      </c>
      <c r="GC60" s="7">
        <f>VC_NEW2!FX26</f>
        <v>0</v>
      </c>
      <c r="GD60" s="7">
        <f>VC_NEW2!FY26</f>
        <v>0</v>
      </c>
      <c r="GE60" s="7">
        <f>VC_NEW2!FZ26</f>
        <v>0</v>
      </c>
      <c r="GF60" s="7" t="str">
        <f>VC_NEW2!GA26</f>
        <v>T188A</v>
      </c>
      <c r="GG60" s="7">
        <f>VC_NEW2!GB26</f>
        <v>0</v>
      </c>
      <c r="GH60" s="7">
        <f>VC_NEW2!GC26</f>
        <v>0</v>
      </c>
      <c r="GI60" s="7" t="str">
        <f>VC_NEW2!GD26</f>
        <v>T188A</v>
      </c>
      <c r="GJ60" s="7">
        <f>VC_NEW2!GE26</f>
        <v>0</v>
      </c>
      <c r="GK60" s="7">
        <f>VC_NEW2!GF26</f>
        <v>0</v>
      </c>
      <c r="GL60" s="7">
        <f>VC_NEW2!GG26</f>
        <v>0</v>
      </c>
      <c r="GM60" s="7">
        <f>VC_NEW2!GH26</f>
        <v>0</v>
      </c>
      <c r="GN60" s="7">
        <f>VC_NEW2!GI26</f>
        <v>0</v>
      </c>
      <c r="GO60" s="7" t="str">
        <f>VC_NEW2!GJ26</f>
        <v>T188A</v>
      </c>
      <c r="GP60" s="7">
        <f>VC_NEW2!GK26</f>
        <v>0</v>
      </c>
      <c r="GQ60" s="7">
        <f>VC_NEW2!GL26</f>
        <v>0</v>
      </c>
      <c r="GR60" s="7">
        <f>VC_NEW2!GM26</f>
        <v>0</v>
      </c>
      <c r="GS60" s="7">
        <f>VC_NEW2!GN26</f>
        <v>0</v>
      </c>
      <c r="GT60" s="7">
        <f>VC_NEW2!GO26</f>
        <v>0</v>
      </c>
      <c r="GU60" s="7">
        <f>VC_NEW2!GP26</f>
        <v>0</v>
      </c>
      <c r="GV60" s="7" t="str">
        <f>VC_NEW2!GQ26</f>
        <v>G172D</v>
      </c>
      <c r="GW60" s="7">
        <f>VC_NEW2!GR26</f>
        <v>0</v>
      </c>
      <c r="GX60" s="7">
        <f>VC_NEW2!GS26</f>
        <v>0</v>
      </c>
      <c r="GY60" s="7">
        <f>VC_NEW2!GT26</f>
        <v>0</v>
      </c>
      <c r="GZ60" s="7">
        <f>VC_NEW2!GU26</f>
        <v>0</v>
      </c>
      <c r="HA60" s="7">
        <f>VC_NEW2!GV26</f>
        <v>0</v>
      </c>
      <c r="HB60" s="7">
        <f>VC_NEW2!GW26</f>
        <v>0</v>
      </c>
      <c r="HC60" s="7">
        <f>VC_NEW2!GX26</f>
        <v>0</v>
      </c>
    </row>
    <row r="61" spans="1:211" s="7" customFormat="1" ht="15.75" hidden="1" customHeight="1" thickBot="1" x14ac:dyDescent="0.3">
      <c r="A61" s="40" t="s">
        <v>20</v>
      </c>
      <c r="B61" s="41" t="s">
        <v>21</v>
      </c>
      <c r="C61" s="42" t="s">
        <v>3</v>
      </c>
      <c r="D61" s="41" t="s">
        <v>76</v>
      </c>
      <c r="E61" s="41" t="s">
        <v>139</v>
      </c>
      <c r="F61" s="41" t="s">
        <v>74</v>
      </c>
      <c r="G61" s="43" t="s">
        <v>136</v>
      </c>
      <c r="H61" s="7">
        <f>VC_NEW2!C26</f>
        <v>0</v>
      </c>
      <c r="I61" s="7">
        <f>VC_NEW2!D26</f>
        <v>0</v>
      </c>
      <c r="J61" s="7">
        <f>VC_NEW2!E26</f>
        <v>0</v>
      </c>
      <c r="K61" s="7" t="str">
        <f>VC_NEW2!F26</f>
        <v>nt451Δ16</v>
      </c>
      <c r="L61" s="7">
        <f>VC_NEW2!G26</f>
        <v>0</v>
      </c>
      <c r="M61" s="7">
        <f>VC_NEW2!H26</f>
        <v>0</v>
      </c>
      <c r="N61" s="7">
        <f>VC_NEW2!I26</f>
        <v>0</v>
      </c>
      <c r="O61" s="7">
        <f>VC_NEW2!J26</f>
        <v>0</v>
      </c>
      <c r="P61" s="7">
        <f>VC_NEW2!K26</f>
        <v>0</v>
      </c>
      <c r="Q61" s="7">
        <f>VC_NEW2!L26</f>
        <v>0</v>
      </c>
      <c r="R61" s="7">
        <f>VC_NEW2!M26</f>
        <v>0</v>
      </c>
      <c r="S61" s="7">
        <f>VC_NEW2!N26</f>
        <v>0</v>
      </c>
      <c r="T61" s="7">
        <f>VC_NEW2!O26</f>
        <v>0</v>
      </c>
      <c r="U61" s="7">
        <f>VC_NEW2!P26</f>
        <v>0</v>
      </c>
      <c r="V61" s="7" t="str">
        <f>VC_NEW2!Q26</f>
        <v>Q97X</v>
      </c>
      <c r="W61" s="7">
        <f>VC_NEW2!R26</f>
        <v>0</v>
      </c>
      <c r="X61" s="7">
        <f>VC_NEW2!S26</f>
        <v>0</v>
      </c>
      <c r="Y61" s="7">
        <f>VC_NEW2!T26</f>
        <v>0</v>
      </c>
      <c r="Z61" s="7">
        <f>VC_NEW2!U26</f>
        <v>0</v>
      </c>
      <c r="AA61" s="7">
        <f>VC_NEW2!V26</f>
        <v>0</v>
      </c>
      <c r="AB61" s="7">
        <f>VC_NEW2!W26</f>
        <v>0</v>
      </c>
      <c r="AC61" s="7">
        <f>VC_NEW2!X26</f>
        <v>0</v>
      </c>
      <c r="AD61" s="7">
        <f>VC_NEW2!Y26</f>
        <v>0</v>
      </c>
      <c r="AE61" s="7">
        <f>VC_NEW2!Z26</f>
        <v>0</v>
      </c>
      <c r="AF61" s="7">
        <f>VC_NEW2!AA26</f>
        <v>0</v>
      </c>
      <c r="AG61" s="7">
        <f>VC_NEW2!AB26</f>
        <v>0</v>
      </c>
      <c r="AH61" s="7">
        <f>VC_NEW2!AC26</f>
        <v>0</v>
      </c>
      <c r="AI61" s="7">
        <f>VC_NEW2!AD26</f>
        <v>0</v>
      </c>
      <c r="AJ61" s="7">
        <f>VC_NEW2!AE26</f>
        <v>0</v>
      </c>
      <c r="AK61" s="7">
        <f>VC_NEW2!AF26</f>
        <v>0</v>
      </c>
      <c r="AL61" s="7">
        <f>VC_NEW2!AG26</f>
        <v>0</v>
      </c>
      <c r="AM61" s="7">
        <f>VC_NEW2!AH26</f>
        <v>0</v>
      </c>
      <c r="AN61" s="7">
        <f>VC_NEW2!AI26</f>
        <v>0</v>
      </c>
      <c r="AO61" s="7">
        <f>VC_NEW2!AJ26</f>
        <v>0</v>
      </c>
      <c r="AP61" s="7">
        <f>VC_NEW2!AK26</f>
        <v>0</v>
      </c>
      <c r="AQ61" s="7">
        <f>VC_NEW2!AL26</f>
        <v>0</v>
      </c>
      <c r="AR61" s="7">
        <f>VC_NEW2!AM26</f>
        <v>0</v>
      </c>
      <c r="AS61" s="7">
        <f>VC_NEW2!AN26</f>
        <v>0</v>
      </c>
      <c r="AT61" s="7">
        <f>VC_NEW2!AO26</f>
        <v>0</v>
      </c>
      <c r="AU61" s="7">
        <f>VC_NEW2!AP26</f>
        <v>0</v>
      </c>
      <c r="AV61" s="7">
        <f>VC_NEW2!AQ26</f>
        <v>0</v>
      </c>
      <c r="AW61" s="7">
        <f>VC_NEW2!AR26</f>
        <v>0</v>
      </c>
      <c r="AX61" s="7">
        <f>VC_NEW2!AS26</f>
        <v>0</v>
      </c>
      <c r="AY61" s="7">
        <f>VC_NEW2!AT26</f>
        <v>0</v>
      </c>
      <c r="AZ61" s="7">
        <f>VC_NEW2!AU26</f>
        <v>0</v>
      </c>
      <c r="BA61" s="7">
        <f>VC_NEW2!AV26</f>
        <v>0</v>
      </c>
      <c r="BB61" s="7">
        <f>VC_NEW2!AW26</f>
        <v>0</v>
      </c>
      <c r="BC61" s="7">
        <f>VC_NEW2!AX26</f>
        <v>0</v>
      </c>
      <c r="BD61" s="7">
        <f>VC_NEW2!AY26</f>
        <v>0</v>
      </c>
      <c r="BE61" s="7">
        <f>VC_NEW2!AZ26</f>
        <v>0</v>
      </c>
      <c r="BF61" s="7">
        <f>VC_NEW2!BA26</f>
        <v>0</v>
      </c>
      <c r="BG61" s="7">
        <f>VC_NEW2!BB26</f>
        <v>0</v>
      </c>
      <c r="BH61" s="7">
        <f>VC_NEW2!BC26</f>
        <v>0</v>
      </c>
      <c r="BI61" s="7">
        <f>VC_NEW2!BD26</f>
        <v>0</v>
      </c>
      <c r="BJ61" s="7" t="str">
        <f>VC_NEW2!BE26</f>
        <v>aa25∆1</v>
      </c>
      <c r="BK61" s="7">
        <f>VC_NEW2!BF26</f>
        <v>0</v>
      </c>
      <c r="BL61" s="7">
        <f>VC_NEW2!BG26</f>
        <v>0</v>
      </c>
      <c r="BM61" s="7">
        <f>VC_NEW2!BH26</f>
        <v>0</v>
      </c>
      <c r="BN61" s="7">
        <f>VC_NEW2!BI26</f>
        <v>0</v>
      </c>
      <c r="BO61" s="7">
        <f>VC_NEW2!BJ26</f>
        <v>0</v>
      </c>
      <c r="BP61" s="7">
        <f>VC_NEW2!BK26</f>
        <v>0</v>
      </c>
      <c r="BQ61" s="7">
        <f>VC_NEW2!BL26</f>
        <v>0</v>
      </c>
      <c r="BR61" s="7">
        <f>VC_NEW2!BM26</f>
        <v>0</v>
      </c>
      <c r="BS61" s="7">
        <f>VC_NEW2!BN26</f>
        <v>0</v>
      </c>
      <c r="BT61" s="7" t="str">
        <f>VC_NEW2!BO26</f>
        <v>T11N</v>
      </c>
      <c r="BU61" s="7">
        <f>VC_NEW2!BP26</f>
        <v>0</v>
      </c>
      <c r="BV61" s="7">
        <f>VC_NEW2!BQ26</f>
        <v>0</v>
      </c>
      <c r="BW61" s="7" t="str">
        <f>VC_NEW2!BR26</f>
        <v>∆204nt</v>
      </c>
      <c r="BX61" s="7">
        <f>VC_NEW2!BS26</f>
        <v>0</v>
      </c>
      <c r="BY61" s="7">
        <f>VC_NEW2!BT26</f>
        <v>0</v>
      </c>
      <c r="BZ61" s="7">
        <f>VC_NEW2!BU26</f>
        <v>0</v>
      </c>
      <c r="CA61" s="7">
        <f>VC_NEW2!BV26</f>
        <v>0</v>
      </c>
      <c r="CB61" s="7">
        <f>VC_NEW2!BW26</f>
        <v>0</v>
      </c>
      <c r="CC61" s="7">
        <f>VC_NEW2!BX26</f>
        <v>0</v>
      </c>
      <c r="CD61" s="7">
        <f>VC_NEW2!BY26</f>
        <v>0</v>
      </c>
      <c r="CE61" s="7">
        <f>VC_NEW2!BZ26</f>
        <v>0</v>
      </c>
      <c r="CF61" s="7">
        <f>VC_NEW2!CA26</f>
        <v>0</v>
      </c>
      <c r="CG61" s="7">
        <f>VC_NEW2!CB26</f>
        <v>0</v>
      </c>
      <c r="CH61" s="7">
        <f>VC_NEW2!CC26</f>
        <v>0</v>
      </c>
      <c r="CI61" s="7">
        <f>VC_NEW2!CD26</f>
        <v>0</v>
      </c>
      <c r="CJ61" s="7">
        <f>VC_NEW2!CE26</f>
        <v>0</v>
      </c>
      <c r="CK61" s="7">
        <f>VC_NEW2!CF26</f>
        <v>0</v>
      </c>
      <c r="CL61" s="7">
        <f>VC_NEW2!CG26</f>
        <v>0</v>
      </c>
      <c r="CM61" s="7">
        <f>VC_NEW2!CH26</f>
        <v>0</v>
      </c>
      <c r="CN61" s="7">
        <f>VC_NEW2!CI26</f>
        <v>0</v>
      </c>
      <c r="CO61" s="7">
        <f>VC_NEW2!CJ26</f>
        <v>0</v>
      </c>
      <c r="CP61" s="7">
        <f>VC_NEW2!CK26</f>
        <v>0</v>
      </c>
      <c r="CQ61" s="7">
        <f>VC_NEW2!CL26</f>
        <v>0</v>
      </c>
      <c r="CR61" s="7">
        <f>VC_NEW2!CM26</f>
        <v>0</v>
      </c>
      <c r="CS61" s="7">
        <f>VC_NEW2!CN26</f>
        <v>0</v>
      </c>
      <c r="CT61" s="7">
        <f>VC_NEW2!CO26</f>
        <v>0</v>
      </c>
      <c r="CU61" s="7">
        <f>VC_NEW2!CP26</f>
        <v>0</v>
      </c>
      <c r="CV61" s="7">
        <f>VC_NEW2!CQ26</f>
        <v>0</v>
      </c>
      <c r="CW61" s="7">
        <f>VC_NEW2!CR26</f>
        <v>0</v>
      </c>
      <c r="CX61" s="7" t="str">
        <f>VC_NEW2!CS26</f>
        <v>T188A</v>
      </c>
      <c r="CY61" s="7">
        <f>VC_NEW2!CT26</f>
        <v>0</v>
      </c>
      <c r="CZ61" s="7" t="str">
        <f>VC_NEW2!CU26</f>
        <v>nt263∆17</v>
      </c>
      <c r="DA61" s="7">
        <f>VC_NEW2!CV26</f>
        <v>0</v>
      </c>
      <c r="DB61" s="7">
        <f>VC_NEW2!CW26</f>
        <v>0</v>
      </c>
      <c r="DC61" s="7">
        <f>VC_NEW2!CX26</f>
        <v>0</v>
      </c>
      <c r="DD61" s="7">
        <f>VC_NEW2!CY26</f>
        <v>0</v>
      </c>
      <c r="DE61" s="7">
        <f>VC_NEW2!CZ26</f>
        <v>0</v>
      </c>
      <c r="DF61" s="7">
        <f>VC_NEW2!DA26</f>
        <v>0</v>
      </c>
      <c r="DG61" s="7">
        <f>VC_NEW2!DB26</f>
        <v>0</v>
      </c>
      <c r="DH61" s="7">
        <f>VC_NEW2!DC26</f>
        <v>0</v>
      </c>
      <c r="DI61" s="7">
        <f>VC_NEW2!DD26</f>
        <v>0</v>
      </c>
      <c r="DJ61" s="7">
        <f>VC_NEW2!DE26</f>
        <v>0</v>
      </c>
      <c r="DK61" s="7" t="str">
        <f>VC_NEW2!DF26</f>
        <v>nt396∆2</v>
      </c>
      <c r="DL61" s="7">
        <f>VC_NEW2!DG26</f>
        <v>0</v>
      </c>
      <c r="DM61" s="7">
        <f>VC_NEW2!DH26</f>
        <v>0</v>
      </c>
      <c r="DN61" s="7">
        <f>VC_NEW2!DI26</f>
        <v>0</v>
      </c>
      <c r="DO61" s="7">
        <f>VC_NEW2!DJ26</f>
        <v>0</v>
      </c>
      <c r="DP61" s="7" t="str">
        <f>VC_NEW2!DK26</f>
        <v>C149Y</v>
      </c>
      <c r="DQ61" s="7">
        <f>VC_NEW2!DL26</f>
        <v>0</v>
      </c>
      <c r="DR61" s="7">
        <f>VC_NEW2!DM26</f>
        <v>0</v>
      </c>
      <c r="DS61" s="7">
        <f>VC_NEW2!DN26</f>
        <v>0</v>
      </c>
      <c r="DT61" s="7">
        <f>VC_NEW2!DO26</f>
        <v>0</v>
      </c>
      <c r="DU61" s="7">
        <f>VC_NEW2!DP26</f>
        <v>0</v>
      </c>
      <c r="DV61" s="7">
        <f>VC_NEW2!DQ26</f>
        <v>0</v>
      </c>
      <c r="DW61" s="7">
        <f>VC_NEW2!DR26</f>
        <v>0</v>
      </c>
      <c r="DX61" s="7">
        <f>VC_NEW2!DS26</f>
        <v>0</v>
      </c>
      <c r="DY61" s="7">
        <f>VC_NEW2!DT26</f>
        <v>0</v>
      </c>
      <c r="DZ61" s="7">
        <f>VC_NEW2!DU26</f>
        <v>0</v>
      </c>
      <c r="EA61" s="7">
        <f>VC_NEW2!DV26</f>
        <v>0</v>
      </c>
      <c r="EB61" s="7">
        <f>VC_NEW2!DW26</f>
        <v>0</v>
      </c>
      <c r="EC61" s="7">
        <f>VC_NEW2!DX26</f>
        <v>0</v>
      </c>
      <c r="ED61" s="7">
        <f>VC_NEW2!DY26</f>
        <v>0</v>
      </c>
      <c r="EE61" s="7">
        <f>VC_NEW2!DZ26</f>
        <v>0</v>
      </c>
      <c r="EF61" s="7">
        <f>VC_NEW2!EA26</f>
        <v>0</v>
      </c>
      <c r="EG61" s="7">
        <f>VC_NEW2!EB26</f>
        <v>0</v>
      </c>
      <c r="EH61" s="7" t="str">
        <f>VC_NEW2!EC26</f>
        <v>G78R, nt232∆19</v>
      </c>
      <c r="EI61" s="7">
        <f>VC_NEW2!ED26</f>
        <v>0</v>
      </c>
      <c r="EJ61" s="7">
        <f>VC_NEW2!EE26</f>
        <v>0</v>
      </c>
      <c r="EK61" s="7">
        <f>VC_NEW2!EF26</f>
        <v>0</v>
      </c>
      <c r="EL61" s="7">
        <f>VC_NEW2!EG26</f>
        <v>0</v>
      </c>
      <c r="EM61" s="7">
        <f>VC_NEW2!EH26</f>
        <v>0</v>
      </c>
      <c r="EN61" s="7">
        <f>VC_NEW2!EI26</f>
        <v>0</v>
      </c>
      <c r="EO61" s="7">
        <f>VC_NEW2!EJ26</f>
        <v>0</v>
      </c>
      <c r="EP61" s="7">
        <f>VC_NEW2!EK26</f>
        <v>0</v>
      </c>
      <c r="EQ61" s="7" t="str">
        <f>VC_NEW2!EL26</f>
        <v>nt232∆19</v>
      </c>
      <c r="ER61" s="7">
        <f>VC_NEW2!EM26</f>
        <v>0</v>
      </c>
      <c r="ES61" s="7">
        <f>VC_NEW2!EN26</f>
        <v>0</v>
      </c>
      <c r="ET61" s="7">
        <f>VC_NEW2!EO26</f>
        <v>0</v>
      </c>
      <c r="EU61" s="7" t="str">
        <f>VC_NEW2!EP26</f>
        <v>nt232∆19</v>
      </c>
      <c r="EV61" s="7">
        <f>VC_NEW2!EQ26</f>
        <v>0</v>
      </c>
      <c r="EW61" s="7" t="str">
        <f>VC_NEW2!ER26</f>
        <v>E21D</v>
      </c>
      <c r="EX61" s="7">
        <f>VC_NEW2!ES26</f>
        <v>0</v>
      </c>
      <c r="EY61" s="7">
        <f>VC_NEW2!ET26</f>
        <v>0</v>
      </c>
      <c r="EZ61" s="7">
        <f>VC_NEW2!EU26</f>
        <v>0</v>
      </c>
      <c r="FA61" s="7" t="str">
        <f>VC_NEW2!EV26</f>
        <v>nt295∆17</v>
      </c>
      <c r="FB61" s="7">
        <f>VC_NEW2!EW26</f>
        <v>0</v>
      </c>
      <c r="FC61" s="7" t="str">
        <f>VC_NEW2!EX26</f>
        <v>T188A</v>
      </c>
      <c r="FD61" s="7">
        <f>VC_NEW2!EY26</f>
        <v>0</v>
      </c>
      <c r="FE61" s="7">
        <f>VC_NEW2!EZ26</f>
        <v>0</v>
      </c>
      <c r="FF61" s="7">
        <f>VC_NEW2!FA26</f>
        <v>0</v>
      </c>
      <c r="FG61" s="7">
        <f>VC_NEW2!FB26</f>
        <v>0</v>
      </c>
      <c r="FH61" s="7">
        <f>VC_NEW2!FC26</f>
        <v>0</v>
      </c>
      <c r="FI61" s="7" t="str">
        <f>VC_NEW2!FD26</f>
        <v>∆605nt</v>
      </c>
      <c r="FJ61" s="7">
        <f>VC_NEW2!FE26</f>
        <v>0</v>
      </c>
      <c r="FK61" s="7">
        <f>VC_NEW2!FF26</f>
        <v>0</v>
      </c>
      <c r="FL61" s="7">
        <f>VC_NEW2!FG26</f>
        <v>0</v>
      </c>
      <c r="FM61" s="7">
        <f>VC_NEW2!FH26</f>
        <v>0</v>
      </c>
      <c r="FN61" s="7">
        <f>VC_NEW2!FI26</f>
        <v>0</v>
      </c>
      <c r="FO61" s="7">
        <f>VC_NEW2!FJ26</f>
        <v>0</v>
      </c>
      <c r="FP61" s="7">
        <f>VC_NEW2!FK26</f>
        <v>0</v>
      </c>
      <c r="FQ61" s="7">
        <f>VC_NEW2!FL26</f>
        <v>0</v>
      </c>
      <c r="FR61" s="7">
        <f>VC_NEW2!FM26</f>
        <v>0</v>
      </c>
      <c r="FS61" s="7">
        <f>VC_NEW2!FN26</f>
        <v>0</v>
      </c>
      <c r="FT61" s="7">
        <f>VC_NEW2!FO26</f>
        <v>0</v>
      </c>
      <c r="FU61" s="7">
        <f>VC_NEW2!FP26</f>
        <v>0</v>
      </c>
      <c r="FV61" s="7">
        <f>VC_NEW2!FQ26</f>
        <v>0</v>
      </c>
      <c r="FW61" s="7">
        <f>VC_NEW2!FR26</f>
        <v>0</v>
      </c>
      <c r="FX61" s="7">
        <f>VC_NEW2!FS26</f>
        <v>0</v>
      </c>
      <c r="FY61" s="7">
        <f>VC_NEW2!FT26</f>
        <v>0</v>
      </c>
      <c r="FZ61" s="7">
        <f>VC_NEW2!FU26</f>
        <v>0</v>
      </c>
      <c r="GA61" s="7">
        <f>VC_NEW2!FV26</f>
        <v>0</v>
      </c>
      <c r="GB61" s="7" t="str">
        <f>VC_NEW2!FW26</f>
        <v>nt475∆16</v>
      </c>
      <c r="GC61" s="7">
        <f>VC_NEW2!FX26</f>
        <v>0</v>
      </c>
      <c r="GD61" s="7">
        <f>VC_NEW2!FY26</f>
        <v>0</v>
      </c>
      <c r="GE61" s="7">
        <f>VC_NEW2!FZ26</f>
        <v>0</v>
      </c>
      <c r="GF61" s="7" t="str">
        <f>VC_NEW2!GA26</f>
        <v>T188A</v>
      </c>
      <c r="GG61" s="7">
        <f>VC_NEW2!GB26</f>
        <v>0</v>
      </c>
      <c r="GH61" s="7">
        <f>VC_NEW2!GC26</f>
        <v>0</v>
      </c>
      <c r="GI61" s="7" t="str">
        <f>VC_NEW2!GD26</f>
        <v>T188A</v>
      </c>
      <c r="GJ61" s="7">
        <f>VC_NEW2!GE26</f>
        <v>0</v>
      </c>
      <c r="GK61" s="7">
        <f>VC_NEW2!GF26</f>
        <v>0</v>
      </c>
      <c r="GL61" s="7">
        <f>VC_NEW2!GG26</f>
        <v>0</v>
      </c>
      <c r="GM61" s="7">
        <f>VC_NEW2!GH26</f>
        <v>0</v>
      </c>
      <c r="GN61" s="7">
        <f>VC_NEW2!GI26</f>
        <v>0</v>
      </c>
      <c r="GO61" s="7" t="str">
        <f>VC_NEW2!GJ26</f>
        <v>T188A</v>
      </c>
      <c r="GP61" s="7">
        <f>VC_NEW2!GK26</f>
        <v>0</v>
      </c>
      <c r="GQ61" s="7">
        <f>VC_NEW2!GL26</f>
        <v>0</v>
      </c>
      <c r="GR61" s="7">
        <f>VC_NEW2!GM26</f>
        <v>0</v>
      </c>
      <c r="GS61" s="7">
        <f>VC_NEW2!GN26</f>
        <v>0</v>
      </c>
      <c r="GT61" s="7">
        <f>VC_NEW2!GO26</f>
        <v>0</v>
      </c>
      <c r="GU61" s="7">
        <f>VC_NEW2!GP26</f>
        <v>0</v>
      </c>
      <c r="GV61" s="7" t="str">
        <f>VC_NEW2!GQ26</f>
        <v>G172D</v>
      </c>
      <c r="GW61" s="7">
        <f>VC_NEW2!GR26</f>
        <v>0</v>
      </c>
      <c r="GX61" s="7">
        <f>VC_NEW2!GS26</f>
        <v>0</v>
      </c>
      <c r="GY61" s="7">
        <f>VC_NEW2!GT26</f>
        <v>0</v>
      </c>
      <c r="GZ61" s="7">
        <f>VC_NEW2!GU26</f>
        <v>0</v>
      </c>
      <c r="HA61" s="7">
        <f>VC_NEW2!GV26</f>
        <v>0</v>
      </c>
      <c r="HB61" s="7">
        <f>VC_NEW2!GW26</f>
        <v>0</v>
      </c>
      <c r="HC61" s="7">
        <f>VC_NEW2!GX26</f>
        <v>0</v>
      </c>
    </row>
    <row r="62" spans="1:211" s="1" customFormat="1" ht="15" hidden="1" customHeight="1" x14ac:dyDescent="0.25">
      <c r="A62" s="32" t="s">
        <v>22</v>
      </c>
      <c r="B62" s="33" t="s">
        <v>23</v>
      </c>
      <c r="C62" s="34" t="s">
        <v>1</v>
      </c>
      <c r="D62" s="33" t="s">
        <v>76</v>
      </c>
      <c r="E62" s="33" t="s">
        <v>138</v>
      </c>
      <c r="F62" s="33" t="s">
        <v>74</v>
      </c>
      <c r="G62" s="35" t="s">
        <v>136</v>
      </c>
      <c r="H62" s="1" t="str">
        <f>VC_NEW2!C27</f>
        <v xml:space="preserve">T50P  </v>
      </c>
      <c r="I62" s="1">
        <f>VC_NEW2!D27</f>
        <v>0</v>
      </c>
      <c r="J62" s="1">
        <f>VC_NEW2!E27</f>
        <v>0</v>
      </c>
      <c r="K62" s="1">
        <f>VC_NEW2!F27</f>
        <v>0</v>
      </c>
      <c r="L62" s="1">
        <f>VC_NEW2!G27</f>
        <v>0</v>
      </c>
      <c r="M62" s="1">
        <f>VC_NEW2!H27</f>
        <v>0</v>
      </c>
      <c r="N62" s="1">
        <f>VC_NEW2!I27</f>
        <v>0</v>
      </c>
      <c r="O62" s="1">
        <f>VC_NEW2!J27</f>
        <v>0</v>
      </c>
      <c r="P62" s="1">
        <f>VC_NEW2!K27</f>
        <v>0</v>
      </c>
      <c r="Q62" s="1">
        <f>VC_NEW2!L27</f>
        <v>0</v>
      </c>
      <c r="R62" s="1" t="str">
        <f>VC_NEW2!M27</f>
        <v xml:space="preserve"> G213D</v>
      </c>
      <c r="S62" s="1">
        <f>VC_NEW2!N27</f>
        <v>0</v>
      </c>
      <c r="T62" s="1">
        <f>VC_NEW2!O27</f>
        <v>0</v>
      </c>
      <c r="U62" s="1">
        <f>VC_NEW2!P27</f>
        <v>0</v>
      </c>
      <c r="V62" s="1">
        <f>VC_NEW2!Q27</f>
        <v>0</v>
      </c>
      <c r="W62" s="1">
        <f>VC_NEW2!R27</f>
        <v>0</v>
      </c>
      <c r="X62" s="1">
        <f>VC_NEW2!S27</f>
        <v>0</v>
      </c>
      <c r="Y62" s="1">
        <f>VC_NEW2!T27</f>
        <v>0</v>
      </c>
      <c r="Z62" s="1">
        <f>VC_NEW2!U27</f>
        <v>0</v>
      </c>
      <c r="AA62" s="1">
        <f>VC_NEW2!V27</f>
        <v>0</v>
      </c>
      <c r="AB62" s="1">
        <f>VC_NEW2!W27</f>
        <v>0</v>
      </c>
      <c r="AC62" s="1">
        <f>VC_NEW2!X27</f>
        <v>0</v>
      </c>
      <c r="AD62" s="1">
        <f>VC_NEW2!Y27</f>
        <v>0</v>
      </c>
      <c r="AE62" s="1">
        <f>VC_NEW2!Z27</f>
        <v>0</v>
      </c>
      <c r="AF62" s="1">
        <f>VC_NEW2!AA27</f>
        <v>0</v>
      </c>
      <c r="AG62" s="1">
        <f>VC_NEW2!AB27</f>
        <v>0</v>
      </c>
      <c r="AH62" s="1">
        <f>VC_NEW2!AC27</f>
        <v>0</v>
      </c>
      <c r="AI62" s="1">
        <f>VC_NEW2!AD27</f>
        <v>0</v>
      </c>
      <c r="AJ62" s="1">
        <f>VC_NEW2!AE27</f>
        <v>0</v>
      </c>
      <c r="AK62" s="1">
        <f>VC_NEW2!AF27</f>
        <v>0</v>
      </c>
      <c r="AL62" s="1">
        <f>VC_NEW2!AG27</f>
        <v>0</v>
      </c>
      <c r="AM62" s="1">
        <f>VC_NEW2!AH27</f>
        <v>0</v>
      </c>
      <c r="AN62" s="1">
        <f>VC_NEW2!AI27</f>
        <v>0</v>
      </c>
      <c r="AO62" s="1">
        <f>VC_NEW2!AJ27</f>
        <v>0</v>
      </c>
      <c r="AP62" s="1">
        <f>VC_NEW2!AK27</f>
        <v>0</v>
      </c>
      <c r="AQ62" s="1">
        <f>VC_NEW2!AL27</f>
        <v>0</v>
      </c>
      <c r="AR62" s="1">
        <f>VC_NEW2!AM27</f>
        <v>0</v>
      </c>
      <c r="AS62" s="1">
        <f>VC_NEW2!AN27</f>
        <v>0</v>
      </c>
      <c r="AT62" s="1">
        <f>VC_NEW2!AO27</f>
        <v>0</v>
      </c>
      <c r="AU62" s="1">
        <f>VC_NEW2!AP27</f>
        <v>0</v>
      </c>
      <c r="AV62" s="1">
        <f>VC_NEW2!AQ27</f>
        <v>0</v>
      </c>
      <c r="AW62" s="1">
        <f>VC_NEW2!AR27</f>
        <v>0</v>
      </c>
      <c r="AX62" s="1">
        <f>VC_NEW2!AS27</f>
        <v>0</v>
      </c>
      <c r="AY62" s="1">
        <f>VC_NEW2!AT27</f>
        <v>0</v>
      </c>
      <c r="AZ62" s="1">
        <f>VC_NEW2!AU27</f>
        <v>0</v>
      </c>
      <c r="BA62" s="1">
        <f>VC_NEW2!AV27</f>
        <v>0</v>
      </c>
      <c r="BB62" s="1">
        <f>VC_NEW2!AW27</f>
        <v>0</v>
      </c>
      <c r="BC62" s="1">
        <f>VC_NEW2!AX27</f>
        <v>0</v>
      </c>
      <c r="BD62" s="1">
        <f>VC_NEW2!AY27</f>
        <v>0</v>
      </c>
      <c r="BE62" s="1">
        <f>VC_NEW2!AZ27</f>
        <v>0</v>
      </c>
      <c r="BF62" s="1">
        <f>VC_NEW2!BA27</f>
        <v>0</v>
      </c>
      <c r="BG62" s="1">
        <f>VC_NEW2!BB27</f>
        <v>0</v>
      </c>
      <c r="BH62" s="1">
        <f>VC_NEW2!BC27</f>
        <v>0</v>
      </c>
      <c r="BI62" s="1">
        <f>VC_NEW2!BD27</f>
        <v>0</v>
      </c>
      <c r="BJ62" s="1">
        <f>VC_NEW2!BE27</f>
        <v>0</v>
      </c>
      <c r="BK62" s="1">
        <f>VC_NEW2!BF27</f>
        <v>0</v>
      </c>
      <c r="BL62" s="1">
        <f>VC_NEW2!BG27</f>
        <v>0</v>
      </c>
      <c r="BM62" s="1">
        <f>VC_NEW2!BH27</f>
        <v>0</v>
      </c>
      <c r="BN62" s="1">
        <f>VC_NEW2!BI27</f>
        <v>0</v>
      </c>
      <c r="BO62" s="1">
        <f>VC_NEW2!BJ27</f>
        <v>0</v>
      </c>
      <c r="BP62" s="1">
        <f>VC_NEW2!BK27</f>
        <v>0</v>
      </c>
      <c r="BQ62" s="1">
        <f>VC_NEW2!BL27</f>
        <v>0</v>
      </c>
      <c r="BR62" s="1">
        <f>VC_NEW2!BM27</f>
        <v>0</v>
      </c>
      <c r="BS62" s="1">
        <f>VC_NEW2!BN27</f>
        <v>0</v>
      </c>
      <c r="BT62" s="1">
        <f>VC_NEW2!BO27</f>
        <v>0</v>
      </c>
      <c r="BU62" s="1">
        <f>VC_NEW2!BP27</f>
        <v>0</v>
      </c>
      <c r="BV62" s="1">
        <f>VC_NEW2!BQ27</f>
        <v>0</v>
      </c>
      <c r="BW62" s="1">
        <f>VC_NEW2!BR27</f>
        <v>0</v>
      </c>
      <c r="BX62" s="1">
        <f>VC_NEW2!BS27</f>
        <v>0</v>
      </c>
      <c r="BY62" s="1">
        <f>VC_NEW2!BT27</f>
        <v>0</v>
      </c>
      <c r="BZ62" s="1">
        <f>VC_NEW2!BU27</f>
        <v>0</v>
      </c>
      <c r="CA62" s="1">
        <f>VC_NEW2!BV27</f>
        <v>0</v>
      </c>
      <c r="CB62" s="1">
        <f>VC_NEW2!BW27</f>
        <v>0</v>
      </c>
      <c r="CC62" s="1">
        <f>VC_NEW2!BX27</f>
        <v>0</v>
      </c>
      <c r="CD62" s="1">
        <f>VC_NEW2!BY27</f>
        <v>0</v>
      </c>
      <c r="CE62" s="1">
        <f>VC_NEW2!BZ27</f>
        <v>0</v>
      </c>
      <c r="CF62" s="1">
        <f>VC_NEW2!CA27</f>
        <v>0</v>
      </c>
      <c r="CG62" s="1">
        <f>VC_NEW2!CB27</f>
        <v>0</v>
      </c>
      <c r="CH62" s="1">
        <f>VC_NEW2!CC27</f>
        <v>0</v>
      </c>
      <c r="CI62" s="1">
        <f>VC_NEW2!CD27</f>
        <v>0</v>
      </c>
      <c r="CJ62" s="1">
        <f>VC_NEW2!CE27</f>
        <v>0</v>
      </c>
      <c r="CK62" s="1">
        <f>VC_NEW2!CF27</f>
        <v>0</v>
      </c>
      <c r="CL62" s="1">
        <f>VC_NEW2!CG27</f>
        <v>0</v>
      </c>
      <c r="CM62" s="1">
        <f>VC_NEW2!CH27</f>
        <v>0</v>
      </c>
      <c r="CN62" s="1">
        <f>VC_NEW2!CI27</f>
        <v>0</v>
      </c>
      <c r="CO62" s="1">
        <f>VC_NEW2!CJ27</f>
        <v>0</v>
      </c>
      <c r="CP62" s="1">
        <f>VC_NEW2!CK27</f>
        <v>0</v>
      </c>
      <c r="CQ62" s="1">
        <f>VC_NEW2!CL27</f>
        <v>0</v>
      </c>
      <c r="CR62" s="1">
        <f>VC_NEW2!CM27</f>
        <v>0</v>
      </c>
      <c r="CS62" s="1">
        <f>VC_NEW2!CN27</f>
        <v>0</v>
      </c>
      <c r="CT62" s="1">
        <f>VC_NEW2!CO27</f>
        <v>0</v>
      </c>
      <c r="CU62" s="1">
        <f>VC_NEW2!CP27</f>
        <v>0</v>
      </c>
      <c r="CV62" s="1">
        <f>VC_NEW2!CQ27</f>
        <v>0</v>
      </c>
      <c r="CW62" s="1">
        <f>VC_NEW2!CR27</f>
        <v>0</v>
      </c>
      <c r="CX62" s="1">
        <f>VC_NEW2!CS27</f>
        <v>0</v>
      </c>
      <c r="CY62" s="1">
        <f>VC_NEW2!CT27</f>
        <v>0</v>
      </c>
      <c r="CZ62" s="1">
        <f>VC_NEW2!CU27</f>
        <v>0</v>
      </c>
      <c r="DA62" s="1">
        <f>VC_NEW2!CV27</f>
        <v>0</v>
      </c>
      <c r="DB62" s="1">
        <f>VC_NEW2!CW27</f>
        <v>0</v>
      </c>
      <c r="DC62" s="1">
        <f>VC_NEW2!CX27</f>
        <v>0</v>
      </c>
      <c r="DD62" s="1">
        <f>VC_NEW2!CY27</f>
        <v>0</v>
      </c>
      <c r="DE62" s="1">
        <f>VC_NEW2!CZ27</f>
        <v>0</v>
      </c>
      <c r="DF62" s="1">
        <f>VC_NEW2!DA27</f>
        <v>0</v>
      </c>
      <c r="DG62" s="1">
        <f>VC_NEW2!DB27</f>
        <v>0</v>
      </c>
      <c r="DH62" s="1">
        <f>VC_NEW2!DC27</f>
        <v>0</v>
      </c>
      <c r="DI62" s="1" t="str">
        <f>VC_NEW2!DD27</f>
        <v xml:space="preserve">R191L </v>
      </c>
      <c r="DJ62" s="1" t="str">
        <f>VC_NEW2!DE27</f>
        <v>nt12InsG</v>
      </c>
      <c r="DK62" s="1">
        <f>VC_NEW2!DF27</f>
        <v>0</v>
      </c>
      <c r="DL62" s="1">
        <f>VC_NEW2!DG27</f>
        <v>0</v>
      </c>
      <c r="DM62" s="1">
        <f>VC_NEW2!DH27</f>
        <v>0</v>
      </c>
      <c r="DN62" s="1">
        <f>VC_NEW2!DI27</f>
        <v>0</v>
      </c>
      <c r="DO62" s="1">
        <f>VC_NEW2!DJ27</f>
        <v>0</v>
      </c>
      <c r="DP62" s="1">
        <f>VC_NEW2!DK27</f>
        <v>0</v>
      </c>
      <c r="DQ62" s="1">
        <f>VC_NEW2!DL27</f>
        <v>0</v>
      </c>
      <c r="DR62" s="1">
        <f>VC_NEW2!DM27</f>
        <v>0</v>
      </c>
      <c r="DS62" s="1">
        <f>VC_NEW2!DN27</f>
        <v>0</v>
      </c>
      <c r="DT62" s="1">
        <f>VC_NEW2!DO27</f>
        <v>0</v>
      </c>
      <c r="DU62" s="1">
        <f>VC_NEW2!DP27</f>
        <v>0</v>
      </c>
      <c r="DV62" s="1">
        <f>VC_NEW2!DQ27</f>
        <v>0</v>
      </c>
      <c r="DW62" s="1">
        <f>VC_NEW2!DR27</f>
        <v>0</v>
      </c>
      <c r="DX62" s="1">
        <f>VC_NEW2!DS27</f>
        <v>0</v>
      </c>
      <c r="DY62" s="1">
        <f>VC_NEW2!DT27</f>
        <v>0</v>
      </c>
      <c r="DZ62" s="1">
        <f>VC_NEW2!DU27</f>
        <v>0</v>
      </c>
      <c r="EA62" s="1">
        <f>VC_NEW2!DV27</f>
        <v>0</v>
      </c>
      <c r="EB62" s="1" t="str">
        <f>VC_NEW2!DW27</f>
        <v>nt15∆1</v>
      </c>
      <c r="EC62" s="1">
        <f>VC_NEW2!DX27</f>
        <v>0</v>
      </c>
      <c r="ED62" s="1">
        <f>VC_NEW2!DY27</f>
        <v>0</v>
      </c>
      <c r="EE62" s="1">
        <f>VC_NEW2!DZ27</f>
        <v>0</v>
      </c>
      <c r="EF62" s="1">
        <f>VC_NEW2!EA27</f>
        <v>0</v>
      </c>
      <c r="EG62" s="1">
        <f>VC_NEW2!EB27</f>
        <v>0</v>
      </c>
      <c r="EH62" s="1">
        <f>VC_NEW2!EC27</f>
        <v>0</v>
      </c>
      <c r="EI62" s="1">
        <f>VC_NEW2!ED27</f>
        <v>0</v>
      </c>
      <c r="EJ62" s="1">
        <f>VC_NEW2!EE27</f>
        <v>0</v>
      </c>
      <c r="EK62" s="1">
        <f>VC_NEW2!EF27</f>
        <v>0</v>
      </c>
      <c r="EL62" s="1">
        <f>VC_NEW2!EG27</f>
        <v>0</v>
      </c>
      <c r="EM62" s="1">
        <f>VC_NEW2!EH27</f>
        <v>0</v>
      </c>
      <c r="EN62" s="1">
        <f>VC_NEW2!EI27</f>
        <v>0</v>
      </c>
      <c r="EO62" s="1">
        <f>VC_NEW2!EJ27</f>
        <v>0</v>
      </c>
      <c r="EP62" s="1">
        <f>VC_NEW2!EK27</f>
        <v>0</v>
      </c>
      <c r="EQ62" s="1">
        <f>VC_NEW2!EL27</f>
        <v>0</v>
      </c>
      <c r="ER62" s="1">
        <f>VC_NEW2!EM27</f>
        <v>0</v>
      </c>
      <c r="ES62" s="1">
        <f>VC_NEW2!EN27</f>
        <v>0</v>
      </c>
      <c r="ET62" s="1">
        <f>VC_NEW2!EO27</f>
        <v>0</v>
      </c>
      <c r="EU62" s="1">
        <f>VC_NEW2!EP27</f>
        <v>0</v>
      </c>
      <c r="EV62" s="1">
        <f>VC_NEW2!EQ27</f>
        <v>0</v>
      </c>
      <c r="EW62" s="1" t="str">
        <f>VC_NEW2!ER27</f>
        <v>A4V</v>
      </c>
      <c r="EX62" s="1">
        <f>VC_NEW2!ES27</f>
        <v>0</v>
      </c>
      <c r="EY62" s="1">
        <f>VC_NEW2!ET27</f>
        <v>0</v>
      </c>
      <c r="EZ62" s="1">
        <f>VC_NEW2!EU27</f>
        <v>0</v>
      </c>
      <c r="FA62" s="1">
        <f>VC_NEW2!EV27</f>
        <v>0</v>
      </c>
      <c r="FB62" s="1">
        <f>VC_NEW2!EW27</f>
        <v>0</v>
      </c>
      <c r="FC62" s="1" t="str">
        <f>VC_NEW2!EX27</f>
        <v>nt15∆1</v>
      </c>
      <c r="FD62" s="1">
        <f>VC_NEW2!EY27</f>
        <v>0</v>
      </c>
      <c r="FE62" s="1">
        <f>VC_NEW2!EZ27</f>
        <v>0</v>
      </c>
      <c r="FF62" s="1">
        <f>VC_NEW2!FA27</f>
        <v>0</v>
      </c>
      <c r="FG62" s="1">
        <f>VC_NEW2!FB27</f>
        <v>0</v>
      </c>
      <c r="FH62" s="1">
        <f>VC_NEW2!FC27</f>
        <v>0</v>
      </c>
      <c r="FI62" s="1">
        <f>VC_NEW2!FD27</f>
        <v>0</v>
      </c>
      <c r="FJ62" s="1">
        <f>VC_NEW2!FE27</f>
        <v>0</v>
      </c>
      <c r="FK62" s="1">
        <f>VC_NEW2!FF27</f>
        <v>0</v>
      </c>
      <c r="FL62" s="1">
        <f>VC_NEW2!FG27</f>
        <v>0</v>
      </c>
      <c r="FM62" s="1">
        <f>VC_NEW2!FH27</f>
        <v>0</v>
      </c>
      <c r="FN62" s="1">
        <f>VC_NEW2!FI27</f>
        <v>0</v>
      </c>
      <c r="FO62" s="1">
        <f>VC_NEW2!FJ27</f>
        <v>0</v>
      </c>
      <c r="FP62" s="1">
        <f>VC_NEW2!FK27</f>
        <v>0</v>
      </c>
      <c r="FQ62" s="1">
        <f>VC_NEW2!FL27</f>
        <v>0</v>
      </c>
      <c r="FR62" s="1">
        <f>VC_NEW2!FM27</f>
        <v>0</v>
      </c>
      <c r="FS62" s="1">
        <f>VC_NEW2!FN27</f>
        <v>0</v>
      </c>
      <c r="FT62" s="1">
        <f>VC_NEW2!FO27</f>
        <v>0</v>
      </c>
      <c r="FU62" s="1">
        <f>VC_NEW2!FP27</f>
        <v>0</v>
      </c>
      <c r="FV62" s="1">
        <f>VC_NEW2!FQ27</f>
        <v>0</v>
      </c>
      <c r="FW62" s="1">
        <f>VC_NEW2!FR27</f>
        <v>0</v>
      </c>
      <c r="FX62" s="1">
        <f>VC_NEW2!FS27</f>
        <v>0</v>
      </c>
      <c r="FY62" s="1">
        <f>VC_NEW2!FT27</f>
        <v>0</v>
      </c>
      <c r="FZ62" s="1">
        <f>VC_NEW2!FU27</f>
        <v>0</v>
      </c>
      <c r="GA62" s="1">
        <f>VC_NEW2!FV27</f>
        <v>0</v>
      </c>
      <c r="GB62" s="1">
        <f>VC_NEW2!FW27</f>
        <v>0</v>
      </c>
      <c r="GC62" s="1">
        <f>VC_NEW2!FX27</f>
        <v>0</v>
      </c>
      <c r="GD62" s="1">
        <f>VC_NEW2!FY27</f>
        <v>0</v>
      </c>
      <c r="GE62" s="1">
        <f>VC_NEW2!FZ27</f>
        <v>0</v>
      </c>
      <c r="GF62" s="1">
        <f>VC_NEW2!GA27</f>
        <v>0</v>
      </c>
      <c r="GG62" s="1">
        <f>VC_NEW2!GB27</f>
        <v>0</v>
      </c>
      <c r="GH62" s="1">
        <f>VC_NEW2!GC27</f>
        <v>0</v>
      </c>
      <c r="GI62" s="1">
        <f>VC_NEW2!GD27</f>
        <v>0</v>
      </c>
      <c r="GJ62" s="1">
        <f>VC_NEW2!GE27</f>
        <v>0</v>
      </c>
      <c r="GK62" s="1">
        <f>VC_NEW2!GF27</f>
        <v>0</v>
      </c>
      <c r="GL62" s="1">
        <f>VC_NEW2!GG27</f>
        <v>0</v>
      </c>
      <c r="GM62" s="1">
        <f>VC_NEW2!GH27</f>
        <v>0</v>
      </c>
      <c r="GN62" s="1">
        <f>VC_NEW2!GI27</f>
        <v>0</v>
      </c>
      <c r="GO62" s="1">
        <f>VC_NEW2!GJ27</f>
        <v>0</v>
      </c>
      <c r="GP62" s="1">
        <f>VC_NEW2!GK27</f>
        <v>0</v>
      </c>
      <c r="GQ62" s="1">
        <f>VC_NEW2!GL27</f>
        <v>0</v>
      </c>
      <c r="GR62" s="1">
        <f>VC_NEW2!GM27</f>
        <v>0</v>
      </c>
      <c r="GS62" s="1">
        <f>VC_NEW2!GN27</f>
        <v>0</v>
      </c>
      <c r="GT62" s="1" t="str">
        <f>VC_NEW2!GO27</f>
        <v xml:space="preserve">T100S </v>
      </c>
      <c r="GU62" s="1">
        <f>VC_NEW2!GP27</f>
        <v>0</v>
      </c>
      <c r="GV62" s="1">
        <f>VC_NEW2!GQ27</f>
        <v>0</v>
      </c>
      <c r="GW62" s="1">
        <f>VC_NEW2!GR27</f>
        <v>0</v>
      </c>
      <c r="GX62" s="1">
        <f>VC_NEW2!GS27</f>
        <v>0</v>
      </c>
      <c r="GY62" s="1">
        <f>VC_NEW2!GT27</f>
        <v>0</v>
      </c>
      <c r="GZ62" s="1">
        <f>VC_NEW2!GU27</f>
        <v>0</v>
      </c>
      <c r="HA62" s="1">
        <f>VC_NEW2!GV27</f>
        <v>0</v>
      </c>
      <c r="HB62" s="1">
        <f>VC_NEW2!GW27</f>
        <v>0</v>
      </c>
      <c r="HC62" s="1">
        <f>VC_NEW2!GX27</f>
        <v>0</v>
      </c>
    </row>
    <row r="63" spans="1:211" s="1" customFormat="1" ht="15" customHeight="1" x14ac:dyDescent="0.25">
      <c r="A63" s="36" t="s">
        <v>22</v>
      </c>
      <c r="B63" s="37" t="s">
        <v>23</v>
      </c>
      <c r="C63" s="38" t="s">
        <v>2</v>
      </c>
      <c r="D63" s="37" t="s">
        <v>76</v>
      </c>
      <c r="E63" s="37" t="s">
        <v>138</v>
      </c>
      <c r="F63" s="37" t="s">
        <v>74</v>
      </c>
      <c r="G63" s="39" t="s">
        <v>136</v>
      </c>
      <c r="H63" s="1" t="str">
        <f>VC_NEW2!C27</f>
        <v xml:space="preserve">T50P  </v>
      </c>
      <c r="I63" s="1">
        <f>VC_NEW2!D27</f>
        <v>0</v>
      </c>
      <c r="J63" s="1">
        <f>VC_NEW2!E27</f>
        <v>0</v>
      </c>
      <c r="K63" s="1">
        <f>VC_NEW2!F27</f>
        <v>0</v>
      </c>
      <c r="L63" s="1">
        <f>VC_NEW2!G27</f>
        <v>0</v>
      </c>
      <c r="M63" s="1">
        <f>VC_NEW2!H27</f>
        <v>0</v>
      </c>
      <c r="N63" s="1">
        <f>VC_NEW2!I27</f>
        <v>0</v>
      </c>
      <c r="O63" s="1">
        <f>VC_NEW2!J27</f>
        <v>0</v>
      </c>
      <c r="P63" s="1">
        <f>VC_NEW2!K27</f>
        <v>0</v>
      </c>
      <c r="Q63" s="1">
        <f>VC_NEW2!L27</f>
        <v>0</v>
      </c>
      <c r="R63" s="1" t="str">
        <f>VC_NEW2!M27</f>
        <v xml:space="preserve"> G213D</v>
      </c>
      <c r="S63" s="1">
        <f>VC_NEW2!N27</f>
        <v>0</v>
      </c>
      <c r="T63" s="1">
        <f>VC_NEW2!O27</f>
        <v>0</v>
      </c>
      <c r="U63" s="1">
        <f>VC_NEW2!P27</f>
        <v>0</v>
      </c>
      <c r="V63" s="1">
        <f>VC_NEW2!Q27</f>
        <v>0</v>
      </c>
      <c r="W63" s="1">
        <f>VC_NEW2!R27</f>
        <v>0</v>
      </c>
      <c r="X63" s="1">
        <f>VC_NEW2!S27</f>
        <v>0</v>
      </c>
      <c r="Y63" s="1">
        <f>VC_NEW2!T27</f>
        <v>0</v>
      </c>
      <c r="Z63" s="1">
        <f>VC_NEW2!U27</f>
        <v>0</v>
      </c>
      <c r="AA63" s="1">
        <f>VC_NEW2!V27</f>
        <v>0</v>
      </c>
      <c r="AB63" s="1">
        <f>VC_NEW2!W27</f>
        <v>0</v>
      </c>
      <c r="AC63" s="1">
        <f>VC_NEW2!X27</f>
        <v>0</v>
      </c>
      <c r="AD63" s="1">
        <f>VC_NEW2!Y27</f>
        <v>0</v>
      </c>
      <c r="AE63" s="1">
        <f>VC_NEW2!Z27</f>
        <v>0</v>
      </c>
      <c r="AF63" s="1">
        <f>VC_NEW2!AA27</f>
        <v>0</v>
      </c>
      <c r="AG63" s="1">
        <f>VC_NEW2!AB27</f>
        <v>0</v>
      </c>
      <c r="AH63" s="1">
        <f>VC_NEW2!AC27</f>
        <v>0</v>
      </c>
      <c r="AI63" s="1">
        <f>VC_NEW2!AD27</f>
        <v>0</v>
      </c>
      <c r="AJ63" s="1">
        <f>VC_NEW2!AE27</f>
        <v>0</v>
      </c>
      <c r="AK63" s="1">
        <f>VC_NEW2!AF27</f>
        <v>0</v>
      </c>
      <c r="AL63" s="1">
        <f>VC_NEW2!AG27</f>
        <v>0</v>
      </c>
      <c r="AM63" s="1">
        <f>VC_NEW2!AH27</f>
        <v>0</v>
      </c>
      <c r="AN63" s="1">
        <f>VC_NEW2!AI27</f>
        <v>0</v>
      </c>
      <c r="AO63" s="1">
        <f>VC_NEW2!AJ27</f>
        <v>0</v>
      </c>
      <c r="AP63" s="1">
        <f>VC_NEW2!AK27</f>
        <v>0</v>
      </c>
      <c r="AQ63" s="1">
        <f>VC_NEW2!AL27</f>
        <v>0</v>
      </c>
      <c r="AR63" s="1">
        <f>VC_NEW2!AM27</f>
        <v>0</v>
      </c>
      <c r="AS63" s="1">
        <f>VC_NEW2!AN27</f>
        <v>0</v>
      </c>
      <c r="AT63" s="1">
        <f>VC_NEW2!AO27</f>
        <v>0</v>
      </c>
      <c r="AU63" s="1">
        <f>VC_NEW2!AP27</f>
        <v>0</v>
      </c>
      <c r="AV63" s="1">
        <f>VC_NEW2!AQ27</f>
        <v>0</v>
      </c>
      <c r="AW63" s="1">
        <f>VC_NEW2!AR27</f>
        <v>0</v>
      </c>
      <c r="AX63" s="1">
        <f>VC_NEW2!AS27</f>
        <v>0</v>
      </c>
      <c r="AY63" s="1">
        <f>VC_NEW2!AT27</f>
        <v>0</v>
      </c>
      <c r="AZ63" s="1">
        <f>VC_NEW2!AU27</f>
        <v>0</v>
      </c>
      <c r="BA63" s="1">
        <f>VC_NEW2!AV27</f>
        <v>0</v>
      </c>
      <c r="BB63" s="1">
        <f>VC_NEW2!AW27</f>
        <v>0</v>
      </c>
      <c r="BC63" s="1">
        <f>VC_NEW2!AX27</f>
        <v>0</v>
      </c>
      <c r="BD63" s="1">
        <f>VC_NEW2!AY27</f>
        <v>0</v>
      </c>
      <c r="BE63" s="1">
        <f>VC_NEW2!AZ27</f>
        <v>0</v>
      </c>
      <c r="BF63" s="1">
        <f>VC_NEW2!BA27</f>
        <v>0</v>
      </c>
      <c r="BG63" s="1">
        <f>VC_NEW2!BB27</f>
        <v>0</v>
      </c>
      <c r="BH63" s="1">
        <f>VC_NEW2!BC27</f>
        <v>0</v>
      </c>
      <c r="BI63" s="1">
        <f>VC_NEW2!BD27</f>
        <v>0</v>
      </c>
      <c r="BJ63" s="1">
        <f>VC_NEW2!BE27</f>
        <v>0</v>
      </c>
      <c r="BK63" s="1">
        <f>VC_NEW2!BF27</f>
        <v>0</v>
      </c>
      <c r="BL63" s="1">
        <f>VC_NEW2!BG27</f>
        <v>0</v>
      </c>
      <c r="BM63" s="1">
        <f>VC_NEW2!BH27</f>
        <v>0</v>
      </c>
      <c r="BN63" s="1">
        <f>VC_NEW2!BI27</f>
        <v>0</v>
      </c>
      <c r="BO63" s="1">
        <f>VC_NEW2!BJ27</f>
        <v>0</v>
      </c>
      <c r="BP63" s="1">
        <f>VC_NEW2!BK27</f>
        <v>0</v>
      </c>
      <c r="BQ63" s="1">
        <f>VC_NEW2!BL27</f>
        <v>0</v>
      </c>
      <c r="BR63" s="1">
        <f>VC_NEW2!BM27</f>
        <v>0</v>
      </c>
      <c r="BS63" s="1">
        <f>VC_NEW2!BN27</f>
        <v>0</v>
      </c>
      <c r="BT63" s="1">
        <f>VC_NEW2!BO27</f>
        <v>0</v>
      </c>
      <c r="BU63" s="1">
        <f>VC_NEW2!BP27</f>
        <v>0</v>
      </c>
      <c r="BV63" s="1">
        <f>VC_NEW2!BQ27</f>
        <v>0</v>
      </c>
      <c r="BW63" s="1">
        <f>VC_NEW2!BR27</f>
        <v>0</v>
      </c>
      <c r="BX63" s="1">
        <f>VC_NEW2!BS27</f>
        <v>0</v>
      </c>
      <c r="BY63" s="1">
        <f>VC_NEW2!BT27</f>
        <v>0</v>
      </c>
      <c r="BZ63" s="1">
        <f>VC_NEW2!BU27</f>
        <v>0</v>
      </c>
      <c r="CA63" s="1">
        <f>VC_NEW2!BV27</f>
        <v>0</v>
      </c>
      <c r="CB63" s="1">
        <f>VC_NEW2!BW27</f>
        <v>0</v>
      </c>
      <c r="CC63" s="1">
        <f>VC_NEW2!BX27</f>
        <v>0</v>
      </c>
      <c r="CD63" s="1">
        <f>VC_NEW2!BY27</f>
        <v>0</v>
      </c>
      <c r="CE63" s="1">
        <f>VC_NEW2!BZ27</f>
        <v>0</v>
      </c>
      <c r="CF63" s="1">
        <f>VC_NEW2!CA27</f>
        <v>0</v>
      </c>
      <c r="CG63" s="1">
        <f>VC_NEW2!CB27</f>
        <v>0</v>
      </c>
      <c r="CH63" s="1">
        <f>VC_NEW2!CC27</f>
        <v>0</v>
      </c>
      <c r="CI63" s="1">
        <f>VC_NEW2!CD27</f>
        <v>0</v>
      </c>
      <c r="CJ63" s="1">
        <f>VC_NEW2!CE27</f>
        <v>0</v>
      </c>
      <c r="CK63" s="1">
        <f>VC_NEW2!CF27</f>
        <v>0</v>
      </c>
      <c r="CL63" s="1">
        <f>VC_NEW2!CG27</f>
        <v>0</v>
      </c>
      <c r="CM63" s="1">
        <f>VC_NEW2!CH27</f>
        <v>0</v>
      </c>
      <c r="CN63" s="1">
        <f>VC_NEW2!CI27</f>
        <v>0</v>
      </c>
      <c r="CO63" s="1">
        <f>VC_NEW2!CJ27</f>
        <v>0</v>
      </c>
      <c r="CP63" s="1">
        <f>VC_NEW2!CK27</f>
        <v>0</v>
      </c>
      <c r="CQ63" s="1">
        <f>VC_NEW2!CL27</f>
        <v>0</v>
      </c>
      <c r="CR63" s="1">
        <f>VC_NEW2!CM27</f>
        <v>0</v>
      </c>
      <c r="CS63" s="1">
        <f>VC_NEW2!CN27</f>
        <v>0</v>
      </c>
      <c r="CT63" s="1">
        <f>VC_NEW2!CO27</f>
        <v>0</v>
      </c>
      <c r="CU63" s="1">
        <f>VC_NEW2!CP27</f>
        <v>0</v>
      </c>
      <c r="CV63" s="1">
        <f>VC_NEW2!CQ27</f>
        <v>0</v>
      </c>
      <c r="CW63" s="1">
        <f>VC_NEW2!CR27</f>
        <v>0</v>
      </c>
      <c r="CX63" s="1">
        <f>VC_NEW2!CS27</f>
        <v>0</v>
      </c>
      <c r="CY63" s="1">
        <f>VC_NEW2!CT27</f>
        <v>0</v>
      </c>
      <c r="CZ63" s="1">
        <f>VC_NEW2!CU27</f>
        <v>0</v>
      </c>
      <c r="DA63" s="1">
        <f>VC_NEW2!CV27</f>
        <v>0</v>
      </c>
      <c r="DB63" s="1">
        <f>VC_NEW2!CW27</f>
        <v>0</v>
      </c>
      <c r="DC63" s="1">
        <f>VC_NEW2!CX27</f>
        <v>0</v>
      </c>
      <c r="DD63" s="1">
        <f>VC_NEW2!CY27</f>
        <v>0</v>
      </c>
      <c r="DE63" s="1">
        <f>VC_NEW2!CZ27</f>
        <v>0</v>
      </c>
      <c r="DF63" s="1">
        <f>VC_NEW2!DA27</f>
        <v>0</v>
      </c>
      <c r="DG63" s="1">
        <f>VC_NEW2!DB27</f>
        <v>0</v>
      </c>
      <c r="DH63" s="1">
        <f>VC_NEW2!DC27</f>
        <v>0</v>
      </c>
      <c r="DI63" s="1" t="str">
        <f>VC_NEW2!DD27</f>
        <v xml:space="preserve">R191L </v>
      </c>
      <c r="DJ63" s="1" t="str">
        <f>VC_NEW2!DE27</f>
        <v>nt12InsG</v>
      </c>
      <c r="DK63" s="1">
        <f>VC_NEW2!DF27</f>
        <v>0</v>
      </c>
      <c r="DL63" s="1">
        <f>VC_NEW2!DG27</f>
        <v>0</v>
      </c>
      <c r="DM63" s="1">
        <f>VC_NEW2!DH27</f>
        <v>0</v>
      </c>
      <c r="DN63" s="1">
        <f>VC_NEW2!DI27</f>
        <v>0</v>
      </c>
      <c r="DO63" s="1">
        <f>VC_NEW2!DJ27</f>
        <v>0</v>
      </c>
      <c r="DP63" s="1">
        <f>VC_NEW2!DK27</f>
        <v>0</v>
      </c>
      <c r="DQ63" s="1">
        <f>VC_NEW2!DL27</f>
        <v>0</v>
      </c>
      <c r="DR63" s="1">
        <f>VC_NEW2!DM27</f>
        <v>0</v>
      </c>
      <c r="DS63" s="1">
        <f>VC_NEW2!DN27</f>
        <v>0</v>
      </c>
      <c r="DT63" s="1">
        <f>VC_NEW2!DO27</f>
        <v>0</v>
      </c>
      <c r="DU63" s="1">
        <f>VC_NEW2!DP27</f>
        <v>0</v>
      </c>
      <c r="DV63" s="1">
        <f>VC_NEW2!DQ27</f>
        <v>0</v>
      </c>
      <c r="DW63" s="1">
        <f>VC_NEW2!DR27</f>
        <v>0</v>
      </c>
      <c r="DX63" s="1">
        <f>VC_NEW2!DS27</f>
        <v>0</v>
      </c>
      <c r="DY63" s="1">
        <f>VC_NEW2!DT27</f>
        <v>0</v>
      </c>
      <c r="DZ63" s="1">
        <f>VC_NEW2!DU27</f>
        <v>0</v>
      </c>
      <c r="EA63" s="1">
        <f>VC_NEW2!DV27</f>
        <v>0</v>
      </c>
      <c r="EB63" s="1" t="str">
        <f>VC_NEW2!DW27</f>
        <v>nt15∆1</v>
      </c>
      <c r="EC63" s="1">
        <f>VC_NEW2!DX27</f>
        <v>0</v>
      </c>
      <c r="ED63" s="1">
        <f>VC_NEW2!DY27</f>
        <v>0</v>
      </c>
      <c r="EE63" s="1">
        <f>VC_NEW2!DZ27</f>
        <v>0</v>
      </c>
      <c r="EF63" s="1">
        <f>VC_NEW2!EA27</f>
        <v>0</v>
      </c>
      <c r="EG63" s="1">
        <f>VC_NEW2!EB27</f>
        <v>0</v>
      </c>
      <c r="EH63" s="1">
        <f>VC_NEW2!EC27</f>
        <v>0</v>
      </c>
      <c r="EI63" s="1">
        <f>VC_NEW2!ED27</f>
        <v>0</v>
      </c>
      <c r="EJ63" s="1">
        <f>VC_NEW2!EE27</f>
        <v>0</v>
      </c>
      <c r="EK63" s="1">
        <f>VC_NEW2!EF27</f>
        <v>0</v>
      </c>
      <c r="EL63" s="1">
        <f>VC_NEW2!EG27</f>
        <v>0</v>
      </c>
      <c r="EM63" s="1">
        <f>VC_NEW2!EH27</f>
        <v>0</v>
      </c>
      <c r="EN63" s="1">
        <f>VC_NEW2!EI27</f>
        <v>0</v>
      </c>
      <c r="EO63" s="1">
        <f>VC_NEW2!EJ27</f>
        <v>0</v>
      </c>
      <c r="EP63" s="1">
        <f>VC_NEW2!EK27</f>
        <v>0</v>
      </c>
      <c r="EQ63" s="1">
        <f>VC_NEW2!EL27</f>
        <v>0</v>
      </c>
      <c r="ER63" s="1">
        <f>VC_NEW2!EM27</f>
        <v>0</v>
      </c>
      <c r="ES63" s="1">
        <f>VC_NEW2!EN27</f>
        <v>0</v>
      </c>
      <c r="ET63" s="1">
        <f>VC_NEW2!EO27</f>
        <v>0</v>
      </c>
      <c r="EU63" s="1">
        <f>VC_NEW2!EP27</f>
        <v>0</v>
      </c>
      <c r="EV63" s="1">
        <f>VC_NEW2!EQ27</f>
        <v>0</v>
      </c>
      <c r="EW63" s="1" t="str">
        <f>VC_NEW2!ER27</f>
        <v>A4V</v>
      </c>
      <c r="EX63" s="1">
        <f>VC_NEW2!ES27</f>
        <v>0</v>
      </c>
      <c r="EY63" s="1">
        <f>VC_NEW2!ET27</f>
        <v>0</v>
      </c>
      <c r="EZ63" s="1">
        <f>VC_NEW2!EU27</f>
        <v>0</v>
      </c>
      <c r="FA63" s="1">
        <f>VC_NEW2!EV27</f>
        <v>0</v>
      </c>
      <c r="FB63" s="1">
        <f>VC_NEW2!EW27</f>
        <v>0</v>
      </c>
      <c r="FC63" s="1" t="str">
        <f>VC_NEW2!EX27</f>
        <v>nt15∆1</v>
      </c>
      <c r="FD63" s="1">
        <f>VC_NEW2!EY27</f>
        <v>0</v>
      </c>
      <c r="FE63" s="1">
        <f>VC_NEW2!EZ27</f>
        <v>0</v>
      </c>
      <c r="FF63" s="1">
        <f>VC_NEW2!FA27</f>
        <v>0</v>
      </c>
      <c r="FG63" s="1">
        <f>VC_NEW2!FB27</f>
        <v>0</v>
      </c>
      <c r="FH63" s="1">
        <f>VC_NEW2!FC27</f>
        <v>0</v>
      </c>
      <c r="FI63" s="1">
        <f>VC_NEW2!FD27</f>
        <v>0</v>
      </c>
      <c r="FJ63" s="1">
        <f>VC_NEW2!FE27</f>
        <v>0</v>
      </c>
      <c r="FK63" s="1">
        <f>VC_NEW2!FF27</f>
        <v>0</v>
      </c>
      <c r="FL63" s="1">
        <f>VC_NEW2!FG27</f>
        <v>0</v>
      </c>
      <c r="FM63" s="1">
        <f>VC_NEW2!FH27</f>
        <v>0</v>
      </c>
      <c r="FN63" s="1">
        <f>VC_NEW2!FI27</f>
        <v>0</v>
      </c>
      <c r="FO63" s="1">
        <f>VC_NEW2!FJ27</f>
        <v>0</v>
      </c>
      <c r="FP63" s="1">
        <f>VC_NEW2!FK27</f>
        <v>0</v>
      </c>
      <c r="FQ63" s="1">
        <f>VC_NEW2!FL27</f>
        <v>0</v>
      </c>
      <c r="FR63" s="1">
        <f>VC_NEW2!FM27</f>
        <v>0</v>
      </c>
      <c r="FS63" s="1">
        <f>VC_NEW2!FN27</f>
        <v>0</v>
      </c>
      <c r="FT63" s="1">
        <f>VC_NEW2!FO27</f>
        <v>0</v>
      </c>
      <c r="FU63" s="1">
        <f>VC_NEW2!FP27</f>
        <v>0</v>
      </c>
      <c r="FV63" s="1">
        <f>VC_NEW2!FQ27</f>
        <v>0</v>
      </c>
      <c r="FW63" s="1">
        <f>VC_NEW2!FR27</f>
        <v>0</v>
      </c>
      <c r="FX63" s="1">
        <f>VC_NEW2!FS27</f>
        <v>0</v>
      </c>
      <c r="FY63" s="1">
        <f>VC_NEW2!FT27</f>
        <v>0</v>
      </c>
      <c r="FZ63" s="1">
        <f>VC_NEW2!FU27</f>
        <v>0</v>
      </c>
      <c r="GA63" s="1">
        <f>VC_NEW2!FV27</f>
        <v>0</v>
      </c>
      <c r="GB63" s="1">
        <f>VC_NEW2!FW27</f>
        <v>0</v>
      </c>
      <c r="GC63" s="1">
        <f>VC_NEW2!FX27</f>
        <v>0</v>
      </c>
      <c r="GD63" s="1">
        <f>VC_NEW2!FY27</f>
        <v>0</v>
      </c>
      <c r="GE63" s="1">
        <f>VC_NEW2!FZ27</f>
        <v>0</v>
      </c>
      <c r="GF63" s="1">
        <f>VC_NEW2!GA27</f>
        <v>0</v>
      </c>
      <c r="GG63" s="1">
        <f>VC_NEW2!GB27</f>
        <v>0</v>
      </c>
      <c r="GH63" s="1">
        <f>VC_NEW2!GC27</f>
        <v>0</v>
      </c>
      <c r="GI63" s="1">
        <f>VC_NEW2!GD27</f>
        <v>0</v>
      </c>
      <c r="GJ63" s="1">
        <f>VC_NEW2!GE27</f>
        <v>0</v>
      </c>
      <c r="GK63" s="1">
        <f>VC_NEW2!GF27</f>
        <v>0</v>
      </c>
      <c r="GL63" s="1">
        <f>VC_NEW2!GG27</f>
        <v>0</v>
      </c>
      <c r="GM63" s="1">
        <f>VC_NEW2!GH27</f>
        <v>0</v>
      </c>
      <c r="GN63" s="1">
        <f>VC_NEW2!GI27</f>
        <v>0</v>
      </c>
      <c r="GO63" s="1">
        <f>VC_NEW2!GJ27</f>
        <v>0</v>
      </c>
      <c r="GP63" s="1">
        <f>VC_NEW2!GK27</f>
        <v>0</v>
      </c>
      <c r="GQ63" s="1">
        <f>VC_NEW2!GL27</f>
        <v>0</v>
      </c>
      <c r="GR63" s="1">
        <f>VC_NEW2!GM27</f>
        <v>0</v>
      </c>
      <c r="GS63" s="1">
        <f>VC_NEW2!GN27</f>
        <v>0</v>
      </c>
      <c r="GT63" s="1" t="str">
        <f>VC_NEW2!GO27</f>
        <v xml:space="preserve">T100S </v>
      </c>
      <c r="GU63" s="1">
        <f>VC_NEW2!GP27</f>
        <v>0</v>
      </c>
      <c r="GV63" s="1">
        <f>VC_NEW2!GQ27</f>
        <v>0</v>
      </c>
      <c r="GW63" s="1">
        <f>VC_NEW2!GR27</f>
        <v>0</v>
      </c>
      <c r="GX63" s="1">
        <f>VC_NEW2!GS27</f>
        <v>0</v>
      </c>
      <c r="GY63" s="1">
        <f>VC_NEW2!GT27</f>
        <v>0</v>
      </c>
      <c r="GZ63" s="1">
        <f>VC_NEW2!GU27</f>
        <v>0</v>
      </c>
      <c r="HA63" s="1">
        <f>VC_NEW2!GV27</f>
        <v>0</v>
      </c>
      <c r="HB63" s="1">
        <f>VC_NEW2!GW27</f>
        <v>0</v>
      </c>
      <c r="HC63" s="1">
        <f>VC_NEW2!GX27</f>
        <v>0</v>
      </c>
    </row>
    <row r="64" spans="1:211" s="1" customFormat="1" ht="15.75" hidden="1" customHeight="1" thickBot="1" x14ac:dyDescent="0.25">
      <c r="A64" s="36" t="s">
        <v>22</v>
      </c>
      <c r="B64" s="37" t="s">
        <v>23</v>
      </c>
      <c r="C64" s="38" t="s">
        <v>4</v>
      </c>
      <c r="D64" s="37" t="s">
        <v>76</v>
      </c>
      <c r="E64" s="37" t="s">
        <v>138</v>
      </c>
      <c r="F64" s="37" t="s">
        <v>74</v>
      </c>
      <c r="G64" s="39" t="s">
        <v>136</v>
      </c>
      <c r="H64" s="1" t="str">
        <f>VC_NEW2!C27</f>
        <v xml:space="preserve">T50P  </v>
      </c>
      <c r="I64" s="1">
        <f>VC_NEW2!D27</f>
        <v>0</v>
      </c>
      <c r="J64" s="1">
        <f>VC_NEW2!E27</f>
        <v>0</v>
      </c>
      <c r="K64" s="1">
        <f>VC_NEW2!F27</f>
        <v>0</v>
      </c>
      <c r="L64" s="1">
        <f>VC_NEW2!G27</f>
        <v>0</v>
      </c>
      <c r="M64" s="1">
        <f>VC_NEW2!H27</f>
        <v>0</v>
      </c>
      <c r="N64" s="1">
        <f>VC_NEW2!I27</f>
        <v>0</v>
      </c>
      <c r="O64" s="1">
        <f>VC_NEW2!J27</f>
        <v>0</v>
      </c>
      <c r="P64" s="1">
        <f>VC_NEW2!K27</f>
        <v>0</v>
      </c>
      <c r="Q64" s="1">
        <f>VC_NEW2!L27</f>
        <v>0</v>
      </c>
      <c r="R64" s="1" t="str">
        <f>VC_NEW2!M27</f>
        <v xml:space="preserve"> G213D</v>
      </c>
      <c r="S64" s="1">
        <f>VC_NEW2!N27</f>
        <v>0</v>
      </c>
      <c r="T64" s="1">
        <f>VC_NEW2!O27</f>
        <v>0</v>
      </c>
      <c r="U64" s="1">
        <f>VC_NEW2!P27</f>
        <v>0</v>
      </c>
      <c r="V64" s="1">
        <f>VC_NEW2!Q27</f>
        <v>0</v>
      </c>
      <c r="W64" s="1">
        <f>VC_NEW2!R27</f>
        <v>0</v>
      </c>
      <c r="X64" s="1">
        <f>VC_NEW2!S27</f>
        <v>0</v>
      </c>
      <c r="Y64" s="1">
        <f>VC_NEW2!T27</f>
        <v>0</v>
      </c>
      <c r="Z64" s="1">
        <f>VC_NEW2!U27</f>
        <v>0</v>
      </c>
      <c r="AA64" s="1">
        <f>VC_NEW2!V27</f>
        <v>0</v>
      </c>
      <c r="AB64" s="1">
        <f>VC_NEW2!W27</f>
        <v>0</v>
      </c>
      <c r="AC64" s="1">
        <f>VC_NEW2!X27</f>
        <v>0</v>
      </c>
      <c r="AD64" s="1">
        <f>VC_NEW2!Y27</f>
        <v>0</v>
      </c>
      <c r="AE64" s="1">
        <f>VC_NEW2!Z27</f>
        <v>0</v>
      </c>
      <c r="AF64" s="1">
        <f>VC_NEW2!AA27</f>
        <v>0</v>
      </c>
      <c r="AG64" s="1">
        <f>VC_NEW2!AB27</f>
        <v>0</v>
      </c>
      <c r="AH64" s="1">
        <f>VC_NEW2!AC27</f>
        <v>0</v>
      </c>
      <c r="AI64" s="1">
        <f>VC_NEW2!AD27</f>
        <v>0</v>
      </c>
      <c r="AJ64" s="1">
        <f>VC_NEW2!AE27</f>
        <v>0</v>
      </c>
      <c r="AK64" s="1">
        <f>VC_NEW2!AF27</f>
        <v>0</v>
      </c>
      <c r="AL64" s="1">
        <f>VC_NEW2!AG27</f>
        <v>0</v>
      </c>
      <c r="AM64" s="1">
        <f>VC_NEW2!AH27</f>
        <v>0</v>
      </c>
      <c r="AN64" s="1">
        <f>VC_NEW2!AI27</f>
        <v>0</v>
      </c>
      <c r="AO64" s="1">
        <f>VC_NEW2!AJ27</f>
        <v>0</v>
      </c>
      <c r="AP64" s="1">
        <f>VC_NEW2!AK27</f>
        <v>0</v>
      </c>
      <c r="AQ64" s="1">
        <f>VC_NEW2!AL27</f>
        <v>0</v>
      </c>
      <c r="AR64" s="1">
        <f>VC_NEW2!AM27</f>
        <v>0</v>
      </c>
      <c r="AS64" s="1">
        <f>VC_NEW2!AN27</f>
        <v>0</v>
      </c>
      <c r="AT64" s="1">
        <f>VC_NEW2!AO27</f>
        <v>0</v>
      </c>
      <c r="AU64" s="1">
        <f>VC_NEW2!AP27</f>
        <v>0</v>
      </c>
      <c r="AV64" s="1">
        <f>VC_NEW2!AQ27</f>
        <v>0</v>
      </c>
      <c r="AW64" s="1">
        <f>VC_NEW2!AR27</f>
        <v>0</v>
      </c>
      <c r="AX64" s="1">
        <f>VC_NEW2!AS27</f>
        <v>0</v>
      </c>
      <c r="AY64" s="1">
        <f>VC_NEW2!AT27</f>
        <v>0</v>
      </c>
      <c r="AZ64" s="1">
        <f>VC_NEW2!AU27</f>
        <v>0</v>
      </c>
      <c r="BA64" s="1">
        <f>VC_NEW2!AV27</f>
        <v>0</v>
      </c>
      <c r="BB64" s="1">
        <f>VC_NEW2!AW27</f>
        <v>0</v>
      </c>
      <c r="BC64" s="1">
        <f>VC_NEW2!AX27</f>
        <v>0</v>
      </c>
      <c r="BD64" s="1">
        <f>VC_NEW2!AY27</f>
        <v>0</v>
      </c>
      <c r="BE64" s="1">
        <f>VC_NEW2!AZ27</f>
        <v>0</v>
      </c>
      <c r="BF64" s="1">
        <f>VC_NEW2!BA27</f>
        <v>0</v>
      </c>
      <c r="BG64" s="1">
        <f>VC_NEW2!BB27</f>
        <v>0</v>
      </c>
      <c r="BH64" s="1">
        <f>VC_NEW2!BC27</f>
        <v>0</v>
      </c>
      <c r="BI64" s="1">
        <f>VC_NEW2!BD27</f>
        <v>0</v>
      </c>
      <c r="BJ64" s="1">
        <f>VC_NEW2!BE27</f>
        <v>0</v>
      </c>
      <c r="BK64" s="1">
        <f>VC_NEW2!BF27</f>
        <v>0</v>
      </c>
      <c r="BL64" s="1">
        <f>VC_NEW2!BG27</f>
        <v>0</v>
      </c>
      <c r="BM64" s="1">
        <f>VC_NEW2!BH27</f>
        <v>0</v>
      </c>
      <c r="BN64" s="1">
        <f>VC_NEW2!BI27</f>
        <v>0</v>
      </c>
      <c r="BO64" s="1">
        <f>VC_NEW2!BJ27</f>
        <v>0</v>
      </c>
      <c r="BP64" s="1">
        <f>VC_NEW2!BK27</f>
        <v>0</v>
      </c>
      <c r="BQ64" s="1">
        <f>VC_NEW2!BL27</f>
        <v>0</v>
      </c>
      <c r="BR64" s="1">
        <f>VC_NEW2!BM27</f>
        <v>0</v>
      </c>
      <c r="BS64" s="1">
        <f>VC_NEW2!BN27</f>
        <v>0</v>
      </c>
      <c r="BT64" s="1">
        <f>VC_NEW2!BO27</f>
        <v>0</v>
      </c>
      <c r="BU64" s="1">
        <f>VC_NEW2!BP27</f>
        <v>0</v>
      </c>
      <c r="BV64" s="1">
        <f>VC_NEW2!BQ27</f>
        <v>0</v>
      </c>
      <c r="BW64" s="1">
        <f>VC_NEW2!BR27</f>
        <v>0</v>
      </c>
      <c r="BX64" s="1">
        <f>VC_NEW2!BS27</f>
        <v>0</v>
      </c>
      <c r="BY64" s="1">
        <f>VC_NEW2!BT27</f>
        <v>0</v>
      </c>
      <c r="BZ64" s="1">
        <f>VC_NEW2!BU27</f>
        <v>0</v>
      </c>
      <c r="CA64" s="1">
        <f>VC_NEW2!BV27</f>
        <v>0</v>
      </c>
      <c r="CB64" s="1">
        <f>VC_NEW2!BW27</f>
        <v>0</v>
      </c>
      <c r="CC64" s="1">
        <f>VC_NEW2!BX27</f>
        <v>0</v>
      </c>
      <c r="CD64" s="1">
        <f>VC_NEW2!BY27</f>
        <v>0</v>
      </c>
      <c r="CE64" s="1">
        <f>VC_NEW2!BZ27</f>
        <v>0</v>
      </c>
      <c r="CF64" s="1">
        <f>VC_NEW2!CA27</f>
        <v>0</v>
      </c>
      <c r="CG64" s="1">
        <f>VC_NEW2!CB27</f>
        <v>0</v>
      </c>
      <c r="CH64" s="1">
        <f>VC_NEW2!CC27</f>
        <v>0</v>
      </c>
      <c r="CI64" s="1">
        <f>VC_NEW2!CD27</f>
        <v>0</v>
      </c>
      <c r="CJ64" s="1">
        <f>VC_NEW2!CE27</f>
        <v>0</v>
      </c>
      <c r="CK64" s="1">
        <f>VC_NEW2!CF27</f>
        <v>0</v>
      </c>
      <c r="CL64" s="1">
        <f>VC_NEW2!CG27</f>
        <v>0</v>
      </c>
      <c r="CM64" s="1">
        <f>VC_NEW2!CH27</f>
        <v>0</v>
      </c>
      <c r="CN64" s="1">
        <f>VC_NEW2!CI27</f>
        <v>0</v>
      </c>
      <c r="CO64" s="1">
        <f>VC_NEW2!CJ27</f>
        <v>0</v>
      </c>
      <c r="CP64" s="1">
        <f>VC_NEW2!CK27</f>
        <v>0</v>
      </c>
      <c r="CQ64" s="1">
        <f>VC_NEW2!CL27</f>
        <v>0</v>
      </c>
      <c r="CR64" s="1">
        <f>VC_NEW2!CM27</f>
        <v>0</v>
      </c>
      <c r="CS64" s="1">
        <f>VC_NEW2!CN27</f>
        <v>0</v>
      </c>
      <c r="CT64" s="1">
        <f>VC_NEW2!CO27</f>
        <v>0</v>
      </c>
      <c r="CU64" s="1">
        <f>VC_NEW2!CP27</f>
        <v>0</v>
      </c>
      <c r="CV64" s="1">
        <f>VC_NEW2!CQ27</f>
        <v>0</v>
      </c>
      <c r="CW64" s="1">
        <f>VC_NEW2!CR27</f>
        <v>0</v>
      </c>
      <c r="CX64" s="1">
        <f>VC_NEW2!CS27</f>
        <v>0</v>
      </c>
      <c r="CY64" s="1">
        <f>VC_NEW2!CT27</f>
        <v>0</v>
      </c>
      <c r="CZ64" s="1">
        <f>VC_NEW2!CU27</f>
        <v>0</v>
      </c>
      <c r="DA64" s="1">
        <f>VC_NEW2!CV27</f>
        <v>0</v>
      </c>
      <c r="DB64" s="1">
        <f>VC_NEW2!CW27</f>
        <v>0</v>
      </c>
      <c r="DC64" s="1">
        <f>VC_NEW2!CX27</f>
        <v>0</v>
      </c>
      <c r="DD64" s="1">
        <f>VC_NEW2!CY27</f>
        <v>0</v>
      </c>
      <c r="DE64" s="1">
        <f>VC_NEW2!CZ27</f>
        <v>0</v>
      </c>
      <c r="DF64" s="1">
        <f>VC_NEW2!DA27</f>
        <v>0</v>
      </c>
      <c r="DG64" s="1">
        <f>VC_NEW2!DB27</f>
        <v>0</v>
      </c>
      <c r="DH64" s="1">
        <f>VC_NEW2!DC27</f>
        <v>0</v>
      </c>
      <c r="DI64" s="1" t="str">
        <f>VC_NEW2!DD27</f>
        <v xml:space="preserve">R191L </v>
      </c>
      <c r="DJ64" s="1" t="str">
        <f>VC_NEW2!DE27</f>
        <v>nt12InsG</v>
      </c>
      <c r="DK64" s="1">
        <f>VC_NEW2!DF27</f>
        <v>0</v>
      </c>
      <c r="DL64" s="1">
        <f>VC_NEW2!DG27</f>
        <v>0</v>
      </c>
      <c r="DM64" s="1">
        <f>VC_NEW2!DH27</f>
        <v>0</v>
      </c>
      <c r="DN64" s="1">
        <f>VC_NEW2!DI27</f>
        <v>0</v>
      </c>
      <c r="DO64" s="1">
        <f>VC_NEW2!DJ27</f>
        <v>0</v>
      </c>
      <c r="DP64" s="1">
        <f>VC_NEW2!DK27</f>
        <v>0</v>
      </c>
      <c r="DQ64" s="1">
        <f>VC_NEW2!DL27</f>
        <v>0</v>
      </c>
      <c r="DR64" s="1">
        <f>VC_NEW2!DM27</f>
        <v>0</v>
      </c>
      <c r="DS64" s="1">
        <f>VC_NEW2!DN27</f>
        <v>0</v>
      </c>
      <c r="DT64" s="1">
        <f>VC_NEW2!DO27</f>
        <v>0</v>
      </c>
      <c r="DU64" s="1">
        <f>VC_NEW2!DP27</f>
        <v>0</v>
      </c>
      <c r="DV64" s="1">
        <f>VC_NEW2!DQ27</f>
        <v>0</v>
      </c>
      <c r="DW64" s="1">
        <f>VC_NEW2!DR27</f>
        <v>0</v>
      </c>
      <c r="DX64" s="1">
        <f>VC_NEW2!DS27</f>
        <v>0</v>
      </c>
      <c r="DY64" s="1">
        <f>VC_NEW2!DT27</f>
        <v>0</v>
      </c>
      <c r="DZ64" s="1">
        <f>VC_NEW2!DU27</f>
        <v>0</v>
      </c>
      <c r="EA64" s="1">
        <f>VC_NEW2!DV27</f>
        <v>0</v>
      </c>
      <c r="EB64" s="1" t="str">
        <f>VC_NEW2!DW27</f>
        <v>nt15∆1</v>
      </c>
      <c r="EC64" s="1">
        <f>VC_NEW2!DX27</f>
        <v>0</v>
      </c>
      <c r="ED64" s="1">
        <f>VC_NEW2!DY27</f>
        <v>0</v>
      </c>
      <c r="EE64" s="1">
        <f>VC_NEW2!DZ27</f>
        <v>0</v>
      </c>
      <c r="EF64" s="1">
        <f>VC_NEW2!EA27</f>
        <v>0</v>
      </c>
      <c r="EG64" s="1">
        <f>VC_NEW2!EB27</f>
        <v>0</v>
      </c>
      <c r="EH64" s="1">
        <f>VC_NEW2!EC27</f>
        <v>0</v>
      </c>
      <c r="EI64" s="1">
        <f>VC_NEW2!ED27</f>
        <v>0</v>
      </c>
      <c r="EJ64" s="1">
        <f>VC_NEW2!EE27</f>
        <v>0</v>
      </c>
      <c r="EK64" s="1">
        <f>VC_NEW2!EF27</f>
        <v>0</v>
      </c>
      <c r="EL64" s="1">
        <f>VC_NEW2!EG27</f>
        <v>0</v>
      </c>
      <c r="EM64" s="1">
        <f>VC_NEW2!EH27</f>
        <v>0</v>
      </c>
      <c r="EN64" s="1">
        <f>VC_NEW2!EI27</f>
        <v>0</v>
      </c>
      <c r="EO64" s="1">
        <f>VC_NEW2!EJ27</f>
        <v>0</v>
      </c>
      <c r="EP64" s="1">
        <f>VC_NEW2!EK27</f>
        <v>0</v>
      </c>
      <c r="EQ64" s="1">
        <f>VC_NEW2!EL27</f>
        <v>0</v>
      </c>
      <c r="ER64" s="1">
        <f>VC_NEW2!EM27</f>
        <v>0</v>
      </c>
      <c r="ES64" s="1">
        <f>VC_NEW2!EN27</f>
        <v>0</v>
      </c>
      <c r="ET64" s="1">
        <f>VC_NEW2!EO27</f>
        <v>0</v>
      </c>
      <c r="EU64" s="1">
        <f>VC_NEW2!EP27</f>
        <v>0</v>
      </c>
      <c r="EV64" s="1">
        <f>VC_NEW2!EQ27</f>
        <v>0</v>
      </c>
      <c r="EW64" s="1" t="str">
        <f>VC_NEW2!ER27</f>
        <v>A4V</v>
      </c>
      <c r="EX64" s="1">
        <f>VC_NEW2!ES27</f>
        <v>0</v>
      </c>
      <c r="EY64" s="1">
        <f>VC_NEW2!ET27</f>
        <v>0</v>
      </c>
      <c r="EZ64" s="1">
        <f>VC_NEW2!EU27</f>
        <v>0</v>
      </c>
      <c r="FA64" s="1">
        <f>VC_NEW2!EV27</f>
        <v>0</v>
      </c>
      <c r="FB64" s="1">
        <f>VC_NEW2!EW27</f>
        <v>0</v>
      </c>
      <c r="FC64" s="1" t="str">
        <f>VC_NEW2!EX27</f>
        <v>nt15∆1</v>
      </c>
      <c r="FD64" s="1">
        <f>VC_NEW2!EY27</f>
        <v>0</v>
      </c>
      <c r="FE64" s="1">
        <f>VC_NEW2!EZ27</f>
        <v>0</v>
      </c>
      <c r="FF64" s="1">
        <f>VC_NEW2!FA27</f>
        <v>0</v>
      </c>
      <c r="FG64" s="1">
        <f>VC_NEW2!FB27</f>
        <v>0</v>
      </c>
      <c r="FH64" s="1">
        <f>VC_NEW2!FC27</f>
        <v>0</v>
      </c>
      <c r="FI64" s="1">
        <f>VC_NEW2!FD27</f>
        <v>0</v>
      </c>
      <c r="FJ64" s="1">
        <f>VC_NEW2!FE27</f>
        <v>0</v>
      </c>
      <c r="FK64" s="1">
        <f>VC_NEW2!FF27</f>
        <v>0</v>
      </c>
      <c r="FL64" s="1">
        <f>VC_NEW2!FG27</f>
        <v>0</v>
      </c>
      <c r="FM64" s="1">
        <f>VC_NEW2!FH27</f>
        <v>0</v>
      </c>
      <c r="FN64" s="1">
        <f>VC_NEW2!FI27</f>
        <v>0</v>
      </c>
      <c r="FO64" s="1">
        <f>VC_NEW2!FJ27</f>
        <v>0</v>
      </c>
      <c r="FP64" s="1">
        <f>VC_NEW2!FK27</f>
        <v>0</v>
      </c>
      <c r="FQ64" s="1">
        <f>VC_NEW2!FL27</f>
        <v>0</v>
      </c>
      <c r="FR64" s="1">
        <f>VC_NEW2!FM27</f>
        <v>0</v>
      </c>
      <c r="FS64" s="1">
        <f>VC_NEW2!FN27</f>
        <v>0</v>
      </c>
      <c r="FT64" s="1">
        <f>VC_NEW2!FO27</f>
        <v>0</v>
      </c>
      <c r="FU64" s="1">
        <f>VC_NEW2!FP27</f>
        <v>0</v>
      </c>
      <c r="FV64" s="1">
        <f>VC_NEW2!FQ27</f>
        <v>0</v>
      </c>
      <c r="FW64" s="1">
        <f>VC_NEW2!FR27</f>
        <v>0</v>
      </c>
      <c r="FX64" s="1">
        <f>VC_NEW2!FS27</f>
        <v>0</v>
      </c>
      <c r="FY64" s="1">
        <f>VC_NEW2!FT27</f>
        <v>0</v>
      </c>
      <c r="FZ64" s="1">
        <f>VC_NEW2!FU27</f>
        <v>0</v>
      </c>
      <c r="GA64" s="1">
        <f>VC_NEW2!FV27</f>
        <v>0</v>
      </c>
      <c r="GB64" s="1">
        <f>VC_NEW2!FW27</f>
        <v>0</v>
      </c>
      <c r="GC64" s="1">
        <f>VC_NEW2!FX27</f>
        <v>0</v>
      </c>
      <c r="GD64" s="1">
        <f>VC_NEW2!FY27</f>
        <v>0</v>
      </c>
      <c r="GE64" s="1">
        <f>VC_NEW2!FZ27</f>
        <v>0</v>
      </c>
      <c r="GF64" s="1">
        <f>VC_NEW2!GA27</f>
        <v>0</v>
      </c>
      <c r="GG64" s="1">
        <f>VC_NEW2!GB27</f>
        <v>0</v>
      </c>
      <c r="GH64" s="1">
        <f>VC_NEW2!GC27</f>
        <v>0</v>
      </c>
      <c r="GI64" s="1">
        <f>VC_NEW2!GD27</f>
        <v>0</v>
      </c>
      <c r="GJ64" s="1">
        <f>VC_NEW2!GE27</f>
        <v>0</v>
      </c>
      <c r="GK64" s="1">
        <f>VC_NEW2!GF27</f>
        <v>0</v>
      </c>
      <c r="GL64" s="1">
        <f>VC_NEW2!GG27</f>
        <v>0</v>
      </c>
      <c r="GM64" s="1">
        <f>VC_NEW2!GH27</f>
        <v>0</v>
      </c>
      <c r="GN64" s="1">
        <f>VC_NEW2!GI27</f>
        <v>0</v>
      </c>
      <c r="GO64" s="1">
        <f>VC_NEW2!GJ27</f>
        <v>0</v>
      </c>
      <c r="GP64" s="1">
        <f>VC_NEW2!GK27</f>
        <v>0</v>
      </c>
      <c r="GQ64" s="1">
        <f>VC_NEW2!GL27</f>
        <v>0</v>
      </c>
      <c r="GR64" s="1">
        <f>VC_NEW2!GM27</f>
        <v>0</v>
      </c>
      <c r="GS64" s="1">
        <f>VC_NEW2!GN27</f>
        <v>0</v>
      </c>
      <c r="GT64" s="1" t="str">
        <f>VC_NEW2!GO27</f>
        <v xml:space="preserve">T100S </v>
      </c>
      <c r="GU64" s="1">
        <f>VC_NEW2!GP27</f>
        <v>0</v>
      </c>
      <c r="GV64" s="1">
        <f>VC_NEW2!GQ27</f>
        <v>0</v>
      </c>
      <c r="GW64" s="1">
        <f>VC_NEW2!GR27</f>
        <v>0</v>
      </c>
      <c r="GX64" s="1">
        <f>VC_NEW2!GS27</f>
        <v>0</v>
      </c>
      <c r="GY64" s="1">
        <f>VC_NEW2!GT27</f>
        <v>0</v>
      </c>
      <c r="GZ64" s="1">
        <f>VC_NEW2!GU27</f>
        <v>0</v>
      </c>
      <c r="HA64" s="1">
        <f>VC_NEW2!GV27</f>
        <v>0</v>
      </c>
      <c r="HB64" s="1">
        <f>VC_NEW2!GW27</f>
        <v>0</v>
      </c>
      <c r="HC64" s="1">
        <f>VC_NEW2!GX27</f>
        <v>0</v>
      </c>
    </row>
    <row r="65" spans="1:211" s="1" customFormat="1" ht="15.75" hidden="1" customHeight="1" thickBot="1" x14ac:dyDescent="0.3">
      <c r="A65" s="40" t="s">
        <v>22</v>
      </c>
      <c r="B65" s="41" t="s">
        <v>23</v>
      </c>
      <c r="C65" s="42" t="s">
        <v>3</v>
      </c>
      <c r="D65" s="41" t="s">
        <v>76</v>
      </c>
      <c r="E65" s="41" t="s">
        <v>139</v>
      </c>
      <c r="F65" s="41" t="s">
        <v>74</v>
      </c>
      <c r="G65" s="43" t="s">
        <v>136</v>
      </c>
      <c r="H65" s="1" t="str">
        <f>VC_NEW2!C27</f>
        <v xml:space="preserve">T50P  </v>
      </c>
      <c r="I65" s="1">
        <f>VC_NEW2!D27</f>
        <v>0</v>
      </c>
      <c r="J65" s="1">
        <f>VC_NEW2!E27</f>
        <v>0</v>
      </c>
      <c r="K65" s="1">
        <f>VC_NEW2!F27</f>
        <v>0</v>
      </c>
      <c r="L65" s="1">
        <f>VC_NEW2!G27</f>
        <v>0</v>
      </c>
      <c r="M65" s="1">
        <f>VC_NEW2!H27</f>
        <v>0</v>
      </c>
      <c r="N65" s="1">
        <f>VC_NEW2!I27</f>
        <v>0</v>
      </c>
      <c r="O65" s="1">
        <f>VC_NEW2!J27</f>
        <v>0</v>
      </c>
      <c r="P65" s="1">
        <f>VC_NEW2!K27</f>
        <v>0</v>
      </c>
      <c r="Q65" s="1">
        <f>VC_NEW2!L27</f>
        <v>0</v>
      </c>
      <c r="R65" s="1" t="str">
        <f>VC_NEW2!M27</f>
        <v xml:space="preserve"> G213D</v>
      </c>
      <c r="S65" s="1">
        <f>VC_NEW2!N27</f>
        <v>0</v>
      </c>
      <c r="T65" s="1">
        <f>VC_NEW2!O27</f>
        <v>0</v>
      </c>
      <c r="U65" s="1">
        <f>VC_NEW2!P27</f>
        <v>0</v>
      </c>
      <c r="V65" s="1">
        <f>VC_NEW2!Q27</f>
        <v>0</v>
      </c>
      <c r="W65" s="1">
        <f>VC_NEW2!R27</f>
        <v>0</v>
      </c>
      <c r="X65" s="1">
        <f>VC_NEW2!S27</f>
        <v>0</v>
      </c>
      <c r="Y65" s="1">
        <f>VC_NEW2!T27</f>
        <v>0</v>
      </c>
      <c r="Z65" s="1">
        <f>VC_NEW2!U27</f>
        <v>0</v>
      </c>
      <c r="AA65" s="1">
        <f>VC_NEW2!V27</f>
        <v>0</v>
      </c>
      <c r="AB65" s="1">
        <f>VC_NEW2!W27</f>
        <v>0</v>
      </c>
      <c r="AC65" s="1">
        <f>VC_NEW2!X27</f>
        <v>0</v>
      </c>
      <c r="AD65" s="1">
        <f>VC_NEW2!Y27</f>
        <v>0</v>
      </c>
      <c r="AE65" s="1">
        <f>VC_NEW2!Z27</f>
        <v>0</v>
      </c>
      <c r="AF65" s="1">
        <f>VC_NEW2!AA27</f>
        <v>0</v>
      </c>
      <c r="AG65" s="1">
        <f>VC_NEW2!AB27</f>
        <v>0</v>
      </c>
      <c r="AH65" s="1">
        <f>VC_NEW2!AC27</f>
        <v>0</v>
      </c>
      <c r="AI65" s="1">
        <f>VC_NEW2!AD27</f>
        <v>0</v>
      </c>
      <c r="AJ65" s="1">
        <f>VC_NEW2!AE27</f>
        <v>0</v>
      </c>
      <c r="AK65" s="1">
        <f>VC_NEW2!AF27</f>
        <v>0</v>
      </c>
      <c r="AL65" s="1">
        <f>VC_NEW2!AG27</f>
        <v>0</v>
      </c>
      <c r="AM65" s="1">
        <f>VC_NEW2!AH27</f>
        <v>0</v>
      </c>
      <c r="AN65" s="1">
        <f>VC_NEW2!AI27</f>
        <v>0</v>
      </c>
      <c r="AO65" s="1">
        <f>VC_NEW2!AJ27</f>
        <v>0</v>
      </c>
      <c r="AP65" s="1">
        <f>VC_NEW2!AK27</f>
        <v>0</v>
      </c>
      <c r="AQ65" s="1">
        <f>VC_NEW2!AL27</f>
        <v>0</v>
      </c>
      <c r="AR65" s="1">
        <f>VC_NEW2!AM27</f>
        <v>0</v>
      </c>
      <c r="AS65" s="1">
        <f>VC_NEW2!AN27</f>
        <v>0</v>
      </c>
      <c r="AT65" s="1">
        <f>VC_NEW2!AO27</f>
        <v>0</v>
      </c>
      <c r="AU65" s="1">
        <f>VC_NEW2!AP27</f>
        <v>0</v>
      </c>
      <c r="AV65" s="1">
        <f>VC_NEW2!AQ27</f>
        <v>0</v>
      </c>
      <c r="AW65" s="1">
        <f>VC_NEW2!AR27</f>
        <v>0</v>
      </c>
      <c r="AX65" s="1">
        <f>VC_NEW2!AS27</f>
        <v>0</v>
      </c>
      <c r="AY65" s="1">
        <f>VC_NEW2!AT27</f>
        <v>0</v>
      </c>
      <c r="AZ65" s="1">
        <f>VC_NEW2!AU27</f>
        <v>0</v>
      </c>
      <c r="BA65" s="1">
        <f>VC_NEW2!AV27</f>
        <v>0</v>
      </c>
      <c r="BB65" s="1">
        <f>VC_NEW2!AW27</f>
        <v>0</v>
      </c>
      <c r="BC65" s="1">
        <f>VC_NEW2!AX27</f>
        <v>0</v>
      </c>
      <c r="BD65" s="1">
        <f>VC_NEW2!AY27</f>
        <v>0</v>
      </c>
      <c r="BE65" s="1">
        <f>VC_NEW2!AZ27</f>
        <v>0</v>
      </c>
      <c r="BF65" s="1">
        <f>VC_NEW2!BA27</f>
        <v>0</v>
      </c>
      <c r="BG65" s="1">
        <f>VC_NEW2!BB27</f>
        <v>0</v>
      </c>
      <c r="BH65" s="1">
        <f>VC_NEW2!BC27</f>
        <v>0</v>
      </c>
      <c r="BI65" s="1">
        <f>VC_NEW2!BD27</f>
        <v>0</v>
      </c>
      <c r="BJ65" s="1">
        <f>VC_NEW2!BE27</f>
        <v>0</v>
      </c>
      <c r="BK65" s="1">
        <f>VC_NEW2!BF27</f>
        <v>0</v>
      </c>
      <c r="BL65" s="1">
        <f>VC_NEW2!BG27</f>
        <v>0</v>
      </c>
      <c r="BM65" s="1">
        <f>VC_NEW2!BH27</f>
        <v>0</v>
      </c>
      <c r="BN65" s="1">
        <f>VC_NEW2!BI27</f>
        <v>0</v>
      </c>
      <c r="BO65" s="1">
        <f>VC_NEW2!BJ27</f>
        <v>0</v>
      </c>
      <c r="BP65" s="1">
        <f>VC_NEW2!BK27</f>
        <v>0</v>
      </c>
      <c r="BQ65" s="1">
        <f>VC_NEW2!BL27</f>
        <v>0</v>
      </c>
      <c r="BR65" s="1">
        <f>VC_NEW2!BM27</f>
        <v>0</v>
      </c>
      <c r="BS65" s="1">
        <f>VC_NEW2!BN27</f>
        <v>0</v>
      </c>
      <c r="BT65" s="1">
        <f>VC_NEW2!BO27</f>
        <v>0</v>
      </c>
      <c r="BU65" s="1">
        <f>VC_NEW2!BP27</f>
        <v>0</v>
      </c>
      <c r="BV65" s="1">
        <f>VC_NEW2!BQ27</f>
        <v>0</v>
      </c>
      <c r="BW65" s="1">
        <f>VC_NEW2!BR27</f>
        <v>0</v>
      </c>
      <c r="BX65" s="1">
        <f>VC_NEW2!BS27</f>
        <v>0</v>
      </c>
      <c r="BY65" s="1">
        <f>VC_NEW2!BT27</f>
        <v>0</v>
      </c>
      <c r="BZ65" s="1">
        <f>VC_NEW2!BU27</f>
        <v>0</v>
      </c>
      <c r="CA65" s="1">
        <f>VC_NEW2!BV27</f>
        <v>0</v>
      </c>
      <c r="CB65" s="1">
        <f>VC_NEW2!BW27</f>
        <v>0</v>
      </c>
      <c r="CC65" s="1">
        <f>VC_NEW2!BX27</f>
        <v>0</v>
      </c>
      <c r="CD65" s="1">
        <f>VC_NEW2!BY27</f>
        <v>0</v>
      </c>
      <c r="CE65" s="1">
        <f>VC_NEW2!BZ27</f>
        <v>0</v>
      </c>
      <c r="CF65" s="1">
        <f>VC_NEW2!CA27</f>
        <v>0</v>
      </c>
      <c r="CG65" s="1">
        <f>VC_NEW2!CB27</f>
        <v>0</v>
      </c>
      <c r="CH65" s="1">
        <f>VC_NEW2!CC27</f>
        <v>0</v>
      </c>
      <c r="CI65" s="1">
        <f>VC_NEW2!CD27</f>
        <v>0</v>
      </c>
      <c r="CJ65" s="1">
        <f>VC_NEW2!CE27</f>
        <v>0</v>
      </c>
      <c r="CK65" s="1">
        <f>VC_NEW2!CF27</f>
        <v>0</v>
      </c>
      <c r="CL65" s="1">
        <f>VC_NEW2!CG27</f>
        <v>0</v>
      </c>
      <c r="CM65" s="1">
        <f>VC_NEW2!CH27</f>
        <v>0</v>
      </c>
      <c r="CN65" s="1">
        <f>VC_NEW2!CI27</f>
        <v>0</v>
      </c>
      <c r="CO65" s="1">
        <f>VC_NEW2!CJ27</f>
        <v>0</v>
      </c>
      <c r="CP65" s="1">
        <f>VC_NEW2!CK27</f>
        <v>0</v>
      </c>
      <c r="CQ65" s="1">
        <f>VC_NEW2!CL27</f>
        <v>0</v>
      </c>
      <c r="CR65" s="1">
        <f>VC_NEW2!CM27</f>
        <v>0</v>
      </c>
      <c r="CS65" s="1">
        <f>VC_NEW2!CN27</f>
        <v>0</v>
      </c>
      <c r="CT65" s="1">
        <f>VC_NEW2!CO27</f>
        <v>0</v>
      </c>
      <c r="CU65" s="1">
        <f>VC_NEW2!CP27</f>
        <v>0</v>
      </c>
      <c r="CV65" s="1">
        <f>VC_NEW2!CQ27</f>
        <v>0</v>
      </c>
      <c r="CW65" s="1">
        <f>VC_NEW2!CR27</f>
        <v>0</v>
      </c>
      <c r="CX65" s="1">
        <f>VC_NEW2!CS27</f>
        <v>0</v>
      </c>
      <c r="CY65" s="1">
        <f>VC_NEW2!CT27</f>
        <v>0</v>
      </c>
      <c r="CZ65" s="1">
        <f>VC_NEW2!CU27</f>
        <v>0</v>
      </c>
      <c r="DA65" s="1">
        <f>VC_NEW2!CV27</f>
        <v>0</v>
      </c>
      <c r="DB65" s="1">
        <f>VC_NEW2!CW27</f>
        <v>0</v>
      </c>
      <c r="DC65" s="1">
        <f>VC_NEW2!CX27</f>
        <v>0</v>
      </c>
      <c r="DD65" s="1">
        <f>VC_NEW2!CY27</f>
        <v>0</v>
      </c>
      <c r="DE65" s="1">
        <f>VC_NEW2!CZ27</f>
        <v>0</v>
      </c>
      <c r="DF65" s="1">
        <f>VC_NEW2!DA27</f>
        <v>0</v>
      </c>
      <c r="DG65" s="1">
        <f>VC_NEW2!DB27</f>
        <v>0</v>
      </c>
      <c r="DH65" s="1">
        <f>VC_NEW2!DC27</f>
        <v>0</v>
      </c>
      <c r="DI65" s="1" t="str">
        <f>VC_NEW2!DD27</f>
        <v xml:space="preserve">R191L </v>
      </c>
      <c r="DJ65" s="1" t="str">
        <f>VC_NEW2!DE27</f>
        <v>nt12InsG</v>
      </c>
      <c r="DK65" s="1">
        <f>VC_NEW2!DF27</f>
        <v>0</v>
      </c>
      <c r="DL65" s="1">
        <f>VC_NEW2!DG27</f>
        <v>0</v>
      </c>
      <c r="DM65" s="1">
        <f>VC_NEW2!DH27</f>
        <v>0</v>
      </c>
      <c r="DN65" s="1">
        <f>VC_NEW2!DI27</f>
        <v>0</v>
      </c>
      <c r="DO65" s="1">
        <f>VC_NEW2!DJ27</f>
        <v>0</v>
      </c>
      <c r="DP65" s="1">
        <f>VC_NEW2!DK27</f>
        <v>0</v>
      </c>
      <c r="DQ65" s="1">
        <f>VC_NEW2!DL27</f>
        <v>0</v>
      </c>
      <c r="DR65" s="1">
        <f>VC_NEW2!DM27</f>
        <v>0</v>
      </c>
      <c r="DS65" s="1">
        <f>VC_NEW2!DN27</f>
        <v>0</v>
      </c>
      <c r="DT65" s="1">
        <f>VC_NEW2!DO27</f>
        <v>0</v>
      </c>
      <c r="DU65" s="1">
        <f>VC_NEW2!DP27</f>
        <v>0</v>
      </c>
      <c r="DV65" s="1">
        <f>VC_NEW2!DQ27</f>
        <v>0</v>
      </c>
      <c r="DW65" s="1">
        <f>VC_NEW2!DR27</f>
        <v>0</v>
      </c>
      <c r="DX65" s="1">
        <f>VC_NEW2!DS27</f>
        <v>0</v>
      </c>
      <c r="DY65" s="1">
        <f>VC_NEW2!DT27</f>
        <v>0</v>
      </c>
      <c r="DZ65" s="1">
        <f>VC_NEW2!DU27</f>
        <v>0</v>
      </c>
      <c r="EA65" s="1">
        <f>VC_NEW2!DV27</f>
        <v>0</v>
      </c>
      <c r="EB65" s="1" t="str">
        <f>VC_NEW2!DW27</f>
        <v>nt15∆1</v>
      </c>
      <c r="EC65" s="1">
        <f>VC_NEW2!DX27</f>
        <v>0</v>
      </c>
      <c r="ED65" s="1">
        <f>VC_NEW2!DY27</f>
        <v>0</v>
      </c>
      <c r="EE65" s="1">
        <f>VC_NEW2!DZ27</f>
        <v>0</v>
      </c>
      <c r="EF65" s="1">
        <f>VC_NEW2!EA27</f>
        <v>0</v>
      </c>
      <c r="EG65" s="1">
        <f>VC_NEW2!EB27</f>
        <v>0</v>
      </c>
      <c r="EH65" s="1">
        <f>VC_NEW2!EC27</f>
        <v>0</v>
      </c>
      <c r="EI65" s="1">
        <f>VC_NEW2!ED27</f>
        <v>0</v>
      </c>
      <c r="EJ65" s="1">
        <f>VC_NEW2!EE27</f>
        <v>0</v>
      </c>
      <c r="EK65" s="1">
        <f>VC_NEW2!EF27</f>
        <v>0</v>
      </c>
      <c r="EL65" s="1">
        <f>VC_NEW2!EG27</f>
        <v>0</v>
      </c>
      <c r="EM65" s="1">
        <f>VC_NEW2!EH27</f>
        <v>0</v>
      </c>
      <c r="EN65" s="1">
        <f>VC_NEW2!EI27</f>
        <v>0</v>
      </c>
      <c r="EO65" s="1">
        <f>VC_NEW2!EJ27</f>
        <v>0</v>
      </c>
      <c r="EP65" s="1">
        <f>VC_NEW2!EK27</f>
        <v>0</v>
      </c>
      <c r="EQ65" s="1">
        <f>VC_NEW2!EL27</f>
        <v>0</v>
      </c>
      <c r="ER65" s="1">
        <f>VC_NEW2!EM27</f>
        <v>0</v>
      </c>
      <c r="ES65" s="1">
        <f>VC_NEW2!EN27</f>
        <v>0</v>
      </c>
      <c r="ET65" s="1">
        <f>VC_NEW2!EO27</f>
        <v>0</v>
      </c>
      <c r="EU65" s="1">
        <f>VC_NEW2!EP27</f>
        <v>0</v>
      </c>
      <c r="EV65" s="1">
        <f>VC_NEW2!EQ27</f>
        <v>0</v>
      </c>
      <c r="EW65" s="1" t="str">
        <f>VC_NEW2!ER27</f>
        <v>A4V</v>
      </c>
      <c r="EX65" s="1">
        <f>VC_NEW2!ES27</f>
        <v>0</v>
      </c>
      <c r="EY65" s="1">
        <f>VC_NEW2!ET27</f>
        <v>0</v>
      </c>
      <c r="EZ65" s="1">
        <f>VC_NEW2!EU27</f>
        <v>0</v>
      </c>
      <c r="FA65" s="1">
        <f>VC_NEW2!EV27</f>
        <v>0</v>
      </c>
      <c r="FB65" s="1">
        <f>VC_NEW2!EW27</f>
        <v>0</v>
      </c>
      <c r="FC65" s="1" t="str">
        <f>VC_NEW2!EX27</f>
        <v>nt15∆1</v>
      </c>
      <c r="FD65" s="1">
        <f>VC_NEW2!EY27</f>
        <v>0</v>
      </c>
      <c r="FE65" s="1">
        <f>VC_NEW2!EZ27</f>
        <v>0</v>
      </c>
      <c r="FF65" s="1">
        <f>VC_NEW2!FA27</f>
        <v>0</v>
      </c>
      <c r="FG65" s="1">
        <f>VC_NEW2!FB27</f>
        <v>0</v>
      </c>
      <c r="FH65" s="1">
        <f>VC_NEW2!FC27</f>
        <v>0</v>
      </c>
      <c r="FI65" s="1">
        <f>VC_NEW2!FD27</f>
        <v>0</v>
      </c>
      <c r="FJ65" s="1">
        <f>VC_NEW2!FE27</f>
        <v>0</v>
      </c>
      <c r="FK65" s="1">
        <f>VC_NEW2!FF27</f>
        <v>0</v>
      </c>
      <c r="FL65" s="1">
        <f>VC_NEW2!FG27</f>
        <v>0</v>
      </c>
      <c r="FM65" s="1">
        <f>VC_NEW2!FH27</f>
        <v>0</v>
      </c>
      <c r="FN65" s="1">
        <f>VC_NEW2!FI27</f>
        <v>0</v>
      </c>
      <c r="FO65" s="1">
        <f>VC_NEW2!FJ27</f>
        <v>0</v>
      </c>
      <c r="FP65" s="1">
        <f>VC_NEW2!FK27</f>
        <v>0</v>
      </c>
      <c r="FQ65" s="1">
        <f>VC_NEW2!FL27</f>
        <v>0</v>
      </c>
      <c r="FR65" s="1">
        <f>VC_NEW2!FM27</f>
        <v>0</v>
      </c>
      <c r="FS65" s="1">
        <f>VC_NEW2!FN27</f>
        <v>0</v>
      </c>
      <c r="FT65" s="1">
        <f>VC_NEW2!FO27</f>
        <v>0</v>
      </c>
      <c r="FU65" s="1">
        <f>VC_NEW2!FP27</f>
        <v>0</v>
      </c>
      <c r="FV65" s="1">
        <f>VC_NEW2!FQ27</f>
        <v>0</v>
      </c>
      <c r="FW65" s="1">
        <f>VC_NEW2!FR27</f>
        <v>0</v>
      </c>
      <c r="FX65" s="1">
        <f>VC_NEW2!FS27</f>
        <v>0</v>
      </c>
      <c r="FY65" s="1">
        <f>VC_NEW2!FT27</f>
        <v>0</v>
      </c>
      <c r="FZ65" s="1">
        <f>VC_NEW2!FU27</f>
        <v>0</v>
      </c>
      <c r="GA65" s="1">
        <f>VC_NEW2!FV27</f>
        <v>0</v>
      </c>
      <c r="GB65" s="1">
        <f>VC_NEW2!FW27</f>
        <v>0</v>
      </c>
      <c r="GC65" s="1">
        <f>VC_NEW2!FX27</f>
        <v>0</v>
      </c>
      <c r="GD65" s="1">
        <f>VC_NEW2!FY27</f>
        <v>0</v>
      </c>
      <c r="GE65" s="1">
        <f>VC_NEW2!FZ27</f>
        <v>0</v>
      </c>
      <c r="GF65" s="1">
        <f>VC_NEW2!GA27</f>
        <v>0</v>
      </c>
      <c r="GG65" s="1">
        <f>VC_NEW2!GB27</f>
        <v>0</v>
      </c>
      <c r="GH65" s="1">
        <f>VC_NEW2!GC27</f>
        <v>0</v>
      </c>
      <c r="GI65" s="1">
        <f>VC_NEW2!GD27</f>
        <v>0</v>
      </c>
      <c r="GJ65" s="1">
        <f>VC_NEW2!GE27</f>
        <v>0</v>
      </c>
      <c r="GK65" s="1">
        <f>VC_NEW2!GF27</f>
        <v>0</v>
      </c>
      <c r="GL65" s="1">
        <f>VC_NEW2!GG27</f>
        <v>0</v>
      </c>
      <c r="GM65" s="1">
        <f>VC_NEW2!GH27</f>
        <v>0</v>
      </c>
      <c r="GN65" s="1">
        <f>VC_NEW2!GI27</f>
        <v>0</v>
      </c>
      <c r="GO65" s="1">
        <f>VC_NEW2!GJ27</f>
        <v>0</v>
      </c>
      <c r="GP65" s="1">
        <f>VC_NEW2!GK27</f>
        <v>0</v>
      </c>
      <c r="GQ65" s="1">
        <f>VC_NEW2!GL27</f>
        <v>0</v>
      </c>
      <c r="GR65" s="1">
        <f>VC_NEW2!GM27</f>
        <v>0</v>
      </c>
      <c r="GS65" s="1">
        <f>VC_NEW2!GN27</f>
        <v>0</v>
      </c>
      <c r="GT65" s="1" t="str">
        <f>VC_NEW2!GO27</f>
        <v xml:space="preserve">T100S </v>
      </c>
      <c r="GU65" s="1">
        <f>VC_NEW2!GP27</f>
        <v>0</v>
      </c>
      <c r="GV65" s="1">
        <f>VC_NEW2!GQ27</f>
        <v>0</v>
      </c>
      <c r="GW65" s="1">
        <f>VC_NEW2!GR27</f>
        <v>0</v>
      </c>
      <c r="GX65" s="1">
        <f>VC_NEW2!GS27</f>
        <v>0</v>
      </c>
      <c r="GY65" s="1">
        <f>VC_NEW2!GT27</f>
        <v>0</v>
      </c>
      <c r="GZ65" s="1">
        <f>VC_NEW2!GU27</f>
        <v>0</v>
      </c>
      <c r="HA65" s="1">
        <f>VC_NEW2!GV27</f>
        <v>0</v>
      </c>
      <c r="HB65" s="1">
        <f>VC_NEW2!GW27</f>
        <v>0</v>
      </c>
      <c r="HC65" s="1">
        <f>VC_NEW2!GX27</f>
        <v>0</v>
      </c>
    </row>
    <row r="66" spans="1:211" s="7" customFormat="1" ht="15" hidden="1" customHeight="1" x14ac:dyDescent="0.25">
      <c r="A66" s="7" t="s">
        <v>24</v>
      </c>
      <c r="B66" s="7" t="s">
        <v>98</v>
      </c>
      <c r="C66" s="8" t="s">
        <v>1</v>
      </c>
      <c r="D66" s="7" t="s">
        <v>76</v>
      </c>
      <c r="E66" s="7">
        <v>0.125</v>
      </c>
      <c r="F66" s="7" t="s">
        <v>73</v>
      </c>
      <c r="G66" s="7" t="s">
        <v>160</v>
      </c>
      <c r="H66" s="7">
        <f>VC_NEW2!C28</f>
        <v>0</v>
      </c>
      <c r="I66" s="7">
        <f>VC_NEW2!D28</f>
        <v>0</v>
      </c>
      <c r="J66" s="7">
        <f>VC_NEW2!E28</f>
        <v>0</v>
      </c>
      <c r="K66" s="7">
        <f>VC_NEW2!F28</f>
        <v>0</v>
      </c>
      <c r="L66" s="7">
        <f>VC_NEW2!G28</f>
        <v>0</v>
      </c>
      <c r="M66" s="7">
        <f>VC_NEW2!H28</f>
        <v>0</v>
      </c>
      <c r="N66" s="7">
        <f>VC_NEW2!I28</f>
        <v>0</v>
      </c>
      <c r="O66" s="7">
        <f>VC_NEW2!J28</f>
        <v>0</v>
      </c>
      <c r="P66" s="7">
        <f>VC_NEW2!K28</f>
        <v>0</v>
      </c>
      <c r="Q66" s="7">
        <f>VC_NEW2!L28</f>
        <v>0</v>
      </c>
      <c r="R66" s="7">
        <f>VC_NEW2!M28</f>
        <v>0</v>
      </c>
      <c r="S66" s="7">
        <f>VC_NEW2!N28</f>
        <v>0</v>
      </c>
      <c r="T66" s="7">
        <f>VC_NEW2!O28</f>
        <v>0</v>
      </c>
      <c r="U66" s="7">
        <f>VC_NEW2!P28</f>
        <v>0</v>
      </c>
      <c r="V66" s="7">
        <f>VC_NEW2!Q28</f>
        <v>0</v>
      </c>
      <c r="W66" s="7">
        <f>VC_NEW2!R28</f>
        <v>0</v>
      </c>
      <c r="X66" s="7">
        <f>VC_NEW2!S28</f>
        <v>0</v>
      </c>
      <c r="Y66" s="7">
        <f>VC_NEW2!T28</f>
        <v>0</v>
      </c>
      <c r="Z66" s="7">
        <f>VC_NEW2!U28</f>
        <v>0</v>
      </c>
      <c r="AA66" s="7">
        <f>VC_NEW2!V28</f>
        <v>0</v>
      </c>
      <c r="AB66" s="7">
        <f>VC_NEW2!W28</f>
        <v>0</v>
      </c>
      <c r="AC66" s="7">
        <f>VC_NEW2!X28</f>
        <v>0</v>
      </c>
      <c r="AD66" s="7">
        <f>VC_NEW2!Y28</f>
        <v>0</v>
      </c>
      <c r="AE66" s="7">
        <f>VC_NEW2!Z28</f>
        <v>0</v>
      </c>
      <c r="AF66" s="7">
        <f>VC_NEW2!AA28</f>
        <v>0</v>
      </c>
      <c r="AG66" s="7">
        <f>VC_NEW2!AB28</f>
        <v>0</v>
      </c>
      <c r="AH66" s="7">
        <f>VC_NEW2!AC28</f>
        <v>0</v>
      </c>
      <c r="AI66" s="7">
        <f>VC_NEW2!AD28</f>
        <v>0</v>
      </c>
      <c r="AJ66" s="7">
        <f>VC_NEW2!AE28</f>
        <v>0</v>
      </c>
      <c r="AK66" s="7">
        <f>VC_NEW2!AF28</f>
        <v>0</v>
      </c>
      <c r="AL66" s="7">
        <f>VC_NEW2!AG28</f>
        <v>0</v>
      </c>
      <c r="AM66" s="7">
        <f>VC_NEW2!AH28</f>
        <v>0</v>
      </c>
      <c r="AN66" s="7">
        <f>VC_NEW2!AI28</f>
        <v>0</v>
      </c>
      <c r="AO66" s="7">
        <f>VC_NEW2!AJ28</f>
        <v>0</v>
      </c>
      <c r="AP66" s="7">
        <f>VC_NEW2!AK28</f>
        <v>0</v>
      </c>
      <c r="AQ66" s="7">
        <f>VC_NEW2!AL28</f>
        <v>0</v>
      </c>
      <c r="AR66" s="7">
        <f>VC_NEW2!AM28</f>
        <v>0</v>
      </c>
      <c r="AS66" s="7">
        <f>VC_NEW2!AN28</f>
        <v>0</v>
      </c>
      <c r="AT66" s="7">
        <f>VC_NEW2!AO28</f>
        <v>0</v>
      </c>
      <c r="AU66" s="7">
        <f>VC_NEW2!AP28</f>
        <v>0</v>
      </c>
      <c r="AV66" s="7">
        <f>VC_NEW2!AQ28</f>
        <v>0</v>
      </c>
      <c r="AW66" s="7">
        <f>VC_NEW2!AR28</f>
        <v>0</v>
      </c>
      <c r="AX66" s="7">
        <f>VC_NEW2!AS28</f>
        <v>0</v>
      </c>
      <c r="AY66" s="7">
        <f>VC_NEW2!AT28</f>
        <v>0</v>
      </c>
      <c r="AZ66" s="7">
        <f>VC_NEW2!AU28</f>
        <v>0</v>
      </c>
      <c r="BA66" s="7">
        <f>VC_NEW2!AV28</f>
        <v>0</v>
      </c>
      <c r="BB66" s="7">
        <f>VC_NEW2!AW28</f>
        <v>0</v>
      </c>
      <c r="BC66" s="7">
        <f>VC_NEW2!AX28</f>
        <v>0</v>
      </c>
      <c r="BD66" s="7">
        <f>VC_NEW2!AY28</f>
        <v>0</v>
      </c>
      <c r="BE66" s="7">
        <f>VC_NEW2!AZ28</f>
        <v>0</v>
      </c>
      <c r="BF66" s="7">
        <f>VC_NEW2!BA28</f>
        <v>0</v>
      </c>
      <c r="BG66" s="7">
        <f>VC_NEW2!BB28</f>
        <v>0</v>
      </c>
      <c r="BH66" s="7">
        <f>VC_NEW2!BC28</f>
        <v>0</v>
      </c>
      <c r="BI66" s="7">
        <f>VC_NEW2!BD28</f>
        <v>0</v>
      </c>
      <c r="BJ66" s="7">
        <f>VC_NEW2!BE28</f>
        <v>0</v>
      </c>
      <c r="BK66" s="7">
        <f>VC_NEW2!BF28</f>
        <v>0</v>
      </c>
      <c r="BL66" s="7">
        <f>VC_NEW2!BG28</f>
        <v>0</v>
      </c>
      <c r="BM66" s="7">
        <f>VC_NEW2!BH28</f>
        <v>0</v>
      </c>
      <c r="BN66" s="7">
        <f>VC_NEW2!BI28</f>
        <v>0</v>
      </c>
      <c r="BO66" s="7">
        <f>VC_NEW2!BJ28</f>
        <v>0</v>
      </c>
      <c r="BP66" s="7">
        <f>VC_NEW2!BK28</f>
        <v>0</v>
      </c>
      <c r="BQ66" s="7">
        <f>VC_NEW2!BL28</f>
        <v>0</v>
      </c>
      <c r="BR66" s="7">
        <f>VC_NEW2!BM28</f>
        <v>0</v>
      </c>
      <c r="BS66" s="7">
        <f>VC_NEW2!BN28</f>
        <v>0</v>
      </c>
      <c r="BT66" s="7">
        <f>VC_NEW2!BO28</f>
        <v>0</v>
      </c>
      <c r="BU66" s="7">
        <f>VC_NEW2!BP28</f>
        <v>0</v>
      </c>
      <c r="BV66" s="7">
        <f>VC_NEW2!BQ28</f>
        <v>0</v>
      </c>
      <c r="BW66" s="7">
        <f>VC_NEW2!BR28</f>
        <v>0</v>
      </c>
      <c r="BX66" s="7">
        <f>VC_NEW2!BS28</f>
        <v>0</v>
      </c>
      <c r="BY66" s="7">
        <f>VC_NEW2!BT28</f>
        <v>0</v>
      </c>
      <c r="BZ66" s="7">
        <f>VC_NEW2!BU28</f>
        <v>0</v>
      </c>
      <c r="CA66" s="7">
        <f>VC_NEW2!BV28</f>
        <v>0</v>
      </c>
      <c r="CB66" s="7">
        <f>VC_NEW2!BW28</f>
        <v>0</v>
      </c>
      <c r="CC66" s="7">
        <f>VC_NEW2!BX28</f>
        <v>0</v>
      </c>
      <c r="CD66" s="7">
        <f>VC_NEW2!BY28</f>
        <v>0</v>
      </c>
      <c r="CE66" s="7">
        <f>VC_NEW2!BZ28</f>
        <v>0</v>
      </c>
      <c r="CF66" s="7">
        <f>VC_NEW2!CA28</f>
        <v>0</v>
      </c>
      <c r="CG66" s="7">
        <f>VC_NEW2!CB28</f>
        <v>0</v>
      </c>
      <c r="CH66" s="7">
        <f>VC_NEW2!CC28</f>
        <v>0</v>
      </c>
      <c r="CI66" s="7">
        <f>VC_NEW2!CD28</f>
        <v>0</v>
      </c>
      <c r="CJ66" s="7">
        <f>VC_NEW2!CE28</f>
        <v>0</v>
      </c>
      <c r="CK66" s="7">
        <f>VC_NEW2!CF28</f>
        <v>0</v>
      </c>
      <c r="CL66" s="7">
        <f>VC_NEW2!CG28</f>
        <v>0</v>
      </c>
      <c r="CM66" s="7">
        <f>VC_NEW2!CH28</f>
        <v>0</v>
      </c>
      <c r="CN66" s="7">
        <f>VC_NEW2!CI28</f>
        <v>0</v>
      </c>
      <c r="CO66" s="7">
        <f>VC_NEW2!CJ28</f>
        <v>0</v>
      </c>
      <c r="CP66" s="7">
        <f>VC_NEW2!CK28</f>
        <v>0</v>
      </c>
      <c r="CQ66" s="7">
        <f>VC_NEW2!CL28</f>
        <v>0</v>
      </c>
      <c r="CR66" s="7">
        <f>VC_NEW2!CM28</f>
        <v>0</v>
      </c>
      <c r="CS66" s="7">
        <f>VC_NEW2!CN28</f>
        <v>0</v>
      </c>
      <c r="CT66" s="7">
        <f>VC_NEW2!CO28</f>
        <v>0</v>
      </c>
      <c r="CU66" s="7">
        <f>VC_NEW2!CP28</f>
        <v>0</v>
      </c>
      <c r="CV66" s="7">
        <f>VC_NEW2!CQ28</f>
        <v>0</v>
      </c>
      <c r="CW66" s="7">
        <f>VC_NEW2!CR28</f>
        <v>0</v>
      </c>
      <c r="CX66" s="7">
        <f>VC_NEW2!CS28</f>
        <v>0</v>
      </c>
      <c r="CY66" s="7">
        <f>VC_NEW2!CT28</f>
        <v>0</v>
      </c>
      <c r="CZ66" s="7">
        <f>VC_NEW2!CU28</f>
        <v>0</v>
      </c>
      <c r="DA66" s="7">
        <f>VC_NEW2!CV28</f>
        <v>0</v>
      </c>
      <c r="DB66" s="7">
        <f>VC_NEW2!CW28</f>
        <v>0</v>
      </c>
      <c r="DC66" s="7">
        <f>VC_NEW2!CX28</f>
        <v>0</v>
      </c>
      <c r="DD66" s="7">
        <f>VC_NEW2!CY28</f>
        <v>0</v>
      </c>
      <c r="DE66" s="7">
        <f>VC_NEW2!CZ28</f>
        <v>0</v>
      </c>
      <c r="DF66" s="7">
        <f>VC_NEW2!DA28</f>
        <v>0</v>
      </c>
      <c r="DG66" s="7">
        <f>VC_NEW2!DB28</f>
        <v>0</v>
      </c>
      <c r="DH66" s="7">
        <f>VC_NEW2!DC28</f>
        <v>0</v>
      </c>
      <c r="DI66" s="7">
        <f>VC_NEW2!DD28</f>
        <v>0</v>
      </c>
      <c r="DJ66" s="7">
        <f>VC_NEW2!DE28</f>
        <v>0</v>
      </c>
      <c r="DK66" s="7">
        <f>VC_NEW2!DF28</f>
        <v>0</v>
      </c>
      <c r="DL66" s="7">
        <f>VC_NEW2!DG28</f>
        <v>0</v>
      </c>
      <c r="DM66" s="7">
        <f>VC_NEW2!DH28</f>
        <v>0</v>
      </c>
      <c r="DN66" s="7">
        <f>VC_NEW2!DI28</f>
        <v>0</v>
      </c>
      <c r="DO66" s="7">
        <f>VC_NEW2!DJ28</f>
        <v>0</v>
      </c>
      <c r="DP66" s="7">
        <f>VC_NEW2!DK28</f>
        <v>0</v>
      </c>
      <c r="DQ66" s="7">
        <f>VC_NEW2!DL28</f>
        <v>0</v>
      </c>
      <c r="DR66" s="7">
        <f>VC_NEW2!DM28</f>
        <v>0</v>
      </c>
      <c r="DS66" s="7">
        <f>VC_NEW2!DN28</f>
        <v>0</v>
      </c>
      <c r="DT66" s="7">
        <f>VC_NEW2!DO28</f>
        <v>0</v>
      </c>
      <c r="DU66" s="7">
        <f>VC_NEW2!DP28</f>
        <v>0</v>
      </c>
      <c r="DV66" s="7">
        <f>VC_NEW2!DQ28</f>
        <v>0</v>
      </c>
      <c r="DW66" s="7">
        <f>VC_NEW2!DR28</f>
        <v>0</v>
      </c>
      <c r="DX66" s="7">
        <f>VC_NEW2!DS28</f>
        <v>0</v>
      </c>
      <c r="DY66" s="7">
        <f>VC_NEW2!DT28</f>
        <v>0</v>
      </c>
      <c r="DZ66" s="7">
        <f>VC_NEW2!DU28</f>
        <v>0</v>
      </c>
      <c r="EA66" s="7">
        <f>VC_NEW2!DV28</f>
        <v>0</v>
      </c>
      <c r="EB66" s="7">
        <f>VC_NEW2!DW28</f>
        <v>0</v>
      </c>
      <c r="EC66" s="7">
        <f>VC_NEW2!DX28</f>
        <v>0</v>
      </c>
      <c r="ED66" s="7">
        <f>VC_NEW2!DY28</f>
        <v>0</v>
      </c>
      <c r="EE66" s="7">
        <f>VC_NEW2!DZ28</f>
        <v>0</v>
      </c>
      <c r="EF66" s="7">
        <f>VC_NEW2!EA28</f>
        <v>0</v>
      </c>
      <c r="EG66" s="7" t="str">
        <f>VC_NEW2!EB28</f>
        <v>nt390InsGT</v>
      </c>
      <c r="EH66" s="7">
        <f>VC_NEW2!EC28</f>
        <v>0</v>
      </c>
      <c r="EI66" s="7">
        <f>VC_NEW2!ED28</f>
        <v>0</v>
      </c>
      <c r="EJ66" s="7">
        <f>VC_NEW2!EE28</f>
        <v>0</v>
      </c>
      <c r="EK66" s="7">
        <f>VC_NEW2!EF28</f>
        <v>0</v>
      </c>
      <c r="EL66" s="7">
        <f>VC_NEW2!EG28</f>
        <v>0</v>
      </c>
      <c r="EM66" s="7">
        <f>VC_NEW2!EH28</f>
        <v>0</v>
      </c>
      <c r="EN66" s="7">
        <f>VC_NEW2!EI28</f>
        <v>0</v>
      </c>
      <c r="EO66" s="7">
        <f>VC_NEW2!EJ28</f>
        <v>0</v>
      </c>
      <c r="EP66" s="7">
        <f>VC_NEW2!EK28</f>
        <v>0</v>
      </c>
      <c r="EQ66" s="7">
        <f>VC_NEW2!EL28</f>
        <v>0</v>
      </c>
      <c r="ER66" s="7">
        <f>VC_NEW2!EM28</f>
        <v>0</v>
      </c>
      <c r="ES66" s="7">
        <f>VC_NEW2!EN28</f>
        <v>0</v>
      </c>
      <c r="ET66" s="7">
        <f>VC_NEW2!EO28</f>
        <v>0</v>
      </c>
      <c r="EU66" s="7">
        <f>VC_NEW2!EP28</f>
        <v>0</v>
      </c>
      <c r="EV66" s="7">
        <f>VC_NEW2!EQ28</f>
        <v>0</v>
      </c>
      <c r="EW66" s="7" t="str">
        <f>VC_NEW2!ER28</f>
        <v>N86S, S355T</v>
      </c>
      <c r="EX66" s="7">
        <f>VC_NEW2!ES28</f>
        <v>0</v>
      </c>
      <c r="EY66" s="7">
        <f>VC_NEW2!ET28</f>
        <v>0</v>
      </c>
      <c r="EZ66" s="7">
        <f>VC_NEW2!EU28</f>
        <v>0</v>
      </c>
      <c r="FA66" s="7">
        <f>VC_NEW2!EV28</f>
        <v>0</v>
      </c>
      <c r="FB66" s="7">
        <f>VC_NEW2!EW28</f>
        <v>0</v>
      </c>
      <c r="FC66" s="7">
        <f>VC_NEW2!EX28</f>
        <v>0</v>
      </c>
      <c r="FD66" s="7">
        <f>VC_NEW2!EY28</f>
        <v>0</v>
      </c>
      <c r="FE66" s="7">
        <f>VC_NEW2!EZ28</f>
        <v>0</v>
      </c>
      <c r="FF66" s="7">
        <f>VC_NEW2!FA28</f>
        <v>0</v>
      </c>
      <c r="FG66" s="7">
        <f>VC_NEW2!FB28</f>
        <v>0</v>
      </c>
      <c r="FH66" s="7">
        <f>VC_NEW2!FC28</f>
        <v>0</v>
      </c>
      <c r="FI66" s="7">
        <f>VC_NEW2!FD28</f>
        <v>0</v>
      </c>
      <c r="FJ66" s="7">
        <f>VC_NEW2!FE28</f>
        <v>0</v>
      </c>
      <c r="FK66" s="7">
        <f>VC_NEW2!FF28</f>
        <v>0</v>
      </c>
      <c r="FL66" s="7">
        <f>VC_NEW2!FG28</f>
        <v>0</v>
      </c>
      <c r="FM66" s="7">
        <f>VC_NEW2!FH28</f>
        <v>0</v>
      </c>
      <c r="FN66" s="7">
        <f>VC_NEW2!FI28</f>
        <v>0</v>
      </c>
      <c r="FO66" s="7">
        <f>VC_NEW2!FJ28</f>
        <v>0</v>
      </c>
      <c r="FP66" s="7">
        <f>VC_NEW2!FK28</f>
        <v>0</v>
      </c>
      <c r="FQ66" s="7">
        <f>VC_NEW2!FL28</f>
        <v>0</v>
      </c>
      <c r="FR66" s="7">
        <f>VC_NEW2!FM28</f>
        <v>0</v>
      </c>
      <c r="FS66" s="7">
        <f>VC_NEW2!FN28</f>
        <v>0</v>
      </c>
      <c r="FT66" s="7">
        <f>VC_NEW2!FO28</f>
        <v>0</v>
      </c>
      <c r="FU66" s="7">
        <f>VC_NEW2!FP28</f>
        <v>0</v>
      </c>
      <c r="FV66" s="7">
        <f>VC_NEW2!FQ28</f>
        <v>0</v>
      </c>
      <c r="FW66" s="7">
        <f>VC_NEW2!FR28</f>
        <v>0</v>
      </c>
      <c r="FX66" s="7">
        <f>VC_NEW2!FS28</f>
        <v>0</v>
      </c>
      <c r="FY66" s="7" t="str">
        <f>VC_NEW2!FT28</f>
        <v>N54S</v>
      </c>
      <c r="FZ66" s="7">
        <f>VC_NEW2!FU28</f>
        <v>0</v>
      </c>
      <c r="GA66" s="7">
        <f>VC_NEW2!FV28</f>
        <v>0</v>
      </c>
      <c r="GB66" s="7">
        <f>VC_NEW2!FW28</f>
        <v>0</v>
      </c>
      <c r="GC66" s="7">
        <f>VC_NEW2!FX28</f>
        <v>0</v>
      </c>
      <c r="GD66" s="7">
        <f>VC_NEW2!FY28</f>
        <v>0</v>
      </c>
      <c r="GE66" s="7">
        <f>VC_NEW2!FZ28</f>
        <v>0</v>
      </c>
      <c r="GF66" s="7">
        <f>VC_NEW2!GA28</f>
        <v>0</v>
      </c>
      <c r="GG66" s="7">
        <f>VC_NEW2!GB28</f>
        <v>0</v>
      </c>
      <c r="GH66" s="7">
        <f>VC_NEW2!GC28</f>
        <v>0</v>
      </c>
      <c r="GI66" s="7">
        <f>VC_NEW2!GD28</f>
        <v>0</v>
      </c>
      <c r="GJ66" s="7">
        <f>VC_NEW2!GE28</f>
        <v>0</v>
      </c>
      <c r="GK66" s="7">
        <f>VC_NEW2!GF28</f>
        <v>0</v>
      </c>
      <c r="GL66" s="7">
        <f>VC_NEW2!GG28</f>
        <v>0</v>
      </c>
      <c r="GM66" s="7">
        <f>VC_NEW2!GH28</f>
        <v>0</v>
      </c>
      <c r="GN66" s="7">
        <f>VC_NEW2!GI28</f>
        <v>0</v>
      </c>
      <c r="GO66" s="7">
        <f>VC_NEW2!GJ28</f>
        <v>0</v>
      </c>
      <c r="GP66" s="7">
        <f>VC_NEW2!GK28</f>
        <v>0</v>
      </c>
      <c r="GQ66" s="7">
        <f>VC_NEW2!GL28</f>
        <v>0</v>
      </c>
      <c r="GR66" s="7">
        <f>VC_NEW2!GM28</f>
        <v>0</v>
      </c>
      <c r="GS66" s="7">
        <f>VC_NEW2!GN28</f>
        <v>0</v>
      </c>
      <c r="GT66" s="7">
        <f>VC_NEW2!GO28</f>
        <v>0</v>
      </c>
      <c r="GU66" s="7">
        <f>VC_NEW2!GP28</f>
        <v>0</v>
      </c>
      <c r="GV66" s="7">
        <f>VC_NEW2!GQ28</f>
        <v>0</v>
      </c>
      <c r="GW66" s="7">
        <f>VC_NEW2!GR28</f>
        <v>0</v>
      </c>
      <c r="GX66" s="7">
        <f>VC_NEW2!GS28</f>
        <v>0</v>
      </c>
      <c r="GY66" s="7">
        <f>VC_NEW2!GT28</f>
        <v>0</v>
      </c>
      <c r="GZ66" s="7">
        <f>VC_NEW2!GU28</f>
        <v>0</v>
      </c>
      <c r="HA66" s="7">
        <f>VC_NEW2!GV28</f>
        <v>0</v>
      </c>
      <c r="HB66" s="7">
        <f>VC_NEW2!GW28</f>
        <v>0</v>
      </c>
      <c r="HC66" s="7">
        <f>VC_NEW2!GX28</f>
        <v>0</v>
      </c>
    </row>
    <row r="67" spans="1:211" s="1" customFormat="1" ht="15" customHeight="1" x14ac:dyDescent="0.25">
      <c r="A67" s="2" t="s">
        <v>25</v>
      </c>
      <c r="B67" s="2" t="s">
        <v>81</v>
      </c>
      <c r="C67" s="4" t="s">
        <v>2</v>
      </c>
      <c r="D67" s="2" t="s">
        <v>76</v>
      </c>
      <c r="E67" s="2">
        <v>0.25</v>
      </c>
      <c r="F67" s="2" t="s">
        <v>73</v>
      </c>
      <c r="G67" s="2" t="s">
        <v>160</v>
      </c>
      <c r="H67" s="1">
        <f>VC_NEW2!C29</f>
        <v>0</v>
      </c>
      <c r="I67" s="1">
        <f>VC_NEW2!D29</f>
        <v>0</v>
      </c>
      <c r="J67" s="1">
        <f>VC_NEW2!E29</f>
        <v>0</v>
      </c>
      <c r="K67" s="1">
        <f>VC_NEW2!F29</f>
        <v>0</v>
      </c>
      <c r="L67" s="1">
        <f>VC_NEW2!G29</f>
        <v>0</v>
      </c>
      <c r="M67" s="1">
        <f>VC_NEW2!H29</f>
        <v>0</v>
      </c>
      <c r="N67" s="1">
        <f>VC_NEW2!I29</f>
        <v>0</v>
      </c>
      <c r="O67" s="1">
        <f>VC_NEW2!J29</f>
        <v>0</v>
      </c>
      <c r="P67" s="1">
        <f>VC_NEW2!K29</f>
        <v>0</v>
      </c>
      <c r="Q67" s="1">
        <f>VC_NEW2!L29</f>
        <v>0</v>
      </c>
      <c r="R67" s="1">
        <f>VC_NEW2!M29</f>
        <v>0</v>
      </c>
      <c r="S67" s="1">
        <f>VC_NEW2!N29</f>
        <v>0</v>
      </c>
      <c r="T67" s="1">
        <f>VC_NEW2!O29</f>
        <v>0</v>
      </c>
      <c r="U67" s="1">
        <f>VC_NEW2!P29</f>
        <v>0</v>
      </c>
      <c r="V67" s="1">
        <f>VC_NEW2!Q29</f>
        <v>0</v>
      </c>
      <c r="W67" s="1">
        <f>VC_NEW2!R29</f>
        <v>0</v>
      </c>
      <c r="X67" s="1">
        <f>VC_NEW2!S29</f>
        <v>0</v>
      </c>
      <c r="Y67" s="1">
        <f>VC_NEW2!T29</f>
        <v>0</v>
      </c>
      <c r="Z67" s="1">
        <f>VC_NEW2!U29</f>
        <v>0</v>
      </c>
      <c r="AA67" s="1">
        <f>VC_NEW2!V29</f>
        <v>0</v>
      </c>
      <c r="AB67" s="1">
        <f>VC_NEW2!W29</f>
        <v>0</v>
      </c>
      <c r="AC67" s="1">
        <f>VC_NEW2!X29</f>
        <v>0</v>
      </c>
      <c r="AD67" s="1">
        <f>VC_NEW2!Y29</f>
        <v>0</v>
      </c>
      <c r="AE67" s="1">
        <f>VC_NEW2!Z29</f>
        <v>0</v>
      </c>
      <c r="AF67" s="1">
        <f>VC_NEW2!AA29</f>
        <v>0</v>
      </c>
      <c r="AG67" s="1">
        <f>VC_NEW2!AB29</f>
        <v>0</v>
      </c>
      <c r="AH67" s="1">
        <f>VC_NEW2!AC29</f>
        <v>0</v>
      </c>
      <c r="AI67" s="1">
        <f>VC_NEW2!AD29</f>
        <v>0</v>
      </c>
      <c r="AJ67" s="1">
        <f>VC_NEW2!AE29</f>
        <v>0</v>
      </c>
      <c r="AK67" s="1" t="str">
        <f>VC_NEW2!AF29</f>
        <v>A481T</v>
      </c>
      <c r="AL67" s="1">
        <f>VC_NEW2!AG29</f>
        <v>0</v>
      </c>
      <c r="AM67" s="1">
        <f>VC_NEW2!AH29</f>
        <v>0</v>
      </c>
      <c r="AN67" s="1">
        <f>VC_NEW2!AI29</f>
        <v>0</v>
      </c>
      <c r="AO67" s="1">
        <f>VC_NEW2!AJ29</f>
        <v>0</v>
      </c>
      <c r="AP67" s="1">
        <f>VC_NEW2!AK29</f>
        <v>0</v>
      </c>
      <c r="AQ67" s="1">
        <f>VC_NEW2!AL29</f>
        <v>0</v>
      </c>
      <c r="AR67" s="1">
        <f>VC_NEW2!AM29</f>
        <v>0</v>
      </c>
      <c r="AS67" s="1">
        <f>VC_NEW2!AN29</f>
        <v>0</v>
      </c>
      <c r="AT67" s="1">
        <f>VC_NEW2!AO29</f>
        <v>0</v>
      </c>
      <c r="AU67" s="1">
        <f>VC_NEW2!AP29</f>
        <v>0</v>
      </c>
      <c r="AV67" s="1">
        <f>VC_NEW2!AQ29</f>
        <v>0</v>
      </c>
      <c r="AW67" s="1">
        <f>VC_NEW2!AR29</f>
        <v>0</v>
      </c>
      <c r="AX67" s="1">
        <f>VC_NEW2!AS29</f>
        <v>0</v>
      </c>
      <c r="AY67" s="1">
        <f>VC_NEW2!AT29</f>
        <v>0</v>
      </c>
      <c r="AZ67" s="1">
        <f>VC_NEW2!AU29</f>
        <v>0</v>
      </c>
      <c r="BA67" s="1">
        <f>VC_NEW2!AV29</f>
        <v>0</v>
      </c>
      <c r="BB67" s="1">
        <f>VC_NEW2!AW29</f>
        <v>0</v>
      </c>
      <c r="BC67" s="1">
        <f>VC_NEW2!AX29</f>
        <v>0</v>
      </c>
      <c r="BD67" s="1">
        <f>VC_NEW2!AY29</f>
        <v>0</v>
      </c>
      <c r="BE67" s="1">
        <f>VC_NEW2!AZ29</f>
        <v>0</v>
      </c>
      <c r="BF67" s="1">
        <f>VC_NEW2!BA29</f>
        <v>0</v>
      </c>
      <c r="BG67" s="1">
        <f>VC_NEW2!BB29</f>
        <v>0</v>
      </c>
      <c r="BH67" s="1">
        <f>VC_NEW2!BC29</f>
        <v>0</v>
      </c>
      <c r="BI67" s="1">
        <f>VC_NEW2!BD29</f>
        <v>0</v>
      </c>
      <c r="BJ67" s="1">
        <f>VC_NEW2!BE29</f>
        <v>0</v>
      </c>
      <c r="BK67" s="1">
        <f>VC_NEW2!BF29</f>
        <v>0</v>
      </c>
      <c r="BL67" s="1">
        <f>VC_NEW2!BG29</f>
        <v>0</v>
      </c>
      <c r="BM67" s="1">
        <f>VC_NEW2!BH29</f>
        <v>0</v>
      </c>
      <c r="BN67" s="1">
        <f>VC_NEW2!BI29</f>
        <v>0</v>
      </c>
      <c r="BO67" s="1">
        <f>VC_NEW2!BJ29</f>
        <v>0</v>
      </c>
      <c r="BP67" s="1">
        <f>VC_NEW2!BK29</f>
        <v>0</v>
      </c>
      <c r="BQ67" s="1">
        <f>VC_NEW2!BL29</f>
        <v>0</v>
      </c>
      <c r="BR67" s="1">
        <f>VC_NEW2!BM29</f>
        <v>0</v>
      </c>
      <c r="BS67" s="1">
        <f>VC_NEW2!BN29</f>
        <v>0</v>
      </c>
      <c r="BT67" s="1" t="str">
        <f>VC_NEW2!BO29</f>
        <v>A619E</v>
      </c>
      <c r="BU67" s="1">
        <f>VC_NEW2!BP29</f>
        <v>0</v>
      </c>
      <c r="BV67" s="1">
        <f>VC_NEW2!BQ29</f>
        <v>0</v>
      </c>
      <c r="BW67" s="1" t="str">
        <f>VC_NEW2!BR29</f>
        <v>A481T</v>
      </c>
      <c r="BX67" s="1">
        <f>VC_NEW2!BS29</f>
        <v>0</v>
      </c>
      <c r="BY67" s="1">
        <f>VC_NEW2!BT29</f>
        <v>0</v>
      </c>
      <c r="BZ67" s="1">
        <f>VC_NEW2!BU29</f>
        <v>0</v>
      </c>
      <c r="CA67" s="1">
        <f>VC_NEW2!BV29</f>
        <v>0</v>
      </c>
      <c r="CB67" s="1">
        <f>VC_NEW2!BW29</f>
        <v>0</v>
      </c>
      <c r="CC67" s="1">
        <f>VC_NEW2!BX29</f>
        <v>0</v>
      </c>
      <c r="CD67" s="1">
        <f>VC_NEW2!BY29</f>
        <v>0</v>
      </c>
      <c r="CE67" s="1">
        <f>VC_NEW2!BZ29</f>
        <v>0</v>
      </c>
      <c r="CF67" s="1" t="str">
        <f>VC_NEW2!CA29</f>
        <v>A481T</v>
      </c>
      <c r="CG67" s="1">
        <f>VC_NEW2!CB29</f>
        <v>0</v>
      </c>
      <c r="CH67" s="1">
        <f>VC_NEW2!CC29</f>
        <v>0</v>
      </c>
      <c r="CI67" s="1">
        <f>VC_NEW2!CD29</f>
        <v>0</v>
      </c>
      <c r="CJ67" s="1">
        <f>VC_NEW2!CE29</f>
        <v>0</v>
      </c>
      <c r="CK67" s="1">
        <f>VC_NEW2!CF29</f>
        <v>0</v>
      </c>
      <c r="CL67" s="1" t="str">
        <f>VC_NEW2!CG29</f>
        <v>D485N</v>
      </c>
      <c r="CM67" s="1" t="str">
        <f>VC_NEW2!CH29</f>
        <v>A481T</v>
      </c>
      <c r="CN67" s="1">
        <f>VC_NEW2!CI29</f>
        <v>0</v>
      </c>
      <c r="CO67" s="1">
        <f>VC_NEW2!CJ29</f>
        <v>0</v>
      </c>
      <c r="CP67" s="1">
        <f>VC_NEW2!CK29</f>
        <v>0</v>
      </c>
      <c r="CQ67" s="1">
        <f>VC_NEW2!CL29</f>
        <v>0</v>
      </c>
      <c r="CR67" s="1">
        <f>VC_NEW2!CM29</f>
        <v>0</v>
      </c>
      <c r="CS67" s="1">
        <f>VC_NEW2!CN29</f>
        <v>0</v>
      </c>
      <c r="CT67" s="1">
        <f>VC_NEW2!CO29</f>
        <v>0</v>
      </c>
      <c r="CU67" s="1">
        <f>VC_NEW2!CP29</f>
        <v>0</v>
      </c>
      <c r="CV67" s="1">
        <f>VC_NEW2!CQ29</f>
        <v>0</v>
      </c>
      <c r="CW67" s="1">
        <f>VC_NEW2!CR29</f>
        <v>0</v>
      </c>
      <c r="CX67" s="1">
        <f>VC_NEW2!CS29</f>
        <v>0</v>
      </c>
      <c r="CY67" s="1">
        <f>VC_NEW2!CT29</f>
        <v>0</v>
      </c>
      <c r="CZ67" s="1">
        <f>VC_NEW2!CU29</f>
        <v>0</v>
      </c>
      <c r="DA67" s="1">
        <f>VC_NEW2!CV29</f>
        <v>0</v>
      </c>
      <c r="DB67" s="1">
        <f>VC_NEW2!CW29</f>
        <v>0</v>
      </c>
      <c r="DC67" s="1">
        <f>VC_NEW2!CX29</f>
        <v>0</v>
      </c>
      <c r="DD67" s="1">
        <f>VC_NEW2!CY29</f>
        <v>0</v>
      </c>
      <c r="DE67" s="1">
        <f>VC_NEW2!CZ29</f>
        <v>0</v>
      </c>
      <c r="DF67" s="1">
        <f>VC_NEW2!DA29</f>
        <v>0</v>
      </c>
      <c r="DG67" s="1">
        <f>VC_NEW2!DB29</f>
        <v>0</v>
      </c>
      <c r="DH67" s="1">
        <f>VC_NEW2!DC29</f>
        <v>0</v>
      </c>
      <c r="DI67" s="1">
        <f>VC_NEW2!DD29</f>
        <v>0</v>
      </c>
      <c r="DJ67" s="1">
        <f>VC_NEW2!DE29</f>
        <v>0</v>
      </c>
      <c r="DK67" s="1">
        <f>VC_NEW2!DF29</f>
        <v>0</v>
      </c>
      <c r="DL67" s="1">
        <f>VC_NEW2!DG29</f>
        <v>0</v>
      </c>
      <c r="DM67" s="1">
        <f>VC_NEW2!DH29</f>
        <v>0</v>
      </c>
      <c r="DN67" s="1">
        <f>VC_NEW2!DI29</f>
        <v>0</v>
      </c>
      <c r="DO67" s="1">
        <f>VC_NEW2!DJ29</f>
        <v>0</v>
      </c>
      <c r="DP67" s="1">
        <f>VC_NEW2!DK29</f>
        <v>0</v>
      </c>
      <c r="DQ67" s="1">
        <f>VC_NEW2!DL29</f>
        <v>0</v>
      </c>
      <c r="DR67" s="1">
        <f>VC_NEW2!DM29</f>
        <v>0</v>
      </c>
      <c r="DS67" s="1">
        <f>VC_NEW2!DN29</f>
        <v>0</v>
      </c>
      <c r="DT67" s="1">
        <f>VC_NEW2!DO29</f>
        <v>0</v>
      </c>
      <c r="DU67" s="1">
        <f>VC_NEW2!DP29</f>
        <v>0</v>
      </c>
      <c r="DV67" s="1">
        <f>VC_NEW2!DQ29</f>
        <v>0</v>
      </c>
      <c r="DW67" s="1">
        <f>VC_NEW2!DR29</f>
        <v>0</v>
      </c>
      <c r="DX67" s="1">
        <f>VC_NEW2!DS29</f>
        <v>0</v>
      </c>
      <c r="DY67" s="1">
        <f>VC_NEW2!DT29</f>
        <v>0</v>
      </c>
      <c r="DZ67" s="1">
        <f>VC_NEW2!DU29</f>
        <v>0</v>
      </c>
      <c r="EA67" s="1">
        <f>VC_NEW2!DV29</f>
        <v>0</v>
      </c>
      <c r="EB67" s="1">
        <f>VC_NEW2!DW29</f>
        <v>0</v>
      </c>
      <c r="EC67" s="1">
        <f>VC_NEW2!DX29</f>
        <v>0</v>
      </c>
      <c r="ED67" s="1">
        <f>VC_NEW2!DY29</f>
        <v>0</v>
      </c>
      <c r="EE67" s="1">
        <f>VC_NEW2!DZ29</f>
        <v>0</v>
      </c>
      <c r="EF67" s="1">
        <f>VC_NEW2!EA29</f>
        <v>0</v>
      </c>
      <c r="EG67" s="1" t="str">
        <f>VC_NEW2!EB29</f>
        <v>D507G</v>
      </c>
      <c r="EH67" s="1">
        <f>VC_NEW2!EC29</f>
        <v>0</v>
      </c>
      <c r="EI67" s="1" t="str">
        <f>VC_NEW2!ED29</f>
        <v>V29I</v>
      </c>
      <c r="EJ67" s="1">
        <f>VC_NEW2!EE29</f>
        <v>0</v>
      </c>
      <c r="EK67" s="1">
        <f>VC_NEW2!EF29</f>
        <v>0</v>
      </c>
      <c r="EL67" s="1">
        <f>VC_NEW2!EG29</f>
        <v>0</v>
      </c>
      <c r="EM67" s="1">
        <f>VC_NEW2!EH29</f>
        <v>0</v>
      </c>
      <c r="EN67" s="1">
        <f>VC_NEW2!EI29</f>
        <v>0</v>
      </c>
      <c r="EO67" s="1">
        <f>VC_NEW2!EJ29</f>
        <v>0</v>
      </c>
      <c r="EP67" s="1">
        <f>VC_NEW2!EK29</f>
        <v>0</v>
      </c>
      <c r="EQ67" s="1">
        <f>VC_NEW2!EL29</f>
        <v>0</v>
      </c>
      <c r="ER67" s="1">
        <f>VC_NEW2!EM29</f>
        <v>0</v>
      </c>
      <c r="ES67" s="1">
        <f>VC_NEW2!EN29</f>
        <v>0</v>
      </c>
      <c r="ET67" s="1">
        <f>VC_NEW2!EO29</f>
        <v>0</v>
      </c>
      <c r="EU67" s="1">
        <f>VC_NEW2!EP29</f>
        <v>0</v>
      </c>
      <c r="EV67" s="1">
        <f>VC_NEW2!EQ29</f>
        <v>0</v>
      </c>
      <c r="EW67" s="1" t="str">
        <f>VC_NEW2!ER29</f>
        <v>A532V</v>
      </c>
      <c r="EX67" s="1">
        <f>VC_NEW2!ES29</f>
        <v>0</v>
      </c>
      <c r="EY67" s="1" t="str">
        <f>VC_NEW2!ET29</f>
        <v>L33P</v>
      </c>
      <c r="EZ67" s="1">
        <f>VC_NEW2!EU29</f>
        <v>0</v>
      </c>
      <c r="FA67" s="1">
        <f>VC_NEW2!EV29</f>
        <v>0</v>
      </c>
      <c r="FB67" s="1">
        <f>VC_NEW2!EW29</f>
        <v>0</v>
      </c>
      <c r="FC67" s="1">
        <f>VC_NEW2!EX29</f>
        <v>0</v>
      </c>
      <c r="FD67" s="1">
        <f>VC_NEW2!EY29</f>
        <v>0</v>
      </c>
      <c r="FE67" s="1">
        <f>VC_NEW2!EZ29</f>
        <v>0</v>
      </c>
      <c r="FF67" s="1">
        <f>VC_NEW2!FA29</f>
        <v>0</v>
      </c>
      <c r="FG67" s="1">
        <f>VC_NEW2!FB29</f>
        <v>0</v>
      </c>
      <c r="FH67" s="1">
        <f>VC_NEW2!FC29</f>
        <v>0</v>
      </c>
      <c r="FI67" s="1">
        <f>VC_NEW2!FD29</f>
        <v>0</v>
      </c>
      <c r="FJ67" s="1">
        <f>VC_NEW2!FE29</f>
        <v>0</v>
      </c>
      <c r="FK67" s="1">
        <f>VC_NEW2!FF29</f>
        <v>0</v>
      </c>
      <c r="FL67" s="1">
        <f>VC_NEW2!FG29</f>
        <v>0</v>
      </c>
      <c r="FM67" s="1">
        <f>VC_NEW2!FH29</f>
        <v>0</v>
      </c>
      <c r="FN67" s="1">
        <f>VC_NEW2!FI29</f>
        <v>0</v>
      </c>
      <c r="FO67" s="1">
        <f>VC_NEW2!FJ29</f>
        <v>0</v>
      </c>
      <c r="FP67" s="1">
        <f>VC_NEW2!FK29</f>
        <v>0</v>
      </c>
      <c r="FQ67" s="1">
        <f>VC_NEW2!FL29</f>
        <v>0</v>
      </c>
      <c r="FR67" s="1">
        <f>VC_NEW2!FM29</f>
        <v>0</v>
      </c>
      <c r="FS67" s="1">
        <f>VC_NEW2!FN29</f>
        <v>0</v>
      </c>
      <c r="FT67" s="1">
        <f>VC_NEW2!FO29</f>
        <v>0</v>
      </c>
      <c r="FU67" s="1">
        <f>VC_NEW2!FP29</f>
        <v>0</v>
      </c>
      <c r="FV67" s="1">
        <f>VC_NEW2!FQ29</f>
        <v>0</v>
      </c>
      <c r="FW67" s="1">
        <f>VC_NEW2!FR29</f>
        <v>0</v>
      </c>
      <c r="FX67" s="1">
        <f>VC_NEW2!FS29</f>
        <v>0</v>
      </c>
      <c r="FY67" s="1">
        <f>VC_NEW2!FT29</f>
        <v>0</v>
      </c>
      <c r="FZ67" s="1">
        <f>VC_NEW2!FU29</f>
        <v>0</v>
      </c>
      <c r="GA67" s="1">
        <f>VC_NEW2!FV29</f>
        <v>0</v>
      </c>
      <c r="GB67" s="1">
        <f>VC_NEW2!FW29</f>
        <v>0</v>
      </c>
      <c r="GC67" s="1">
        <f>VC_NEW2!FX29</f>
        <v>0</v>
      </c>
      <c r="GD67" s="1">
        <f>VC_NEW2!FY29</f>
        <v>0</v>
      </c>
      <c r="GE67" s="1">
        <f>VC_NEW2!FZ29</f>
        <v>0</v>
      </c>
      <c r="GF67" s="1">
        <f>VC_NEW2!GA29</f>
        <v>0</v>
      </c>
      <c r="GG67" s="1">
        <f>VC_NEW2!GB29</f>
        <v>0</v>
      </c>
      <c r="GH67" s="1">
        <f>VC_NEW2!GC29</f>
        <v>0</v>
      </c>
      <c r="GI67" s="1">
        <f>VC_NEW2!GD29</f>
        <v>0</v>
      </c>
      <c r="GJ67" s="1">
        <f>VC_NEW2!GE29</f>
        <v>0</v>
      </c>
      <c r="GK67" s="1">
        <f>VC_NEW2!GF29</f>
        <v>0</v>
      </c>
      <c r="GL67" s="1">
        <f>VC_NEW2!GG29</f>
        <v>0</v>
      </c>
      <c r="GM67" s="1">
        <f>VC_NEW2!GH29</f>
        <v>0</v>
      </c>
      <c r="GN67" s="1">
        <f>VC_NEW2!GI29</f>
        <v>0</v>
      </c>
      <c r="GO67" s="1">
        <f>VC_NEW2!GJ29</f>
        <v>0</v>
      </c>
      <c r="GP67" s="1">
        <f>VC_NEW2!GK29</f>
        <v>0</v>
      </c>
      <c r="GQ67" s="1">
        <f>VC_NEW2!GL29</f>
        <v>0</v>
      </c>
      <c r="GR67" s="1">
        <f>VC_NEW2!GM29</f>
        <v>0</v>
      </c>
      <c r="GS67" s="1" t="str">
        <f>VC_NEW2!GN29</f>
        <v>S376N</v>
      </c>
      <c r="GT67" s="1">
        <f>VC_NEW2!GO29</f>
        <v>0</v>
      </c>
      <c r="GU67" s="1">
        <f>VC_NEW2!GP29</f>
        <v>0</v>
      </c>
      <c r="GV67" s="1">
        <f>VC_NEW2!GQ29</f>
        <v>0</v>
      </c>
      <c r="GW67" s="1">
        <f>VC_NEW2!GR29</f>
        <v>0</v>
      </c>
      <c r="GX67" s="1">
        <f>VC_NEW2!GS29</f>
        <v>0</v>
      </c>
      <c r="GY67" s="1">
        <f>VC_NEW2!GT29</f>
        <v>0</v>
      </c>
      <c r="GZ67" s="1">
        <f>VC_NEW2!GU29</f>
        <v>0</v>
      </c>
      <c r="HA67" s="1">
        <f>VC_NEW2!GV29</f>
        <v>0</v>
      </c>
      <c r="HB67" s="1">
        <f>VC_NEW2!GW29</f>
        <v>0</v>
      </c>
      <c r="HC67" s="1">
        <f>VC_NEW2!GX29</f>
        <v>0</v>
      </c>
    </row>
    <row r="68" spans="1:211" s="7" customFormat="1" ht="15" hidden="1" customHeight="1" x14ac:dyDescent="0.25">
      <c r="A68" s="30" t="s">
        <v>26</v>
      </c>
      <c r="B68" s="30" t="s">
        <v>27</v>
      </c>
      <c r="C68" s="31" t="s">
        <v>1</v>
      </c>
      <c r="D68" s="30" t="s">
        <v>76</v>
      </c>
      <c r="E68" s="30" t="s">
        <v>138</v>
      </c>
      <c r="F68" s="30" t="s">
        <v>74</v>
      </c>
      <c r="G68" s="30" t="s">
        <v>136</v>
      </c>
      <c r="H68" s="7">
        <f>VC_NEW2!C30</f>
        <v>0</v>
      </c>
      <c r="I68" s="7" t="str">
        <f>VC_NEW2!D30</f>
        <v xml:space="preserve">  A356V</v>
      </c>
      <c r="J68" s="7">
        <f>VC_NEW2!E30</f>
        <v>0</v>
      </c>
      <c r="K68" s="7">
        <f>VC_NEW2!F30</f>
        <v>0</v>
      </c>
      <c r="L68" s="7">
        <f>VC_NEW2!G30</f>
        <v>0</v>
      </c>
      <c r="M68" s="7">
        <f>VC_NEW2!H30</f>
        <v>0</v>
      </c>
      <c r="N68" s="7">
        <f>VC_NEW2!I30</f>
        <v>0</v>
      </c>
      <c r="O68" s="7">
        <f>VC_NEW2!J30</f>
        <v>0</v>
      </c>
      <c r="P68" s="7">
        <f>VC_NEW2!K30</f>
        <v>0</v>
      </c>
      <c r="Q68" s="7">
        <f>VC_NEW2!L30</f>
        <v>0</v>
      </c>
      <c r="R68" s="7">
        <f>VC_NEW2!M30</f>
        <v>0</v>
      </c>
      <c r="S68" s="7">
        <f>VC_NEW2!N30</f>
        <v>0</v>
      </c>
      <c r="T68" s="7">
        <f>VC_NEW2!O30</f>
        <v>0</v>
      </c>
      <c r="U68" s="7">
        <f>VC_NEW2!P30</f>
        <v>0</v>
      </c>
      <c r="V68" s="7">
        <f>VC_NEW2!Q30</f>
        <v>0</v>
      </c>
      <c r="W68" s="7">
        <f>VC_NEW2!R30</f>
        <v>0</v>
      </c>
      <c r="X68" s="7">
        <f>VC_NEW2!S30</f>
        <v>0</v>
      </c>
      <c r="Y68" s="7">
        <f>VC_NEW2!T30</f>
        <v>0</v>
      </c>
      <c r="Z68" s="7">
        <f>VC_NEW2!U30</f>
        <v>0</v>
      </c>
      <c r="AA68" s="7">
        <f>VC_NEW2!V30</f>
        <v>0</v>
      </c>
      <c r="AB68" s="7">
        <f>VC_NEW2!W30</f>
        <v>0</v>
      </c>
      <c r="AC68" s="7">
        <f>VC_NEW2!X30</f>
        <v>0</v>
      </c>
      <c r="AD68" s="7">
        <f>VC_NEW2!Y30</f>
        <v>0</v>
      </c>
      <c r="AE68" s="7">
        <f>VC_NEW2!Z30</f>
        <v>0</v>
      </c>
      <c r="AF68" s="7">
        <f>VC_NEW2!AA30</f>
        <v>0</v>
      </c>
      <c r="AG68" s="7">
        <f>VC_NEW2!AB30</f>
        <v>0</v>
      </c>
      <c r="AH68" s="7" t="str">
        <f>VC_NEW2!AC30</f>
        <v xml:space="preserve"> S306N</v>
      </c>
      <c r="AI68" s="7">
        <f>VC_NEW2!AD30</f>
        <v>0</v>
      </c>
      <c r="AJ68" s="7">
        <f>VC_NEW2!AE30</f>
        <v>0</v>
      </c>
      <c r="AK68" s="7">
        <f>VC_NEW2!AF30</f>
        <v>0</v>
      </c>
      <c r="AL68" s="7">
        <f>VC_NEW2!AG30</f>
        <v>0</v>
      </c>
      <c r="AM68" s="7">
        <f>VC_NEW2!AH30</f>
        <v>0</v>
      </c>
      <c r="AN68" s="7">
        <f>VC_NEW2!AI30</f>
        <v>0</v>
      </c>
      <c r="AO68" s="7" t="str">
        <f>VC_NEW2!AJ30</f>
        <v>A222G</v>
      </c>
      <c r="AP68" s="7">
        <f>VC_NEW2!AK30</f>
        <v>0</v>
      </c>
      <c r="AQ68" s="7">
        <f>VC_NEW2!AL30</f>
        <v>0</v>
      </c>
      <c r="AR68" s="7">
        <f>VC_NEW2!AM30</f>
        <v>0</v>
      </c>
      <c r="AS68" s="7">
        <f>VC_NEW2!AN30</f>
        <v>0</v>
      </c>
      <c r="AT68" s="7" t="str">
        <f>VC_NEW2!AO30</f>
        <v xml:space="preserve">Y35S </v>
      </c>
      <c r="AU68" s="7">
        <f>VC_NEW2!AP30</f>
        <v>0</v>
      </c>
      <c r="AV68" s="7">
        <f>VC_NEW2!AQ30</f>
        <v>0</v>
      </c>
      <c r="AW68" s="7">
        <f>VC_NEW2!AR30</f>
        <v>0</v>
      </c>
      <c r="AX68" s="7">
        <f>VC_NEW2!AS30</f>
        <v>0</v>
      </c>
      <c r="AY68" s="7">
        <f>VC_NEW2!AT30</f>
        <v>0</v>
      </c>
      <c r="AZ68" s="7">
        <f>VC_NEW2!AU30</f>
        <v>0</v>
      </c>
      <c r="BA68" s="7">
        <f>VC_NEW2!AV30</f>
        <v>0</v>
      </c>
      <c r="BB68" s="7">
        <f>VC_NEW2!AW30</f>
        <v>0</v>
      </c>
      <c r="BC68" s="7">
        <f>VC_NEW2!AX30</f>
        <v>0</v>
      </c>
      <c r="BD68" s="7">
        <f>VC_NEW2!AY30</f>
        <v>0</v>
      </c>
      <c r="BE68" s="7">
        <f>VC_NEW2!AZ30</f>
        <v>0</v>
      </c>
      <c r="BF68" s="7">
        <f>VC_NEW2!BA30</f>
        <v>0</v>
      </c>
      <c r="BG68" s="7">
        <f>VC_NEW2!BB30</f>
        <v>0</v>
      </c>
      <c r="BH68" s="7">
        <f>VC_NEW2!BC30</f>
        <v>0</v>
      </c>
      <c r="BI68" s="7">
        <f>VC_NEW2!BD30</f>
        <v>0</v>
      </c>
      <c r="BJ68" s="7">
        <f>VC_NEW2!BE30</f>
        <v>0</v>
      </c>
      <c r="BK68" s="7">
        <f>VC_NEW2!BF30</f>
        <v>0</v>
      </c>
      <c r="BL68" s="7">
        <f>VC_NEW2!BG30</f>
        <v>0</v>
      </c>
      <c r="BM68" s="7">
        <f>VC_NEW2!BH30</f>
        <v>0</v>
      </c>
      <c r="BN68" s="7">
        <f>VC_NEW2!BI30</f>
        <v>0</v>
      </c>
      <c r="BO68" s="7">
        <f>VC_NEW2!BJ30</f>
        <v>0</v>
      </c>
      <c r="BP68" s="7">
        <f>VC_NEW2!BK30</f>
        <v>0</v>
      </c>
      <c r="BQ68" s="7">
        <f>VC_NEW2!BL30</f>
        <v>0</v>
      </c>
      <c r="BR68" s="7" t="str">
        <f>VC_NEW2!BM30</f>
        <v xml:space="preserve"> aa436InsGGF</v>
      </c>
      <c r="BS68" s="7">
        <f>VC_NEW2!BN30</f>
        <v>0</v>
      </c>
      <c r="BT68" s="7">
        <f>VC_NEW2!BO30</f>
        <v>0</v>
      </c>
      <c r="BU68" s="7">
        <f>VC_NEW2!BP30</f>
        <v>0</v>
      </c>
      <c r="BV68" s="7">
        <f>VC_NEW2!BQ30</f>
        <v>0</v>
      </c>
      <c r="BW68" s="7">
        <f>VC_NEW2!BR30</f>
        <v>0</v>
      </c>
      <c r="BX68" s="7">
        <f>VC_NEW2!BS30</f>
        <v>0</v>
      </c>
      <c r="BY68" s="7">
        <f>VC_NEW2!BT30</f>
        <v>0</v>
      </c>
      <c r="BZ68" s="7">
        <f>VC_NEW2!BU30</f>
        <v>0</v>
      </c>
      <c r="CA68" s="7">
        <f>VC_NEW2!BV30</f>
        <v>0</v>
      </c>
      <c r="CB68" s="7">
        <f>VC_NEW2!BW30</f>
        <v>0</v>
      </c>
      <c r="CC68" s="7">
        <f>VC_NEW2!BX30</f>
        <v>0</v>
      </c>
      <c r="CD68" s="7">
        <f>VC_NEW2!BY30</f>
        <v>0</v>
      </c>
      <c r="CE68" s="7">
        <f>VC_NEW2!BZ30</f>
        <v>0</v>
      </c>
      <c r="CF68" s="7" t="str">
        <f>VC_NEW2!CA30</f>
        <v>V420M</v>
      </c>
      <c r="CG68" s="7">
        <f>VC_NEW2!CB30</f>
        <v>0</v>
      </c>
      <c r="CH68" s="7">
        <f>VC_NEW2!CC30</f>
        <v>0</v>
      </c>
      <c r="CI68" s="7">
        <f>VC_NEW2!CD30</f>
        <v>0</v>
      </c>
      <c r="CJ68" s="7">
        <f>VC_NEW2!CE30</f>
        <v>0</v>
      </c>
      <c r="CK68" s="7">
        <f>VC_NEW2!CF30</f>
        <v>0</v>
      </c>
      <c r="CL68" s="7">
        <f>VC_NEW2!CG30</f>
        <v>0</v>
      </c>
      <c r="CM68" s="7">
        <f>VC_NEW2!CH30</f>
        <v>0</v>
      </c>
      <c r="CN68" s="7">
        <f>VC_NEW2!CI30</f>
        <v>0</v>
      </c>
      <c r="CO68" s="7">
        <f>VC_NEW2!CJ30</f>
        <v>0</v>
      </c>
      <c r="CP68" s="7">
        <f>VC_NEW2!CK30</f>
        <v>0</v>
      </c>
      <c r="CQ68" s="7">
        <f>VC_NEW2!CL30</f>
        <v>0</v>
      </c>
      <c r="CR68" s="7">
        <f>VC_NEW2!CM30</f>
        <v>0</v>
      </c>
      <c r="CS68" s="7" t="str">
        <f>VC_NEW2!CN30</f>
        <v xml:space="preserve">A331T </v>
      </c>
      <c r="CT68" s="7">
        <f>VC_NEW2!CO30</f>
        <v>0</v>
      </c>
      <c r="CU68" s="7" t="str">
        <f>VC_NEW2!CP30</f>
        <v>C410T</v>
      </c>
      <c r="CV68" s="7">
        <f>VC_NEW2!CQ30</f>
        <v>0</v>
      </c>
      <c r="CW68" s="7">
        <f>VC_NEW2!CR30</f>
        <v>0</v>
      </c>
      <c r="CX68" s="7">
        <f>VC_NEW2!CS30</f>
        <v>0</v>
      </c>
      <c r="CY68" s="7">
        <f>VC_NEW2!CT30</f>
        <v>0</v>
      </c>
      <c r="CZ68" s="7">
        <f>VC_NEW2!CU30</f>
        <v>0</v>
      </c>
      <c r="DA68" s="7">
        <f>VC_NEW2!CV30</f>
        <v>0</v>
      </c>
      <c r="DB68" s="7">
        <f>VC_NEW2!CW30</f>
        <v>0</v>
      </c>
      <c r="DC68" s="7">
        <f>VC_NEW2!CX30</f>
        <v>0</v>
      </c>
      <c r="DD68" s="7">
        <f>VC_NEW2!CY30</f>
        <v>0</v>
      </c>
      <c r="DE68" s="7">
        <f>VC_NEW2!CZ30</f>
        <v>0</v>
      </c>
      <c r="DF68" s="7">
        <f>VC_NEW2!DA30</f>
        <v>0</v>
      </c>
      <c r="DG68" s="7">
        <f>VC_NEW2!DB30</f>
        <v>0</v>
      </c>
      <c r="DH68" s="7" t="str">
        <f>VC_NEW2!DC30</f>
        <v>G231E</v>
      </c>
      <c r="DI68" s="7">
        <f>VC_NEW2!DD30</f>
        <v>0</v>
      </c>
      <c r="DJ68" s="7">
        <f>VC_NEW2!DE30</f>
        <v>0</v>
      </c>
      <c r="DK68" s="7">
        <f>VC_NEW2!DF30</f>
        <v>0</v>
      </c>
      <c r="DL68" s="7" t="str">
        <f>VC_NEW2!DG30</f>
        <v xml:space="preserve">P178L </v>
      </c>
      <c r="DM68" s="7">
        <f>VC_NEW2!DH30</f>
        <v>0</v>
      </c>
      <c r="DN68" s="7">
        <f>VC_NEW2!DI30</f>
        <v>0</v>
      </c>
      <c r="DO68" s="7">
        <f>VC_NEW2!DJ30</f>
        <v>0</v>
      </c>
      <c r="DP68" s="7">
        <f>VC_NEW2!DK30</f>
        <v>0</v>
      </c>
      <c r="DQ68" s="7">
        <f>VC_NEW2!DL30</f>
        <v>0</v>
      </c>
      <c r="DR68" s="7">
        <f>VC_NEW2!DM30</f>
        <v>0</v>
      </c>
      <c r="DS68" s="7" t="str">
        <f>VC_NEW2!DN30</f>
        <v xml:space="preserve"> C410T</v>
      </c>
      <c r="DT68" s="7">
        <f>VC_NEW2!DO30</f>
        <v>0</v>
      </c>
      <c r="DU68" s="7">
        <f>VC_NEW2!DP30</f>
        <v>0</v>
      </c>
      <c r="DV68" s="7">
        <f>VC_NEW2!DQ30</f>
        <v>0</v>
      </c>
      <c r="DW68" s="7">
        <f>VC_NEW2!DR30</f>
        <v>0</v>
      </c>
      <c r="DX68" s="7">
        <f>VC_NEW2!DS30</f>
        <v>0</v>
      </c>
      <c r="DY68" s="7">
        <f>VC_NEW2!DT30</f>
        <v>0</v>
      </c>
      <c r="DZ68" s="7">
        <f>VC_NEW2!DU30</f>
        <v>0</v>
      </c>
      <c r="EA68" s="7">
        <f>VC_NEW2!DV30</f>
        <v>0</v>
      </c>
      <c r="EB68" s="7">
        <f>VC_NEW2!DW30</f>
        <v>0</v>
      </c>
      <c r="EC68" s="7" t="str">
        <f>VC_NEW2!DX30</f>
        <v>T115A, nt111InsC</v>
      </c>
      <c r="ED68" s="7">
        <f>VC_NEW2!DY30</f>
        <v>0</v>
      </c>
      <c r="EE68" s="7">
        <f>VC_NEW2!DZ30</f>
        <v>0</v>
      </c>
      <c r="EF68" s="7">
        <f>VC_NEW2!EA30</f>
        <v>0</v>
      </c>
      <c r="EG68" s="7">
        <f>VC_NEW2!EB30</f>
        <v>0</v>
      </c>
      <c r="EH68" s="7">
        <f>VC_NEW2!EC30</f>
        <v>0</v>
      </c>
      <c r="EI68" s="7">
        <f>VC_NEW2!ED30</f>
        <v>0</v>
      </c>
      <c r="EJ68" s="7" t="str">
        <f>VC_NEW2!EE30</f>
        <v xml:space="preserve"> aa35∆4</v>
      </c>
      <c r="EK68" s="7" t="str">
        <f>VC_NEW2!EF30</f>
        <v>G231E</v>
      </c>
      <c r="EL68" s="7" t="str">
        <f>VC_NEW2!EG30</f>
        <v xml:space="preserve">P274L </v>
      </c>
      <c r="EM68" s="7">
        <f>VC_NEW2!EH30</f>
        <v>0</v>
      </c>
      <c r="EN68" s="7" t="str">
        <f>VC_NEW2!EI30</f>
        <v>nt111InsC</v>
      </c>
      <c r="EO68" s="7">
        <f>VC_NEW2!EJ30</f>
        <v>0</v>
      </c>
      <c r="EP68" s="7">
        <f>VC_NEW2!EK30</f>
        <v>0</v>
      </c>
      <c r="EQ68" s="7">
        <f>VC_NEW2!EL30</f>
        <v>0</v>
      </c>
      <c r="ER68" s="7">
        <f>VC_NEW2!EM30</f>
        <v>0</v>
      </c>
      <c r="ES68" s="7">
        <f>VC_NEW2!EN30</f>
        <v>0</v>
      </c>
      <c r="ET68" s="7" t="str">
        <f>VC_NEW2!EO30</f>
        <v xml:space="preserve">H190Y  </v>
      </c>
      <c r="EU68" s="7" t="str">
        <f>VC_NEW2!EP30</f>
        <v>nt111InsC</v>
      </c>
      <c r="EV68" s="7">
        <f>VC_NEW2!EQ30</f>
        <v>0</v>
      </c>
      <c r="EW68" s="7" t="str">
        <f>VC_NEW2!ER30</f>
        <v>I266S, Q347R</v>
      </c>
      <c r="EX68" s="7">
        <f>VC_NEW2!ES30</f>
        <v>0</v>
      </c>
      <c r="EY68" s="7">
        <f>VC_NEW2!ET30</f>
        <v>0</v>
      </c>
      <c r="EZ68" s="7">
        <f>VC_NEW2!EU30</f>
        <v>0</v>
      </c>
      <c r="FA68" s="7">
        <f>VC_NEW2!EV30</f>
        <v>0</v>
      </c>
      <c r="FB68" s="7">
        <f>VC_NEW2!EW30</f>
        <v>0</v>
      </c>
      <c r="FC68" s="7">
        <f>VC_NEW2!EX30</f>
        <v>0</v>
      </c>
      <c r="FD68" s="7">
        <f>VC_NEW2!EY30</f>
        <v>0</v>
      </c>
      <c r="FE68" s="7">
        <f>VC_NEW2!EZ30</f>
        <v>0</v>
      </c>
      <c r="FF68" s="7">
        <f>VC_NEW2!FA30</f>
        <v>0</v>
      </c>
      <c r="FG68" s="7">
        <f>VC_NEW2!FB30</f>
        <v>0</v>
      </c>
      <c r="FH68" s="7">
        <f>VC_NEW2!FC30</f>
        <v>0</v>
      </c>
      <c r="FI68" s="7" t="str">
        <f>VC_NEW2!FD30</f>
        <v>S131N, A428T</v>
      </c>
      <c r="FJ68" s="7">
        <f>VC_NEW2!FE30</f>
        <v>0</v>
      </c>
      <c r="FK68" s="7">
        <f>VC_NEW2!FF30</f>
        <v>0</v>
      </c>
      <c r="FL68" s="7" t="str">
        <f>VC_NEW2!FG30</f>
        <v>R103P</v>
      </c>
      <c r="FM68" s="7">
        <f>VC_NEW2!FH30</f>
        <v>0</v>
      </c>
      <c r="FN68" s="7">
        <f>VC_NEW2!FI30</f>
        <v>0</v>
      </c>
      <c r="FO68" s="7">
        <f>VC_NEW2!FJ30</f>
        <v>0</v>
      </c>
      <c r="FP68" s="7">
        <f>VC_NEW2!FK30</f>
        <v>0</v>
      </c>
      <c r="FQ68" s="7" t="str">
        <f>VC_NEW2!FL30</f>
        <v>V281F</v>
      </c>
      <c r="FR68" s="7">
        <f>VC_NEW2!FM30</f>
        <v>0</v>
      </c>
      <c r="FS68" s="7">
        <f>VC_NEW2!FN30</f>
        <v>0</v>
      </c>
      <c r="FT68" s="7">
        <f>VC_NEW2!FO30</f>
        <v>0</v>
      </c>
      <c r="FU68" s="7">
        <f>VC_NEW2!FP30</f>
        <v>0</v>
      </c>
      <c r="FV68" s="7">
        <f>VC_NEW2!FQ30</f>
        <v>0</v>
      </c>
      <c r="FW68" s="7">
        <f>VC_NEW2!FR30</f>
        <v>0</v>
      </c>
      <c r="FX68" s="7">
        <f>VC_NEW2!FS30</f>
        <v>0</v>
      </c>
      <c r="FY68" s="7">
        <f>VC_NEW2!FT30</f>
        <v>0</v>
      </c>
      <c r="FZ68" s="7">
        <f>VC_NEW2!FU30</f>
        <v>0</v>
      </c>
      <c r="GA68" s="7">
        <f>VC_NEW2!FV30</f>
        <v>0</v>
      </c>
      <c r="GB68" s="7" t="str">
        <f>VC_NEW2!FW30</f>
        <v>nt111∆1</v>
      </c>
      <c r="GC68" s="7">
        <f>VC_NEW2!FX30</f>
        <v>0</v>
      </c>
      <c r="GD68" s="7">
        <f>VC_NEW2!FY30</f>
        <v>0</v>
      </c>
      <c r="GE68" s="7">
        <f>VC_NEW2!FZ30</f>
        <v>0</v>
      </c>
      <c r="GF68" s="7">
        <f>VC_NEW2!GA30</f>
        <v>0</v>
      </c>
      <c r="GG68" s="7">
        <f>VC_NEW2!GB30</f>
        <v>0</v>
      </c>
      <c r="GH68" s="7">
        <f>VC_NEW2!GC30</f>
        <v>0</v>
      </c>
      <c r="GI68" s="7">
        <f>VC_NEW2!GD30</f>
        <v>0</v>
      </c>
      <c r="GJ68" s="7">
        <f>VC_NEW2!GE30</f>
        <v>0</v>
      </c>
      <c r="GK68" s="7">
        <f>VC_NEW2!GF30</f>
        <v>0</v>
      </c>
      <c r="GL68" s="7">
        <f>VC_NEW2!GG30</f>
        <v>0</v>
      </c>
      <c r="GM68" s="7">
        <f>VC_NEW2!GH30</f>
        <v>0</v>
      </c>
      <c r="GN68" s="7">
        <f>VC_NEW2!GI30</f>
        <v>0</v>
      </c>
      <c r="GO68" s="7">
        <f>VC_NEW2!GJ30</f>
        <v>0</v>
      </c>
      <c r="GP68" s="7">
        <f>VC_NEW2!GK30</f>
        <v>0</v>
      </c>
      <c r="GQ68" s="7">
        <f>VC_NEW2!GL30</f>
        <v>0</v>
      </c>
      <c r="GR68" s="7">
        <f>VC_NEW2!GM30</f>
        <v>0</v>
      </c>
      <c r="GS68" s="7">
        <f>VC_NEW2!GN30</f>
        <v>0</v>
      </c>
      <c r="GT68" s="7">
        <f>VC_NEW2!GO30</f>
        <v>0</v>
      </c>
      <c r="GU68" s="7">
        <f>VC_NEW2!GP30</f>
        <v>0</v>
      </c>
      <c r="GV68" s="7">
        <f>VC_NEW2!GQ30</f>
        <v>0</v>
      </c>
      <c r="GW68" s="7">
        <f>VC_NEW2!GR30</f>
        <v>0</v>
      </c>
      <c r="GX68" s="7">
        <f>VC_NEW2!GS30</f>
        <v>0</v>
      </c>
      <c r="GY68" s="7">
        <f>VC_NEW2!GT30</f>
        <v>0</v>
      </c>
      <c r="GZ68" s="7">
        <f>VC_NEW2!GU30</f>
        <v>0</v>
      </c>
      <c r="HA68" s="7">
        <f>VC_NEW2!GV30</f>
        <v>0</v>
      </c>
      <c r="HB68" s="7">
        <f>VC_NEW2!GW30</f>
        <v>0</v>
      </c>
      <c r="HC68" s="7">
        <f>VC_NEW2!GX30</f>
        <v>0</v>
      </c>
    </row>
    <row r="69" spans="1:211" s="7" customFormat="1" ht="15" customHeight="1" x14ac:dyDescent="0.25">
      <c r="A69" s="30" t="s">
        <v>26</v>
      </c>
      <c r="B69" s="30" t="s">
        <v>27</v>
      </c>
      <c r="C69" s="31" t="s">
        <v>2</v>
      </c>
      <c r="D69" s="30" t="s">
        <v>76</v>
      </c>
      <c r="E69" s="30" t="s">
        <v>139</v>
      </c>
      <c r="F69" s="30" t="s">
        <v>74</v>
      </c>
      <c r="G69" s="30" t="s">
        <v>136</v>
      </c>
      <c r="H69" s="7">
        <f>VC_NEW2!C30</f>
        <v>0</v>
      </c>
      <c r="I69" s="7" t="str">
        <f>VC_NEW2!D30</f>
        <v xml:space="preserve">  A356V</v>
      </c>
      <c r="J69" s="7">
        <f>VC_NEW2!E30</f>
        <v>0</v>
      </c>
      <c r="K69" s="7">
        <f>VC_NEW2!F30</f>
        <v>0</v>
      </c>
      <c r="L69" s="7">
        <f>VC_NEW2!G30</f>
        <v>0</v>
      </c>
      <c r="M69" s="7">
        <f>VC_NEW2!H30</f>
        <v>0</v>
      </c>
      <c r="N69" s="7">
        <f>VC_NEW2!I30</f>
        <v>0</v>
      </c>
      <c r="O69" s="7">
        <f>VC_NEW2!J30</f>
        <v>0</v>
      </c>
      <c r="P69" s="7">
        <f>VC_NEW2!K30</f>
        <v>0</v>
      </c>
      <c r="Q69" s="7">
        <f>VC_NEW2!L30</f>
        <v>0</v>
      </c>
      <c r="R69" s="7">
        <f>VC_NEW2!M30</f>
        <v>0</v>
      </c>
      <c r="S69" s="7">
        <f>VC_NEW2!N30</f>
        <v>0</v>
      </c>
      <c r="T69" s="7">
        <f>VC_NEW2!O30</f>
        <v>0</v>
      </c>
      <c r="U69" s="7">
        <f>VC_NEW2!P30</f>
        <v>0</v>
      </c>
      <c r="V69" s="7">
        <f>VC_NEW2!Q30</f>
        <v>0</v>
      </c>
      <c r="W69" s="7">
        <f>VC_NEW2!R30</f>
        <v>0</v>
      </c>
      <c r="X69" s="7">
        <f>VC_NEW2!S30</f>
        <v>0</v>
      </c>
      <c r="Y69" s="7">
        <f>VC_NEW2!T30</f>
        <v>0</v>
      </c>
      <c r="Z69" s="7">
        <f>VC_NEW2!U30</f>
        <v>0</v>
      </c>
      <c r="AA69" s="7">
        <f>VC_NEW2!V30</f>
        <v>0</v>
      </c>
      <c r="AB69" s="7">
        <f>VC_NEW2!W30</f>
        <v>0</v>
      </c>
      <c r="AC69" s="7">
        <f>VC_NEW2!X30</f>
        <v>0</v>
      </c>
      <c r="AD69" s="7">
        <f>VC_NEW2!Y30</f>
        <v>0</v>
      </c>
      <c r="AE69" s="7">
        <f>VC_NEW2!Z30</f>
        <v>0</v>
      </c>
      <c r="AF69" s="7">
        <f>VC_NEW2!AA30</f>
        <v>0</v>
      </c>
      <c r="AG69" s="7">
        <f>VC_NEW2!AB30</f>
        <v>0</v>
      </c>
      <c r="AH69" s="7" t="str">
        <f>VC_NEW2!AC30</f>
        <v xml:space="preserve"> S306N</v>
      </c>
      <c r="AI69" s="7">
        <f>VC_NEW2!AD30</f>
        <v>0</v>
      </c>
      <c r="AJ69" s="7">
        <f>VC_NEW2!AE30</f>
        <v>0</v>
      </c>
      <c r="AK69" s="7">
        <f>VC_NEW2!AF30</f>
        <v>0</v>
      </c>
      <c r="AL69" s="7">
        <f>VC_NEW2!AG30</f>
        <v>0</v>
      </c>
      <c r="AM69" s="7">
        <f>VC_NEW2!AH30</f>
        <v>0</v>
      </c>
      <c r="AN69" s="7">
        <f>VC_NEW2!AI30</f>
        <v>0</v>
      </c>
      <c r="AO69" s="7" t="str">
        <f>VC_NEW2!AJ30</f>
        <v>A222G</v>
      </c>
      <c r="AP69" s="7">
        <f>VC_NEW2!AK30</f>
        <v>0</v>
      </c>
      <c r="AQ69" s="7">
        <f>VC_NEW2!AL30</f>
        <v>0</v>
      </c>
      <c r="AR69" s="7">
        <f>VC_NEW2!AM30</f>
        <v>0</v>
      </c>
      <c r="AS69" s="7">
        <f>VC_NEW2!AN30</f>
        <v>0</v>
      </c>
      <c r="AT69" s="7" t="str">
        <f>VC_NEW2!AO30</f>
        <v xml:space="preserve">Y35S </v>
      </c>
      <c r="AU69" s="7">
        <f>VC_NEW2!AP30</f>
        <v>0</v>
      </c>
      <c r="AV69" s="7">
        <f>VC_NEW2!AQ30</f>
        <v>0</v>
      </c>
      <c r="AW69" s="7">
        <f>VC_NEW2!AR30</f>
        <v>0</v>
      </c>
      <c r="AX69" s="7">
        <f>VC_NEW2!AS30</f>
        <v>0</v>
      </c>
      <c r="AY69" s="7">
        <f>VC_NEW2!AT30</f>
        <v>0</v>
      </c>
      <c r="AZ69" s="7">
        <f>VC_NEW2!AU30</f>
        <v>0</v>
      </c>
      <c r="BA69" s="7">
        <f>VC_NEW2!AV30</f>
        <v>0</v>
      </c>
      <c r="BB69" s="7">
        <f>VC_NEW2!AW30</f>
        <v>0</v>
      </c>
      <c r="BC69" s="7">
        <f>VC_NEW2!AX30</f>
        <v>0</v>
      </c>
      <c r="BD69" s="7">
        <f>VC_NEW2!AY30</f>
        <v>0</v>
      </c>
      <c r="BE69" s="7">
        <f>VC_NEW2!AZ30</f>
        <v>0</v>
      </c>
      <c r="BF69" s="7">
        <f>VC_NEW2!BA30</f>
        <v>0</v>
      </c>
      <c r="BG69" s="7">
        <f>VC_NEW2!BB30</f>
        <v>0</v>
      </c>
      <c r="BH69" s="7">
        <f>VC_NEW2!BC30</f>
        <v>0</v>
      </c>
      <c r="BI69" s="7">
        <f>VC_NEW2!BD30</f>
        <v>0</v>
      </c>
      <c r="BJ69" s="7">
        <f>VC_NEW2!BE30</f>
        <v>0</v>
      </c>
      <c r="BK69" s="7">
        <f>VC_NEW2!BF30</f>
        <v>0</v>
      </c>
      <c r="BL69" s="7">
        <f>VC_NEW2!BG30</f>
        <v>0</v>
      </c>
      <c r="BM69" s="7">
        <f>VC_NEW2!BH30</f>
        <v>0</v>
      </c>
      <c r="BN69" s="7">
        <f>VC_NEW2!BI30</f>
        <v>0</v>
      </c>
      <c r="BO69" s="7">
        <f>VC_NEW2!BJ30</f>
        <v>0</v>
      </c>
      <c r="BP69" s="7">
        <f>VC_NEW2!BK30</f>
        <v>0</v>
      </c>
      <c r="BQ69" s="7">
        <f>VC_NEW2!BL30</f>
        <v>0</v>
      </c>
      <c r="BR69" s="7" t="str">
        <f>VC_NEW2!BM30</f>
        <v xml:space="preserve"> aa436InsGGF</v>
      </c>
      <c r="BS69" s="7">
        <f>VC_NEW2!BN30</f>
        <v>0</v>
      </c>
      <c r="BT69" s="7">
        <f>VC_NEW2!BO30</f>
        <v>0</v>
      </c>
      <c r="BU69" s="7">
        <f>VC_NEW2!BP30</f>
        <v>0</v>
      </c>
      <c r="BV69" s="7">
        <f>VC_NEW2!BQ30</f>
        <v>0</v>
      </c>
      <c r="BW69" s="7">
        <f>VC_NEW2!BR30</f>
        <v>0</v>
      </c>
      <c r="BX69" s="7">
        <f>VC_NEW2!BS30</f>
        <v>0</v>
      </c>
      <c r="BY69" s="7">
        <f>VC_NEW2!BT30</f>
        <v>0</v>
      </c>
      <c r="BZ69" s="7">
        <f>VC_NEW2!BU30</f>
        <v>0</v>
      </c>
      <c r="CA69" s="7">
        <f>VC_NEW2!BV30</f>
        <v>0</v>
      </c>
      <c r="CB69" s="7">
        <f>VC_NEW2!BW30</f>
        <v>0</v>
      </c>
      <c r="CC69" s="7">
        <f>VC_NEW2!BX30</f>
        <v>0</v>
      </c>
      <c r="CD69" s="7">
        <f>VC_NEW2!BY30</f>
        <v>0</v>
      </c>
      <c r="CE69" s="7">
        <f>VC_NEW2!BZ30</f>
        <v>0</v>
      </c>
      <c r="CF69" s="7" t="str">
        <f>VC_NEW2!CA30</f>
        <v>V420M</v>
      </c>
      <c r="CG69" s="7">
        <f>VC_NEW2!CB30</f>
        <v>0</v>
      </c>
      <c r="CH69" s="7">
        <f>VC_NEW2!CC30</f>
        <v>0</v>
      </c>
      <c r="CI69" s="7">
        <f>VC_NEW2!CD30</f>
        <v>0</v>
      </c>
      <c r="CJ69" s="7">
        <f>VC_NEW2!CE30</f>
        <v>0</v>
      </c>
      <c r="CK69" s="7">
        <f>VC_NEW2!CF30</f>
        <v>0</v>
      </c>
      <c r="CL69" s="7">
        <f>VC_NEW2!CG30</f>
        <v>0</v>
      </c>
      <c r="CM69" s="7">
        <f>VC_NEW2!CH30</f>
        <v>0</v>
      </c>
      <c r="CN69" s="7">
        <f>VC_NEW2!CI30</f>
        <v>0</v>
      </c>
      <c r="CO69" s="7">
        <f>VC_NEW2!CJ30</f>
        <v>0</v>
      </c>
      <c r="CP69" s="7">
        <f>VC_NEW2!CK30</f>
        <v>0</v>
      </c>
      <c r="CQ69" s="7">
        <f>VC_NEW2!CL30</f>
        <v>0</v>
      </c>
      <c r="CR69" s="7">
        <f>VC_NEW2!CM30</f>
        <v>0</v>
      </c>
      <c r="CS69" s="7" t="str">
        <f>VC_NEW2!CN30</f>
        <v xml:space="preserve">A331T </v>
      </c>
      <c r="CT69" s="7">
        <f>VC_NEW2!CO30</f>
        <v>0</v>
      </c>
      <c r="CU69" s="7" t="str">
        <f>VC_NEW2!CP30</f>
        <v>C410T</v>
      </c>
      <c r="CV69" s="7">
        <f>VC_NEW2!CQ30</f>
        <v>0</v>
      </c>
      <c r="CW69" s="7">
        <f>VC_NEW2!CR30</f>
        <v>0</v>
      </c>
      <c r="CX69" s="7">
        <f>VC_NEW2!CS30</f>
        <v>0</v>
      </c>
      <c r="CY69" s="7">
        <f>VC_NEW2!CT30</f>
        <v>0</v>
      </c>
      <c r="CZ69" s="7">
        <f>VC_NEW2!CU30</f>
        <v>0</v>
      </c>
      <c r="DA69" s="7">
        <f>VC_NEW2!CV30</f>
        <v>0</v>
      </c>
      <c r="DB69" s="7">
        <f>VC_NEW2!CW30</f>
        <v>0</v>
      </c>
      <c r="DC69" s="7">
        <f>VC_NEW2!CX30</f>
        <v>0</v>
      </c>
      <c r="DD69" s="7">
        <f>VC_NEW2!CY30</f>
        <v>0</v>
      </c>
      <c r="DE69" s="7">
        <f>VC_NEW2!CZ30</f>
        <v>0</v>
      </c>
      <c r="DF69" s="7">
        <f>VC_NEW2!DA30</f>
        <v>0</v>
      </c>
      <c r="DG69" s="7">
        <f>VC_NEW2!DB30</f>
        <v>0</v>
      </c>
      <c r="DH69" s="7" t="str">
        <f>VC_NEW2!DC30</f>
        <v>G231E</v>
      </c>
      <c r="DI69" s="7">
        <f>VC_NEW2!DD30</f>
        <v>0</v>
      </c>
      <c r="DJ69" s="7">
        <f>VC_NEW2!DE30</f>
        <v>0</v>
      </c>
      <c r="DK69" s="7">
        <f>VC_NEW2!DF30</f>
        <v>0</v>
      </c>
      <c r="DL69" s="7" t="str">
        <f>VC_NEW2!DG30</f>
        <v xml:space="preserve">P178L </v>
      </c>
      <c r="DM69" s="7">
        <f>VC_NEW2!DH30</f>
        <v>0</v>
      </c>
      <c r="DN69" s="7">
        <f>VC_NEW2!DI30</f>
        <v>0</v>
      </c>
      <c r="DO69" s="7">
        <f>VC_NEW2!DJ30</f>
        <v>0</v>
      </c>
      <c r="DP69" s="7">
        <f>VC_NEW2!DK30</f>
        <v>0</v>
      </c>
      <c r="DQ69" s="7">
        <f>VC_NEW2!DL30</f>
        <v>0</v>
      </c>
      <c r="DR69" s="7">
        <f>VC_NEW2!DM30</f>
        <v>0</v>
      </c>
      <c r="DS69" s="7" t="str">
        <f>VC_NEW2!DN30</f>
        <v xml:space="preserve"> C410T</v>
      </c>
      <c r="DT69" s="7">
        <f>VC_NEW2!DO30</f>
        <v>0</v>
      </c>
      <c r="DU69" s="7">
        <f>VC_NEW2!DP30</f>
        <v>0</v>
      </c>
      <c r="DV69" s="7">
        <f>VC_NEW2!DQ30</f>
        <v>0</v>
      </c>
      <c r="DW69" s="7">
        <f>VC_NEW2!DR30</f>
        <v>0</v>
      </c>
      <c r="DX69" s="7">
        <f>VC_NEW2!DS30</f>
        <v>0</v>
      </c>
      <c r="DY69" s="7">
        <f>VC_NEW2!DT30</f>
        <v>0</v>
      </c>
      <c r="DZ69" s="7">
        <f>VC_NEW2!DU30</f>
        <v>0</v>
      </c>
      <c r="EA69" s="7">
        <f>VC_NEW2!DV30</f>
        <v>0</v>
      </c>
      <c r="EB69" s="7">
        <f>VC_NEW2!DW30</f>
        <v>0</v>
      </c>
      <c r="EC69" s="7" t="str">
        <f>VC_NEW2!DX30</f>
        <v>T115A, nt111InsC</v>
      </c>
      <c r="ED69" s="7">
        <f>VC_NEW2!DY30</f>
        <v>0</v>
      </c>
      <c r="EE69" s="7">
        <f>VC_NEW2!DZ30</f>
        <v>0</v>
      </c>
      <c r="EF69" s="7">
        <f>VC_NEW2!EA30</f>
        <v>0</v>
      </c>
      <c r="EG69" s="7">
        <f>VC_NEW2!EB30</f>
        <v>0</v>
      </c>
      <c r="EH69" s="7">
        <f>VC_NEW2!EC30</f>
        <v>0</v>
      </c>
      <c r="EI69" s="7">
        <f>VC_NEW2!ED30</f>
        <v>0</v>
      </c>
      <c r="EJ69" s="7" t="str">
        <f>VC_NEW2!EE30</f>
        <v xml:space="preserve"> aa35∆4</v>
      </c>
      <c r="EK69" s="7" t="str">
        <f>VC_NEW2!EF30</f>
        <v>G231E</v>
      </c>
      <c r="EL69" s="7" t="str">
        <f>VC_NEW2!EG30</f>
        <v xml:space="preserve">P274L </v>
      </c>
      <c r="EM69" s="7">
        <f>VC_NEW2!EH30</f>
        <v>0</v>
      </c>
      <c r="EN69" s="7" t="str">
        <f>VC_NEW2!EI30</f>
        <v>nt111InsC</v>
      </c>
      <c r="EO69" s="7">
        <f>VC_NEW2!EJ30</f>
        <v>0</v>
      </c>
      <c r="EP69" s="7">
        <f>VC_NEW2!EK30</f>
        <v>0</v>
      </c>
      <c r="EQ69" s="7">
        <f>VC_NEW2!EL30</f>
        <v>0</v>
      </c>
      <c r="ER69" s="7">
        <f>VC_NEW2!EM30</f>
        <v>0</v>
      </c>
      <c r="ES69" s="7">
        <f>VC_NEW2!EN30</f>
        <v>0</v>
      </c>
      <c r="ET69" s="7" t="str">
        <f>VC_NEW2!EO30</f>
        <v xml:space="preserve">H190Y  </v>
      </c>
      <c r="EU69" s="7" t="str">
        <f>VC_NEW2!EP30</f>
        <v>nt111InsC</v>
      </c>
      <c r="EV69" s="7">
        <f>VC_NEW2!EQ30</f>
        <v>0</v>
      </c>
      <c r="EW69" s="7" t="str">
        <f>VC_NEW2!ER30</f>
        <v>I266S, Q347R</v>
      </c>
      <c r="EX69" s="7">
        <f>VC_NEW2!ES30</f>
        <v>0</v>
      </c>
      <c r="EY69" s="7">
        <f>VC_NEW2!ET30</f>
        <v>0</v>
      </c>
      <c r="EZ69" s="7">
        <f>VC_NEW2!EU30</f>
        <v>0</v>
      </c>
      <c r="FA69" s="7">
        <f>VC_NEW2!EV30</f>
        <v>0</v>
      </c>
      <c r="FB69" s="7">
        <f>VC_NEW2!EW30</f>
        <v>0</v>
      </c>
      <c r="FC69" s="7">
        <f>VC_NEW2!EX30</f>
        <v>0</v>
      </c>
      <c r="FD69" s="7">
        <f>VC_NEW2!EY30</f>
        <v>0</v>
      </c>
      <c r="FE69" s="7">
        <f>VC_NEW2!EZ30</f>
        <v>0</v>
      </c>
      <c r="FF69" s="7">
        <f>VC_NEW2!FA30</f>
        <v>0</v>
      </c>
      <c r="FG69" s="7">
        <f>VC_NEW2!FB30</f>
        <v>0</v>
      </c>
      <c r="FH69" s="7">
        <f>VC_NEW2!FC30</f>
        <v>0</v>
      </c>
      <c r="FI69" s="7" t="str">
        <f>VC_NEW2!FD30</f>
        <v>S131N, A428T</v>
      </c>
      <c r="FJ69" s="7">
        <f>VC_NEW2!FE30</f>
        <v>0</v>
      </c>
      <c r="FK69" s="7">
        <f>VC_NEW2!FF30</f>
        <v>0</v>
      </c>
      <c r="FL69" s="7" t="str">
        <f>VC_NEW2!FG30</f>
        <v>R103P</v>
      </c>
      <c r="FM69" s="7">
        <f>VC_NEW2!FH30</f>
        <v>0</v>
      </c>
      <c r="FN69" s="7">
        <f>VC_NEW2!FI30</f>
        <v>0</v>
      </c>
      <c r="FO69" s="7">
        <f>VC_NEW2!FJ30</f>
        <v>0</v>
      </c>
      <c r="FP69" s="7">
        <f>VC_NEW2!FK30</f>
        <v>0</v>
      </c>
      <c r="FQ69" s="7" t="str">
        <f>VC_NEW2!FL30</f>
        <v>V281F</v>
      </c>
      <c r="FR69" s="7">
        <f>VC_NEW2!FM30</f>
        <v>0</v>
      </c>
      <c r="FS69" s="7">
        <f>VC_NEW2!FN30</f>
        <v>0</v>
      </c>
      <c r="FT69" s="7">
        <f>VC_NEW2!FO30</f>
        <v>0</v>
      </c>
      <c r="FU69" s="7">
        <f>VC_NEW2!FP30</f>
        <v>0</v>
      </c>
      <c r="FV69" s="7">
        <f>VC_NEW2!FQ30</f>
        <v>0</v>
      </c>
      <c r="FW69" s="7">
        <f>VC_NEW2!FR30</f>
        <v>0</v>
      </c>
      <c r="FX69" s="7">
        <f>VC_NEW2!FS30</f>
        <v>0</v>
      </c>
      <c r="FY69" s="7">
        <f>VC_NEW2!FT30</f>
        <v>0</v>
      </c>
      <c r="FZ69" s="7">
        <f>VC_NEW2!FU30</f>
        <v>0</v>
      </c>
      <c r="GA69" s="7">
        <f>VC_NEW2!FV30</f>
        <v>0</v>
      </c>
      <c r="GB69" s="7" t="str">
        <f>VC_NEW2!FW30</f>
        <v>nt111∆1</v>
      </c>
      <c r="GC69" s="7">
        <f>VC_NEW2!FX30</f>
        <v>0</v>
      </c>
      <c r="GD69" s="7">
        <f>VC_NEW2!FY30</f>
        <v>0</v>
      </c>
      <c r="GE69" s="7">
        <f>VC_NEW2!FZ30</f>
        <v>0</v>
      </c>
      <c r="GF69" s="7">
        <f>VC_NEW2!GA30</f>
        <v>0</v>
      </c>
      <c r="GG69" s="7">
        <f>VC_NEW2!GB30</f>
        <v>0</v>
      </c>
      <c r="GH69" s="7">
        <f>VC_NEW2!GC30</f>
        <v>0</v>
      </c>
      <c r="GI69" s="7">
        <f>VC_NEW2!GD30</f>
        <v>0</v>
      </c>
      <c r="GJ69" s="7">
        <f>VC_NEW2!GE30</f>
        <v>0</v>
      </c>
      <c r="GK69" s="7">
        <f>VC_NEW2!GF30</f>
        <v>0</v>
      </c>
      <c r="GL69" s="7">
        <f>VC_NEW2!GG30</f>
        <v>0</v>
      </c>
      <c r="GM69" s="7">
        <f>VC_NEW2!GH30</f>
        <v>0</v>
      </c>
      <c r="GN69" s="7">
        <f>VC_NEW2!GI30</f>
        <v>0</v>
      </c>
      <c r="GO69" s="7">
        <f>VC_NEW2!GJ30</f>
        <v>0</v>
      </c>
      <c r="GP69" s="7">
        <f>VC_NEW2!GK30</f>
        <v>0</v>
      </c>
      <c r="GQ69" s="7">
        <f>VC_NEW2!GL30</f>
        <v>0</v>
      </c>
      <c r="GR69" s="7">
        <f>VC_NEW2!GM30</f>
        <v>0</v>
      </c>
      <c r="GS69" s="7">
        <f>VC_NEW2!GN30</f>
        <v>0</v>
      </c>
      <c r="GT69" s="7">
        <f>VC_NEW2!GO30</f>
        <v>0</v>
      </c>
      <c r="GU69" s="7">
        <f>VC_NEW2!GP30</f>
        <v>0</v>
      </c>
      <c r="GV69" s="7">
        <f>VC_NEW2!GQ30</f>
        <v>0</v>
      </c>
      <c r="GW69" s="7">
        <f>VC_NEW2!GR30</f>
        <v>0</v>
      </c>
      <c r="GX69" s="7">
        <f>VC_NEW2!GS30</f>
        <v>0</v>
      </c>
      <c r="GY69" s="7">
        <f>VC_NEW2!GT30</f>
        <v>0</v>
      </c>
      <c r="GZ69" s="7">
        <f>VC_NEW2!GU30</f>
        <v>0</v>
      </c>
      <c r="HA69" s="7">
        <f>VC_NEW2!GV30</f>
        <v>0</v>
      </c>
      <c r="HB69" s="7">
        <f>VC_NEW2!GW30</f>
        <v>0</v>
      </c>
      <c r="HC69" s="7">
        <f>VC_NEW2!GX30</f>
        <v>0</v>
      </c>
    </row>
    <row r="70" spans="1:211" s="7" customFormat="1" ht="15" hidden="1" customHeight="1" x14ac:dyDescent="0.25">
      <c r="A70" s="30" t="s">
        <v>26</v>
      </c>
      <c r="B70" s="30" t="s">
        <v>27</v>
      </c>
      <c r="C70" s="31" t="s">
        <v>3</v>
      </c>
      <c r="D70" s="30" t="s">
        <v>76</v>
      </c>
      <c r="E70" s="30" t="s">
        <v>139</v>
      </c>
      <c r="F70" s="30" t="s">
        <v>74</v>
      </c>
      <c r="G70" s="30" t="s">
        <v>136</v>
      </c>
      <c r="H70" s="7">
        <f>VC_NEW2!C30</f>
        <v>0</v>
      </c>
      <c r="I70" s="7" t="str">
        <f>VC_NEW2!D30</f>
        <v xml:space="preserve">  A356V</v>
      </c>
      <c r="J70" s="7">
        <f>VC_NEW2!E30</f>
        <v>0</v>
      </c>
      <c r="K70" s="7">
        <f>VC_NEW2!F30</f>
        <v>0</v>
      </c>
      <c r="L70" s="7">
        <f>VC_NEW2!G30</f>
        <v>0</v>
      </c>
      <c r="M70" s="7">
        <f>VC_NEW2!H30</f>
        <v>0</v>
      </c>
      <c r="N70" s="7">
        <f>VC_NEW2!I30</f>
        <v>0</v>
      </c>
      <c r="O70" s="7">
        <f>VC_NEW2!J30</f>
        <v>0</v>
      </c>
      <c r="P70" s="7">
        <f>VC_NEW2!K30</f>
        <v>0</v>
      </c>
      <c r="Q70" s="7">
        <f>VC_NEW2!L30</f>
        <v>0</v>
      </c>
      <c r="R70" s="7">
        <f>VC_NEW2!M30</f>
        <v>0</v>
      </c>
      <c r="S70" s="7">
        <f>VC_NEW2!N30</f>
        <v>0</v>
      </c>
      <c r="T70" s="7">
        <f>VC_NEW2!O30</f>
        <v>0</v>
      </c>
      <c r="U70" s="7">
        <f>VC_NEW2!P30</f>
        <v>0</v>
      </c>
      <c r="V70" s="7">
        <f>VC_NEW2!Q30</f>
        <v>0</v>
      </c>
      <c r="W70" s="7">
        <f>VC_NEW2!R30</f>
        <v>0</v>
      </c>
      <c r="X70" s="7">
        <f>VC_NEW2!S30</f>
        <v>0</v>
      </c>
      <c r="Y70" s="7">
        <f>VC_NEW2!T30</f>
        <v>0</v>
      </c>
      <c r="Z70" s="7">
        <f>VC_NEW2!U30</f>
        <v>0</v>
      </c>
      <c r="AA70" s="7">
        <f>VC_NEW2!V30</f>
        <v>0</v>
      </c>
      <c r="AB70" s="7">
        <f>VC_NEW2!W30</f>
        <v>0</v>
      </c>
      <c r="AC70" s="7">
        <f>VC_NEW2!X30</f>
        <v>0</v>
      </c>
      <c r="AD70" s="7">
        <f>VC_NEW2!Y30</f>
        <v>0</v>
      </c>
      <c r="AE70" s="7">
        <f>VC_NEW2!Z30</f>
        <v>0</v>
      </c>
      <c r="AF70" s="7">
        <f>VC_NEW2!AA30</f>
        <v>0</v>
      </c>
      <c r="AG70" s="7">
        <f>VC_NEW2!AB30</f>
        <v>0</v>
      </c>
      <c r="AH70" s="7" t="str">
        <f>VC_NEW2!AC30</f>
        <v xml:space="preserve"> S306N</v>
      </c>
      <c r="AI70" s="7">
        <f>VC_NEW2!AD30</f>
        <v>0</v>
      </c>
      <c r="AJ70" s="7">
        <f>VC_NEW2!AE30</f>
        <v>0</v>
      </c>
      <c r="AK70" s="7">
        <f>VC_NEW2!AF30</f>
        <v>0</v>
      </c>
      <c r="AL70" s="7">
        <f>VC_NEW2!AG30</f>
        <v>0</v>
      </c>
      <c r="AM70" s="7">
        <f>VC_NEW2!AH30</f>
        <v>0</v>
      </c>
      <c r="AN70" s="7">
        <f>VC_NEW2!AI30</f>
        <v>0</v>
      </c>
      <c r="AO70" s="7" t="str">
        <f>VC_NEW2!AJ30</f>
        <v>A222G</v>
      </c>
      <c r="AP70" s="7">
        <f>VC_NEW2!AK30</f>
        <v>0</v>
      </c>
      <c r="AQ70" s="7">
        <f>VC_NEW2!AL30</f>
        <v>0</v>
      </c>
      <c r="AR70" s="7">
        <f>VC_NEW2!AM30</f>
        <v>0</v>
      </c>
      <c r="AS70" s="7">
        <f>VC_NEW2!AN30</f>
        <v>0</v>
      </c>
      <c r="AT70" s="7" t="str">
        <f>VC_NEW2!AO30</f>
        <v xml:space="preserve">Y35S </v>
      </c>
      <c r="AU70" s="7">
        <f>VC_NEW2!AP30</f>
        <v>0</v>
      </c>
      <c r="AV70" s="7">
        <f>VC_NEW2!AQ30</f>
        <v>0</v>
      </c>
      <c r="AW70" s="7">
        <f>VC_NEW2!AR30</f>
        <v>0</v>
      </c>
      <c r="AX70" s="7">
        <f>VC_NEW2!AS30</f>
        <v>0</v>
      </c>
      <c r="AY70" s="7">
        <f>VC_NEW2!AT30</f>
        <v>0</v>
      </c>
      <c r="AZ70" s="7">
        <f>VC_NEW2!AU30</f>
        <v>0</v>
      </c>
      <c r="BA70" s="7">
        <f>VC_NEW2!AV30</f>
        <v>0</v>
      </c>
      <c r="BB70" s="7">
        <f>VC_NEW2!AW30</f>
        <v>0</v>
      </c>
      <c r="BC70" s="7">
        <f>VC_NEW2!AX30</f>
        <v>0</v>
      </c>
      <c r="BD70" s="7">
        <f>VC_NEW2!AY30</f>
        <v>0</v>
      </c>
      <c r="BE70" s="7">
        <f>VC_NEW2!AZ30</f>
        <v>0</v>
      </c>
      <c r="BF70" s="7">
        <f>VC_NEW2!BA30</f>
        <v>0</v>
      </c>
      <c r="BG70" s="7">
        <f>VC_NEW2!BB30</f>
        <v>0</v>
      </c>
      <c r="BH70" s="7">
        <f>VC_NEW2!BC30</f>
        <v>0</v>
      </c>
      <c r="BI70" s="7">
        <f>VC_NEW2!BD30</f>
        <v>0</v>
      </c>
      <c r="BJ70" s="7">
        <f>VC_NEW2!BE30</f>
        <v>0</v>
      </c>
      <c r="BK70" s="7">
        <f>VC_NEW2!BF30</f>
        <v>0</v>
      </c>
      <c r="BL70" s="7">
        <f>VC_NEW2!BG30</f>
        <v>0</v>
      </c>
      <c r="BM70" s="7">
        <f>VC_NEW2!BH30</f>
        <v>0</v>
      </c>
      <c r="BN70" s="7">
        <f>VC_NEW2!BI30</f>
        <v>0</v>
      </c>
      <c r="BO70" s="7">
        <f>VC_NEW2!BJ30</f>
        <v>0</v>
      </c>
      <c r="BP70" s="7">
        <f>VC_NEW2!BK30</f>
        <v>0</v>
      </c>
      <c r="BQ70" s="7">
        <f>VC_NEW2!BL30</f>
        <v>0</v>
      </c>
      <c r="BR70" s="7" t="str">
        <f>VC_NEW2!BM30</f>
        <v xml:space="preserve"> aa436InsGGF</v>
      </c>
      <c r="BS70" s="7">
        <f>VC_NEW2!BN30</f>
        <v>0</v>
      </c>
      <c r="BT70" s="7">
        <f>VC_NEW2!BO30</f>
        <v>0</v>
      </c>
      <c r="BU70" s="7">
        <f>VC_NEW2!BP30</f>
        <v>0</v>
      </c>
      <c r="BV70" s="7">
        <f>VC_NEW2!BQ30</f>
        <v>0</v>
      </c>
      <c r="BW70" s="7">
        <f>VC_NEW2!BR30</f>
        <v>0</v>
      </c>
      <c r="BX70" s="7">
        <f>VC_NEW2!BS30</f>
        <v>0</v>
      </c>
      <c r="BY70" s="7">
        <f>VC_NEW2!BT30</f>
        <v>0</v>
      </c>
      <c r="BZ70" s="7">
        <f>VC_NEW2!BU30</f>
        <v>0</v>
      </c>
      <c r="CA70" s="7">
        <f>VC_NEW2!BV30</f>
        <v>0</v>
      </c>
      <c r="CB70" s="7">
        <f>VC_NEW2!BW30</f>
        <v>0</v>
      </c>
      <c r="CC70" s="7">
        <f>VC_NEW2!BX30</f>
        <v>0</v>
      </c>
      <c r="CD70" s="7">
        <f>VC_NEW2!BY30</f>
        <v>0</v>
      </c>
      <c r="CE70" s="7">
        <f>VC_NEW2!BZ30</f>
        <v>0</v>
      </c>
      <c r="CF70" s="7" t="str">
        <f>VC_NEW2!CA30</f>
        <v>V420M</v>
      </c>
      <c r="CG70" s="7">
        <f>VC_NEW2!CB30</f>
        <v>0</v>
      </c>
      <c r="CH70" s="7">
        <f>VC_NEW2!CC30</f>
        <v>0</v>
      </c>
      <c r="CI70" s="7">
        <f>VC_NEW2!CD30</f>
        <v>0</v>
      </c>
      <c r="CJ70" s="7">
        <f>VC_NEW2!CE30</f>
        <v>0</v>
      </c>
      <c r="CK70" s="7">
        <f>VC_NEW2!CF30</f>
        <v>0</v>
      </c>
      <c r="CL70" s="7">
        <f>VC_NEW2!CG30</f>
        <v>0</v>
      </c>
      <c r="CM70" s="7">
        <f>VC_NEW2!CH30</f>
        <v>0</v>
      </c>
      <c r="CN70" s="7">
        <f>VC_NEW2!CI30</f>
        <v>0</v>
      </c>
      <c r="CO70" s="7">
        <f>VC_NEW2!CJ30</f>
        <v>0</v>
      </c>
      <c r="CP70" s="7">
        <f>VC_NEW2!CK30</f>
        <v>0</v>
      </c>
      <c r="CQ70" s="7">
        <f>VC_NEW2!CL30</f>
        <v>0</v>
      </c>
      <c r="CR70" s="7">
        <f>VC_NEW2!CM30</f>
        <v>0</v>
      </c>
      <c r="CS70" s="7" t="str">
        <f>VC_NEW2!CN30</f>
        <v xml:space="preserve">A331T </v>
      </c>
      <c r="CT70" s="7">
        <f>VC_NEW2!CO30</f>
        <v>0</v>
      </c>
      <c r="CU70" s="7" t="str">
        <f>VC_NEW2!CP30</f>
        <v>C410T</v>
      </c>
      <c r="CV70" s="7">
        <f>VC_NEW2!CQ30</f>
        <v>0</v>
      </c>
      <c r="CW70" s="7">
        <f>VC_NEW2!CR30</f>
        <v>0</v>
      </c>
      <c r="CX70" s="7">
        <f>VC_NEW2!CS30</f>
        <v>0</v>
      </c>
      <c r="CY70" s="7">
        <f>VC_NEW2!CT30</f>
        <v>0</v>
      </c>
      <c r="CZ70" s="7">
        <f>VC_NEW2!CU30</f>
        <v>0</v>
      </c>
      <c r="DA70" s="7">
        <f>VC_NEW2!CV30</f>
        <v>0</v>
      </c>
      <c r="DB70" s="7">
        <f>VC_NEW2!CW30</f>
        <v>0</v>
      </c>
      <c r="DC70" s="7">
        <f>VC_NEW2!CX30</f>
        <v>0</v>
      </c>
      <c r="DD70" s="7">
        <f>VC_NEW2!CY30</f>
        <v>0</v>
      </c>
      <c r="DE70" s="7">
        <f>VC_NEW2!CZ30</f>
        <v>0</v>
      </c>
      <c r="DF70" s="7">
        <f>VC_NEW2!DA30</f>
        <v>0</v>
      </c>
      <c r="DG70" s="7">
        <f>VC_NEW2!DB30</f>
        <v>0</v>
      </c>
      <c r="DH70" s="7" t="str">
        <f>VC_NEW2!DC30</f>
        <v>G231E</v>
      </c>
      <c r="DI70" s="7">
        <f>VC_NEW2!DD30</f>
        <v>0</v>
      </c>
      <c r="DJ70" s="7">
        <f>VC_NEW2!DE30</f>
        <v>0</v>
      </c>
      <c r="DK70" s="7">
        <f>VC_NEW2!DF30</f>
        <v>0</v>
      </c>
      <c r="DL70" s="7" t="str">
        <f>VC_NEW2!DG30</f>
        <v xml:space="preserve">P178L </v>
      </c>
      <c r="DM70" s="7">
        <f>VC_NEW2!DH30</f>
        <v>0</v>
      </c>
      <c r="DN70" s="7">
        <f>VC_NEW2!DI30</f>
        <v>0</v>
      </c>
      <c r="DO70" s="7">
        <f>VC_NEW2!DJ30</f>
        <v>0</v>
      </c>
      <c r="DP70" s="7">
        <f>VC_NEW2!DK30</f>
        <v>0</v>
      </c>
      <c r="DQ70" s="7">
        <f>VC_NEW2!DL30</f>
        <v>0</v>
      </c>
      <c r="DR70" s="7">
        <f>VC_NEW2!DM30</f>
        <v>0</v>
      </c>
      <c r="DS70" s="7" t="str">
        <f>VC_NEW2!DN30</f>
        <v xml:space="preserve"> C410T</v>
      </c>
      <c r="DT70" s="7">
        <f>VC_NEW2!DO30</f>
        <v>0</v>
      </c>
      <c r="DU70" s="7">
        <f>VC_NEW2!DP30</f>
        <v>0</v>
      </c>
      <c r="DV70" s="7">
        <f>VC_NEW2!DQ30</f>
        <v>0</v>
      </c>
      <c r="DW70" s="7">
        <f>VC_NEW2!DR30</f>
        <v>0</v>
      </c>
      <c r="DX70" s="7">
        <f>VC_NEW2!DS30</f>
        <v>0</v>
      </c>
      <c r="DY70" s="7">
        <f>VC_NEW2!DT30</f>
        <v>0</v>
      </c>
      <c r="DZ70" s="7">
        <f>VC_NEW2!DU30</f>
        <v>0</v>
      </c>
      <c r="EA70" s="7">
        <f>VC_NEW2!DV30</f>
        <v>0</v>
      </c>
      <c r="EB70" s="7">
        <f>VC_NEW2!DW30</f>
        <v>0</v>
      </c>
      <c r="EC70" s="7" t="str">
        <f>VC_NEW2!DX30</f>
        <v>T115A, nt111InsC</v>
      </c>
      <c r="ED70" s="7">
        <f>VC_NEW2!DY30</f>
        <v>0</v>
      </c>
      <c r="EE70" s="7">
        <f>VC_NEW2!DZ30</f>
        <v>0</v>
      </c>
      <c r="EF70" s="7">
        <f>VC_NEW2!EA30</f>
        <v>0</v>
      </c>
      <c r="EG70" s="7">
        <f>VC_NEW2!EB30</f>
        <v>0</v>
      </c>
      <c r="EH70" s="7">
        <f>VC_NEW2!EC30</f>
        <v>0</v>
      </c>
      <c r="EI70" s="7">
        <f>VC_NEW2!ED30</f>
        <v>0</v>
      </c>
      <c r="EJ70" s="7" t="str">
        <f>VC_NEW2!EE30</f>
        <v xml:space="preserve"> aa35∆4</v>
      </c>
      <c r="EK70" s="7" t="str">
        <f>VC_NEW2!EF30</f>
        <v>G231E</v>
      </c>
      <c r="EL70" s="7" t="str">
        <f>VC_NEW2!EG30</f>
        <v xml:space="preserve">P274L </v>
      </c>
      <c r="EM70" s="7">
        <f>VC_NEW2!EH30</f>
        <v>0</v>
      </c>
      <c r="EN70" s="7" t="str">
        <f>VC_NEW2!EI30</f>
        <v>nt111InsC</v>
      </c>
      <c r="EO70" s="7">
        <f>VC_NEW2!EJ30</f>
        <v>0</v>
      </c>
      <c r="EP70" s="7">
        <f>VC_NEW2!EK30</f>
        <v>0</v>
      </c>
      <c r="EQ70" s="7">
        <f>VC_NEW2!EL30</f>
        <v>0</v>
      </c>
      <c r="ER70" s="7">
        <f>VC_NEW2!EM30</f>
        <v>0</v>
      </c>
      <c r="ES70" s="7">
        <f>VC_NEW2!EN30</f>
        <v>0</v>
      </c>
      <c r="ET70" s="7" t="str">
        <f>VC_NEW2!EO30</f>
        <v xml:space="preserve">H190Y  </v>
      </c>
      <c r="EU70" s="7" t="str">
        <f>VC_NEW2!EP30</f>
        <v>nt111InsC</v>
      </c>
      <c r="EV70" s="7">
        <f>VC_NEW2!EQ30</f>
        <v>0</v>
      </c>
      <c r="EW70" s="7" t="str">
        <f>VC_NEW2!ER30</f>
        <v>I266S, Q347R</v>
      </c>
      <c r="EX70" s="7">
        <f>VC_NEW2!ES30</f>
        <v>0</v>
      </c>
      <c r="EY70" s="7">
        <f>VC_NEW2!ET30</f>
        <v>0</v>
      </c>
      <c r="EZ70" s="7">
        <f>VC_NEW2!EU30</f>
        <v>0</v>
      </c>
      <c r="FA70" s="7">
        <f>VC_NEW2!EV30</f>
        <v>0</v>
      </c>
      <c r="FB70" s="7">
        <f>VC_NEW2!EW30</f>
        <v>0</v>
      </c>
      <c r="FC70" s="7">
        <f>VC_NEW2!EX30</f>
        <v>0</v>
      </c>
      <c r="FD70" s="7">
        <f>VC_NEW2!EY30</f>
        <v>0</v>
      </c>
      <c r="FE70" s="7">
        <f>VC_NEW2!EZ30</f>
        <v>0</v>
      </c>
      <c r="FF70" s="7">
        <f>VC_NEW2!FA30</f>
        <v>0</v>
      </c>
      <c r="FG70" s="7">
        <f>VC_NEW2!FB30</f>
        <v>0</v>
      </c>
      <c r="FH70" s="7">
        <f>VC_NEW2!FC30</f>
        <v>0</v>
      </c>
      <c r="FI70" s="7" t="str">
        <f>VC_NEW2!FD30</f>
        <v>S131N, A428T</v>
      </c>
      <c r="FJ70" s="7">
        <f>VC_NEW2!FE30</f>
        <v>0</v>
      </c>
      <c r="FK70" s="7">
        <f>VC_NEW2!FF30</f>
        <v>0</v>
      </c>
      <c r="FL70" s="7" t="str">
        <f>VC_NEW2!FG30</f>
        <v>R103P</v>
      </c>
      <c r="FM70" s="7">
        <f>VC_NEW2!FH30</f>
        <v>0</v>
      </c>
      <c r="FN70" s="7">
        <f>VC_NEW2!FI30</f>
        <v>0</v>
      </c>
      <c r="FO70" s="7">
        <f>VC_NEW2!FJ30</f>
        <v>0</v>
      </c>
      <c r="FP70" s="7">
        <f>VC_NEW2!FK30</f>
        <v>0</v>
      </c>
      <c r="FQ70" s="7" t="str">
        <f>VC_NEW2!FL30</f>
        <v>V281F</v>
      </c>
      <c r="FR70" s="7">
        <f>VC_NEW2!FM30</f>
        <v>0</v>
      </c>
      <c r="FS70" s="7">
        <f>VC_NEW2!FN30</f>
        <v>0</v>
      </c>
      <c r="FT70" s="7">
        <f>VC_NEW2!FO30</f>
        <v>0</v>
      </c>
      <c r="FU70" s="7">
        <f>VC_NEW2!FP30</f>
        <v>0</v>
      </c>
      <c r="FV70" s="7">
        <f>VC_NEW2!FQ30</f>
        <v>0</v>
      </c>
      <c r="FW70" s="7">
        <f>VC_NEW2!FR30</f>
        <v>0</v>
      </c>
      <c r="FX70" s="7">
        <f>VC_NEW2!FS30</f>
        <v>0</v>
      </c>
      <c r="FY70" s="7">
        <f>VC_NEW2!FT30</f>
        <v>0</v>
      </c>
      <c r="FZ70" s="7">
        <f>VC_NEW2!FU30</f>
        <v>0</v>
      </c>
      <c r="GA70" s="7">
        <f>VC_NEW2!FV30</f>
        <v>0</v>
      </c>
      <c r="GB70" s="7" t="str">
        <f>VC_NEW2!FW30</f>
        <v>nt111∆1</v>
      </c>
      <c r="GC70" s="7">
        <f>VC_NEW2!FX30</f>
        <v>0</v>
      </c>
      <c r="GD70" s="7">
        <f>VC_NEW2!FY30</f>
        <v>0</v>
      </c>
      <c r="GE70" s="7">
        <f>VC_NEW2!FZ30</f>
        <v>0</v>
      </c>
      <c r="GF70" s="7">
        <f>VC_NEW2!GA30</f>
        <v>0</v>
      </c>
      <c r="GG70" s="7">
        <f>VC_NEW2!GB30</f>
        <v>0</v>
      </c>
      <c r="GH70" s="7">
        <f>VC_NEW2!GC30</f>
        <v>0</v>
      </c>
      <c r="GI70" s="7">
        <f>VC_NEW2!GD30</f>
        <v>0</v>
      </c>
      <c r="GJ70" s="7">
        <f>VC_NEW2!GE30</f>
        <v>0</v>
      </c>
      <c r="GK70" s="7">
        <f>VC_NEW2!GF30</f>
        <v>0</v>
      </c>
      <c r="GL70" s="7">
        <f>VC_NEW2!GG30</f>
        <v>0</v>
      </c>
      <c r="GM70" s="7">
        <f>VC_NEW2!GH30</f>
        <v>0</v>
      </c>
      <c r="GN70" s="7">
        <f>VC_NEW2!GI30</f>
        <v>0</v>
      </c>
      <c r="GO70" s="7">
        <f>VC_NEW2!GJ30</f>
        <v>0</v>
      </c>
      <c r="GP70" s="7">
        <f>VC_NEW2!GK30</f>
        <v>0</v>
      </c>
      <c r="GQ70" s="7">
        <f>VC_NEW2!GL30</f>
        <v>0</v>
      </c>
      <c r="GR70" s="7">
        <f>VC_NEW2!GM30</f>
        <v>0</v>
      </c>
      <c r="GS70" s="7">
        <f>VC_NEW2!GN30</f>
        <v>0</v>
      </c>
      <c r="GT70" s="7">
        <f>VC_NEW2!GO30</f>
        <v>0</v>
      </c>
      <c r="GU70" s="7">
        <f>VC_NEW2!GP30</f>
        <v>0</v>
      </c>
      <c r="GV70" s="7">
        <f>VC_NEW2!GQ30</f>
        <v>0</v>
      </c>
      <c r="GW70" s="7">
        <f>VC_NEW2!GR30</f>
        <v>0</v>
      </c>
      <c r="GX70" s="7">
        <f>VC_NEW2!GS30</f>
        <v>0</v>
      </c>
      <c r="GY70" s="7">
        <f>VC_NEW2!GT30</f>
        <v>0</v>
      </c>
      <c r="GZ70" s="7">
        <f>VC_NEW2!GU30</f>
        <v>0</v>
      </c>
      <c r="HA70" s="7">
        <f>VC_NEW2!GV30</f>
        <v>0</v>
      </c>
      <c r="HB70" s="7">
        <f>VC_NEW2!GW30</f>
        <v>0</v>
      </c>
      <c r="HC70" s="7">
        <f>VC_NEW2!GX30</f>
        <v>0</v>
      </c>
    </row>
    <row r="71" spans="1:211" s="1" customFormat="1" ht="15" hidden="1" customHeight="1" thickBot="1" x14ac:dyDescent="0.25">
      <c r="A71" s="30" t="s">
        <v>28</v>
      </c>
      <c r="B71" s="30" t="s">
        <v>29</v>
      </c>
      <c r="C71" s="31" t="s">
        <v>1</v>
      </c>
      <c r="D71" s="30" t="s">
        <v>76</v>
      </c>
      <c r="E71" s="30">
        <v>1</v>
      </c>
      <c r="F71" s="30" t="s">
        <v>73</v>
      </c>
      <c r="G71" s="30" t="s">
        <v>148</v>
      </c>
      <c r="H71" s="1">
        <f>VC_NEW2!C31</f>
        <v>0</v>
      </c>
      <c r="I71" s="1">
        <f>VC_NEW2!D31</f>
        <v>0</v>
      </c>
      <c r="J71" s="1">
        <f>VC_NEW2!E31</f>
        <v>0</v>
      </c>
      <c r="K71" s="1" t="str">
        <f>VC_NEW2!F31</f>
        <v xml:space="preserve"> G273E</v>
      </c>
      <c r="L71" s="1">
        <f>VC_NEW2!G31</f>
        <v>0</v>
      </c>
      <c r="M71" s="1">
        <f>VC_NEW2!H31</f>
        <v>0</v>
      </c>
      <c r="N71" s="1">
        <f>VC_NEW2!I31</f>
        <v>0</v>
      </c>
      <c r="O71" s="1">
        <f>VC_NEW2!J31</f>
        <v>0</v>
      </c>
      <c r="P71" s="1">
        <f>VC_NEW2!K31</f>
        <v>0</v>
      </c>
      <c r="Q71" s="1">
        <f>VC_NEW2!L31</f>
        <v>0</v>
      </c>
      <c r="R71" s="1">
        <f>VC_NEW2!M31</f>
        <v>0</v>
      </c>
      <c r="S71" s="1">
        <f>VC_NEW2!N31</f>
        <v>0</v>
      </c>
      <c r="T71" s="1">
        <f>VC_NEW2!O31</f>
        <v>0</v>
      </c>
      <c r="U71" s="1">
        <f>VC_NEW2!P31</f>
        <v>0</v>
      </c>
      <c r="V71" s="1">
        <f>VC_NEW2!Q31</f>
        <v>0</v>
      </c>
      <c r="W71" s="1">
        <f>VC_NEW2!R31</f>
        <v>0</v>
      </c>
      <c r="X71" s="1">
        <f>VC_NEW2!S31</f>
        <v>0</v>
      </c>
      <c r="Y71" s="1">
        <f>VC_NEW2!T31</f>
        <v>0</v>
      </c>
      <c r="Z71" s="1">
        <f>VC_NEW2!U31</f>
        <v>0</v>
      </c>
      <c r="AA71" s="1">
        <f>VC_NEW2!V31</f>
        <v>0</v>
      </c>
      <c r="AB71" s="1">
        <f>VC_NEW2!W31</f>
        <v>0</v>
      </c>
      <c r="AC71" s="1">
        <f>VC_NEW2!X31</f>
        <v>0</v>
      </c>
      <c r="AD71" s="1">
        <f>VC_NEW2!Y31</f>
        <v>0</v>
      </c>
      <c r="AE71" s="1">
        <f>VC_NEW2!Z31</f>
        <v>0</v>
      </c>
      <c r="AF71" s="1">
        <f>VC_NEW2!AA31</f>
        <v>0</v>
      </c>
      <c r="AG71" s="1">
        <f>VC_NEW2!AB31</f>
        <v>0</v>
      </c>
      <c r="AH71" s="1">
        <f>VC_NEW2!AC31</f>
        <v>0</v>
      </c>
      <c r="AI71" s="1">
        <f>VC_NEW2!AD31</f>
        <v>0</v>
      </c>
      <c r="AJ71" s="1">
        <f>VC_NEW2!AE31</f>
        <v>0</v>
      </c>
      <c r="AK71" s="1">
        <f>VC_NEW2!AF31</f>
        <v>0</v>
      </c>
      <c r="AL71" s="1">
        <f>VC_NEW2!AG31</f>
        <v>0</v>
      </c>
      <c r="AM71" s="1" t="str">
        <f>VC_NEW2!AH31</f>
        <v>A175V</v>
      </c>
      <c r="AN71" s="1">
        <f>VC_NEW2!AI31</f>
        <v>0</v>
      </c>
      <c r="AO71" s="1">
        <f>VC_NEW2!AJ31</f>
        <v>0</v>
      </c>
      <c r="AP71" s="1">
        <f>VC_NEW2!AK31</f>
        <v>0</v>
      </c>
      <c r="AQ71" s="1">
        <f>VC_NEW2!AL31</f>
        <v>0</v>
      </c>
      <c r="AR71" s="1">
        <f>VC_NEW2!AM31</f>
        <v>0</v>
      </c>
      <c r="AS71" s="1">
        <f>VC_NEW2!AN31</f>
        <v>0</v>
      </c>
      <c r="AT71" s="1">
        <f>VC_NEW2!AO31</f>
        <v>0</v>
      </c>
      <c r="AU71" s="1">
        <f>VC_NEW2!AP31</f>
        <v>0</v>
      </c>
      <c r="AV71" s="1">
        <f>VC_NEW2!AQ31</f>
        <v>0</v>
      </c>
      <c r="AW71" s="1">
        <f>VC_NEW2!AR31</f>
        <v>0</v>
      </c>
      <c r="AX71" s="1">
        <f>VC_NEW2!AS31</f>
        <v>0</v>
      </c>
      <c r="AY71" s="1">
        <f>VC_NEW2!AT31</f>
        <v>0</v>
      </c>
      <c r="AZ71" s="1">
        <f>VC_NEW2!AU31</f>
        <v>0</v>
      </c>
      <c r="BA71" s="1" t="str">
        <f>VC_NEW2!AV31</f>
        <v>G154R</v>
      </c>
      <c r="BB71" s="1">
        <f>VC_NEW2!AW31</f>
        <v>0</v>
      </c>
      <c r="BC71" s="1" t="str">
        <f>VC_NEW2!AX31</f>
        <v>G154R</v>
      </c>
      <c r="BD71" s="1">
        <f>VC_NEW2!AY31</f>
        <v>0</v>
      </c>
      <c r="BE71" s="1">
        <f>VC_NEW2!AZ31</f>
        <v>0</v>
      </c>
      <c r="BF71" s="1">
        <f>VC_NEW2!BA31</f>
        <v>0</v>
      </c>
      <c r="BG71" s="1" t="str">
        <f>VC_NEW2!BB31</f>
        <v>A16V</v>
      </c>
      <c r="BH71" s="1">
        <f>VC_NEW2!BC31</f>
        <v>0</v>
      </c>
      <c r="BI71" s="1" t="str">
        <f>VC_NEW2!BD31</f>
        <v>G154R</v>
      </c>
      <c r="BJ71" s="1">
        <f>VC_NEW2!BE31</f>
        <v>0</v>
      </c>
      <c r="BK71" s="1" t="str">
        <f>VC_NEW2!BF31</f>
        <v>nt66InsCC</v>
      </c>
      <c r="BL71" s="1">
        <f>VC_NEW2!BG31</f>
        <v>0</v>
      </c>
      <c r="BM71" s="1" t="str">
        <f>VC_NEW2!BH31</f>
        <v>G295R</v>
      </c>
      <c r="BN71" s="1" t="str">
        <f>VC_NEW2!BI31</f>
        <v>D135G</v>
      </c>
      <c r="BO71" s="1">
        <f>VC_NEW2!BJ31</f>
        <v>0</v>
      </c>
      <c r="BP71" s="1">
        <f>VC_NEW2!BK31</f>
        <v>0</v>
      </c>
      <c r="BQ71" s="1">
        <f>VC_NEW2!BL31</f>
        <v>0</v>
      </c>
      <c r="BR71" s="1">
        <f>VC_NEW2!BM31</f>
        <v>0</v>
      </c>
      <c r="BS71" s="1">
        <f>VC_NEW2!BN31</f>
        <v>0</v>
      </c>
      <c r="BT71" s="1">
        <f>VC_NEW2!BO31</f>
        <v>0</v>
      </c>
      <c r="BU71" s="1">
        <f>VC_NEW2!BP31</f>
        <v>0</v>
      </c>
      <c r="BV71" s="1">
        <f>VC_NEW2!BQ31</f>
        <v>0</v>
      </c>
      <c r="BW71" s="1">
        <f>VC_NEW2!BR31</f>
        <v>0</v>
      </c>
      <c r="BX71" s="1" t="str">
        <f>VC_NEW2!BS31</f>
        <v xml:space="preserve">S179N  </v>
      </c>
      <c r="BY71" s="1">
        <f>VC_NEW2!BT31</f>
        <v>0</v>
      </c>
      <c r="BZ71" s="1">
        <f>VC_NEW2!BU31</f>
        <v>0</v>
      </c>
      <c r="CA71" s="1">
        <f>VC_NEW2!BV31</f>
        <v>0</v>
      </c>
      <c r="CB71" s="1">
        <f>VC_NEW2!BW31</f>
        <v>0</v>
      </c>
      <c r="CC71" s="1">
        <f>VC_NEW2!BX31</f>
        <v>0</v>
      </c>
      <c r="CD71" s="1" t="str">
        <f>VC_NEW2!BY31</f>
        <v>G154R</v>
      </c>
      <c r="CE71" s="1">
        <f>VC_NEW2!BZ31</f>
        <v>0</v>
      </c>
      <c r="CF71" s="1">
        <f>VC_NEW2!CA31</f>
        <v>0</v>
      </c>
      <c r="CG71" s="1">
        <f>VC_NEW2!CB31</f>
        <v>0</v>
      </c>
      <c r="CH71" s="1">
        <f>VC_NEW2!CC31</f>
        <v>0</v>
      </c>
      <c r="CI71" s="1">
        <f>VC_NEW2!CD31</f>
        <v>0</v>
      </c>
      <c r="CJ71" s="1" t="str">
        <f>VC_NEW2!CE31</f>
        <v>G154R</v>
      </c>
      <c r="CK71" s="1" t="str">
        <f>VC_NEW2!CF31</f>
        <v>G154R</v>
      </c>
      <c r="CL71" s="1">
        <f>VC_NEW2!CG31</f>
        <v>0</v>
      </c>
      <c r="CM71" s="1">
        <f>VC_NEW2!CH31</f>
        <v>0</v>
      </c>
      <c r="CN71" s="1">
        <f>VC_NEW2!CI31</f>
        <v>0</v>
      </c>
      <c r="CO71" s="1" t="str">
        <f>VC_NEW2!CJ31</f>
        <v xml:space="preserve"> L177V</v>
      </c>
      <c r="CP71" s="1" t="str">
        <f>VC_NEW2!CK31</f>
        <v>G154R</v>
      </c>
      <c r="CQ71" s="1" t="str">
        <f>VC_NEW2!CL31</f>
        <v>G154R</v>
      </c>
      <c r="CR71" s="1">
        <f>VC_NEW2!CM31</f>
        <v>0</v>
      </c>
      <c r="CS71" s="1">
        <f>VC_NEW2!CN31</f>
        <v>0</v>
      </c>
      <c r="CT71" s="1">
        <f>VC_NEW2!CO31</f>
        <v>0</v>
      </c>
      <c r="CU71" s="1">
        <f>VC_NEW2!CP31</f>
        <v>0</v>
      </c>
      <c r="CV71" s="1">
        <f>VC_NEW2!CQ31</f>
        <v>0</v>
      </c>
      <c r="CW71" s="1">
        <f>VC_NEW2!CR31</f>
        <v>0</v>
      </c>
      <c r="CX71" s="1">
        <f>VC_NEW2!CS31</f>
        <v>0</v>
      </c>
      <c r="CY71" s="1">
        <f>VC_NEW2!CT31</f>
        <v>0</v>
      </c>
      <c r="CZ71" s="1">
        <f>VC_NEW2!CU31</f>
        <v>0</v>
      </c>
      <c r="DA71" s="1">
        <f>VC_NEW2!CV31</f>
        <v>0</v>
      </c>
      <c r="DB71" s="1">
        <f>VC_NEW2!CW31</f>
        <v>0</v>
      </c>
      <c r="DC71" s="1">
        <f>VC_NEW2!CX31</f>
        <v>0</v>
      </c>
      <c r="DD71" s="1">
        <f>VC_NEW2!CY31</f>
        <v>0</v>
      </c>
      <c r="DE71" s="1">
        <f>VC_NEW2!CZ31</f>
        <v>0</v>
      </c>
      <c r="DF71" s="1">
        <f>VC_NEW2!DA31</f>
        <v>0</v>
      </c>
      <c r="DG71" s="1">
        <f>VC_NEW2!DB31</f>
        <v>0</v>
      </c>
      <c r="DH71" s="1">
        <f>VC_NEW2!DC31</f>
        <v>0</v>
      </c>
      <c r="DI71" s="1">
        <f>VC_NEW2!DD31</f>
        <v>0</v>
      </c>
      <c r="DJ71" s="1" t="str">
        <f>VC_NEW2!DE31</f>
        <v xml:space="preserve">D135N  </v>
      </c>
      <c r="DK71" s="1">
        <f>VC_NEW2!DF31</f>
        <v>0</v>
      </c>
      <c r="DL71" s="1">
        <f>VC_NEW2!DG31</f>
        <v>0</v>
      </c>
      <c r="DM71" s="1">
        <f>VC_NEW2!DH31</f>
        <v>0</v>
      </c>
      <c r="DN71" s="1">
        <f>VC_NEW2!DI31</f>
        <v>0</v>
      </c>
      <c r="DO71" s="1">
        <f>VC_NEW2!DJ31</f>
        <v>0</v>
      </c>
      <c r="DP71" s="1">
        <f>VC_NEW2!DK31</f>
        <v>0</v>
      </c>
      <c r="DQ71" s="1">
        <f>VC_NEW2!DL31</f>
        <v>0</v>
      </c>
      <c r="DR71" s="1" t="str">
        <f>VC_NEW2!DM31</f>
        <v>D135N</v>
      </c>
      <c r="DS71" s="1">
        <f>VC_NEW2!DN31</f>
        <v>0</v>
      </c>
      <c r="DT71" s="1">
        <f>VC_NEW2!DO31</f>
        <v>0</v>
      </c>
      <c r="DU71" s="1">
        <f>VC_NEW2!DP31</f>
        <v>0</v>
      </c>
      <c r="DV71" s="1">
        <f>VC_NEW2!DQ31</f>
        <v>0</v>
      </c>
      <c r="DW71" s="1">
        <f>VC_NEW2!DR31</f>
        <v>0</v>
      </c>
      <c r="DX71" s="1">
        <f>VC_NEW2!DS31</f>
        <v>0</v>
      </c>
      <c r="DY71" s="1">
        <f>VC_NEW2!DT31</f>
        <v>0</v>
      </c>
      <c r="DZ71" s="1">
        <f>VC_NEW2!DU31</f>
        <v>0</v>
      </c>
      <c r="EA71" s="1">
        <f>VC_NEW2!DV31</f>
        <v>0</v>
      </c>
      <c r="EB71" s="1" t="str">
        <f>VC_NEW2!DW31</f>
        <v>A175V</v>
      </c>
      <c r="EC71" s="1" t="str">
        <f>VC_NEW2!DX31</f>
        <v>G295R</v>
      </c>
      <c r="ED71" s="1">
        <f>VC_NEW2!DY31</f>
        <v>0</v>
      </c>
      <c r="EE71" s="1">
        <f>VC_NEW2!DZ31</f>
        <v>0</v>
      </c>
      <c r="EF71" s="1">
        <f>VC_NEW2!EA31</f>
        <v>0</v>
      </c>
      <c r="EG71" s="1">
        <f>VC_NEW2!EB31</f>
        <v>0</v>
      </c>
      <c r="EH71" s="1">
        <f>VC_NEW2!EC31</f>
        <v>0</v>
      </c>
      <c r="EI71" s="1">
        <f>VC_NEW2!ED31</f>
        <v>0</v>
      </c>
      <c r="EJ71" s="1">
        <f>VC_NEW2!EE31</f>
        <v>0</v>
      </c>
      <c r="EK71" s="1">
        <f>VC_NEW2!EF31</f>
        <v>0</v>
      </c>
      <c r="EL71" s="1">
        <f>VC_NEW2!EG31</f>
        <v>0</v>
      </c>
      <c r="EM71" s="1">
        <f>VC_NEW2!EH31</f>
        <v>0</v>
      </c>
      <c r="EN71" s="1">
        <f>VC_NEW2!EI31</f>
        <v>0</v>
      </c>
      <c r="EO71" s="1">
        <f>VC_NEW2!EJ31</f>
        <v>0</v>
      </c>
      <c r="EP71" s="1">
        <f>VC_NEW2!EK31</f>
        <v>0</v>
      </c>
      <c r="EQ71" s="1">
        <f>VC_NEW2!EL31</f>
        <v>0</v>
      </c>
      <c r="ER71" s="1">
        <f>VC_NEW2!EM31</f>
        <v>0</v>
      </c>
      <c r="ES71" s="1">
        <f>VC_NEW2!EN31</f>
        <v>0</v>
      </c>
      <c r="ET71" s="1">
        <f>VC_NEW2!EO31</f>
        <v>0</v>
      </c>
      <c r="EU71" s="1">
        <f>VC_NEW2!EP31</f>
        <v>0</v>
      </c>
      <c r="EV71" s="1">
        <f>VC_NEW2!EQ31</f>
        <v>0</v>
      </c>
      <c r="EW71" s="1">
        <f>VC_NEW2!ER31</f>
        <v>0</v>
      </c>
      <c r="EX71" s="1">
        <f>VC_NEW2!ES31</f>
        <v>0</v>
      </c>
      <c r="EY71" s="1">
        <f>VC_NEW2!ET31</f>
        <v>0</v>
      </c>
      <c r="EZ71" s="1">
        <f>VC_NEW2!EU31</f>
        <v>0</v>
      </c>
      <c r="FA71" s="1">
        <f>VC_NEW2!EV31</f>
        <v>0</v>
      </c>
      <c r="FB71" s="1">
        <f>VC_NEW2!EW31</f>
        <v>0</v>
      </c>
      <c r="FC71" s="1">
        <f>VC_NEW2!EX31</f>
        <v>0</v>
      </c>
      <c r="FD71" s="1">
        <f>VC_NEW2!EY31</f>
        <v>0</v>
      </c>
      <c r="FE71" s="1">
        <f>VC_NEW2!EZ31</f>
        <v>0</v>
      </c>
      <c r="FF71" s="1">
        <f>VC_NEW2!FA31</f>
        <v>0</v>
      </c>
      <c r="FG71" s="1">
        <f>VC_NEW2!FB31</f>
        <v>0</v>
      </c>
      <c r="FH71" s="1">
        <f>VC_NEW2!FC31</f>
        <v>0</v>
      </c>
      <c r="FI71" s="1" t="str">
        <f>VC_NEW2!FD31</f>
        <v>aa235∆6</v>
      </c>
      <c r="FJ71" s="1">
        <f>VC_NEW2!FE31</f>
        <v>0</v>
      </c>
      <c r="FK71" s="1">
        <f>VC_NEW2!FF31</f>
        <v>0</v>
      </c>
      <c r="FL71" s="1">
        <f>VC_NEW2!FG31</f>
        <v>0</v>
      </c>
      <c r="FM71" s="1">
        <f>VC_NEW2!FH31</f>
        <v>0</v>
      </c>
      <c r="FN71" s="1" t="str">
        <f>VC_NEW2!FI31</f>
        <v xml:space="preserve">A175V </v>
      </c>
      <c r="FO71" s="1" t="str">
        <f>VC_NEW2!FJ31</f>
        <v>E162Q</v>
      </c>
      <c r="FP71" s="1">
        <f>VC_NEW2!FK31</f>
        <v>0</v>
      </c>
      <c r="FQ71" s="1">
        <f>VC_NEW2!FL31</f>
        <v>0</v>
      </c>
      <c r="FR71" s="1">
        <f>VC_NEW2!FM31</f>
        <v>0</v>
      </c>
      <c r="FS71" s="1">
        <f>VC_NEW2!FN31</f>
        <v>0</v>
      </c>
      <c r="FT71" s="1">
        <f>VC_NEW2!FO31</f>
        <v>0</v>
      </c>
      <c r="FU71" s="1">
        <f>VC_NEW2!FP31</f>
        <v>0</v>
      </c>
      <c r="FV71" s="1">
        <f>VC_NEW2!FQ31</f>
        <v>0</v>
      </c>
      <c r="FW71" s="1">
        <f>VC_NEW2!FR31</f>
        <v>0</v>
      </c>
      <c r="FX71" s="1">
        <f>VC_NEW2!FS31</f>
        <v>0</v>
      </c>
      <c r="FY71" s="1">
        <f>VC_NEW2!FT31</f>
        <v>0</v>
      </c>
      <c r="FZ71" s="1">
        <f>VC_NEW2!FU31</f>
        <v>0</v>
      </c>
      <c r="GA71" s="1">
        <f>VC_NEW2!FV31</f>
        <v>0</v>
      </c>
      <c r="GB71" s="1">
        <f>VC_NEW2!FW31</f>
        <v>0</v>
      </c>
      <c r="GC71" s="1">
        <f>VC_NEW2!FX31</f>
        <v>0</v>
      </c>
      <c r="GD71" s="1">
        <f>VC_NEW2!FY31</f>
        <v>0</v>
      </c>
      <c r="GE71" s="1">
        <f>VC_NEW2!FZ31</f>
        <v>0</v>
      </c>
      <c r="GF71" s="1">
        <f>VC_NEW2!GA31</f>
        <v>0</v>
      </c>
      <c r="GG71" s="1">
        <f>VC_NEW2!GB31</f>
        <v>0</v>
      </c>
      <c r="GH71" s="1">
        <f>VC_NEW2!GC31</f>
        <v>0</v>
      </c>
      <c r="GI71" s="1">
        <f>VC_NEW2!GD31</f>
        <v>0</v>
      </c>
      <c r="GJ71" s="1">
        <f>VC_NEW2!GE31</f>
        <v>0</v>
      </c>
      <c r="GK71" s="1">
        <f>VC_NEW2!GF31</f>
        <v>0</v>
      </c>
      <c r="GL71" s="1">
        <f>VC_NEW2!GG31</f>
        <v>0</v>
      </c>
      <c r="GM71" s="1">
        <f>VC_NEW2!GH31</f>
        <v>0</v>
      </c>
      <c r="GN71" s="1">
        <f>VC_NEW2!GI31</f>
        <v>0</v>
      </c>
      <c r="GO71" s="1">
        <f>VC_NEW2!GJ31</f>
        <v>0</v>
      </c>
      <c r="GP71" s="1">
        <f>VC_NEW2!GK31</f>
        <v>0</v>
      </c>
      <c r="GQ71" s="1">
        <f>VC_NEW2!GL31</f>
        <v>0</v>
      </c>
      <c r="GR71" s="1">
        <f>VC_NEW2!GM31</f>
        <v>0</v>
      </c>
      <c r="GS71" s="1">
        <f>VC_NEW2!GN31</f>
        <v>0</v>
      </c>
      <c r="GT71" s="1">
        <f>VC_NEW2!GO31</f>
        <v>0</v>
      </c>
      <c r="GU71" s="1">
        <f>VC_NEW2!GP31</f>
        <v>0</v>
      </c>
      <c r="GV71" s="1" t="str">
        <f>VC_NEW2!GQ31</f>
        <v>G273E</v>
      </c>
      <c r="GW71" s="1">
        <f>VC_NEW2!GR31</f>
        <v>0</v>
      </c>
      <c r="GX71" s="1">
        <f>VC_NEW2!GS31</f>
        <v>0</v>
      </c>
      <c r="GY71" s="1">
        <f>VC_NEW2!GT31</f>
        <v>0</v>
      </c>
      <c r="GZ71" s="1">
        <f>VC_NEW2!GU31</f>
        <v>0</v>
      </c>
      <c r="HA71" s="1">
        <f>VC_NEW2!GV31</f>
        <v>0</v>
      </c>
      <c r="HB71" s="1" t="str">
        <f>VC_NEW2!GW31</f>
        <v>G154R</v>
      </c>
      <c r="HC71" s="1">
        <f>VC_NEW2!GX31</f>
        <v>0</v>
      </c>
    </row>
    <row r="72" spans="1:211" s="1" customFormat="1" ht="15.75" customHeight="1" x14ac:dyDescent="0.25">
      <c r="A72" s="30" t="s">
        <v>28</v>
      </c>
      <c r="B72" s="30" t="s">
        <v>29</v>
      </c>
      <c r="C72" s="31" t="s">
        <v>2</v>
      </c>
      <c r="D72" s="30" t="s">
        <v>76</v>
      </c>
      <c r="E72" s="30">
        <v>0.25</v>
      </c>
      <c r="F72" s="30" t="s">
        <v>73</v>
      </c>
      <c r="G72" s="30" t="s">
        <v>148</v>
      </c>
      <c r="H72" s="1">
        <f>VC_NEW2!C31</f>
        <v>0</v>
      </c>
      <c r="I72" s="1">
        <f>VC_NEW2!D31</f>
        <v>0</v>
      </c>
      <c r="J72" s="1">
        <f>VC_NEW2!E31</f>
        <v>0</v>
      </c>
      <c r="K72" s="1" t="str">
        <f>VC_NEW2!F31</f>
        <v xml:space="preserve"> G273E</v>
      </c>
      <c r="L72" s="1">
        <f>VC_NEW2!G31</f>
        <v>0</v>
      </c>
      <c r="M72" s="1">
        <f>VC_NEW2!H31</f>
        <v>0</v>
      </c>
      <c r="N72" s="1">
        <f>VC_NEW2!I31</f>
        <v>0</v>
      </c>
      <c r="O72" s="1">
        <f>VC_NEW2!J31</f>
        <v>0</v>
      </c>
      <c r="P72" s="1">
        <f>VC_NEW2!K31</f>
        <v>0</v>
      </c>
      <c r="Q72" s="1">
        <f>VC_NEW2!L31</f>
        <v>0</v>
      </c>
      <c r="R72" s="1">
        <f>VC_NEW2!M31</f>
        <v>0</v>
      </c>
      <c r="S72" s="1">
        <f>VC_NEW2!N31</f>
        <v>0</v>
      </c>
      <c r="T72" s="1">
        <f>VC_NEW2!O31</f>
        <v>0</v>
      </c>
      <c r="U72" s="1">
        <f>VC_NEW2!P31</f>
        <v>0</v>
      </c>
      <c r="V72" s="1">
        <f>VC_NEW2!Q31</f>
        <v>0</v>
      </c>
      <c r="W72" s="1">
        <f>VC_NEW2!R31</f>
        <v>0</v>
      </c>
      <c r="X72" s="1">
        <f>VC_NEW2!S31</f>
        <v>0</v>
      </c>
      <c r="Y72" s="1">
        <f>VC_NEW2!T31</f>
        <v>0</v>
      </c>
      <c r="Z72" s="1">
        <f>VC_NEW2!U31</f>
        <v>0</v>
      </c>
      <c r="AA72" s="1">
        <f>VC_NEW2!V31</f>
        <v>0</v>
      </c>
      <c r="AB72" s="1">
        <f>VC_NEW2!W31</f>
        <v>0</v>
      </c>
      <c r="AC72" s="1">
        <f>VC_NEW2!X31</f>
        <v>0</v>
      </c>
      <c r="AD72" s="1">
        <f>VC_NEW2!Y31</f>
        <v>0</v>
      </c>
      <c r="AE72" s="1">
        <f>VC_NEW2!Z31</f>
        <v>0</v>
      </c>
      <c r="AF72" s="1">
        <f>VC_NEW2!AA31</f>
        <v>0</v>
      </c>
      <c r="AG72" s="1">
        <f>VC_NEW2!AB31</f>
        <v>0</v>
      </c>
      <c r="AH72" s="1">
        <f>VC_NEW2!AC31</f>
        <v>0</v>
      </c>
      <c r="AI72" s="1">
        <f>VC_NEW2!AD31</f>
        <v>0</v>
      </c>
      <c r="AJ72" s="1">
        <f>VC_NEW2!AE31</f>
        <v>0</v>
      </c>
      <c r="AK72" s="1">
        <f>VC_NEW2!AF31</f>
        <v>0</v>
      </c>
      <c r="AL72" s="1">
        <f>VC_NEW2!AG31</f>
        <v>0</v>
      </c>
      <c r="AM72" s="1" t="str">
        <f>VC_NEW2!AH31</f>
        <v>A175V</v>
      </c>
      <c r="AN72" s="1">
        <f>VC_NEW2!AI31</f>
        <v>0</v>
      </c>
      <c r="AO72" s="1">
        <f>VC_NEW2!AJ31</f>
        <v>0</v>
      </c>
      <c r="AP72" s="1">
        <f>VC_NEW2!AK31</f>
        <v>0</v>
      </c>
      <c r="AQ72" s="1">
        <f>VC_NEW2!AL31</f>
        <v>0</v>
      </c>
      <c r="AR72" s="1">
        <f>VC_NEW2!AM31</f>
        <v>0</v>
      </c>
      <c r="AS72" s="1">
        <f>VC_NEW2!AN31</f>
        <v>0</v>
      </c>
      <c r="AT72" s="1">
        <f>VC_NEW2!AO31</f>
        <v>0</v>
      </c>
      <c r="AU72" s="1">
        <f>VC_NEW2!AP31</f>
        <v>0</v>
      </c>
      <c r="AV72" s="1">
        <f>VC_NEW2!AQ31</f>
        <v>0</v>
      </c>
      <c r="AW72" s="1">
        <f>VC_NEW2!AR31</f>
        <v>0</v>
      </c>
      <c r="AX72" s="1">
        <f>VC_NEW2!AS31</f>
        <v>0</v>
      </c>
      <c r="AY72" s="1">
        <f>VC_NEW2!AT31</f>
        <v>0</v>
      </c>
      <c r="AZ72" s="1">
        <f>VC_NEW2!AU31</f>
        <v>0</v>
      </c>
      <c r="BA72" s="1" t="str">
        <f>VC_NEW2!AV31</f>
        <v>G154R</v>
      </c>
      <c r="BB72" s="1">
        <f>VC_NEW2!AW31</f>
        <v>0</v>
      </c>
      <c r="BC72" s="1" t="str">
        <f>VC_NEW2!AX31</f>
        <v>G154R</v>
      </c>
      <c r="BD72" s="1">
        <f>VC_NEW2!AY31</f>
        <v>0</v>
      </c>
      <c r="BE72" s="1">
        <f>VC_NEW2!AZ31</f>
        <v>0</v>
      </c>
      <c r="BF72" s="1">
        <f>VC_NEW2!BA31</f>
        <v>0</v>
      </c>
      <c r="BG72" s="1" t="str">
        <f>VC_NEW2!BB31</f>
        <v>A16V</v>
      </c>
      <c r="BH72" s="1">
        <f>VC_NEW2!BC31</f>
        <v>0</v>
      </c>
      <c r="BI72" s="1" t="str">
        <f>VC_NEW2!BD31</f>
        <v>G154R</v>
      </c>
      <c r="BJ72" s="1">
        <f>VC_NEW2!BE31</f>
        <v>0</v>
      </c>
      <c r="BK72" s="1" t="str">
        <f>VC_NEW2!BF31</f>
        <v>nt66InsCC</v>
      </c>
      <c r="BL72" s="1">
        <f>VC_NEW2!BG31</f>
        <v>0</v>
      </c>
      <c r="BM72" s="1" t="str">
        <f>VC_NEW2!BH31</f>
        <v>G295R</v>
      </c>
      <c r="BN72" s="1" t="str">
        <f>VC_NEW2!BI31</f>
        <v>D135G</v>
      </c>
      <c r="BO72" s="1">
        <f>VC_NEW2!BJ31</f>
        <v>0</v>
      </c>
      <c r="BP72" s="1">
        <f>VC_NEW2!BK31</f>
        <v>0</v>
      </c>
      <c r="BQ72" s="1">
        <f>VC_NEW2!BL31</f>
        <v>0</v>
      </c>
      <c r="BR72" s="1">
        <f>VC_NEW2!BM31</f>
        <v>0</v>
      </c>
      <c r="BS72" s="1">
        <f>VC_NEW2!BN31</f>
        <v>0</v>
      </c>
      <c r="BT72" s="1">
        <f>VC_NEW2!BO31</f>
        <v>0</v>
      </c>
      <c r="BU72" s="1">
        <f>VC_NEW2!BP31</f>
        <v>0</v>
      </c>
      <c r="BV72" s="1">
        <f>VC_NEW2!BQ31</f>
        <v>0</v>
      </c>
      <c r="BW72" s="1">
        <f>VC_NEW2!BR31</f>
        <v>0</v>
      </c>
      <c r="BX72" s="1" t="str">
        <f>VC_NEW2!BS31</f>
        <v xml:space="preserve">S179N  </v>
      </c>
      <c r="BY72" s="1">
        <f>VC_NEW2!BT31</f>
        <v>0</v>
      </c>
      <c r="BZ72" s="1">
        <f>VC_NEW2!BU31</f>
        <v>0</v>
      </c>
      <c r="CA72" s="1">
        <f>VC_NEW2!BV31</f>
        <v>0</v>
      </c>
      <c r="CB72" s="1">
        <f>VC_NEW2!BW31</f>
        <v>0</v>
      </c>
      <c r="CC72" s="1">
        <f>VC_NEW2!BX31</f>
        <v>0</v>
      </c>
      <c r="CD72" s="1" t="str">
        <f>VC_NEW2!BY31</f>
        <v>G154R</v>
      </c>
      <c r="CE72" s="1">
        <f>VC_NEW2!BZ31</f>
        <v>0</v>
      </c>
      <c r="CF72" s="1">
        <f>VC_NEW2!CA31</f>
        <v>0</v>
      </c>
      <c r="CG72" s="1">
        <f>VC_NEW2!CB31</f>
        <v>0</v>
      </c>
      <c r="CH72" s="1">
        <f>VC_NEW2!CC31</f>
        <v>0</v>
      </c>
      <c r="CI72" s="1">
        <f>VC_NEW2!CD31</f>
        <v>0</v>
      </c>
      <c r="CJ72" s="1" t="str">
        <f>VC_NEW2!CE31</f>
        <v>G154R</v>
      </c>
      <c r="CK72" s="1" t="str">
        <f>VC_NEW2!CF31</f>
        <v>G154R</v>
      </c>
      <c r="CL72" s="1">
        <f>VC_NEW2!CG31</f>
        <v>0</v>
      </c>
      <c r="CM72" s="1">
        <f>VC_NEW2!CH31</f>
        <v>0</v>
      </c>
      <c r="CN72" s="1">
        <f>VC_NEW2!CI31</f>
        <v>0</v>
      </c>
      <c r="CO72" s="1" t="str">
        <f>VC_NEW2!CJ31</f>
        <v xml:space="preserve"> L177V</v>
      </c>
      <c r="CP72" s="1" t="str">
        <f>VC_NEW2!CK31</f>
        <v>G154R</v>
      </c>
      <c r="CQ72" s="1" t="str">
        <f>VC_NEW2!CL31</f>
        <v>G154R</v>
      </c>
      <c r="CR72" s="1">
        <f>VC_NEW2!CM31</f>
        <v>0</v>
      </c>
      <c r="CS72" s="1">
        <f>VC_NEW2!CN31</f>
        <v>0</v>
      </c>
      <c r="CT72" s="1">
        <f>VC_NEW2!CO31</f>
        <v>0</v>
      </c>
      <c r="CU72" s="1">
        <f>VC_NEW2!CP31</f>
        <v>0</v>
      </c>
      <c r="CV72" s="1">
        <f>VC_NEW2!CQ31</f>
        <v>0</v>
      </c>
      <c r="CW72" s="1">
        <f>VC_NEW2!CR31</f>
        <v>0</v>
      </c>
      <c r="CX72" s="1">
        <f>VC_NEW2!CS31</f>
        <v>0</v>
      </c>
      <c r="CY72" s="1">
        <f>VC_NEW2!CT31</f>
        <v>0</v>
      </c>
      <c r="CZ72" s="1">
        <f>VC_NEW2!CU31</f>
        <v>0</v>
      </c>
      <c r="DA72" s="1">
        <f>VC_NEW2!CV31</f>
        <v>0</v>
      </c>
      <c r="DB72" s="1">
        <f>VC_NEW2!CW31</f>
        <v>0</v>
      </c>
      <c r="DC72" s="1">
        <f>VC_NEW2!CX31</f>
        <v>0</v>
      </c>
      <c r="DD72" s="1">
        <f>VC_NEW2!CY31</f>
        <v>0</v>
      </c>
      <c r="DE72" s="1">
        <f>VC_NEW2!CZ31</f>
        <v>0</v>
      </c>
      <c r="DF72" s="1">
        <f>VC_NEW2!DA31</f>
        <v>0</v>
      </c>
      <c r="DG72" s="1">
        <f>VC_NEW2!DB31</f>
        <v>0</v>
      </c>
      <c r="DH72" s="1">
        <f>VC_NEW2!DC31</f>
        <v>0</v>
      </c>
      <c r="DI72" s="1">
        <f>VC_NEW2!DD31</f>
        <v>0</v>
      </c>
      <c r="DJ72" s="1" t="str">
        <f>VC_NEW2!DE31</f>
        <v xml:space="preserve">D135N  </v>
      </c>
      <c r="DK72" s="1">
        <f>VC_NEW2!DF31</f>
        <v>0</v>
      </c>
      <c r="DL72" s="1">
        <f>VC_NEW2!DG31</f>
        <v>0</v>
      </c>
      <c r="DM72" s="1">
        <f>VC_NEW2!DH31</f>
        <v>0</v>
      </c>
      <c r="DN72" s="1">
        <f>VC_NEW2!DI31</f>
        <v>0</v>
      </c>
      <c r="DO72" s="1">
        <f>VC_NEW2!DJ31</f>
        <v>0</v>
      </c>
      <c r="DP72" s="1">
        <f>VC_NEW2!DK31</f>
        <v>0</v>
      </c>
      <c r="DQ72" s="1">
        <f>VC_NEW2!DL31</f>
        <v>0</v>
      </c>
      <c r="DR72" s="1" t="str">
        <f>VC_NEW2!DM31</f>
        <v>D135N</v>
      </c>
      <c r="DS72" s="1">
        <f>VC_NEW2!DN31</f>
        <v>0</v>
      </c>
      <c r="DT72" s="1">
        <f>VC_NEW2!DO31</f>
        <v>0</v>
      </c>
      <c r="DU72" s="1">
        <f>VC_NEW2!DP31</f>
        <v>0</v>
      </c>
      <c r="DV72" s="1">
        <f>VC_NEW2!DQ31</f>
        <v>0</v>
      </c>
      <c r="DW72" s="1">
        <f>VC_NEW2!DR31</f>
        <v>0</v>
      </c>
      <c r="DX72" s="1">
        <f>VC_NEW2!DS31</f>
        <v>0</v>
      </c>
      <c r="DY72" s="1">
        <f>VC_NEW2!DT31</f>
        <v>0</v>
      </c>
      <c r="DZ72" s="1">
        <f>VC_NEW2!DU31</f>
        <v>0</v>
      </c>
      <c r="EA72" s="1">
        <f>VC_NEW2!DV31</f>
        <v>0</v>
      </c>
      <c r="EB72" s="1" t="str">
        <f>VC_NEW2!DW31</f>
        <v>A175V</v>
      </c>
      <c r="EC72" s="1" t="str">
        <f>VC_NEW2!DX31</f>
        <v>G295R</v>
      </c>
      <c r="ED72" s="1">
        <f>VC_NEW2!DY31</f>
        <v>0</v>
      </c>
      <c r="EE72" s="1">
        <f>VC_NEW2!DZ31</f>
        <v>0</v>
      </c>
      <c r="EF72" s="1">
        <f>VC_NEW2!EA31</f>
        <v>0</v>
      </c>
      <c r="EG72" s="1">
        <f>VC_NEW2!EB31</f>
        <v>0</v>
      </c>
      <c r="EH72" s="1">
        <f>VC_NEW2!EC31</f>
        <v>0</v>
      </c>
      <c r="EI72" s="1">
        <f>VC_NEW2!ED31</f>
        <v>0</v>
      </c>
      <c r="EJ72" s="1">
        <f>VC_NEW2!EE31</f>
        <v>0</v>
      </c>
      <c r="EK72" s="1">
        <f>VC_NEW2!EF31</f>
        <v>0</v>
      </c>
      <c r="EL72" s="1">
        <f>VC_NEW2!EG31</f>
        <v>0</v>
      </c>
      <c r="EM72" s="1">
        <f>VC_NEW2!EH31</f>
        <v>0</v>
      </c>
      <c r="EN72" s="1">
        <f>VC_NEW2!EI31</f>
        <v>0</v>
      </c>
      <c r="EO72" s="1">
        <f>VC_NEW2!EJ31</f>
        <v>0</v>
      </c>
      <c r="EP72" s="1">
        <f>VC_NEW2!EK31</f>
        <v>0</v>
      </c>
      <c r="EQ72" s="1">
        <f>VC_NEW2!EL31</f>
        <v>0</v>
      </c>
      <c r="ER72" s="1">
        <f>VC_NEW2!EM31</f>
        <v>0</v>
      </c>
      <c r="ES72" s="1">
        <f>VC_NEW2!EN31</f>
        <v>0</v>
      </c>
      <c r="ET72" s="1">
        <f>VC_NEW2!EO31</f>
        <v>0</v>
      </c>
      <c r="EU72" s="1">
        <f>VC_NEW2!EP31</f>
        <v>0</v>
      </c>
      <c r="EV72" s="1">
        <f>VC_NEW2!EQ31</f>
        <v>0</v>
      </c>
      <c r="EW72" s="1">
        <f>VC_NEW2!ER31</f>
        <v>0</v>
      </c>
      <c r="EX72" s="1">
        <f>VC_NEW2!ES31</f>
        <v>0</v>
      </c>
      <c r="EY72" s="1">
        <f>VC_NEW2!ET31</f>
        <v>0</v>
      </c>
      <c r="EZ72" s="1">
        <f>VC_NEW2!EU31</f>
        <v>0</v>
      </c>
      <c r="FA72" s="1">
        <f>VC_NEW2!EV31</f>
        <v>0</v>
      </c>
      <c r="FB72" s="1">
        <f>VC_NEW2!EW31</f>
        <v>0</v>
      </c>
      <c r="FC72" s="1">
        <f>VC_NEW2!EX31</f>
        <v>0</v>
      </c>
      <c r="FD72" s="1">
        <f>VC_NEW2!EY31</f>
        <v>0</v>
      </c>
      <c r="FE72" s="1">
        <f>VC_NEW2!EZ31</f>
        <v>0</v>
      </c>
      <c r="FF72" s="1">
        <f>VC_NEW2!FA31</f>
        <v>0</v>
      </c>
      <c r="FG72" s="1">
        <f>VC_NEW2!FB31</f>
        <v>0</v>
      </c>
      <c r="FH72" s="1">
        <f>VC_NEW2!FC31</f>
        <v>0</v>
      </c>
      <c r="FI72" s="1" t="str">
        <f>VC_NEW2!FD31</f>
        <v>aa235∆6</v>
      </c>
      <c r="FJ72" s="1">
        <f>VC_NEW2!FE31</f>
        <v>0</v>
      </c>
      <c r="FK72" s="1">
        <f>VC_NEW2!FF31</f>
        <v>0</v>
      </c>
      <c r="FL72" s="1">
        <f>VC_NEW2!FG31</f>
        <v>0</v>
      </c>
      <c r="FM72" s="1">
        <f>VC_NEW2!FH31</f>
        <v>0</v>
      </c>
      <c r="FN72" s="1" t="str">
        <f>VC_NEW2!FI31</f>
        <v xml:space="preserve">A175V </v>
      </c>
      <c r="FO72" s="1" t="str">
        <f>VC_NEW2!FJ31</f>
        <v>E162Q</v>
      </c>
      <c r="FP72" s="1">
        <f>VC_NEW2!FK31</f>
        <v>0</v>
      </c>
      <c r="FQ72" s="1">
        <f>VC_NEW2!FL31</f>
        <v>0</v>
      </c>
      <c r="FR72" s="1">
        <f>VC_NEW2!FM31</f>
        <v>0</v>
      </c>
      <c r="FS72" s="1">
        <f>VC_NEW2!FN31</f>
        <v>0</v>
      </c>
      <c r="FT72" s="1">
        <f>VC_NEW2!FO31</f>
        <v>0</v>
      </c>
      <c r="FU72" s="1">
        <f>VC_NEW2!FP31</f>
        <v>0</v>
      </c>
      <c r="FV72" s="1">
        <f>VC_NEW2!FQ31</f>
        <v>0</v>
      </c>
      <c r="FW72" s="1">
        <f>VC_NEW2!FR31</f>
        <v>0</v>
      </c>
      <c r="FX72" s="1">
        <f>VC_NEW2!FS31</f>
        <v>0</v>
      </c>
      <c r="FY72" s="1">
        <f>VC_NEW2!FT31</f>
        <v>0</v>
      </c>
      <c r="FZ72" s="1">
        <f>VC_NEW2!FU31</f>
        <v>0</v>
      </c>
      <c r="GA72" s="1">
        <f>VC_NEW2!FV31</f>
        <v>0</v>
      </c>
      <c r="GB72" s="1">
        <f>VC_NEW2!FW31</f>
        <v>0</v>
      </c>
      <c r="GC72" s="1">
        <f>VC_NEW2!FX31</f>
        <v>0</v>
      </c>
      <c r="GD72" s="1">
        <f>VC_NEW2!FY31</f>
        <v>0</v>
      </c>
      <c r="GE72" s="1">
        <f>VC_NEW2!FZ31</f>
        <v>0</v>
      </c>
      <c r="GF72" s="1">
        <f>VC_NEW2!GA31</f>
        <v>0</v>
      </c>
      <c r="GG72" s="1">
        <f>VC_NEW2!GB31</f>
        <v>0</v>
      </c>
      <c r="GH72" s="1">
        <f>VC_NEW2!GC31</f>
        <v>0</v>
      </c>
      <c r="GI72" s="1">
        <f>VC_NEW2!GD31</f>
        <v>0</v>
      </c>
      <c r="GJ72" s="1">
        <f>VC_NEW2!GE31</f>
        <v>0</v>
      </c>
      <c r="GK72" s="1">
        <f>VC_NEW2!GF31</f>
        <v>0</v>
      </c>
      <c r="GL72" s="1">
        <f>VC_NEW2!GG31</f>
        <v>0</v>
      </c>
      <c r="GM72" s="1">
        <f>VC_NEW2!GH31</f>
        <v>0</v>
      </c>
      <c r="GN72" s="1">
        <f>VC_NEW2!GI31</f>
        <v>0</v>
      </c>
      <c r="GO72" s="1">
        <f>VC_NEW2!GJ31</f>
        <v>0</v>
      </c>
      <c r="GP72" s="1">
        <f>VC_NEW2!GK31</f>
        <v>0</v>
      </c>
      <c r="GQ72" s="1">
        <f>VC_NEW2!GL31</f>
        <v>0</v>
      </c>
      <c r="GR72" s="1">
        <f>VC_NEW2!GM31</f>
        <v>0</v>
      </c>
      <c r="GS72" s="1">
        <f>VC_NEW2!GN31</f>
        <v>0</v>
      </c>
      <c r="GT72" s="1">
        <f>VC_NEW2!GO31</f>
        <v>0</v>
      </c>
      <c r="GU72" s="1">
        <f>VC_NEW2!GP31</f>
        <v>0</v>
      </c>
      <c r="GV72" s="1" t="str">
        <f>VC_NEW2!GQ31</f>
        <v>G273E</v>
      </c>
      <c r="GW72" s="1">
        <f>VC_NEW2!GR31</f>
        <v>0</v>
      </c>
      <c r="GX72" s="1">
        <f>VC_NEW2!GS31</f>
        <v>0</v>
      </c>
      <c r="GY72" s="1">
        <f>VC_NEW2!GT31</f>
        <v>0</v>
      </c>
      <c r="GZ72" s="1">
        <f>VC_NEW2!GU31</f>
        <v>0</v>
      </c>
      <c r="HA72" s="1">
        <f>VC_NEW2!GV31</f>
        <v>0</v>
      </c>
      <c r="HB72" s="1" t="str">
        <f>VC_NEW2!GW31</f>
        <v>G154R</v>
      </c>
      <c r="HC72" s="1">
        <f>VC_NEW2!GX31</f>
        <v>0</v>
      </c>
    </row>
    <row r="73" spans="1:211" s="1" customFormat="1" ht="15.75" hidden="1" customHeight="1" thickBot="1" x14ac:dyDescent="0.25">
      <c r="A73" s="30" t="s">
        <v>28</v>
      </c>
      <c r="B73" s="30" t="s">
        <v>29</v>
      </c>
      <c r="C73" s="31" t="s">
        <v>3</v>
      </c>
      <c r="D73" s="30" t="s">
        <v>76</v>
      </c>
      <c r="E73" s="30">
        <v>0.25</v>
      </c>
      <c r="F73" s="30" t="s">
        <v>73</v>
      </c>
      <c r="G73" s="30" t="s">
        <v>148</v>
      </c>
      <c r="H73" s="1">
        <f>VC_NEW2!C31</f>
        <v>0</v>
      </c>
      <c r="I73" s="1">
        <f>VC_NEW2!D31</f>
        <v>0</v>
      </c>
      <c r="J73" s="1">
        <f>VC_NEW2!E31</f>
        <v>0</v>
      </c>
      <c r="K73" s="1" t="str">
        <f>VC_NEW2!F31</f>
        <v xml:space="preserve"> G273E</v>
      </c>
      <c r="L73" s="1">
        <f>VC_NEW2!G31</f>
        <v>0</v>
      </c>
      <c r="M73" s="1">
        <f>VC_NEW2!H31</f>
        <v>0</v>
      </c>
      <c r="N73" s="1">
        <f>VC_NEW2!I31</f>
        <v>0</v>
      </c>
      <c r="O73" s="1">
        <f>VC_NEW2!J31</f>
        <v>0</v>
      </c>
      <c r="P73" s="1">
        <f>VC_NEW2!K31</f>
        <v>0</v>
      </c>
      <c r="Q73" s="1">
        <f>VC_NEW2!L31</f>
        <v>0</v>
      </c>
      <c r="R73" s="1">
        <f>VC_NEW2!M31</f>
        <v>0</v>
      </c>
      <c r="S73" s="1">
        <f>VC_NEW2!N31</f>
        <v>0</v>
      </c>
      <c r="T73" s="1">
        <f>VC_NEW2!O31</f>
        <v>0</v>
      </c>
      <c r="U73" s="1">
        <f>VC_NEW2!P31</f>
        <v>0</v>
      </c>
      <c r="V73" s="1">
        <f>VC_NEW2!Q31</f>
        <v>0</v>
      </c>
      <c r="W73" s="1">
        <f>VC_NEW2!R31</f>
        <v>0</v>
      </c>
      <c r="X73" s="1">
        <f>VC_NEW2!S31</f>
        <v>0</v>
      </c>
      <c r="Y73" s="1">
        <f>VC_NEW2!T31</f>
        <v>0</v>
      </c>
      <c r="Z73" s="1">
        <f>VC_NEW2!U31</f>
        <v>0</v>
      </c>
      <c r="AA73" s="1">
        <f>VC_NEW2!V31</f>
        <v>0</v>
      </c>
      <c r="AB73" s="1">
        <f>VC_NEW2!W31</f>
        <v>0</v>
      </c>
      <c r="AC73" s="1">
        <f>VC_NEW2!X31</f>
        <v>0</v>
      </c>
      <c r="AD73" s="1">
        <f>VC_NEW2!Y31</f>
        <v>0</v>
      </c>
      <c r="AE73" s="1">
        <f>VC_NEW2!Z31</f>
        <v>0</v>
      </c>
      <c r="AF73" s="1">
        <f>VC_NEW2!AA31</f>
        <v>0</v>
      </c>
      <c r="AG73" s="1">
        <f>VC_NEW2!AB31</f>
        <v>0</v>
      </c>
      <c r="AH73" s="1">
        <f>VC_NEW2!AC31</f>
        <v>0</v>
      </c>
      <c r="AI73" s="1">
        <f>VC_NEW2!AD31</f>
        <v>0</v>
      </c>
      <c r="AJ73" s="1">
        <f>VC_NEW2!AE31</f>
        <v>0</v>
      </c>
      <c r="AK73" s="1">
        <f>VC_NEW2!AF31</f>
        <v>0</v>
      </c>
      <c r="AL73" s="1">
        <f>VC_NEW2!AG31</f>
        <v>0</v>
      </c>
      <c r="AM73" s="1" t="str">
        <f>VC_NEW2!AH31</f>
        <v>A175V</v>
      </c>
      <c r="AN73" s="1">
        <f>VC_NEW2!AI31</f>
        <v>0</v>
      </c>
      <c r="AO73" s="1">
        <f>VC_NEW2!AJ31</f>
        <v>0</v>
      </c>
      <c r="AP73" s="1">
        <f>VC_NEW2!AK31</f>
        <v>0</v>
      </c>
      <c r="AQ73" s="1">
        <f>VC_NEW2!AL31</f>
        <v>0</v>
      </c>
      <c r="AR73" s="1">
        <f>VC_NEW2!AM31</f>
        <v>0</v>
      </c>
      <c r="AS73" s="1">
        <f>VC_NEW2!AN31</f>
        <v>0</v>
      </c>
      <c r="AT73" s="1">
        <f>VC_NEW2!AO31</f>
        <v>0</v>
      </c>
      <c r="AU73" s="1">
        <f>VC_NEW2!AP31</f>
        <v>0</v>
      </c>
      <c r="AV73" s="1">
        <f>VC_NEW2!AQ31</f>
        <v>0</v>
      </c>
      <c r="AW73" s="1">
        <f>VC_NEW2!AR31</f>
        <v>0</v>
      </c>
      <c r="AX73" s="1">
        <f>VC_NEW2!AS31</f>
        <v>0</v>
      </c>
      <c r="AY73" s="1">
        <f>VC_NEW2!AT31</f>
        <v>0</v>
      </c>
      <c r="AZ73" s="1">
        <f>VC_NEW2!AU31</f>
        <v>0</v>
      </c>
      <c r="BA73" s="1" t="str">
        <f>VC_NEW2!AV31</f>
        <v>G154R</v>
      </c>
      <c r="BB73" s="1">
        <f>VC_NEW2!AW31</f>
        <v>0</v>
      </c>
      <c r="BC73" s="1" t="str">
        <f>VC_NEW2!AX31</f>
        <v>G154R</v>
      </c>
      <c r="BD73" s="1">
        <f>VC_NEW2!AY31</f>
        <v>0</v>
      </c>
      <c r="BE73" s="1">
        <f>VC_NEW2!AZ31</f>
        <v>0</v>
      </c>
      <c r="BF73" s="1">
        <f>VC_NEW2!BA31</f>
        <v>0</v>
      </c>
      <c r="BG73" s="1" t="str">
        <f>VC_NEW2!BB31</f>
        <v>A16V</v>
      </c>
      <c r="BH73" s="1">
        <f>VC_NEW2!BC31</f>
        <v>0</v>
      </c>
      <c r="BI73" s="1" t="str">
        <f>VC_NEW2!BD31</f>
        <v>G154R</v>
      </c>
      <c r="BJ73" s="1">
        <f>VC_NEW2!BE31</f>
        <v>0</v>
      </c>
      <c r="BK73" s="1" t="str">
        <f>VC_NEW2!BF31</f>
        <v>nt66InsCC</v>
      </c>
      <c r="BL73" s="1">
        <f>VC_NEW2!BG31</f>
        <v>0</v>
      </c>
      <c r="BM73" s="1" t="str">
        <f>VC_NEW2!BH31</f>
        <v>G295R</v>
      </c>
      <c r="BN73" s="1" t="str">
        <f>VC_NEW2!BI31</f>
        <v>D135G</v>
      </c>
      <c r="BO73" s="1">
        <f>VC_NEW2!BJ31</f>
        <v>0</v>
      </c>
      <c r="BP73" s="1">
        <f>VC_NEW2!BK31</f>
        <v>0</v>
      </c>
      <c r="BQ73" s="1">
        <f>VC_NEW2!BL31</f>
        <v>0</v>
      </c>
      <c r="BR73" s="1">
        <f>VC_NEW2!BM31</f>
        <v>0</v>
      </c>
      <c r="BS73" s="1">
        <f>VC_NEW2!BN31</f>
        <v>0</v>
      </c>
      <c r="BT73" s="1">
        <f>VC_NEW2!BO31</f>
        <v>0</v>
      </c>
      <c r="BU73" s="1">
        <f>VC_NEW2!BP31</f>
        <v>0</v>
      </c>
      <c r="BV73" s="1">
        <f>VC_NEW2!BQ31</f>
        <v>0</v>
      </c>
      <c r="BW73" s="1">
        <f>VC_NEW2!BR31</f>
        <v>0</v>
      </c>
      <c r="BX73" s="1" t="str">
        <f>VC_NEW2!BS31</f>
        <v xml:space="preserve">S179N  </v>
      </c>
      <c r="BY73" s="1">
        <f>VC_NEW2!BT31</f>
        <v>0</v>
      </c>
      <c r="BZ73" s="1">
        <f>VC_NEW2!BU31</f>
        <v>0</v>
      </c>
      <c r="CA73" s="1">
        <f>VC_NEW2!BV31</f>
        <v>0</v>
      </c>
      <c r="CB73" s="1">
        <f>VC_NEW2!BW31</f>
        <v>0</v>
      </c>
      <c r="CC73" s="1">
        <f>VC_NEW2!BX31</f>
        <v>0</v>
      </c>
      <c r="CD73" s="1" t="str">
        <f>VC_NEW2!BY31</f>
        <v>G154R</v>
      </c>
      <c r="CE73" s="1">
        <f>VC_NEW2!BZ31</f>
        <v>0</v>
      </c>
      <c r="CF73" s="1">
        <f>VC_NEW2!CA31</f>
        <v>0</v>
      </c>
      <c r="CG73" s="1">
        <f>VC_NEW2!CB31</f>
        <v>0</v>
      </c>
      <c r="CH73" s="1">
        <f>VC_NEW2!CC31</f>
        <v>0</v>
      </c>
      <c r="CI73" s="1">
        <f>VC_NEW2!CD31</f>
        <v>0</v>
      </c>
      <c r="CJ73" s="1" t="str">
        <f>VC_NEW2!CE31</f>
        <v>G154R</v>
      </c>
      <c r="CK73" s="1" t="str">
        <f>VC_NEW2!CF31</f>
        <v>G154R</v>
      </c>
      <c r="CL73" s="1">
        <f>VC_NEW2!CG31</f>
        <v>0</v>
      </c>
      <c r="CM73" s="1">
        <f>VC_NEW2!CH31</f>
        <v>0</v>
      </c>
      <c r="CN73" s="1">
        <f>VC_NEW2!CI31</f>
        <v>0</v>
      </c>
      <c r="CO73" s="1" t="str">
        <f>VC_NEW2!CJ31</f>
        <v xml:space="preserve"> L177V</v>
      </c>
      <c r="CP73" s="1" t="str">
        <f>VC_NEW2!CK31</f>
        <v>G154R</v>
      </c>
      <c r="CQ73" s="1" t="str">
        <f>VC_NEW2!CL31</f>
        <v>G154R</v>
      </c>
      <c r="CR73" s="1">
        <f>VC_NEW2!CM31</f>
        <v>0</v>
      </c>
      <c r="CS73" s="1">
        <f>VC_NEW2!CN31</f>
        <v>0</v>
      </c>
      <c r="CT73" s="1">
        <f>VC_NEW2!CO31</f>
        <v>0</v>
      </c>
      <c r="CU73" s="1">
        <f>VC_NEW2!CP31</f>
        <v>0</v>
      </c>
      <c r="CV73" s="1">
        <f>VC_NEW2!CQ31</f>
        <v>0</v>
      </c>
      <c r="CW73" s="1">
        <f>VC_NEW2!CR31</f>
        <v>0</v>
      </c>
      <c r="CX73" s="1">
        <f>VC_NEW2!CS31</f>
        <v>0</v>
      </c>
      <c r="CY73" s="1">
        <f>VC_NEW2!CT31</f>
        <v>0</v>
      </c>
      <c r="CZ73" s="1">
        <f>VC_NEW2!CU31</f>
        <v>0</v>
      </c>
      <c r="DA73" s="1">
        <f>VC_NEW2!CV31</f>
        <v>0</v>
      </c>
      <c r="DB73" s="1">
        <f>VC_NEW2!CW31</f>
        <v>0</v>
      </c>
      <c r="DC73" s="1">
        <f>VC_NEW2!CX31</f>
        <v>0</v>
      </c>
      <c r="DD73" s="1">
        <f>VC_NEW2!CY31</f>
        <v>0</v>
      </c>
      <c r="DE73" s="1">
        <f>VC_NEW2!CZ31</f>
        <v>0</v>
      </c>
      <c r="DF73" s="1">
        <f>VC_NEW2!DA31</f>
        <v>0</v>
      </c>
      <c r="DG73" s="1">
        <f>VC_NEW2!DB31</f>
        <v>0</v>
      </c>
      <c r="DH73" s="1">
        <f>VC_NEW2!DC31</f>
        <v>0</v>
      </c>
      <c r="DI73" s="1">
        <f>VC_NEW2!DD31</f>
        <v>0</v>
      </c>
      <c r="DJ73" s="1" t="str">
        <f>VC_NEW2!DE31</f>
        <v xml:space="preserve">D135N  </v>
      </c>
      <c r="DK73" s="1">
        <f>VC_NEW2!DF31</f>
        <v>0</v>
      </c>
      <c r="DL73" s="1">
        <f>VC_NEW2!DG31</f>
        <v>0</v>
      </c>
      <c r="DM73" s="1">
        <f>VC_NEW2!DH31</f>
        <v>0</v>
      </c>
      <c r="DN73" s="1">
        <f>VC_NEW2!DI31</f>
        <v>0</v>
      </c>
      <c r="DO73" s="1">
        <f>VC_NEW2!DJ31</f>
        <v>0</v>
      </c>
      <c r="DP73" s="1">
        <f>VC_NEW2!DK31</f>
        <v>0</v>
      </c>
      <c r="DQ73" s="1">
        <f>VC_NEW2!DL31</f>
        <v>0</v>
      </c>
      <c r="DR73" s="1" t="str">
        <f>VC_NEW2!DM31</f>
        <v>D135N</v>
      </c>
      <c r="DS73" s="1">
        <f>VC_NEW2!DN31</f>
        <v>0</v>
      </c>
      <c r="DT73" s="1">
        <f>VC_NEW2!DO31</f>
        <v>0</v>
      </c>
      <c r="DU73" s="1">
        <f>VC_NEW2!DP31</f>
        <v>0</v>
      </c>
      <c r="DV73" s="1">
        <f>VC_NEW2!DQ31</f>
        <v>0</v>
      </c>
      <c r="DW73" s="1">
        <f>VC_NEW2!DR31</f>
        <v>0</v>
      </c>
      <c r="DX73" s="1">
        <f>VC_NEW2!DS31</f>
        <v>0</v>
      </c>
      <c r="DY73" s="1">
        <f>VC_NEW2!DT31</f>
        <v>0</v>
      </c>
      <c r="DZ73" s="1">
        <f>VC_NEW2!DU31</f>
        <v>0</v>
      </c>
      <c r="EA73" s="1">
        <f>VC_NEW2!DV31</f>
        <v>0</v>
      </c>
      <c r="EB73" s="1" t="str">
        <f>VC_NEW2!DW31</f>
        <v>A175V</v>
      </c>
      <c r="EC73" s="1" t="str">
        <f>VC_NEW2!DX31</f>
        <v>G295R</v>
      </c>
      <c r="ED73" s="1">
        <f>VC_NEW2!DY31</f>
        <v>0</v>
      </c>
      <c r="EE73" s="1">
        <f>VC_NEW2!DZ31</f>
        <v>0</v>
      </c>
      <c r="EF73" s="1">
        <f>VC_NEW2!EA31</f>
        <v>0</v>
      </c>
      <c r="EG73" s="1">
        <f>VC_NEW2!EB31</f>
        <v>0</v>
      </c>
      <c r="EH73" s="1">
        <f>VC_NEW2!EC31</f>
        <v>0</v>
      </c>
      <c r="EI73" s="1">
        <f>VC_NEW2!ED31</f>
        <v>0</v>
      </c>
      <c r="EJ73" s="1">
        <f>VC_NEW2!EE31</f>
        <v>0</v>
      </c>
      <c r="EK73" s="1">
        <f>VC_NEW2!EF31</f>
        <v>0</v>
      </c>
      <c r="EL73" s="1">
        <f>VC_NEW2!EG31</f>
        <v>0</v>
      </c>
      <c r="EM73" s="1">
        <f>VC_NEW2!EH31</f>
        <v>0</v>
      </c>
      <c r="EN73" s="1">
        <f>VC_NEW2!EI31</f>
        <v>0</v>
      </c>
      <c r="EO73" s="1">
        <f>VC_NEW2!EJ31</f>
        <v>0</v>
      </c>
      <c r="EP73" s="1">
        <f>VC_NEW2!EK31</f>
        <v>0</v>
      </c>
      <c r="EQ73" s="1">
        <f>VC_NEW2!EL31</f>
        <v>0</v>
      </c>
      <c r="ER73" s="1">
        <f>VC_NEW2!EM31</f>
        <v>0</v>
      </c>
      <c r="ES73" s="1">
        <f>VC_NEW2!EN31</f>
        <v>0</v>
      </c>
      <c r="ET73" s="1">
        <f>VC_NEW2!EO31</f>
        <v>0</v>
      </c>
      <c r="EU73" s="1">
        <f>VC_NEW2!EP31</f>
        <v>0</v>
      </c>
      <c r="EV73" s="1">
        <f>VC_NEW2!EQ31</f>
        <v>0</v>
      </c>
      <c r="EW73" s="1">
        <f>VC_NEW2!ER31</f>
        <v>0</v>
      </c>
      <c r="EX73" s="1">
        <f>VC_NEW2!ES31</f>
        <v>0</v>
      </c>
      <c r="EY73" s="1">
        <f>VC_NEW2!ET31</f>
        <v>0</v>
      </c>
      <c r="EZ73" s="1">
        <f>VC_NEW2!EU31</f>
        <v>0</v>
      </c>
      <c r="FA73" s="1">
        <f>VC_NEW2!EV31</f>
        <v>0</v>
      </c>
      <c r="FB73" s="1">
        <f>VC_NEW2!EW31</f>
        <v>0</v>
      </c>
      <c r="FC73" s="1">
        <f>VC_NEW2!EX31</f>
        <v>0</v>
      </c>
      <c r="FD73" s="1">
        <f>VC_NEW2!EY31</f>
        <v>0</v>
      </c>
      <c r="FE73" s="1">
        <f>VC_NEW2!EZ31</f>
        <v>0</v>
      </c>
      <c r="FF73" s="1">
        <f>VC_NEW2!FA31</f>
        <v>0</v>
      </c>
      <c r="FG73" s="1">
        <f>VC_NEW2!FB31</f>
        <v>0</v>
      </c>
      <c r="FH73" s="1">
        <f>VC_NEW2!FC31</f>
        <v>0</v>
      </c>
      <c r="FI73" s="1" t="str">
        <f>VC_NEW2!FD31</f>
        <v>aa235∆6</v>
      </c>
      <c r="FJ73" s="1">
        <f>VC_NEW2!FE31</f>
        <v>0</v>
      </c>
      <c r="FK73" s="1">
        <f>VC_NEW2!FF31</f>
        <v>0</v>
      </c>
      <c r="FL73" s="1">
        <f>VC_NEW2!FG31</f>
        <v>0</v>
      </c>
      <c r="FM73" s="1">
        <f>VC_NEW2!FH31</f>
        <v>0</v>
      </c>
      <c r="FN73" s="1" t="str">
        <f>VC_NEW2!FI31</f>
        <v xml:space="preserve">A175V </v>
      </c>
      <c r="FO73" s="1" t="str">
        <f>VC_NEW2!FJ31</f>
        <v>E162Q</v>
      </c>
      <c r="FP73" s="1">
        <f>VC_NEW2!FK31</f>
        <v>0</v>
      </c>
      <c r="FQ73" s="1">
        <f>VC_NEW2!FL31</f>
        <v>0</v>
      </c>
      <c r="FR73" s="1">
        <f>VC_NEW2!FM31</f>
        <v>0</v>
      </c>
      <c r="FS73" s="1">
        <f>VC_NEW2!FN31</f>
        <v>0</v>
      </c>
      <c r="FT73" s="1">
        <f>VC_NEW2!FO31</f>
        <v>0</v>
      </c>
      <c r="FU73" s="1">
        <f>VC_NEW2!FP31</f>
        <v>0</v>
      </c>
      <c r="FV73" s="1">
        <f>VC_NEW2!FQ31</f>
        <v>0</v>
      </c>
      <c r="FW73" s="1">
        <f>VC_NEW2!FR31</f>
        <v>0</v>
      </c>
      <c r="FX73" s="1">
        <f>VC_NEW2!FS31</f>
        <v>0</v>
      </c>
      <c r="FY73" s="1">
        <f>VC_NEW2!FT31</f>
        <v>0</v>
      </c>
      <c r="FZ73" s="1">
        <f>VC_NEW2!FU31</f>
        <v>0</v>
      </c>
      <c r="GA73" s="1">
        <f>VC_NEW2!FV31</f>
        <v>0</v>
      </c>
      <c r="GB73" s="1">
        <f>VC_NEW2!FW31</f>
        <v>0</v>
      </c>
      <c r="GC73" s="1">
        <f>VC_NEW2!FX31</f>
        <v>0</v>
      </c>
      <c r="GD73" s="1">
        <f>VC_NEW2!FY31</f>
        <v>0</v>
      </c>
      <c r="GE73" s="1">
        <f>VC_NEW2!FZ31</f>
        <v>0</v>
      </c>
      <c r="GF73" s="1">
        <f>VC_NEW2!GA31</f>
        <v>0</v>
      </c>
      <c r="GG73" s="1">
        <f>VC_NEW2!GB31</f>
        <v>0</v>
      </c>
      <c r="GH73" s="1">
        <f>VC_NEW2!GC31</f>
        <v>0</v>
      </c>
      <c r="GI73" s="1">
        <f>VC_NEW2!GD31</f>
        <v>0</v>
      </c>
      <c r="GJ73" s="1">
        <f>VC_NEW2!GE31</f>
        <v>0</v>
      </c>
      <c r="GK73" s="1">
        <f>VC_NEW2!GF31</f>
        <v>0</v>
      </c>
      <c r="GL73" s="1">
        <f>VC_NEW2!GG31</f>
        <v>0</v>
      </c>
      <c r="GM73" s="1">
        <f>VC_NEW2!GH31</f>
        <v>0</v>
      </c>
      <c r="GN73" s="1">
        <f>VC_NEW2!GI31</f>
        <v>0</v>
      </c>
      <c r="GO73" s="1">
        <f>VC_NEW2!GJ31</f>
        <v>0</v>
      </c>
      <c r="GP73" s="1">
        <f>VC_NEW2!GK31</f>
        <v>0</v>
      </c>
      <c r="GQ73" s="1">
        <f>VC_NEW2!GL31</f>
        <v>0</v>
      </c>
      <c r="GR73" s="1">
        <f>VC_NEW2!GM31</f>
        <v>0</v>
      </c>
      <c r="GS73" s="1">
        <f>VC_NEW2!GN31</f>
        <v>0</v>
      </c>
      <c r="GT73" s="1">
        <f>VC_NEW2!GO31</f>
        <v>0</v>
      </c>
      <c r="GU73" s="1">
        <f>VC_NEW2!GP31</f>
        <v>0</v>
      </c>
      <c r="GV73" s="1" t="str">
        <f>VC_NEW2!GQ31</f>
        <v>G273E</v>
      </c>
      <c r="GW73" s="1">
        <f>VC_NEW2!GR31</f>
        <v>0</v>
      </c>
      <c r="GX73" s="1">
        <f>VC_NEW2!GS31</f>
        <v>0</v>
      </c>
      <c r="GY73" s="1">
        <f>VC_NEW2!GT31</f>
        <v>0</v>
      </c>
      <c r="GZ73" s="1">
        <f>VC_NEW2!GU31</f>
        <v>0</v>
      </c>
      <c r="HA73" s="1">
        <f>VC_NEW2!GV31</f>
        <v>0</v>
      </c>
      <c r="HB73" s="1" t="str">
        <f>VC_NEW2!GW31</f>
        <v>G154R</v>
      </c>
      <c r="HC73" s="1">
        <f>VC_NEW2!GX31</f>
        <v>0</v>
      </c>
    </row>
    <row r="74" spans="1:211" s="7" customFormat="1" ht="15" hidden="1" customHeight="1" x14ac:dyDescent="0.25">
      <c r="A74" s="22" t="s">
        <v>30</v>
      </c>
      <c r="B74" s="23" t="s">
        <v>161</v>
      </c>
      <c r="C74" s="24" t="s">
        <v>1</v>
      </c>
      <c r="D74" s="23" t="s">
        <v>76</v>
      </c>
      <c r="E74" s="23" t="s">
        <v>138</v>
      </c>
      <c r="F74" s="23" t="s">
        <v>73</v>
      </c>
      <c r="G74" s="25" t="s">
        <v>1150</v>
      </c>
      <c r="H74" s="7">
        <f>VC_NEW2!C32</f>
        <v>0</v>
      </c>
      <c r="I74" s="7">
        <f>VC_NEW2!D32</f>
        <v>0</v>
      </c>
      <c r="J74" s="7" t="str">
        <f>VC_NEW2!E32</f>
        <v xml:space="preserve">F6L     </v>
      </c>
      <c r="K74" s="7">
        <f>VC_NEW2!F32</f>
        <v>0</v>
      </c>
      <c r="L74" s="7">
        <f>VC_NEW2!G32</f>
        <v>0</v>
      </c>
      <c r="M74" s="7" t="str">
        <f>VC_NEW2!H32</f>
        <v xml:space="preserve"> L200F</v>
      </c>
      <c r="N74" s="7">
        <f>VC_NEW2!I32</f>
        <v>0</v>
      </c>
      <c r="O74" s="7">
        <f>VC_NEW2!J32</f>
        <v>0</v>
      </c>
      <c r="P74" s="7">
        <f>VC_NEW2!K32</f>
        <v>0</v>
      </c>
      <c r="Q74" s="7">
        <f>VC_NEW2!L32</f>
        <v>0</v>
      </c>
      <c r="R74" s="7">
        <f>VC_NEW2!M32</f>
        <v>0</v>
      </c>
      <c r="S74" s="7">
        <f>VC_NEW2!N32</f>
        <v>0</v>
      </c>
      <c r="T74" s="7">
        <f>VC_NEW2!O32</f>
        <v>0</v>
      </c>
      <c r="U74" s="7">
        <f>VC_NEW2!P32</f>
        <v>0</v>
      </c>
      <c r="V74" s="7">
        <f>VC_NEW2!Q32</f>
        <v>0</v>
      </c>
      <c r="W74" s="7">
        <f>VC_NEW2!R32</f>
        <v>0</v>
      </c>
      <c r="X74" s="7">
        <f>VC_NEW2!S32</f>
        <v>0</v>
      </c>
      <c r="Y74" s="7">
        <f>VC_NEW2!T32</f>
        <v>0</v>
      </c>
      <c r="Z74" s="7">
        <f>VC_NEW2!U32</f>
        <v>0</v>
      </c>
      <c r="AA74" s="7">
        <f>VC_NEW2!V32</f>
        <v>0</v>
      </c>
      <c r="AB74" s="7">
        <f>VC_NEW2!W32</f>
        <v>0</v>
      </c>
      <c r="AC74" s="7">
        <f>VC_NEW2!X32</f>
        <v>0</v>
      </c>
      <c r="AD74" s="7">
        <f>VC_NEW2!Y32</f>
        <v>0</v>
      </c>
      <c r="AE74" s="7">
        <f>VC_NEW2!Z32</f>
        <v>0</v>
      </c>
      <c r="AF74" s="7">
        <f>VC_NEW2!AA32</f>
        <v>0</v>
      </c>
      <c r="AG74" s="7">
        <f>VC_NEW2!AB32</f>
        <v>0</v>
      </c>
      <c r="AH74" s="7">
        <f>VC_NEW2!AC32</f>
        <v>0</v>
      </c>
      <c r="AI74" s="7">
        <f>VC_NEW2!AD32</f>
        <v>0</v>
      </c>
      <c r="AJ74" s="7">
        <f>VC_NEW2!AE32</f>
        <v>0</v>
      </c>
      <c r="AK74" s="7">
        <f>VC_NEW2!AF32</f>
        <v>0</v>
      </c>
      <c r="AL74" s="7">
        <f>VC_NEW2!AG32</f>
        <v>0</v>
      </c>
      <c r="AM74" s="7" t="str">
        <f>VC_NEW2!AH32</f>
        <v xml:space="preserve">S306T </v>
      </c>
      <c r="AN74" s="7">
        <f>VC_NEW2!AI32</f>
        <v>0</v>
      </c>
      <c r="AO74" s="7">
        <f>VC_NEW2!AJ32</f>
        <v>0</v>
      </c>
      <c r="AP74" s="7">
        <f>VC_NEW2!AK32</f>
        <v>0</v>
      </c>
      <c r="AQ74" s="7">
        <f>VC_NEW2!AL32</f>
        <v>0</v>
      </c>
      <c r="AR74" s="7">
        <f>VC_NEW2!AM32</f>
        <v>0</v>
      </c>
      <c r="AS74" s="7">
        <f>VC_NEW2!AN32</f>
        <v>0</v>
      </c>
      <c r="AT74" s="7">
        <f>VC_NEW2!AO32</f>
        <v>0</v>
      </c>
      <c r="AU74" s="7">
        <f>VC_NEW2!AP32</f>
        <v>0</v>
      </c>
      <c r="AV74" s="7">
        <f>VC_NEW2!AQ32</f>
        <v>0</v>
      </c>
      <c r="AW74" s="7">
        <f>VC_NEW2!AR32</f>
        <v>0</v>
      </c>
      <c r="AX74" s="7">
        <f>VC_NEW2!AS32</f>
        <v>0</v>
      </c>
      <c r="AY74" s="7">
        <f>VC_NEW2!AT32</f>
        <v>0</v>
      </c>
      <c r="AZ74" s="7">
        <f>VC_NEW2!AU32</f>
        <v>0</v>
      </c>
      <c r="BA74" s="7">
        <f>VC_NEW2!AV32</f>
        <v>0</v>
      </c>
      <c r="BB74" s="7">
        <f>VC_NEW2!AW32</f>
        <v>0</v>
      </c>
      <c r="BC74" s="7">
        <f>VC_NEW2!AX32</f>
        <v>0</v>
      </c>
      <c r="BD74" s="7">
        <f>VC_NEW2!AY32</f>
        <v>0</v>
      </c>
      <c r="BE74" s="7">
        <f>VC_NEW2!AZ32</f>
        <v>0</v>
      </c>
      <c r="BF74" s="7">
        <f>VC_NEW2!BA32</f>
        <v>0</v>
      </c>
      <c r="BG74" s="7">
        <f>VC_NEW2!BB32</f>
        <v>0</v>
      </c>
      <c r="BH74" s="7">
        <f>VC_NEW2!BC32</f>
        <v>0</v>
      </c>
      <c r="BI74" s="7" t="str">
        <f>VC_NEW2!BD32</f>
        <v>E247G</v>
      </c>
      <c r="BJ74" s="7">
        <f>VC_NEW2!BE32</f>
        <v>0</v>
      </c>
      <c r="BK74" s="7">
        <f>VC_NEW2!BF32</f>
        <v>0</v>
      </c>
      <c r="BL74" s="7">
        <f>VC_NEW2!BG32</f>
        <v>0</v>
      </c>
      <c r="BM74" s="7" t="str">
        <f>VC_NEW2!BH32</f>
        <v>A278G</v>
      </c>
      <c r="BN74" s="7">
        <f>VC_NEW2!BI32</f>
        <v>0</v>
      </c>
      <c r="BO74" s="7">
        <f>VC_NEW2!BJ32</f>
        <v>0</v>
      </c>
      <c r="BP74" s="7">
        <f>VC_NEW2!BK32</f>
        <v>0</v>
      </c>
      <c r="BQ74" s="7">
        <f>VC_NEW2!BL32</f>
        <v>0</v>
      </c>
      <c r="BR74" s="7">
        <f>VC_NEW2!BM32</f>
        <v>0</v>
      </c>
      <c r="BS74" s="7">
        <f>VC_NEW2!BN32</f>
        <v>0</v>
      </c>
      <c r="BT74" s="7">
        <f>VC_NEW2!BO32</f>
        <v>0</v>
      </c>
      <c r="BU74" s="7">
        <f>VC_NEW2!BP32</f>
        <v>0</v>
      </c>
      <c r="BV74" s="7">
        <f>VC_NEW2!BQ32</f>
        <v>0</v>
      </c>
      <c r="BW74" s="7">
        <f>VC_NEW2!BR32</f>
        <v>0</v>
      </c>
      <c r="BX74" s="7">
        <f>VC_NEW2!BS32</f>
        <v>0</v>
      </c>
      <c r="BY74" s="7">
        <f>VC_NEW2!BT32</f>
        <v>0</v>
      </c>
      <c r="BZ74" s="7">
        <f>VC_NEW2!BU32</f>
        <v>0</v>
      </c>
      <c r="CA74" s="7">
        <f>VC_NEW2!BV32</f>
        <v>0</v>
      </c>
      <c r="CB74" s="7">
        <f>VC_NEW2!BW32</f>
        <v>0</v>
      </c>
      <c r="CC74" s="7">
        <f>VC_NEW2!BX32</f>
        <v>0</v>
      </c>
      <c r="CD74" s="7">
        <f>VC_NEW2!BY32</f>
        <v>0</v>
      </c>
      <c r="CE74" s="7">
        <f>VC_NEW2!BZ32</f>
        <v>0</v>
      </c>
      <c r="CF74" s="7">
        <f>VC_NEW2!CA32</f>
        <v>0</v>
      </c>
      <c r="CG74" s="7">
        <f>VC_NEW2!CB32</f>
        <v>0</v>
      </c>
      <c r="CH74" s="7">
        <f>VC_NEW2!CC32</f>
        <v>0</v>
      </c>
      <c r="CI74" s="7">
        <f>VC_NEW2!CD32</f>
        <v>0</v>
      </c>
      <c r="CJ74" s="7">
        <f>VC_NEW2!CE32</f>
        <v>0</v>
      </c>
      <c r="CK74" s="7">
        <f>VC_NEW2!CF32</f>
        <v>0</v>
      </c>
      <c r="CL74" s="7">
        <f>VC_NEW2!CG32</f>
        <v>0</v>
      </c>
      <c r="CM74" s="7">
        <f>VC_NEW2!CH32</f>
        <v>0</v>
      </c>
      <c r="CN74" s="7">
        <f>VC_NEW2!CI32</f>
        <v>0</v>
      </c>
      <c r="CO74" s="7">
        <f>VC_NEW2!CJ32</f>
        <v>0</v>
      </c>
      <c r="CP74" s="7">
        <f>VC_NEW2!CK32</f>
        <v>0</v>
      </c>
      <c r="CQ74" s="7">
        <f>VC_NEW2!CL32</f>
        <v>0</v>
      </c>
      <c r="CR74" s="7">
        <f>VC_NEW2!CM32</f>
        <v>0</v>
      </c>
      <c r="CS74" s="7">
        <f>VC_NEW2!CN32</f>
        <v>0</v>
      </c>
      <c r="CT74" s="7">
        <f>VC_NEW2!CO32</f>
        <v>0</v>
      </c>
      <c r="CU74" s="7">
        <f>VC_NEW2!CP32</f>
        <v>0</v>
      </c>
      <c r="CV74" s="7">
        <f>VC_NEW2!CQ32</f>
        <v>0</v>
      </c>
      <c r="CW74" s="7">
        <f>VC_NEW2!CR32</f>
        <v>0</v>
      </c>
      <c r="CX74" s="7">
        <f>VC_NEW2!CS32</f>
        <v>0</v>
      </c>
      <c r="CY74" s="7">
        <f>VC_NEW2!CT32</f>
        <v>0</v>
      </c>
      <c r="CZ74" s="7">
        <f>VC_NEW2!CU32</f>
        <v>0</v>
      </c>
      <c r="DA74" s="7">
        <f>VC_NEW2!CV32</f>
        <v>0</v>
      </c>
      <c r="DB74" s="7">
        <f>VC_NEW2!CW32</f>
        <v>0</v>
      </c>
      <c r="DC74" s="7">
        <f>VC_NEW2!CX32</f>
        <v>0</v>
      </c>
      <c r="DD74" s="7">
        <f>VC_NEW2!CY32</f>
        <v>0</v>
      </c>
      <c r="DE74" s="7">
        <f>VC_NEW2!CZ32</f>
        <v>0</v>
      </c>
      <c r="DF74" s="7">
        <f>VC_NEW2!DA32</f>
        <v>0</v>
      </c>
      <c r="DG74" s="7">
        <f>VC_NEW2!DB32</f>
        <v>0</v>
      </c>
      <c r="DH74" s="7">
        <f>VC_NEW2!DC32</f>
        <v>0</v>
      </c>
      <c r="DI74" s="7">
        <f>VC_NEW2!DD32</f>
        <v>0</v>
      </c>
      <c r="DJ74" s="7">
        <f>VC_NEW2!DE32</f>
        <v>0</v>
      </c>
      <c r="DK74" s="7">
        <f>VC_NEW2!DF32</f>
        <v>0</v>
      </c>
      <c r="DL74" s="7">
        <f>VC_NEW2!DG32</f>
        <v>0</v>
      </c>
      <c r="DM74" s="7" t="str">
        <f>VC_NEW2!DH32</f>
        <v xml:space="preserve">S173N </v>
      </c>
      <c r="DN74" s="7">
        <f>VC_NEW2!DI32</f>
        <v>0</v>
      </c>
      <c r="DO74" s="7">
        <f>VC_NEW2!DJ32</f>
        <v>0</v>
      </c>
      <c r="DP74" s="7">
        <f>VC_NEW2!DK32</f>
        <v>0</v>
      </c>
      <c r="DQ74" s="7">
        <f>VC_NEW2!DL32</f>
        <v>0</v>
      </c>
      <c r="DR74" s="7">
        <f>VC_NEW2!DM32</f>
        <v>0</v>
      </c>
      <c r="DS74" s="7">
        <f>VC_NEW2!DN32</f>
        <v>0</v>
      </c>
      <c r="DT74" s="7">
        <f>VC_NEW2!DO32</f>
        <v>0</v>
      </c>
      <c r="DU74" s="7">
        <f>VC_NEW2!DP32</f>
        <v>0</v>
      </c>
      <c r="DV74" s="7">
        <f>VC_NEW2!DQ32</f>
        <v>0</v>
      </c>
      <c r="DW74" s="7">
        <f>VC_NEW2!DR32</f>
        <v>0</v>
      </c>
      <c r="DX74" s="7">
        <f>VC_NEW2!DS32</f>
        <v>0</v>
      </c>
      <c r="DY74" s="7">
        <f>VC_NEW2!DT32</f>
        <v>0</v>
      </c>
      <c r="DZ74" s="7">
        <f>VC_NEW2!DU32</f>
        <v>0</v>
      </c>
      <c r="EA74" s="7">
        <f>VC_NEW2!DV32</f>
        <v>0</v>
      </c>
      <c r="EB74" s="7" t="str">
        <f>VC_NEW2!DW32</f>
        <v xml:space="preserve">S306T </v>
      </c>
      <c r="EC74" s="7">
        <f>VC_NEW2!DX32</f>
        <v>0</v>
      </c>
      <c r="ED74" s="7">
        <f>VC_NEW2!DY32</f>
        <v>0</v>
      </c>
      <c r="EE74" s="7">
        <f>VC_NEW2!DZ32</f>
        <v>0</v>
      </c>
      <c r="EF74" s="7">
        <f>VC_NEW2!EA32</f>
        <v>0</v>
      </c>
      <c r="EG74" s="7">
        <f>VC_NEW2!EB32</f>
        <v>0</v>
      </c>
      <c r="EH74" s="7">
        <f>VC_NEW2!EC32</f>
        <v>0</v>
      </c>
      <c r="EI74" s="7" t="str">
        <f>VC_NEW2!ED32</f>
        <v xml:space="preserve">L133I      </v>
      </c>
      <c r="EJ74" s="7">
        <f>VC_NEW2!EE32</f>
        <v>0</v>
      </c>
      <c r="EK74" s="7">
        <f>VC_NEW2!EF32</f>
        <v>0</v>
      </c>
      <c r="EL74" s="7" t="str">
        <f>VC_NEW2!EG32</f>
        <v xml:space="preserve">D280N, Q311L  </v>
      </c>
      <c r="EM74" s="7">
        <f>VC_NEW2!EH32</f>
        <v>0</v>
      </c>
      <c r="EN74" s="7">
        <f>VC_NEW2!EI32</f>
        <v>0</v>
      </c>
      <c r="EO74" s="7">
        <f>VC_NEW2!EJ32</f>
        <v>0</v>
      </c>
      <c r="EP74" s="7">
        <f>VC_NEW2!EK32</f>
        <v>0</v>
      </c>
      <c r="EQ74" s="7">
        <f>VC_NEW2!EL32</f>
        <v>0</v>
      </c>
      <c r="ER74" s="7">
        <f>VC_NEW2!EM32</f>
        <v>0</v>
      </c>
      <c r="ES74" s="7">
        <f>VC_NEW2!EN32</f>
        <v>0</v>
      </c>
      <c r="ET74" s="7" t="str">
        <f>VC_NEW2!EO32</f>
        <v>V239A</v>
      </c>
      <c r="EU74" s="7">
        <f>VC_NEW2!EP32</f>
        <v>0</v>
      </c>
      <c r="EV74" s="7">
        <f>VC_NEW2!EQ32</f>
        <v>0</v>
      </c>
      <c r="EW74" s="7" t="str">
        <f>VC_NEW2!ER32</f>
        <v xml:space="preserve">P274H, S306A, I325V  </v>
      </c>
      <c r="EX74" s="7">
        <f>VC_NEW2!ES32</f>
        <v>0</v>
      </c>
      <c r="EY74" s="7">
        <f>VC_NEW2!ET32</f>
        <v>0</v>
      </c>
      <c r="EZ74" s="7">
        <f>VC_NEW2!EU32</f>
        <v>0</v>
      </c>
      <c r="FA74" s="7">
        <f>VC_NEW2!EV32</f>
        <v>0</v>
      </c>
      <c r="FB74" s="7">
        <f>VC_NEW2!EW32</f>
        <v>0</v>
      </c>
      <c r="FC74" s="7" t="str">
        <f>VC_NEW2!EX32</f>
        <v xml:space="preserve">P82L </v>
      </c>
      <c r="FD74" s="7">
        <f>VC_NEW2!EY32</f>
        <v>0</v>
      </c>
      <c r="FE74" s="7">
        <f>VC_NEW2!EZ32</f>
        <v>0</v>
      </c>
      <c r="FF74" s="7">
        <f>VC_NEW2!FA32</f>
        <v>0</v>
      </c>
      <c r="FG74" s="7">
        <f>VC_NEW2!FB32</f>
        <v>0</v>
      </c>
      <c r="FH74" s="7">
        <f>VC_NEW2!FC32</f>
        <v>0</v>
      </c>
      <c r="FI74" s="7">
        <f>VC_NEW2!FD32</f>
        <v>0</v>
      </c>
      <c r="FJ74" s="7">
        <f>VC_NEW2!FE32</f>
        <v>0</v>
      </c>
      <c r="FK74" s="7">
        <f>VC_NEW2!FF32</f>
        <v>0</v>
      </c>
      <c r="FL74" s="7">
        <f>VC_NEW2!FG32</f>
        <v>0</v>
      </c>
      <c r="FM74" s="7">
        <f>VC_NEW2!FH32</f>
        <v>0</v>
      </c>
      <c r="FN74" s="7" t="str">
        <f>VC_NEW2!FI32</f>
        <v xml:space="preserve">S306T </v>
      </c>
      <c r="FO74" s="7">
        <f>VC_NEW2!FJ32</f>
        <v>0</v>
      </c>
      <c r="FP74" s="7">
        <f>VC_NEW2!FK32</f>
        <v>0</v>
      </c>
      <c r="FQ74" s="7">
        <f>VC_NEW2!FL32</f>
        <v>0</v>
      </c>
      <c r="FR74" s="7">
        <f>VC_NEW2!FM32</f>
        <v>0</v>
      </c>
      <c r="FS74" s="7" t="str">
        <f>VC_NEW2!FN32</f>
        <v>D302H</v>
      </c>
      <c r="FT74" s="7">
        <f>VC_NEW2!FO32</f>
        <v>0</v>
      </c>
      <c r="FU74" s="7">
        <f>VC_NEW2!FP32</f>
        <v>0</v>
      </c>
      <c r="FV74" s="7">
        <f>VC_NEW2!FQ32</f>
        <v>0</v>
      </c>
      <c r="FW74" s="7">
        <f>VC_NEW2!FR32</f>
        <v>0</v>
      </c>
      <c r="FX74" s="7">
        <f>VC_NEW2!FS32</f>
        <v>0</v>
      </c>
      <c r="FY74" s="7">
        <f>VC_NEW2!FT32</f>
        <v>0</v>
      </c>
      <c r="FZ74" s="7">
        <f>VC_NEW2!FU32</f>
        <v>0</v>
      </c>
      <c r="GA74" s="7">
        <f>VC_NEW2!FV32</f>
        <v>0</v>
      </c>
      <c r="GB74" s="7">
        <f>VC_NEW2!FW32</f>
        <v>0</v>
      </c>
      <c r="GC74" s="7" t="str">
        <f>VC_NEW2!FX32</f>
        <v>D291N</v>
      </c>
      <c r="GD74" s="7">
        <f>VC_NEW2!FY32</f>
        <v>0</v>
      </c>
      <c r="GE74" s="7">
        <f>VC_NEW2!FZ32</f>
        <v>0</v>
      </c>
      <c r="GF74" s="7">
        <f>VC_NEW2!GA32</f>
        <v>0</v>
      </c>
      <c r="GG74" s="7">
        <f>VC_NEW2!GB32</f>
        <v>0</v>
      </c>
      <c r="GH74" s="7">
        <f>VC_NEW2!GC32</f>
        <v>0</v>
      </c>
      <c r="GI74" s="7">
        <f>VC_NEW2!GD32</f>
        <v>0</v>
      </c>
      <c r="GJ74" s="7">
        <f>VC_NEW2!GE32</f>
        <v>0</v>
      </c>
      <c r="GK74" s="7">
        <f>VC_NEW2!GF32</f>
        <v>0</v>
      </c>
      <c r="GL74" s="7">
        <f>VC_NEW2!GG32</f>
        <v>0</v>
      </c>
      <c r="GM74" s="7">
        <f>VC_NEW2!GH32</f>
        <v>0</v>
      </c>
      <c r="GN74" s="7">
        <f>VC_NEW2!GI32</f>
        <v>0</v>
      </c>
      <c r="GO74" s="7">
        <f>VC_NEW2!GJ32</f>
        <v>0</v>
      </c>
      <c r="GP74" s="7">
        <f>VC_NEW2!GK32</f>
        <v>0</v>
      </c>
      <c r="GQ74" s="7">
        <f>VC_NEW2!GL32</f>
        <v>0</v>
      </c>
      <c r="GR74" s="7">
        <f>VC_NEW2!GM32</f>
        <v>0</v>
      </c>
      <c r="GS74" s="7">
        <f>VC_NEW2!GN32</f>
        <v>0</v>
      </c>
      <c r="GT74" s="7">
        <f>VC_NEW2!GO32</f>
        <v>0</v>
      </c>
      <c r="GU74" s="7" t="str">
        <f>VC_NEW2!GP32</f>
        <v xml:space="preserve">T16I, P148S   </v>
      </c>
      <c r="GV74" s="7">
        <f>VC_NEW2!GQ32</f>
        <v>0</v>
      </c>
      <c r="GW74" s="7">
        <f>VC_NEW2!GR32</f>
        <v>0</v>
      </c>
      <c r="GX74" s="7">
        <f>VC_NEW2!GS32</f>
        <v>0</v>
      </c>
      <c r="GY74" s="7">
        <f>VC_NEW2!GT32</f>
        <v>0</v>
      </c>
      <c r="GZ74" s="7">
        <f>VC_NEW2!GU32</f>
        <v>0</v>
      </c>
      <c r="HA74" s="7">
        <f>VC_NEW2!GV32</f>
        <v>0</v>
      </c>
      <c r="HB74" s="7">
        <f>VC_NEW2!GW32</f>
        <v>0</v>
      </c>
      <c r="HC74" s="7">
        <f>VC_NEW2!GX32</f>
        <v>0</v>
      </c>
    </row>
    <row r="75" spans="1:211" s="7" customFormat="1" ht="15.75" hidden="1" customHeight="1" thickBot="1" x14ac:dyDescent="0.3">
      <c r="A75" s="26" t="s">
        <v>30</v>
      </c>
      <c r="B75" s="27" t="s">
        <v>161</v>
      </c>
      <c r="C75" s="28" t="s">
        <v>3</v>
      </c>
      <c r="D75" s="27" t="s">
        <v>76</v>
      </c>
      <c r="E75" s="27" t="s">
        <v>1149</v>
      </c>
      <c r="F75" s="27" t="s">
        <v>73</v>
      </c>
      <c r="G75" s="25" t="s">
        <v>1150</v>
      </c>
      <c r="H75" s="7">
        <f>VC_NEW2!C32</f>
        <v>0</v>
      </c>
      <c r="I75" s="7">
        <f>VC_NEW2!D32</f>
        <v>0</v>
      </c>
      <c r="J75" s="7" t="str">
        <f>VC_NEW2!E32</f>
        <v xml:space="preserve">F6L     </v>
      </c>
      <c r="K75" s="7">
        <f>VC_NEW2!F32</f>
        <v>0</v>
      </c>
      <c r="L75" s="7">
        <f>VC_NEW2!G32</f>
        <v>0</v>
      </c>
      <c r="M75" s="7" t="str">
        <f>VC_NEW2!H32</f>
        <v xml:space="preserve"> L200F</v>
      </c>
      <c r="N75" s="7">
        <f>VC_NEW2!I32</f>
        <v>0</v>
      </c>
      <c r="O75" s="7">
        <f>VC_NEW2!J32</f>
        <v>0</v>
      </c>
      <c r="P75" s="7">
        <f>VC_NEW2!K32</f>
        <v>0</v>
      </c>
      <c r="Q75" s="7">
        <f>VC_NEW2!L32</f>
        <v>0</v>
      </c>
      <c r="R75" s="7">
        <f>VC_NEW2!M32</f>
        <v>0</v>
      </c>
      <c r="S75" s="7">
        <f>VC_NEW2!N32</f>
        <v>0</v>
      </c>
      <c r="T75" s="7">
        <f>VC_NEW2!O32</f>
        <v>0</v>
      </c>
      <c r="U75" s="7">
        <f>VC_NEW2!P32</f>
        <v>0</v>
      </c>
      <c r="V75" s="7">
        <f>VC_NEW2!Q32</f>
        <v>0</v>
      </c>
      <c r="W75" s="7">
        <f>VC_NEW2!R32</f>
        <v>0</v>
      </c>
      <c r="X75" s="7">
        <f>VC_NEW2!S32</f>
        <v>0</v>
      </c>
      <c r="Y75" s="7">
        <f>VC_NEW2!T32</f>
        <v>0</v>
      </c>
      <c r="Z75" s="7">
        <f>VC_NEW2!U32</f>
        <v>0</v>
      </c>
      <c r="AA75" s="7">
        <f>VC_NEW2!V32</f>
        <v>0</v>
      </c>
      <c r="AB75" s="7">
        <f>VC_NEW2!W32</f>
        <v>0</v>
      </c>
      <c r="AC75" s="7">
        <f>VC_NEW2!X32</f>
        <v>0</v>
      </c>
      <c r="AD75" s="7">
        <f>VC_NEW2!Y32</f>
        <v>0</v>
      </c>
      <c r="AE75" s="7">
        <f>VC_NEW2!Z32</f>
        <v>0</v>
      </c>
      <c r="AF75" s="7">
        <f>VC_NEW2!AA32</f>
        <v>0</v>
      </c>
      <c r="AG75" s="7">
        <f>VC_NEW2!AB32</f>
        <v>0</v>
      </c>
      <c r="AH75" s="7">
        <f>VC_NEW2!AC32</f>
        <v>0</v>
      </c>
      <c r="AI75" s="7">
        <f>VC_NEW2!AD32</f>
        <v>0</v>
      </c>
      <c r="AJ75" s="7">
        <f>VC_NEW2!AE32</f>
        <v>0</v>
      </c>
      <c r="AK75" s="7">
        <f>VC_NEW2!AF32</f>
        <v>0</v>
      </c>
      <c r="AL75" s="7">
        <f>VC_NEW2!AG32</f>
        <v>0</v>
      </c>
      <c r="AM75" s="7" t="str">
        <f>VC_NEW2!AH32</f>
        <v xml:space="preserve">S306T </v>
      </c>
      <c r="AN75" s="7">
        <f>VC_NEW2!AI32</f>
        <v>0</v>
      </c>
      <c r="AO75" s="7">
        <f>VC_NEW2!AJ32</f>
        <v>0</v>
      </c>
      <c r="AP75" s="7">
        <f>VC_NEW2!AK32</f>
        <v>0</v>
      </c>
      <c r="AQ75" s="7">
        <f>VC_NEW2!AL32</f>
        <v>0</v>
      </c>
      <c r="AR75" s="7">
        <f>VC_NEW2!AM32</f>
        <v>0</v>
      </c>
      <c r="AS75" s="7">
        <f>VC_NEW2!AN32</f>
        <v>0</v>
      </c>
      <c r="AT75" s="7">
        <f>VC_NEW2!AO32</f>
        <v>0</v>
      </c>
      <c r="AU75" s="7">
        <f>VC_NEW2!AP32</f>
        <v>0</v>
      </c>
      <c r="AV75" s="7">
        <f>VC_NEW2!AQ32</f>
        <v>0</v>
      </c>
      <c r="AW75" s="7">
        <f>VC_NEW2!AR32</f>
        <v>0</v>
      </c>
      <c r="AX75" s="7">
        <f>VC_NEW2!AS32</f>
        <v>0</v>
      </c>
      <c r="AY75" s="7">
        <f>VC_NEW2!AT32</f>
        <v>0</v>
      </c>
      <c r="AZ75" s="7">
        <f>VC_NEW2!AU32</f>
        <v>0</v>
      </c>
      <c r="BA75" s="7">
        <f>VC_NEW2!AV32</f>
        <v>0</v>
      </c>
      <c r="BB75" s="7">
        <f>VC_NEW2!AW32</f>
        <v>0</v>
      </c>
      <c r="BC75" s="7">
        <f>VC_NEW2!AX32</f>
        <v>0</v>
      </c>
      <c r="BD75" s="7">
        <f>VC_NEW2!AY32</f>
        <v>0</v>
      </c>
      <c r="BE75" s="7">
        <f>VC_NEW2!AZ32</f>
        <v>0</v>
      </c>
      <c r="BF75" s="7">
        <f>VC_NEW2!BA32</f>
        <v>0</v>
      </c>
      <c r="BG75" s="7">
        <f>VC_NEW2!BB32</f>
        <v>0</v>
      </c>
      <c r="BH75" s="7">
        <f>VC_NEW2!BC32</f>
        <v>0</v>
      </c>
      <c r="BI75" s="7" t="str">
        <f>VC_NEW2!BD32</f>
        <v>E247G</v>
      </c>
      <c r="BJ75" s="7">
        <f>VC_NEW2!BE32</f>
        <v>0</v>
      </c>
      <c r="BK75" s="7">
        <f>VC_NEW2!BF32</f>
        <v>0</v>
      </c>
      <c r="BL75" s="7">
        <f>VC_NEW2!BG32</f>
        <v>0</v>
      </c>
      <c r="BM75" s="7" t="str">
        <f>VC_NEW2!BH32</f>
        <v>A278G</v>
      </c>
      <c r="BN75" s="7">
        <f>VC_NEW2!BI32</f>
        <v>0</v>
      </c>
      <c r="BO75" s="7">
        <f>VC_NEW2!BJ32</f>
        <v>0</v>
      </c>
      <c r="BP75" s="7">
        <f>VC_NEW2!BK32</f>
        <v>0</v>
      </c>
      <c r="BQ75" s="7">
        <f>VC_NEW2!BL32</f>
        <v>0</v>
      </c>
      <c r="BR75" s="7">
        <f>VC_NEW2!BM32</f>
        <v>0</v>
      </c>
      <c r="BS75" s="7">
        <f>VC_NEW2!BN32</f>
        <v>0</v>
      </c>
      <c r="BT75" s="7">
        <f>VC_NEW2!BO32</f>
        <v>0</v>
      </c>
      <c r="BU75" s="7">
        <f>VC_NEW2!BP32</f>
        <v>0</v>
      </c>
      <c r="BV75" s="7">
        <f>VC_NEW2!BQ32</f>
        <v>0</v>
      </c>
      <c r="BW75" s="7">
        <f>VC_NEW2!BR32</f>
        <v>0</v>
      </c>
      <c r="BX75" s="7">
        <f>VC_NEW2!BS32</f>
        <v>0</v>
      </c>
      <c r="BY75" s="7">
        <f>VC_NEW2!BT32</f>
        <v>0</v>
      </c>
      <c r="BZ75" s="7">
        <f>VC_NEW2!BU32</f>
        <v>0</v>
      </c>
      <c r="CA75" s="7">
        <f>VC_NEW2!BV32</f>
        <v>0</v>
      </c>
      <c r="CB75" s="7">
        <f>VC_NEW2!BW32</f>
        <v>0</v>
      </c>
      <c r="CC75" s="7">
        <f>VC_NEW2!BX32</f>
        <v>0</v>
      </c>
      <c r="CD75" s="7">
        <f>VC_NEW2!BY32</f>
        <v>0</v>
      </c>
      <c r="CE75" s="7">
        <f>VC_NEW2!BZ32</f>
        <v>0</v>
      </c>
      <c r="CF75" s="7">
        <f>VC_NEW2!CA32</f>
        <v>0</v>
      </c>
      <c r="CG75" s="7">
        <f>VC_NEW2!CB32</f>
        <v>0</v>
      </c>
      <c r="CH75" s="7">
        <f>VC_NEW2!CC32</f>
        <v>0</v>
      </c>
      <c r="CI75" s="7">
        <f>VC_NEW2!CD32</f>
        <v>0</v>
      </c>
      <c r="CJ75" s="7">
        <f>VC_NEW2!CE32</f>
        <v>0</v>
      </c>
      <c r="CK75" s="7">
        <f>VC_NEW2!CF32</f>
        <v>0</v>
      </c>
      <c r="CL75" s="7">
        <f>VC_NEW2!CG32</f>
        <v>0</v>
      </c>
      <c r="CM75" s="7">
        <f>VC_NEW2!CH32</f>
        <v>0</v>
      </c>
      <c r="CN75" s="7">
        <f>VC_NEW2!CI32</f>
        <v>0</v>
      </c>
      <c r="CO75" s="7">
        <f>VC_NEW2!CJ32</f>
        <v>0</v>
      </c>
      <c r="CP75" s="7">
        <f>VC_NEW2!CK32</f>
        <v>0</v>
      </c>
      <c r="CQ75" s="7">
        <f>VC_NEW2!CL32</f>
        <v>0</v>
      </c>
      <c r="CR75" s="7">
        <f>VC_NEW2!CM32</f>
        <v>0</v>
      </c>
      <c r="CS75" s="7">
        <f>VC_NEW2!CN32</f>
        <v>0</v>
      </c>
      <c r="CT75" s="7">
        <f>VC_NEW2!CO32</f>
        <v>0</v>
      </c>
      <c r="CU75" s="7">
        <f>VC_NEW2!CP32</f>
        <v>0</v>
      </c>
      <c r="CV75" s="7">
        <f>VC_NEW2!CQ32</f>
        <v>0</v>
      </c>
      <c r="CW75" s="7">
        <f>VC_NEW2!CR32</f>
        <v>0</v>
      </c>
      <c r="CX75" s="7">
        <f>VC_NEW2!CS32</f>
        <v>0</v>
      </c>
      <c r="CY75" s="7">
        <f>VC_NEW2!CT32</f>
        <v>0</v>
      </c>
      <c r="CZ75" s="7">
        <f>VC_NEW2!CU32</f>
        <v>0</v>
      </c>
      <c r="DA75" s="7">
        <f>VC_NEW2!CV32</f>
        <v>0</v>
      </c>
      <c r="DB75" s="7">
        <f>VC_NEW2!CW32</f>
        <v>0</v>
      </c>
      <c r="DC75" s="7">
        <f>VC_NEW2!CX32</f>
        <v>0</v>
      </c>
      <c r="DD75" s="7">
        <f>VC_NEW2!CY32</f>
        <v>0</v>
      </c>
      <c r="DE75" s="7">
        <f>VC_NEW2!CZ32</f>
        <v>0</v>
      </c>
      <c r="DF75" s="7">
        <f>VC_NEW2!DA32</f>
        <v>0</v>
      </c>
      <c r="DG75" s="7">
        <f>VC_NEW2!DB32</f>
        <v>0</v>
      </c>
      <c r="DH75" s="7">
        <f>VC_NEW2!DC32</f>
        <v>0</v>
      </c>
      <c r="DI75" s="7">
        <f>VC_NEW2!DD32</f>
        <v>0</v>
      </c>
      <c r="DJ75" s="7">
        <f>VC_NEW2!DE32</f>
        <v>0</v>
      </c>
      <c r="DK75" s="7">
        <f>VC_NEW2!DF32</f>
        <v>0</v>
      </c>
      <c r="DL75" s="7">
        <f>VC_NEW2!DG32</f>
        <v>0</v>
      </c>
      <c r="DM75" s="7" t="str">
        <f>VC_NEW2!DH32</f>
        <v xml:space="preserve">S173N </v>
      </c>
      <c r="DN75" s="7">
        <f>VC_NEW2!DI32</f>
        <v>0</v>
      </c>
      <c r="DO75" s="7">
        <f>VC_NEW2!DJ32</f>
        <v>0</v>
      </c>
      <c r="DP75" s="7">
        <f>VC_NEW2!DK32</f>
        <v>0</v>
      </c>
      <c r="DQ75" s="7">
        <f>VC_NEW2!DL32</f>
        <v>0</v>
      </c>
      <c r="DR75" s="7">
        <f>VC_NEW2!DM32</f>
        <v>0</v>
      </c>
      <c r="DS75" s="7">
        <f>VC_NEW2!DN32</f>
        <v>0</v>
      </c>
      <c r="DT75" s="7">
        <f>VC_NEW2!DO32</f>
        <v>0</v>
      </c>
      <c r="DU75" s="7">
        <f>VC_NEW2!DP32</f>
        <v>0</v>
      </c>
      <c r="DV75" s="7">
        <f>VC_NEW2!DQ32</f>
        <v>0</v>
      </c>
      <c r="DW75" s="7">
        <f>VC_NEW2!DR32</f>
        <v>0</v>
      </c>
      <c r="DX75" s="7">
        <f>VC_NEW2!DS32</f>
        <v>0</v>
      </c>
      <c r="DY75" s="7">
        <f>VC_NEW2!DT32</f>
        <v>0</v>
      </c>
      <c r="DZ75" s="7">
        <f>VC_NEW2!DU32</f>
        <v>0</v>
      </c>
      <c r="EA75" s="7">
        <f>VC_NEW2!DV32</f>
        <v>0</v>
      </c>
      <c r="EB75" s="7" t="str">
        <f>VC_NEW2!DW32</f>
        <v xml:space="preserve">S306T </v>
      </c>
      <c r="EC75" s="7">
        <f>VC_NEW2!DX32</f>
        <v>0</v>
      </c>
      <c r="ED75" s="7">
        <f>VC_NEW2!DY32</f>
        <v>0</v>
      </c>
      <c r="EE75" s="7">
        <f>VC_NEW2!DZ32</f>
        <v>0</v>
      </c>
      <c r="EF75" s="7">
        <f>VC_NEW2!EA32</f>
        <v>0</v>
      </c>
      <c r="EG75" s="7">
        <f>VC_NEW2!EB32</f>
        <v>0</v>
      </c>
      <c r="EH75" s="7">
        <f>VC_NEW2!EC32</f>
        <v>0</v>
      </c>
      <c r="EI75" s="7" t="str">
        <f>VC_NEW2!ED32</f>
        <v xml:space="preserve">L133I      </v>
      </c>
      <c r="EJ75" s="7">
        <f>VC_NEW2!EE32</f>
        <v>0</v>
      </c>
      <c r="EK75" s="7">
        <f>VC_NEW2!EF32</f>
        <v>0</v>
      </c>
      <c r="EL75" s="7" t="str">
        <f>VC_NEW2!EG32</f>
        <v xml:space="preserve">D280N, Q311L  </v>
      </c>
      <c r="EM75" s="7">
        <f>VC_NEW2!EH32</f>
        <v>0</v>
      </c>
      <c r="EN75" s="7">
        <f>VC_NEW2!EI32</f>
        <v>0</v>
      </c>
      <c r="EO75" s="7">
        <f>VC_NEW2!EJ32</f>
        <v>0</v>
      </c>
      <c r="EP75" s="7">
        <f>VC_NEW2!EK32</f>
        <v>0</v>
      </c>
      <c r="EQ75" s="7">
        <f>VC_NEW2!EL32</f>
        <v>0</v>
      </c>
      <c r="ER75" s="7">
        <f>VC_NEW2!EM32</f>
        <v>0</v>
      </c>
      <c r="ES75" s="7">
        <f>VC_NEW2!EN32</f>
        <v>0</v>
      </c>
      <c r="ET75" s="7" t="str">
        <f>VC_NEW2!EO32</f>
        <v>V239A</v>
      </c>
      <c r="EU75" s="7">
        <f>VC_NEW2!EP32</f>
        <v>0</v>
      </c>
      <c r="EV75" s="7">
        <f>VC_NEW2!EQ32</f>
        <v>0</v>
      </c>
      <c r="EW75" s="7" t="str">
        <f>VC_NEW2!ER32</f>
        <v xml:space="preserve">P274H, S306A, I325V  </v>
      </c>
      <c r="EX75" s="7">
        <f>VC_NEW2!ES32</f>
        <v>0</v>
      </c>
      <c r="EY75" s="7">
        <f>VC_NEW2!ET32</f>
        <v>0</v>
      </c>
      <c r="EZ75" s="7">
        <f>VC_NEW2!EU32</f>
        <v>0</v>
      </c>
      <c r="FA75" s="7">
        <f>VC_NEW2!EV32</f>
        <v>0</v>
      </c>
      <c r="FB75" s="7">
        <f>VC_NEW2!EW32</f>
        <v>0</v>
      </c>
      <c r="FC75" s="7" t="str">
        <f>VC_NEW2!EX32</f>
        <v xml:space="preserve">P82L </v>
      </c>
      <c r="FD75" s="7">
        <f>VC_NEW2!EY32</f>
        <v>0</v>
      </c>
      <c r="FE75" s="7">
        <f>VC_NEW2!EZ32</f>
        <v>0</v>
      </c>
      <c r="FF75" s="7">
        <f>VC_NEW2!FA32</f>
        <v>0</v>
      </c>
      <c r="FG75" s="7">
        <f>VC_NEW2!FB32</f>
        <v>0</v>
      </c>
      <c r="FH75" s="7">
        <f>VC_NEW2!FC32</f>
        <v>0</v>
      </c>
      <c r="FI75" s="7">
        <f>VC_NEW2!FD32</f>
        <v>0</v>
      </c>
      <c r="FJ75" s="7">
        <f>VC_NEW2!FE32</f>
        <v>0</v>
      </c>
      <c r="FK75" s="7">
        <f>VC_NEW2!FF32</f>
        <v>0</v>
      </c>
      <c r="FL75" s="7">
        <f>VC_NEW2!FG32</f>
        <v>0</v>
      </c>
      <c r="FM75" s="7">
        <f>VC_NEW2!FH32</f>
        <v>0</v>
      </c>
      <c r="FN75" s="7" t="str">
        <f>VC_NEW2!FI32</f>
        <v xml:space="preserve">S306T </v>
      </c>
      <c r="FO75" s="7">
        <f>VC_NEW2!FJ32</f>
        <v>0</v>
      </c>
      <c r="FP75" s="7">
        <f>VC_NEW2!FK32</f>
        <v>0</v>
      </c>
      <c r="FQ75" s="7">
        <f>VC_NEW2!FL32</f>
        <v>0</v>
      </c>
      <c r="FR75" s="7">
        <f>VC_NEW2!FM32</f>
        <v>0</v>
      </c>
      <c r="FS75" s="7" t="str">
        <f>VC_NEW2!FN32</f>
        <v>D302H</v>
      </c>
      <c r="FT75" s="7">
        <f>VC_NEW2!FO32</f>
        <v>0</v>
      </c>
      <c r="FU75" s="7">
        <f>VC_NEW2!FP32</f>
        <v>0</v>
      </c>
      <c r="FV75" s="7">
        <f>VC_NEW2!FQ32</f>
        <v>0</v>
      </c>
      <c r="FW75" s="7">
        <f>VC_NEW2!FR32</f>
        <v>0</v>
      </c>
      <c r="FX75" s="7">
        <f>VC_NEW2!FS32</f>
        <v>0</v>
      </c>
      <c r="FY75" s="7">
        <f>VC_NEW2!FT32</f>
        <v>0</v>
      </c>
      <c r="FZ75" s="7">
        <f>VC_NEW2!FU32</f>
        <v>0</v>
      </c>
      <c r="GA75" s="7">
        <f>VC_NEW2!FV32</f>
        <v>0</v>
      </c>
      <c r="GB75" s="7">
        <f>VC_NEW2!FW32</f>
        <v>0</v>
      </c>
      <c r="GC75" s="7" t="str">
        <f>VC_NEW2!FX32</f>
        <v>D291N</v>
      </c>
      <c r="GD75" s="7">
        <f>VC_NEW2!FY32</f>
        <v>0</v>
      </c>
      <c r="GE75" s="7">
        <f>VC_NEW2!FZ32</f>
        <v>0</v>
      </c>
      <c r="GF75" s="7">
        <f>VC_NEW2!GA32</f>
        <v>0</v>
      </c>
      <c r="GG75" s="7">
        <f>VC_NEW2!GB32</f>
        <v>0</v>
      </c>
      <c r="GH75" s="7">
        <f>VC_NEW2!GC32</f>
        <v>0</v>
      </c>
      <c r="GI75" s="7">
        <f>VC_NEW2!GD32</f>
        <v>0</v>
      </c>
      <c r="GJ75" s="7">
        <f>VC_NEW2!GE32</f>
        <v>0</v>
      </c>
      <c r="GK75" s="7">
        <f>VC_NEW2!GF32</f>
        <v>0</v>
      </c>
      <c r="GL75" s="7">
        <f>VC_NEW2!GG32</f>
        <v>0</v>
      </c>
      <c r="GM75" s="7">
        <f>VC_NEW2!GH32</f>
        <v>0</v>
      </c>
      <c r="GN75" s="7">
        <f>VC_NEW2!GI32</f>
        <v>0</v>
      </c>
      <c r="GO75" s="7">
        <f>VC_NEW2!GJ32</f>
        <v>0</v>
      </c>
      <c r="GP75" s="7">
        <f>VC_NEW2!GK32</f>
        <v>0</v>
      </c>
      <c r="GQ75" s="7">
        <f>VC_NEW2!GL32</f>
        <v>0</v>
      </c>
      <c r="GR75" s="7">
        <f>VC_NEW2!GM32</f>
        <v>0</v>
      </c>
      <c r="GS75" s="7">
        <f>VC_NEW2!GN32</f>
        <v>0</v>
      </c>
      <c r="GT75" s="7">
        <f>VC_NEW2!GO32</f>
        <v>0</v>
      </c>
      <c r="GU75" s="7" t="str">
        <f>VC_NEW2!GP32</f>
        <v xml:space="preserve">T16I, P148S   </v>
      </c>
      <c r="GV75" s="7">
        <f>VC_NEW2!GQ32</f>
        <v>0</v>
      </c>
      <c r="GW75" s="7">
        <f>VC_NEW2!GR32</f>
        <v>0</v>
      </c>
      <c r="GX75" s="7">
        <f>VC_NEW2!GS32</f>
        <v>0</v>
      </c>
      <c r="GY75" s="7">
        <f>VC_NEW2!GT32</f>
        <v>0</v>
      </c>
      <c r="GZ75" s="7">
        <f>VC_NEW2!GU32</f>
        <v>0</v>
      </c>
      <c r="HA75" s="7">
        <f>VC_NEW2!GV32</f>
        <v>0</v>
      </c>
      <c r="HB75" s="7">
        <f>VC_NEW2!GW32</f>
        <v>0</v>
      </c>
      <c r="HC75" s="7">
        <f>VC_NEW2!GX32</f>
        <v>0</v>
      </c>
    </row>
    <row r="76" spans="1:211" s="1" customFormat="1" ht="15" hidden="1" customHeight="1" x14ac:dyDescent="0.25">
      <c r="A76" s="1" t="s">
        <v>60</v>
      </c>
      <c r="B76" s="1" t="s">
        <v>61</v>
      </c>
      <c r="C76" s="4" t="s">
        <v>0</v>
      </c>
      <c r="D76" s="1" t="s">
        <v>76</v>
      </c>
      <c r="E76" s="1" t="s">
        <v>138</v>
      </c>
      <c r="F76" s="1" t="s">
        <v>73</v>
      </c>
      <c r="G76" s="12" t="s">
        <v>152</v>
      </c>
      <c r="H76" s="1">
        <f>VC_NEW2!C33</f>
        <v>0</v>
      </c>
      <c r="I76" s="1">
        <f>VC_NEW2!D33</f>
        <v>0</v>
      </c>
      <c r="J76" s="1">
        <f>VC_NEW2!E33</f>
        <v>0</v>
      </c>
      <c r="K76" s="1">
        <f>VC_NEW2!F33</f>
        <v>0</v>
      </c>
      <c r="L76" s="1">
        <f>VC_NEW2!G33</f>
        <v>0</v>
      </c>
      <c r="M76" s="1">
        <f>VC_NEW2!H33</f>
        <v>0</v>
      </c>
      <c r="N76" s="1">
        <f>VC_NEW2!I33</f>
        <v>0</v>
      </c>
      <c r="O76" s="1">
        <f>VC_NEW2!J33</f>
        <v>0</v>
      </c>
      <c r="P76" s="1">
        <f>VC_NEW2!K33</f>
        <v>0</v>
      </c>
      <c r="Q76" s="1">
        <f>VC_NEW2!L33</f>
        <v>0</v>
      </c>
      <c r="R76" s="1">
        <f>VC_NEW2!M33</f>
        <v>0</v>
      </c>
      <c r="S76" s="1">
        <f>VC_NEW2!N33</f>
        <v>0</v>
      </c>
      <c r="T76" s="1">
        <f>VC_NEW2!O33</f>
        <v>0</v>
      </c>
      <c r="U76" s="1">
        <f>VC_NEW2!P33</f>
        <v>0</v>
      </c>
      <c r="V76" s="1">
        <f>VC_NEW2!Q33</f>
        <v>0</v>
      </c>
      <c r="W76" s="1">
        <f>VC_NEW2!R33</f>
        <v>0</v>
      </c>
      <c r="X76" s="1">
        <f>VC_NEW2!S33</f>
        <v>0</v>
      </c>
      <c r="Y76" s="1">
        <f>VC_NEW2!T33</f>
        <v>0</v>
      </c>
      <c r="Z76" s="1">
        <f>VC_NEW2!U33</f>
        <v>0</v>
      </c>
      <c r="AA76" s="1">
        <f>VC_NEW2!V33</f>
        <v>0</v>
      </c>
      <c r="AB76" s="1">
        <f>VC_NEW2!W33</f>
        <v>0</v>
      </c>
      <c r="AC76" s="1">
        <f>VC_NEW2!X33</f>
        <v>0</v>
      </c>
      <c r="AD76" s="1">
        <f>VC_NEW2!Y33</f>
        <v>0</v>
      </c>
      <c r="AE76" s="1">
        <f>VC_NEW2!Z33</f>
        <v>0</v>
      </c>
      <c r="AF76" s="1">
        <f>VC_NEW2!AA33</f>
        <v>0</v>
      </c>
      <c r="AG76" s="1">
        <f>VC_NEW2!AB33</f>
        <v>0</v>
      </c>
      <c r="AH76" s="1">
        <f>VC_NEW2!AC33</f>
        <v>0</v>
      </c>
      <c r="AI76" s="1">
        <f>VC_NEW2!AD33</f>
        <v>0</v>
      </c>
      <c r="AJ76" s="1">
        <f>VC_NEW2!AE33</f>
        <v>0</v>
      </c>
      <c r="AK76" s="1">
        <f>VC_NEW2!AF33</f>
        <v>0</v>
      </c>
      <c r="AL76" s="1">
        <f>VC_NEW2!AG33</f>
        <v>0</v>
      </c>
      <c r="AM76" s="1">
        <f>VC_NEW2!AH33</f>
        <v>0</v>
      </c>
      <c r="AN76" s="1">
        <f>VC_NEW2!AI33</f>
        <v>0</v>
      </c>
      <c r="AO76" s="1">
        <f>VC_NEW2!AJ33</f>
        <v>0</v>
      </c>
      <c r="AP76" s="1">
        <f>VC_NEW2!AK33</f>
        <v>0</v>
      </c>
      <c r="AQ76" s="1">
        <f>VC_NEW2!AL33</f>
        <v>0</v>
      </c>
      <c r="AR76" s="1">
        <f>VC_NEW2!AM33</f>
        <v>0</v>
      </c>
      <c r="AS76" s="1">
        <f>VC_NEW2!AN33</f>
        <v>0</v>
      </c>
      <c r="AT76" s="1">
        <f>VC_NEW2!AO33</f>
        <v>0</v>
      </c>
      <c r="AU76" s="1">
        <f>VC_NEW2!AP33</f>
        <v>0</v>
      </c>
      <c r="AV76" s="1">
        <f>VC_NEW2!AQ33</f>
        <v>0</v>
      </c>
      <c r="AW76" s="1">
        <f>VC_NEW2!AR33</f>
        <v>0</v>
      </c>
      <c r="AX76" s="1">
        <f>VC_NEW2!AS33</f>
        <v>0</v>
      </c>
      <c r="AY76" s="1">
        <f>VC_NEW2!AT33</f>
        <v>0</v>
      </c>
      <c r="AZ76" s="1">
        <f>VC_NEW2!AU33</f>
        <v>0</v>
      </c>
      <c r="BA76" s="1">
        <f>VC_NEW2!AV33</f>
        <v>0</v>
      </c>
      <c r="BB76" s="1">
        <f>VC_NEW2!AW33</f>
        <v>0</v>
      </c>
      <c r="BC76" s="1">
        <f>VC_NEW2!AX33</f>
        <v>0</v>
      </c>
      <c r="BD76" s="1">
        <f>VC_NEW2!AY33</f>
        <v>0</v>
      </c>
      <c r="BE76" s="1">
        <f>VC_NEW2!AZ33</f>
        <v>0</v>
      </c>
      <c r="BF76" s="1">
        <f>VC_NEW2!BA33</f>
        <v>0</v>
      </c>
      <c r="BG76" s="1">
        <f>VC_NEW2!BB33</f>
        <v>0</v>
      </c>
      <c r="BH76" s="1">
        <f>VC_NEW2!BC33</f>
        <v>0</v>
      </c>
      <c r="BI76" s="1">
        <f>VC_NEW2!BD33</f>
        <v>0</v>
      </c>
      <c r="BJ76" s="1">
        <f>VC_NEW2!BE33</f>
        <v>0</v>
      </c>
      <c r="BK76" s="1">
        <f>VC_NEW2!BF33</f>
        <v>0</v>
      </c>
      <c r="BL76" s="1">
        <f>VC_NEW2!BG33</f>
        <v>0</v>
      </c>
      <c r="BM76" s="1">
        <f>VC_NEW2!BH33</f>
        <v>0</v>
      </c>
      <c r="BN76" s="1">
        <f>VC_NEW2!BI33</f>
        <v>0</v>
      </c>
      <c r="BO76" s="1">
        <f>VC_NEW2!BJ33</f>
        <v>0</v>
      </c>
      <c r="BP76" s="1">
        <f>VC_NEW2!BK33</f>
        <v>0</v>
      </c>
      <c r="BQ76" s="1">
        <f>VC_NEW2!BL33</f>
        <v>0</v>
      </c>
      <c r="BR76" s="1">
        <f>VC_NEW2!BM33</f>
        <v>0</v>
      </c>
      <c r="BS76" s="1">
        <f>VC_NEW2!BN33</f>
        <v>0</v>
      </c>
      <c r="BT76" s="1">
        <f>VC_NEW2!BO33</f>
        <v>0</v>
      </c>
      <c r="BU76" s="1">
        <f>VC_NEW2!BP33</f>
        <v>0</v>
      </c>
      <c r="BV76" s="1">
        <f>VC_NEW2!BQ33</f>
        <v>0</v>
      </c>
      <c r="BW76" s="1">
        <f>VC_NEW2!BR33</f>
        <v>0</v>
      </c>
      <c r="BX76" s="1">
        <f>VC_NEW2!BS33</f>
        <v>0</v>
      </c>
      <c r="BY76" s="1">
        <f>VC_NEW2!BT33</f>
        <v>0</v>
      </c>
      <c r="BZ76" s="1">
        <f>VC_NEW2!BU33</f>
        <v>0</v>
      </c>
      <c r="CA76" s="1">
        <f>VC_NEW2!BV33</f>
        <v>0</v>
      </c>
      <c r="CB76" s="1">
        <f>VC_NEW2!BW33</f>
        <v>0</v>
      </c>
      <c r="CC76" s="1">
        <f>VC_NEW2!BX33</f>
        <v>0</v>
      </c>
      <c r="CD76" s="1">
        <f>VC_NEW2!BY33</f>
        <v>0</v>
      </c>
      <c r="CE76" s="1">
        <f>VC_NEW2!BZ33</f>
        <v>0</v>
      </c>
      <c r="CF76" s="1">
        <f>VC_NEW2!CA33</f>
        <v>0</v>
      </c>
      <c r="CG76" s="1">
        <f>VC_NEW2!CB33</f>
        <v>0</v>
      </c>
      <c r="CH76" s="1">
        <f>VC_NEW2!CC33</f>
        <v>0</v>
      </c>
      <c r="CI76" s="1">
        <f>VC_NEW2!CD33</f>
        <v>0</v>
      </c>
      <c r="CJ76" s="1">
        <f>VC_NEW2!CE33</f>
        <v>0</v>
      </c>
      <c r="CK76" s="1">
        <f>VC_NEW2!CF33</f>
        <v>0</v>
      </c>
      <c r="CL76" s="1">
        <f>VC_NEW2!CG33</f>
        <v>0</v>
      </c>
      <c r="CM76" s="1">
        <f>VC_NEW2!CH33</f>
        <v>0</v>
      </c>
      <c r="CN76" s="1">
        <f>VC_NEW2!CI33</f>
        <v>0</v>
      </c>
      <c r="CO76" s="1">
        <f>VC_NEW2!CJ33</f>
        <v>0</v>
      </c>
      <c r="CP76" s="1">
        <f>VC_NEW2!CK33</f>
        <v>0</v>
      </c>
      <c r="CQ76" s="1">
        <f>VC_NEW2!CL33</f>
        <v>0</v>
      </c>
      <c r="CR76" s="1">
        <f>VC_NEW2!CM33</f>
        <v>0</v>
      </c>
      <c r="CS76" s="1">
        <f>VC_NEW2!CN33</f>
        <v>0</v>
      </c>
      <c r="CT76" s="1">
        <f>VC_NEW2!CO33</f>
        <v>0</v>
      </c>
      <c r="CU76" s="1">
        <f>VC_NEW2!CP33</f>
        <v>0</v>
      </c>
      <c r="CV76" s="1">
        <f>VC_NEW2!CQ33</f>
        <v>0</v>
      </c>
      <c r="CW76" s="1">
        <f>VC_NEW2!CR33</f>
        <v>0</v>
      </c>
      <c r="CX76" s="1">
        <f>VC_NEW2!CS33</f>
        <v>0</v>
      </c>
      <c r="CY76" s="1">
        <f>VC_NEW2!CT33</f>
        <v>0</v>
      </c>
      <c r="CZ76" s="1">
        <f>VC_NEW2!CU33</f>
        <v>0</v>
      </c>
      <c r="DA76" s="1">
        <f>VC_NEW2!CV33</f>
        <v>0</v>
      </c>
      <c r="DB76" s="1">
        <f>VC_NEW2!CW33</f>
        <v>0</v>
      </c>
      <c r="DC76" s="1">
        <f>VC_NEW2!CX33</f>
        <v>0</v>
      </c>
      <c r="DD76" s="1">
        <f>VC_NEW2!CY33</f>
        <v>0</v>
      </c>
      <c r="DE76" s="1">
        <f>VC_NEW2!CZ33</f>
        <v>0</v>
      </c>
      <c r="DF76" s="1">
        <f>VC_NEW2!DA33</f>
        <v>0</v>
      </c>
      <c r="DG76" s="1">
        <f>VC_NEW2!DB33</f>
        <v>0</v>
      </c>
      <c r="DH76" s="1">
        <f>VC_NEW2!DC33</f>
        <v>0</v>
      </c>
      <c r="DI76" s="1">
        <f>VC_NEW2!DD33</f>
        <v>0</v>
      </c>
      <c r="DJ76" s="1">
        <f>VC_NEW2!DE33</f>
        <v>0</v>
      </c>
      <c r="DK76" s="1">
        <f>VC_NEW2!DF33</f>
        <v>0</v>
      </c>
      <c r="DL76" s="1">
        <f>VC_NEW2!DG33</f>
        <v>0</v>
      </c>
      <c r="DM76" s="1">
        <f>VC_NEW2!DH33</f>
        <v>0</v>
      </c>
      <c r="DN76" s="1">
        <f>VC_NEW2!DI33</f>
        <v>0</v>
      </c>
      <c r="DO76" s="1">
        <f>VC_NEW2!DJ33</f>
        <v>0</v>
      </c>
      <c r="DP76" s="1">
        <f>VC_NEW2!DK33</f>
        <v>0</v>
      </c>
      <c r="DQ76" s="1">
        <f>VC_NEW2!DL33</f>
        <v>0</v>
      </c>
      <c r="DR76" s="1" t="str">
        <f>VC_NEW2!DM33</f>
        <v>Q678L</v>
      </c>
      <c r="DS76" s="1">
        <f>VC_NEW2!DN33</f>
        <v>0</v>
      </c>
      <c r="DT76" s="1">
        <f>VC_NEW2!DO33</f>
        <v>0</v>
      </c>
      <c r="DU76" s="1">
        <f>VC_NEW2!DP33</f>
        <v>0</v>
      </c>
      <c r="DV76" s="1" t="str">
        <f>VC_NEW2!DQ33</f>
        <v>Q678R</v>
      </c>
      <c r="DW76" s="1">
        <f>VC_NEW2!DR33</f>
        <v>0</v>
      </c>
      <c r="DX76" s="1">
        <f>VC_NEW2!DS33</f>
        <v>0</v>
      </c>
      <c r="DY76" s="1">
        <f>VC_NEW2!DT33</f>
        <v>0</v>
      </c>
      <c r="DZ76" s="1">
        <f>VC_NEW2!DU33</f>
        <v>0</v>
      </c>
      <c r="EA76" s="1">
        <f>VC_NEW2!DV33</f>
        <v>0</v>
      </c>
      <c r="EB76" s="1">
        <f>VC_NEW2!DW33</f>
        <v>0</v>
      </c>
      <c r="EC76" s="1">
        <f>VC_NEW2!DX33</f>
        <v>0</v>
      </c>
      <c r="ED76" s="1" t="str">
        <f>VC_NEW2!DY33</f>
        <v>R680C</v>
      </c>
      <c r="EE76" s="1">
        <f>VC_NEW2!DZ33</f>
        <v>0</v>
      </c>
      <c r="EF76" s="1">
        <f>VC_NEW2!EA33</f>
        <v>0</v>
      </c>
      <c r="EG76" s="1">
        <f>VC_NEW2!EB33</f>
        <v>0</v>
      </c>
      <c r="EH76" s="1">
        <f>VC_NEW2!EC33</f>
        <v>0</v>
      </c>
      <c r="EI76" s="1" t="str">
        <f>VC_NEW2!ED33</f>
        <v>S695T</v>
      </c>
      <c r="EJ76" s="1">
        <f>VC_NEW2!EE33</f>
        <v>0</v>
      </c>
      <c r="EK76" s="1">
        <f>VC_NEW2!EF33</f>
        <v>0</v>
      </c>
      <c r="EL76" s="1">
        <f>VC_NEW2!EG33</f>
        <v>0</v>
      </c>
      <c r="EM76" s="1">
        <f>VC_NEW2!EH33</f>
        <v>0</v>
      </c>
      <c r="EN76" s="1">
        <f>VC_NEW2!EI33</f>
        <v>0</v>
      </c>
      <c r="EO76" s="1">
        <f>VC_NEW2!EJ33</f>
        <v>0</v>
      </c>
      <c r="EP76" s="1">
        <f>VC_NEW2!EK33</f>
        <v>0</v>
      </c>
      <c r="EQ76" s="1">
        <f>VC_NEW2!EL33</f>
        <v>0</v>
      </c>
      <c r="ER76" s="1">
        <f>VC_NEW2!EM33</f>
        <v>0</v>
      </c>
      <c r="ES76" s="1">
        <f>VC_NEW2!EN33</f>
        <v>0</v>
      </c>
      <c r="ET76" s="1" t="str">
        <f>VC_NEW2!EO33</f>
        <v>T671A</v>
      </c>
      <c r="EU76" s="1">
        <f>VC_NEW2!EP33</f>
        <v>0</v>
      </c>
      <c r="EV76" s="1">
        <f>VC_NEW2!EQ33</f>
        <v>0</v>
      </c>
      <c r="EW76" s="1">
        <f>VC_NEW2!ER33</f>
        <v>0</v>
      </c>
      <c r="EX76" s="1">
        <f>VC_NEW2!ES33</f>
        <v>0</v>
      </c>
      <c r="EY76" s="1">
        <f>VC_NEW2!ET33</f>
        <v>0</v>
      </c>
      <c r="EZ76" s="1">
        <f>VC_NEW2!EU33</f>
        <v>0</v>
      </c>
      <c r="FA76" s="1">
        <f>VC_NEW2!EV33</f>
        <v>0</v>
      </c>
      <c r="FB76" s="1">
        <f>VC_NEW2!EW33</f>
        <v>0</v>
      </c>
      <c r="FC76" s="1">
        <f>VC_NEW2!EX33</f>
        <v>0</v>
      </c>
      <c r="FD76" s="1">
        <f>VC_NEW2!EY33</f>
        <v>0</v>
      </c>
      <c r="FE76" s="1">
        <f>VC_NEW2!EZ33</f>
        <v>0</v>
      </c>
      <c r="FF76" s="1">
        <f>VC_NEW2!FA33</f>
        <v>0</v>
      </c>
      <c r="FG76" s="1">
        <f>VC_NEW2!FB33</f>
        <v>0</v>
      </c>
      <c r="FH76" s="1">
        <f>VC_NEW2!FC33</f>
        <v>0</v>
      </c>
      <c r="FI76" s="1">
        <f>VC_NEW2!FD33</f>
        <v>0</v>
      </c>
      <c r="FJ76" s="1">
        <f>VC_NEW2!FE33</f>
        <v>0</v>
      </c>
      <c r="FK76" s="1">
        <f>VC_NEW2!FF33</f>
        <v>0</v>
      </c>
      <c r="FL76" s="1">
        <f>VC_NEW2!FG33</f>
        <v>0</v>
      </c>
      <c r="FM76" s="1">
        <f>VC_NEW2!FH33</f>
        <v>0</v>
      </c>
      <c r="FN76" s="1">
        <f>VC_NEW2!FI33</f>
        <v>0</v>
      </c>
      <c r="FO76" s="1">
        <f>VC_NEW2!FJ33</f>
        <v>0</v>
      </c>
      <c r="FP76" s="1">
        <f>VC_NEW2!FK33</f>
        <v>0</v>
      </c>
      <c r="FQ76" s="1">
        <f>VC_NEW2!FL33</f>
        <v>0</v>
      </c>
      <c r="FR76" s="1">
        <f>VC_NEW2!FM33</f>
        <v>0</v>
      </c>
      <c r="FS76" s="1">
        <f>VC_NEW2!FN33</f>
        <v>0</v>
      </c>
      <c r="FT76" s="1">
        <f>VC_NEW2!FO33</f>
        <v>0</v>
      </c>
      <c r="FU76" s="1">
        <f>VC_NEW2!FP33</f>
        <v>0</v>
      </c>
      <c r="FV76" s="1">
        <f>VC_NEW2!FQ33</f>
        <v>0</v>
      </c>
      <c r="FW76" s="1">
        <f>VC_NEW2!FR33</f>
        <v>0</v>
      </c>
      <c r="FX76" s="1">
        <f>VC_NEW2!FS33</f>
        <v>0</v>
      </c>
      <c r="FY76" s="1">
        <f>VC_NEW2!FT33</f>
        <v>0</v>
      </c>
      <c r="FZ76" s="1">
        <f>VC_NEW2!FU33</f>
        <v>0</v>
      </c>
      <c r="GA76" s="1">
        <f>VC_NEW2!FV33</f>
        <v>0</v>
      </c>
      <c r="GB76" s="1">
        <f>VC_NEW2!FW33</f>
        <v>0</v>
      </c>
      <c r="GC76" s="1">
        <f>VC_NEW2!FX33</f>
        <v>0</v>
      </c>
      <c r="GD76" s="1">
        <f>VC_NEW2!FY33</f>
        <v>0</v>
      </c>
      <c r="GE76" s="1">
        <f>VC_NEW2!FZ33</f>
        <v>0</v>
      </c>
      <c r="GF76" s="1">
        <f>VC_NEW2!GA33</f>
        <v>0</v>
      </c>
      <c r="GG76" s="1">
        <f>VC_NEW2!GB33</f>
        <v>0</v>
      </c>
      <c r="GH76" s="1">
        <f>VC_NEW2!GC33</f>
        <v>0</v>
      </c>
      <c r="GI76" s="1">
        <f>VC_NEW2!GD33</f>
        <v>0</v>
      </c>
      <c r="GJ76" s="1" t="str">
        <f>VC_NEW2!GE33</f>
        <v>K212T</v>
      </c>
      <c r="GK76" s="1">
        <f>VC_NEW2!GF33</f>
        <v>0</v>
      </c>
      <c r="GL76" s="1">
        <f>VC_NEW2!GG33</f>
        <v>0</v>
      </c>
      <c r="GM76" s="1">
        <f>VC_NEW2!GH33</f>
        <v>0</v>
      </c>
      <c r="GN76" s="1">
        <f>VC_NEW2!GI33</f>
        <v>0</v>
      </c>
      <c r="GO76" s="1">
        <f>VC_NEW2!GJ33</f>
        <v>0</v>
      </c>
      <c r="GP76" s="1">
        <f>VC_NEW2!GK33</f>
        <v>0</v>
      </c>
      <c r="GQ76" s="1">
        <f>VC_NEW2!GL33</f>
        <v>0</v>
      </c>
      <c r="GR76" s="1">
        <f>VC_NEW2!GM33</f>
        <v>0</v>
      </c>
      <c r="GS76" s="1">
        <f>VC_NEW2!GN33</f>
        <v>0</v>
      </c>
      <c r="GT76" s="1">
        <f>VC_NEW2!GO33</f>
        <v>0</v>
      </c>
      <c r="GU76" s="1">
        <f>VC_NEW2!GP33</f>
        <v>0</v>
      </c>
      <c r="GV76" s="1">
        <f>VC_NEW2!GQ33</f>
        <v>0</v>
      </c>
      <c r="GW76" s="1">
        <f>VC_NEW2!GR33</f>
        <v>0</v>
      </c>
      <c r="GX76" s="1" t="str">
        <f>VC_NEW2!GS33</f>
        <v xml:space="preserve"> Y552C</v>
      </c>
      <c r="GY76" s="1">
        <f>VC_NEW2!GT33</f>
        <v>0</v>
      </c>
      <c r="GZ76" s="1">
        <f>VC_NEW2!GU33</f>
        <v>0</v>
      </c>
      <c r="HA76" s="1">
        <f>VC_NEW2!GV33</f>
        <v>0</v>
      </c>
      <c r="HB76" s="1">
        <f>VC_NEW2!GW33</f>
        <v>0</v>
      </c>
      <c r="HC76" s="1">
        <f>VC_NEW2!GX33</f>
        <v>0</v>
      </c>
    </row>
    <row r="77" spans="1:211" s="7" customFormat="1" ht="15" hidden="1" customHeight="1" x14ac:dyDescent="0.25">
      <c r="A77" s="7" t="s">
        <v>32</v>
      </c>
      <c r="B77" s="7" t="s">
        <v>99</v>
      </c>
      <c r="C77" s="8" t="s">
        <v>1</v>
      </c>
      <c r="D77" s="7" t="s">
        <v>76</v>
      </c>
      <c r="E77" s="7" t="s">
        <v>138</v>
      </c>
      <c r="F77" s="7" t="s">
        <v>73</v>
      </c>
      <c r="G77" s="7" t="s">
        <v>1054</v>
      </c>
      <c r="H77" s="7">
        <f>VC_NEW2!C34</f>
        <v>0</v>
      </c>
      <c r="I77" s="7">
        <f>VC_NEW2!D34</f>
        <v>0</v>
      </c>
      <c r="J77" s="7">
        <f>VC_NEW2!E34</f>
        <v>0</v>
      </c>
      <c r="K77" s="7">
        <f>VC_NEW2!F34</f>
        <v>0</v>
      </c>
      <c r="L77" s="7">
        <f>VC_NEW2!G34</f>
        <v>0</v>
      </c>
      <c r="M77" s="7">
        <f>VC_NEW2!H34</f>
        <v>0</v>
      </c>
      <c r="N77" s="7">
        <f>VC_NEW2!I34</f>
        <v>0</v>
      </c>
      <c r="O77" s="7">
        <f>VC_NEW2!J34</f>
        <v>0</v>
      </c>
      <c r="P77" s="7">
        <f>VC_NEW2!K34</f>
        <v>0</v>
      </c>
      <c r="Q77" s="7">
        <f>VC_NEW2!L34</f>
        <v>0</v>
      </c>
      <c r="R77" s="7">
        <f>VC_NEW2!M34</f>
        <v>0</v>
      </c>
      <c r="S77" s="7">
        <f>VC_NEW2!N34</f>
        <v>0</v>
      </c>
      <c r="T77" s="7">
        <f>VC_NEW2!O34</f>
        <v>0</v>
      </c>
      <c r="U77" s="7">
        <f>VC_NEW2!P34</f>
        <v>0</v>
      </c>
      <c r="V77" s="7">
        <f>VC_NEW2!Q34</f>
        <v>0</v>
      </c>
      <c r="W77" s="7">
        <f>VC_NEW2!R34</f>
        <v>0</v>
      </c>
      <c r="X77" s="7">
        <f>VC_NEW2!S34</f>
        <v>0</v>
      </c>
      <c r="Y77" s="7">
        <f>VC_NEW2!T34</f>
        <v>0</v>
      </c>
      <c r="Z77" s="7">
        <f>VC_NEW2!U34</f>
        <v>0</v>
      </c>
      <c r="AA77" s="7">
        <f>VC_NEW2!V34</f>
        <v>0</v>
      </c>
      <c r="AB77" s="7">
        <f>VC_NEW2!W34</f>
        <v>0</v>
      </c>
      <c r="AC77" s="7">
        <f>VC_NEW2!X34</f>
        <v>0</v>
      </c>
      <c r="AD77" s="7">
        <f>VC_NEW2!Y34</f>
        <v>0</v>
      </c>
      <c r="AE77" s="7">
        <f>VC_NEW2!Z34</f>
        <v>0</v>
      </c>
      <c r="AF77" s="7">
        <f>VC_NEW2!AA34</f>
        <v>0</v>
      </c>
      <c r="AG77" s="7">
        <f>VC_NEW2!AB34</f>
        <v>0</v>
      </c>
      <c r="AH77" s="7">
        <f>VC_NEW2!AC34</f>
        <v>0</v>
      </c>
      <c r="AI77" s="7">
        <f>VC_NEW2!AD34</f>
        <v>0</v>
      </c>
      <c r="AJ77" s="7">
        <f>VC_NEW2!AE34</f>
        <v>0</v>
      </c>
      <c r="AK77" s="7">
        <f>VC_NEW2!AF34</f>
        <v>0</v>
      </c>
      <c r="AL77" s="7">
        <f>VC_NEW2!AG34</f>
        <v>0</v>
      </c>
      <c r="AM77" s="7">
        <f>VC_NEW2!AH34</f>
        <v>0</v>
      </c>
      <c r="AN77" s="7">
        <f>VC_NEW2!AI34</f>
        <v>0</v>
      </c>
      <c r="AO77" s="7">
        <f>VC_NEW2!AJ34</f>
        <v>0</v>
      </c>
      <c r="AP77" s="7">
        <f>VC_NEW2!AK34</f>
        <v>0</v>
      </c>
      <c r="AQ77" s="7">
        <f>VC_NEW2!AL34</f>
        <v>0</v>
      </c>
      <c r="AR77" s="7">
        <f>VC_NEW2!AM34</f>
        <v>0</v>
      </c>
      <c r="AS77" s="7">
        <f>VC_NEW2!AN34</f>
        <v>0</v>
      </c>
      <c r="AT77" s="7">
        <f>VC_NEW2!AO34</f>
        <v>0</v>
      </c>
      <c r="AU77" s="7">
        <f>VC_NEW2!AP34</f>
        <v>0</v>
      </c>
      <c r="AV77" s="7">
        <f>VC_NEW2!AQ34</f>
        <v>0</v>
      </c>
      <c r="AW77" s="7">
        <f>VC_NEW2!AR34</f>
        <v>0</v>
      </c>
      <c r="AX77" s="7">
        <f>VC_NEW2!AS34</f>
        <v>0</v>
      </c>
      <c r="AY77" s="7">
        <f>VC_NEW2!AT34</f>
        <v>0</v>
      </c>
      <c r="AZ77" s="7">
        <f>VC_NEW2!AU34</f>
        <v>0</v>
      </c>
      <c r="BA77" s="7">
        <f>VC_NEW2!AV34</f>
        <v>0</v>
      </c>
      <c r="BB77" s="7" t="str">
        <f>VC_NEW2!AW34</f>
        <v>D440E</v>
      </c>
      <c r="BC77" s="7">
        <f>VC_NEW2!AX34</f>
        <v>0</v>
      </c>
      <c r="BD77" s="7">
        <f>VC_NEW2!AY34</f>
        <v>0</v>
      </c>
      <c r="BE77" s="7">
        <f>VC_NEW2!AZ34</f>
        <v>0</v>
      </c>
      <c r="BF77" s="7">
        <f>VC_NEW2!BA34</f>
        <v>0</v>
      </c>
      <c r="BG77" s="7">
        <f>VC_NEW2!BB34</f>
        <v>0</v>
      </c>
      <c r="BH77" s="7">
        <f>VC_NEW2!BC34</f>
        <v>0</v>
      </c>
      <c r="BI77" s="7">
        <f>VC_NEW2!BD34</f>
        <v>0</v>
      </c>
      <c r="BJ77" s="7">
        <f>VC_NEW2!BE34</f>
        <v>0</v>
      </c>
      <c r="BK77" s="7">
        <f>VC_NEW2!BF34</f>
        <v>0</v>
      </c>
      <c r="BL77" s="7">
        <f>VC_NEW2!BG34</f>
        <v>0</v>
      </c>
      <c r="BM77" s="7">
        <f>VC_NEW2!BH34</f>
        <v>0</v>
      </c>
      <c r="BN77" s="7" t="str">
        <f>VC_NEW2!BI34</f>
        <v>R551L</v>
      </c>
      <c r="BO77" s="7">
        <f>VC_NEW2!BJ34</f>
        <v>0</v>
      </c>
      <c r="BP77" s="7" t="str">
        <f>VC_NEW2!BK34</f>
        <v>L21P</v>
      </c>
      <c r="BQ77" s="7">
        <f>VC_NEW2!BL34</f>
        <v>0</v>
      </c>
      <c r="BR77" s="7">
        <f>VC_NEW2!BM34</f>
        <v>0</v>
      </c>
      <c r="BS77" s="7">
        <f>VC_NEW2!BN34</f>
        <v>0</v>
      </c>
      <c r="BT77" s="7" t="str">
        <f>VC_NEW2!BO34</f>
        <v>L23V</v>
      </c>
      <c r="BU77" s="7">
        <f>VC_NEW2!BP34</f>
        <v>0</v>
      </c>
      <c r="BV77" s="7">
        <f>VC_NEW2!BQ34</f>
        <v>0</v>
      </c>
      <c r="BW77" s="7">
        <f>VC_NEW2!BR34</f>
        <v>0</v>
      </c>
      <c r="BX77" s="7">
        <f>VC_NEW2!BS34</f>
        <v>0</v>
      </c>
      <c r="BY77" s="7">
        <f>VC_NEW2!BT34</f>
        <v>0</v>
      </c>
      <c r="BZ77" s="7">
        <f>VC_NEW2!BU34</f>
        <v>0</v>
      </c>
      <c r="CA77" s="7">
        <f>VC_NEW2!BV34</f>
        <v>0</v>
      </c>
      <c r="CB77" s="7">
        <f>VC_NEW2!BW34</f>
        <v>0</v>
      </c>
      <c r="CC77" s="7">
        <f>VC_NEW2!BX34</f>
        <v>0</v>
      </c>
      <c r="CD77" s="7">
        <f>VC_NEW2!BY34</f>
        <v>0</v>
      </c>
      <c r="CE77" s="7">
        <f>VC_NEW2!BZ34</f>
        <v>0</v>
      </c>
      <c r="CF77" s="7">
        <f>VC_NEW2!CA34</f>
        <v>0</v>
      </c>
      <c r="CG77" s="7">
        <f>VC_NEW2!CB34</f>
        <v>0</v>
      </c>
      <c r="CH77" s="7">
        <f>VC_NEW2!CC34</f>
        <v>0</v>
      </c>
      <c r="CI77" s="7">
        <f>VC_NEW2!CD34</f>
        <v>0</v>
      </c>
      <c r="CJ77" s="7">
        <f>VC_NEW2!CE34</f>
        <v>0</v>
      </c>
      <c r="CK77" s="7">
        <f>VC_NEW2!CF34</f>
        <v>0</v>
      </c>
      <c r="CL77" s="7">
        <f>VC_NEW2!CG34</f>
        <v>0</v>
      </c>
      <c r="CM77" s="7">
        <f>VC_NEW2!CH34</f>
        <v>0</v>
      </c>
      <c r="CN77" s="7">
        <f>VC_NEW2!CI34</f>
        <v>0</v>
      </c>
      <c r="CO77" s="7">
        <f>VC_NEW2!CJ34</f>
        <v>0</v>
      </c>
      <c r="CP77" s="7">
        <f>VC_NEW2!CK34</f>
        <v>0</v>
      </c>
      <c r="CQ77" s="7">
        <f>VC_NEW2!CL34</f>
        <v>0</v>
      </c>
      <c r="CR77" s="7">
        <f>VC_NEW2!CM34</f>
        <v>0</v>
      </c>
      <c r="CS77" s="7">
        <f>VC_NEW2!CN34</f>
        <v>0</v>
      </c>
      <c r="CT77" s="7">
        <f>VC_NEW2!CO34</f>
        <v>0</v>
      </c>
      <c r="CU77" s="7">
        <f>VC_NEW2!CP34</f>
        <v>0</v>
      </c>
      <c r="CV77" s="7">
        <f>VC_NEW2!CQ34</f>
        <v>0</v>
      </c>
      <c r="CW77" s="7">
        <f>VC_NEW2!CR34</f>
        <v>0</v>
      </c>
      <c r="CX77" s="7">
        <f>VC_NEW2!CS34</f>
        <v>0</v>
      </c>
      <c r="CY77" s="7">
        <f>VC_NEW2!CT34</f>
        <v>0</v>
      </c>
      <c r="CZ77" s="7">
        <f>VC_NEW2!CU34</f>
        <v>0</v>
      </c>
      <c r="DA77" s="7">
        <f>VC_NEW2!CV34</f>
        <v>0</v>
      </c>
      <c r="DB77" s="7">
        <f>VC_NEW2!CW34</f>
        <v>0</v>
      </c>
      <c r="DC77" s="7">
        <f>VC_NEW2!CX34</f>
        <v>0</v>
      </c>
      <c r="DD77" s="7">
        <f>VC_NEW2!CY34</f>
        <v>0</v>
      </c>
      <c r="DE77" s="7">
        <f>VC_NEW2!CZ34</f>
        <v>0</v>
      </c>
      <c r="DF77" s="7">
        <f>VC_NEW2!DA34</f>
        <v>0</v>
      </c>
      <c r="DG77" s="7">
        <f>VC_NEW2!DB34</f>
        <v>0</v>
      </c>
      <c r="DH77" s="7">
        <f>VC_NEW2!DC34</f>
        <v>0</v>
      </c>
      <c r="DI77" s="7">
        <f>VC_NEW2!DD34</f>
        <v>0</v>
      </c>
      <c r="DJ77" s="7">
        <f>VC_NEW2!DE34</f>
        <v>0</v>
      </c>
      <c r="DK77" s="7">
        <f>VC_NEW2!DF34</f>
        <v>0</v>
      </c>
      <c r="DL77" s="7">
        <f>VC_NEW2!DG34</f>
        <v>0</v>
      </c>
      <c r="DM77" s="7">
        <f>VC_NEW2!DH34</f>
        <v>0</v>
      </c>
      <c r="DN77" s="7">
        <f>VC_NEW2!DI34</f>
        <v>0</v>
      </c>
      <c r="DO77" s="7">
        <f>VC_NEW2!DJ34</f>
        <v>0</v>
      </c>
      <c r="DP77" s="7">
        <f>VC_NEW2!DK34</f>
        <v>0</v>
      </c>
      <c r="DQ77" s="7">
        <f>VC_NEW2!DL34</f>
        <v>0</v>
      </c>
      <c r="DR77" s="7">
        <f>VC_NEW2!DM34</f>
        <v>0</v>
      </c>
      <c r="DS77" s="7">
        <f>VC_NEW2!DN34</f>
        <v>0</v>
      </c>
      <c r="DT77" s="7">
        <f>VC_NEW2!DO34</f>
        <v>0</v>
      </c>
      <c r="DU77" s="7">
        <f>VC_NEW2!DP34</f>
        <v>0</v>
      </c>
      <c r="DV77" s="7">
        <f>VC_NEW2!DQ34</f>
        <v>0</v>
      </c>
      <c r="DW77" s="7">
        <f>VC_NEW2!DR34</f>
        <v>0</v>
      </c>
      <c r="DX77" s="7">
        <f>VC_NEW2!DS34</f>
        <v>0</v>
      </c>
      <c r="DY77" s="7">
        <f>VC_NEW2!DT34</f>
        <v>0</v>
      </c>
      <c r="DZ77" s="7">
        <f>VC_NEW2!DU34</f>
        <v>0</v>
      </c>
      <c r="EA77" s="7">
        <f>VC_NEW2!DV34</f>
        <v>0</v>
      </c>
      <c r="EB77" s="7">
        <f>VC_NEW2!DW34</f>
        <v>0</v>
      </c>
      <c r="EC77" s="7">
        <f>VC_NEW2!DX34</f>
        <v>0</v>
      </c>
      <c r="ED77" s="7">
        <f>VC_NEW2!DY34</f>
        <v>0</v>
      </c>
      <c r="EE77" s="7">
        <f>VC_NEW2!DZ34</f>
        <v>0</v>
      </c>
      <c r="EF77" s="7">
        <f>VC_NEW2!EA34</f>
        <v>0</v>
      </c>
      <c r="EG77" s="7">
        <f>VC_NEW2!EB34</f>
        <v>0</v>
      </c>
      <c r="EH77" s="7">
        <f>VC_NEW2!EC34</f>
        <v>0</v>
      </c>
      <c r="EI77" s="7">
        <f>VC_NEW2!ED34</f>
        <v>0</v>
      </c>
      <c r="EJ77" s="7">
        <f>VC_NEW2!EE34</f>
        <v>0</v>
      </c>
      <c r="EK77" s="7">
        <f>VC_NEW2!EF34</f>
        <v>0</v>
      </c>
      <c r="EL77" s="7" t="str">
        <f>VC_NEW2!EG34</f>
        <v>L219V</v>
      </c>
      <c r="EM77" s="7">
        <f>VC_NEW2!EH34</f>
        <v>0</v>
      </c>
      <c r="EN77" s="7">
        <f>VC_NEW2!EI34</f>
        <v>0</v>
      </c>
      <c r="EO77" s="7">
        <f>VC_NEW2!EJ34</f>
        <v>0</v>
      </c>
      <c r="EP77" s="7">
        <f>VC_NEW2!EK34</f>
        <v>0</v>
      </c>
      <c r="EQ77" s="7">
        <f>VC_NEW2!EL34</f>
        <v>0</v>
      </c>
      <c r="ER77" s="7">
        <f>VC_NEW2!EM34</f>
        <v>0</v>
      </c>
      <c r="ES77" s="7">
        <f>VC_NEW2!EN34</f>
        <v>0</v>
      </c>
      <c r="ET77" s="7">
        <f>VC_NEW2!EO34</f>
        <v>0</v>
      </c>
      <c r="EU77" s="7">
        <f>VC_NEW2!EP34</f>
        <v>0</v>
      </c>
      <c r="EV77" s="7">
        <f>VC_NEW2!EQ34</f>
        <v>0</v>
      </c>
      <c r="EW77" s="7" t="str">
        <f>VC_NEW2!ER34</f>
        <v>L240V, A572V</v>
      </c>
      <c r="EX77" s="7">
        <f>VC_NEW2!ES34</f>
        <v>0</v>
      </c>
      <c r="EY77" s="7">
        <f>VC_NEW2!ET34</f>
        <v>0</v>
      </c>
      <c r="EZ77" s="7">
        <f>VC_NEW2!EU34</f>
        <v>0</v>
      </c>
      <c r="FA77" s="7">
        <f>VC_NEW2!EV34</f>
        <v>0</v>
      </c>
      <c r="FB77" s="7">
        <f>VC_NEW2!EW34</f>
        <v>0</v>
      </c>
      <c r="FC77" s="7">
        <f>VC_NEW2!EX34</f>
        <v>0</v>
      </c>
      <c r="FD77" s="7">
        <f>VC_NEW2!EY34</f>
        <v>0</v>
      </c>
      <c r="FE77" s="7">
        <f>VC_NEW2!EZ34</f>
        <v>0</v>
      </c>
      <c r="FF77" s="7">
        <f>VC_NEW2!FA34</f>
        <v>0</v>
      </c>
      <c r="FG77" s="7">
        <f>VC_NEW2!FB34</f>
        <v>0</v>
      </c>
      <c r="FH77" s="7">
        <f>VC_NEW2!FC34</f>
        <v>0</v>
      </c>
      <c r="FI77" s="7">
        <f>VC_NEW2!FD34</f>
        <v>0</v>
      </c>
      <c r="FJ77" s="7">
        <f>VC_NEW2!FE34</f>
        <v>0</v>
      </c>
      <c r="FK77" s="7">
        <f>VC_NEW2!FF34</f>
        <v>0</v>
      </c>
      <c r="FL77" s="7">
        <f>VC_NEW2!FG34</f>
        <v>0</v>
      </c>
      <c r="FM77" s="7">
        <f>VC_NEW2!FH34</f>
        <v>0</v>
      </c>
      <c r="FN77" s="7">
        <f>VC_NEW2!FI34</f>
        <v>0</v>
      </c>
      <c r="FO77" s="7">
        <f>VC_NEW2!FJ34</f>
        <v>0</v>
      </c>
      <c r="FP77" s="7">
        <f>VC_NEW2!FK34</f>
        <v>0</v>
      </c>
      <c r="FQ77" s="7">
        <f>VC_NEW2!FL34</f>
        <v>0</v>
      </c>
      <c r="FR77" s="7">
        <f>VC_NEW2!FM34</f>
        <v>0</v>
      </c>
      <c r="FS77" s="7">
        <f>VC_NEW2!FN34</f>
        <v>0</v>
      </c>
      <c r="FT77" s="7">
        <f>VC_NEW2!FO34</f>
        <v>0</v>
      </c>
      <c r="FU77" s="7">
        <f>VC_NEW2!FP34</f>
        <v>0</v>
      </c>
      <c r="FV77" s="7">
        <f>VC_NEW2!FQ34</f>
        <v>0</v>
      </c>
      <c r="FW77" s="7">
        <f>VC_NEW2!FR34</f>
        <v>0</v>
      </c>
      <c r="FX77" s="7" t="str">
        <f>VC_NEW2!FS34</f>
        <v>G243S</v>
      </c>
      <c r="FY77" s="7">
        <f>VC_NEW2!FT34</f>
        <v>0</v>
      </c>
      <c r="FZ77" s="7">
        <f>VC_NEW2!FU34</f>
        <v>0</v>
      </c>
      <c r="GA77" s="7">
        <f>VC_NEW2!FV34</f>
        <v>0</v>
      </c>
      <c r="GB77" s="7" t="str">
        <f>VC_NEW2!FW34</f>
        <v>I347T</v>
      </c>
      <c r="GC77" s="7">
        <f>VC_NEW2!FX34</f>
        <v>0</v>
      </c>
      <c r="GD77" s="7">
        <f>VC_NEW2!FY34</f>
        <v>0</v>
      </c>
      <c r="GE77" s="7">
        <f>VC_NEW2!FZ34</f>
        <v>0</v>
      </c>
      <c r="GF77" s="7">
        <f>VC_NEW2!GA34</f>
        <v>0</v>
      </c>
      <c r="GG77" s="7">
        <f>VC_NEW2!GB34</f>
        <v>0</v>
      </c>
      <c r="GH77" s="7">
        <f>VC_NEW2!GC34</f>
        <v>0</v>
      </c>
      <c r="GI77" s="7">
        <f>VC_NEW2!GD34</f>
        <v>0</v>
      </c>
      <c r="GJ77" s="7">
        <f>VC_NEW2!GE34</f>
        <v>0</v>
      </c>
      <c r="GK77" s="7">
        <f>VC_NEW2!GF34</f>
        <v>0</v>
      </c>
      <c r="GL77" s="7">
        <f>VC_NEW2!GG34</f>
        <v>0</v>
      </c>
      <c r="GM77" s="7">
        <f>VC_NEW2!GH34</f>
        <v>0</v>
      </c>
      <c r="GN77" s="7">
        <f>VC_NEW2!GI34</f>
        <v>0</v>
      </c>
      <c r="GO77" s="7">
        <f>VC_NEW2!GJ34</f>
        <v>0</v>
      </c>
      <c r="GP77" s="7">
        <f>VC_NEW2!GK34</f>
        <v>0</v>
      </c>
      <c r="GQ77" s="7">
        <f>VC_NEW2!GL34</f>
        <v>0</v>
      </c>
      <c r="GR77" s="7" t="str">
        <f>VC_NEW2!GM34</f>
        <v>L23V, Y146F</v>
      </c>
      <c r="GS77" s="7">
        <f>VC_NEW2!GN34</f>
        <v>0</v>
      </c>
      <c r="GT77" s="7">
        <f>VC_NEW2!GO34</f>
        <v>0</v>
      </c>
      <c r="GU77" s="7">
        <f>VC_NEW2!GP34</f>
        <v>0</v>
      </c>
      <c r="GV77" s="7">
        <f>VC_NEW2!GQ34</f>
        <v>0</v>
      </c>
      <c r="GW77" s="7">
        <f>VC_NEW2!GR34</f>
        <v>0</v>
      </c>
      <c r="GX77" s="7">
        <f>VC_NEW2!GS34</f>
        <v>0</v>
      </c>
      <c r="GY77" s="7">
        <f>VC_NEW2!GT34</f>
        <v>0</v>
      </c>
      <c r="GZ77" s="7">
        <f>VC_NEW2!GU34</f>
        <v>0</v>
      </c>
      <c r="HA77" s="7">
        <f>VC_NEW2!GV34</f>
        <v>0</v>
      </c>
      <c r="HB77" s="7">
        <f>VC_NEW2!GW34</f>
        <v>0</v>
      </c>
      <c r="HC77" s="7">
        <f>VC_NEW2!GX34</f>
        <v>0</v>
      </c>
    </row>
    <row r="78" spans="1:211" s="7" customFormat="1" ht="15" customHeight="1" x14ac:dyDescent="0.25">
      <c r="A78" s="7" t="s">
        <v>32</v>
      </c>
      <c r="B78" s="7" t="s">
        <v>99</v>
      </c>
      <c r="C78" s="8" t="s">
        <v>2</v>
      </c>
      <c r="D78" s="7" t="s">
        <v>76</v>
      </c>
      <c r="E78" s="7" t="s">
        <v>138</v>
      </c>
      <c r="F78" s="7" t="s">
        <v>73</v>
      </c>
      <c r="G78" s="7" t="s">
        <v>1054</v>
      </c>
      <c r="H78" s="7">
        <f>VC_NEW2!C34</f>
        <v>0</v>
      </c>
      <c r="I78" s="7">
        <f>VC_NEW2!D34</f>
        <v>0</v>
      </c>
      <c r="J78" s="7">
        <f>VC_NEW2!E34</f>
        <v>0</v>
      </c>
      <c r="K78" s="7">
        <f>VC_NEW2!F34</f>
        <v>0</v>
      </c>
      <c r="L78" s="7">
        <f>VC_NEW2!G34</f>
        <v>0</v>
      </c>
      <c r="M78" s="7">
        <f>VC_NEW2!H34</f>
        <v>0</v>
      </c>
      <c r="N78" s="7">
        <f>VC_NEW2!I34</f>
        <v>0</v>
      </c>
      <c r="O78" s="7">
        <f>VC_NEW2!J34</f>
        <v>0</v>
      </c>
      <c r="P78" s="7">
        <f>VC_NEW2!K34</f>
        <v>0</v>
      </c>
      <c r="Q78" s="7">
        <f>VC_NEW2!L34</f>
        <v>0</v>
      </c>
      <c r="R78" s="7">
        <f>VC_NEW2!M34</f>
        <v>0</v>
      </c>
      <c r="S78" s="7">
        <f>VC_NEW2!N34</f>
        <v>0</v>
      </c>
      <c r="T78" s="7">
        <f>VC_NEW2!O34</f>
        <v>0</v>
      </c>
      <c r="U78" s="7">
        <f>VC_NEW2!P34</f>
        <v>0</v>
      </c>
      <c r="V78" s="7">
        <f>VC_NEW2!Q34</f>
        <v>0</v>
      </c>
      <c r="W78" s="7">
        <f>VC_NEW2!R34</f>
        <v>0</v>
      </c>
      <c r="X78" s="7">
        <f>VC_NEW2!S34</f>
        <v>0</v>
      </c>
      <c r="Y78" s="7">
        <f>VC_NEW2!T34</f>
        <v>0</v>
      </c>
      <c r="Z78" s="7">
        <f>VC_NEW2!U34</f>
        <v>0</v>
      </c>
      <c r="AA78" s="7">
        <f>VC_NEW2!V34</f>
        <v>0</v>
      </c>
      <c r="AB78" s="7">
        <f>VC_NEW2!W34</f>
        <v>0</v>
      </c>
      <c r="AC78" s="7">
        <f>VC_NEW2!X34</f>
        <v>0</v>
      </c>
      <c r="AD78" s="7">
        <f>VC_NEW2!Y34</f>
        <v>0</v>
      </c>
      <c r="AE78" s="7">
        <f>VC_NEW2!Z34</f>
        <v>0</v>
      </c>
      <c r="AF78" s="7">
        <f>VC_NEW2!AA34</f>
        <v>0</v>
      </c>
      <c r="AG78" s="7">
        <f>VC_NEW2!AB34</f>
        <v>0</v>
      </c>
      <c r="AH78" s="7">
        <f>VC_NEW2!AC34</f>
        <v>0</v>
      </c>
      <c r="AI78" s="7">
        <f>VC_NEW2!AD34</f>
        <v>0</v>
      </c>
      <c r="AJ78" s="7">
        <f>VC_NEW2!AE34</f>
        <v>0</v>
      </c>
      <c r="AK78" s="7">
        <f>VC_NEW2!AF34</f>
        <v>0</v>
      </c>
      <c r="AL78" s="7">
        <f>VC_NEW2!AG34</f>
        <v>0</v>
      </c>
      <c r="AM78" s="7">
        <f>VC_NEW2!AH34</f>
        <v>0</v>
      </c>
      <c r="AN78" s="7">
        <f>VC_NEW2!AI34</f>
        <v>0</v>
      </c>
      <c r="AO78" s="7">
        <f>VC_NEW2!AJ34</f>
        <v>0</v>
      </c>
      <c r="AP78" s="7">
        <f>VC_NEW2!AK34</f>
        <v>0</v>
      </c>
      <c r="AQ78" s="7">
        <f>VC_NEW2!AL34</f>
        <v>0</v>
      </c>
      <c r="AR78" s="7">
        <f>VC_NEW2!AM34</f>
        <v>0</v>
      </c>
      <c r="AS78" s="7">
        <f>VC_NEW2!AN34</f>
        <v>0</v>
      </c>
      <c r="AT78" s="7">
        <f>VC_NEW2!AO34</f>
        <v>0</v>
      </c>
      <c r="AU78" s="7">
        <f>VC_NEW2!AP34</f>
        <v>0</v>
      </c>
      <c r="AV78" s="7">
        <f>VC_NEW2!AQ34</f>
        <v>0</v>
      </c>
      <c r="AW78" s="7">
        <f>VC_NEW2!AR34</f>
        <v>0</v>
      </c>
      <c r="AX78" s="7">
        <f>VC_NEW2!AS34</f>
        <v>0</v>
      </c>
      <c r="AY78" s="7">
        <f>VC_NEW2!AT34</f>
        <v>0</v>
      </c>
      <c r="AZ78" s="7">
        <f>VC_NEW2!AU34</f>
        <v>0</v>
      </c>
      <c r="BA78" s="7">
        <f>VC_NEW2!AV34</f>
        <v>0</v>
      </c>
      <c r="BB78" s="7" t="str">
        <f>VC_NEW2!AW34</f>
        <v>D440E</v>
      </c>
      <c r="BC78" s="7">
        <f>VC_NEW2!AX34</f>
        <v>0</v>
      </c>
      <c r="BD78" s="7">
        <f>VC_NEW2!AY34</f>
        <v>0</v>
      </c>
      <c r="BE78" s="7">
        <f>VC_NEW2!AZ34</f>
        <v>0</v>
      </c>
      <c r="BF78" s="7">
        <f>VC_NEW2!BA34</f>
        <v>0</v>
      </c>
      <c r="BG78" s="7">
        <f>VC_NEW2!BB34</f>
        <v>0</v>
      </c>
      <c r="BH78" s="7">
        <f>VC_NEW2!BC34</f>
        <v>0</v>
      </c>
      <c r="BI78" s="7">
        <f>VC_NEW2!BD34</f>
        <v>0</v>
      </c>
      <c r="BJ78" s="7">
        <f>VC_NEW2!BE34</f>
        <v>0</v>
      </c>
      <c r="BK78" s="7">
        <f>VC_NEW2!BF34</f>
        <v>0</v>
      </c>
      <c r="BL78" s="7">
        <f>VC_NEW2!BG34</f>
        <v>0</v>
      </c>
      <c r="BM78" s="7">
        <f>VC_NEW2!BH34</f>
        <v>0</v>
      </c>
      <c r="BN78" s="7" t="str">
        <f>VC_NEW2!BI34</f>
        <v>R551L</v>
      </c>
      <c r="BO78" s="7">
        <f>VC_NEW2!BJ34</f>
        <v>0</v>
      </c>
      <c r="BP78" s="7" t="str">
        <f>VC_NEW2!BK34</f>
        <v>L21P</v>
      </c>
      <c r="BQ78" s="7">
        <f>VC_NEW2!BL34</f>
        <v>0</v>
      </c>
      <c r="BR78" s="7">
        <f>VC_NEW2!BM34</f>
        <v>0</v>
      </c>
      <c r="BS78" s="7">
        <f>VC_NEW2!BN34</f>
        <v>0</v>
      </c>
      <c r="BT78" s="7" t="str">
        <f>VC_NEW2!BO34</f>
        <v>L23V</v>
      </c>
      <c r="BU78" s="7">
        <f>VC_NEW2!BP34</f>
        <v>0</v>
      </c>
      <c r="BV78" s="7">
        <f>VC_NEW2!BQ34</f>
        <v>0</v>
      </c>
      <c r="BW78" s="7">
        <f>VC_NEW2!BR34</f>
        <v>0</v>
      </c>
      <c r="BX78" s="7">
        <f>VC_NEW2!BS34</f>
        <v>0</v>
      </c>
      <c r="BY78" s="7">
        <f>VC_NEW2!BT34</f>
        <v>0</v>
      </c>
      <c r="BZ78" s="7">
        <f>VC_NEW2!BU34</f>
        <v>0</v>
      </c>
      <c r="CA78" s="7">
        <f>VC_NEW2!BV34</f>
        <v>0</v>
      </c>
      <c r="CB78" s="7">
        <f>VC_NEW2!BW34</f>
        <v>0</v>
      </c>
      <c r="CC78" s="7">
        <f>VC_NEW2!BX34</f>
        <v>0</v>
      </c>
      <c r="CD78" s="7">
        <f>VC_NEW2!BY34</f>
        <v>0</v>
      </c>
      <c r="CE78" s="7">
        <f>VC_NEW2!BZ34</f>
        <v>0</v>
      </c>
      <c r="CF78" s="7">
        <f>VC_NEW2!CA34</f>
        <v>0</v>
      </c>
      <c r="CG78" s="7">
        <f>VC_NEW2!CB34</f>
        <v>0</v>
      </c>
      <c r="CH78" s="7">
        <f>VC_NEW2!CC34</f>
        <v>0</v>
      </c>
      <c r="CI78" s="7">
        <f>VC_NEW2!CD34</f>
        <v>0</v>
      </c>
      <c r="CJ78" s="7">
        <f>VC_NEW2!CE34</f>
        <v>0</v>
      </c>
      <c r="CK78" s="7">
        <f>VC_NEW2!CF34</f>
        <v>0</v>
      </c>
      <c r="CL78" s="7">
        <f>VC_NEW2!CG34</f>
        <v>0</v>
      </c>
      <c r="CM78" s="7">
        <f>VC_NEW2!CH34</f>
        <v>0</v>
      </c>
      <c r="CN78" s="7">
        <f>VC_NEW2!CI34</f>
        <v>0</v>
      </c>
      <c r="CO78" s="7">
        <f>VC_NEW2!CJ34</f>
        <v>0</v>
      </c>
      <c r="CP78" s="7">
        <f>VC_NEW2!CK34</f>
        <v>0</v>
      </c>
      <c r="CQ78" s="7">
        <f>VC_NEW2!CL34</f>
        <v>0</v>
      </c>
      <c r="CR78" s="7">
        <f>VC_NEW2!CM34</f>
        <v>0</v>
      </c>
      <c r="CS78" s="7">
        <f>VC_NEW2!CN34</f>
        <v>0</v>
      </c>
      <c r="CT78" s="7">
        <f>VC_NEW2!CO34</f>
        <v>0</v>
      </c>
      <c r="CU78" s="7">
        <f>VC_NEW2!CP34</f>
        <v>0</v>
      </c>
      <c r="CV78" s="7">
        <f>VC_NEW2!CQ34</f>
        <v>0</v>
      </c>
      <c r="CW78" s="7">
        <f>VC_NEW2!CR34</f>
        <v>0</v>
      </c>
      <c r="CX78" s="7">
        <f>VC_NEW2!CS34</f>
        <v>0</v>
      </c>
      <c r="CY78" s="7">
        <f>VC_NEW2!CT34</f>
        <v>0</v>
      </c>
      <c r="CZ78" s="7">
        <f>VC_NEW2!CU34</f>
        <v>0</v>
      </c>
      <c r="DA78" s="7">
        <f>VC_NEW2!CV34</f>
        <v>0</v>
      </c>
      <c r="DB78" s="7">
        <f>VC_NEW2!CW34</f>
        <v>0</v>
      </c>
      <c r="DC78" s="7">
        <f>VC_NEW2!CX34</f>
        <v>0</v>
      </c>
      <c r="DD78" s="7">
        <f>VC_NEW2!CY34</f>
        <v>0</v>
      </c>
      <c r="DE78" s="7">
        <f>VC_NEW2!CZ34</f>
        <v>0</v>
      </c>
      <c r="DF78" s="7">
        <f>VC_NEW2!DA34</f>
        <v>0</v>
      </c>
      <c r="DG78" s="7">
        <f>VC_NEW2!DB34</f>
        <v>0</v>
      </c>
      <c r="DH78" s="7">
        <f>VC_NEW2!DC34</f>
        <v>0</v>
      </c>
      <c r="DI78" s="7">
        <f>VC_NEW2!DD34</f>
        <v>0</v>
      </c>
      <c r="DJ78" s="7">
        <f>VC_NEW2!DE34</f>
        <v>0</v>
      </c>
      <c r="DK78" s="7">
        <f>VC_NEW2!DF34</f>
        <v>0</v>
      </c>
      <c r="DL78" s="7">
        <f>VC_NEW2!DG34</f>
        <v>0</v>
      </c>
      <c r="DM78" s="7">
        <f>VC_NEW2!DH34</f>
        <v>0</v>
      </c>
      <c r="DN78" s="7">
        <f>VC_NEW2!DI34</f>
        <v>0</v>
      </c>
      <c r="DO78" s="7">
        <f>VC_NEW2!DJ34</f>
        <v>0</v>
      </c>
      <c r="DP78" s="7">
        <f>VC_NEW2!DK34</f>
        <v>0</v>
      </c>
      <c r="DQ78" s="7">
        <f>VC_NEW2!DL34</f>
        <v>0</v>
      </c>
      <c r="DR78" s="7">
        <f>VC_NEW2!DM34</f>
        <v>0</v>
      </c>
      <c r="DS78" s="7">
        <f>VC_NEW2!DN34</f>
        <v>0</v>
      </c>
      <c r="DT78" s="7">
        <f>VC_NEW2!DO34</f>
        <v>0</v>
      </c>
      <c r="DU78" s="7">
        <f>VC_NEW2!DP34</f>
        <v>0</v>
      </c>
      <c r="DV78" s="7">
        <f>VC_NEW2!DQ34</f>
        <v>0</v>
      </c>
      <c r="DW78" s="7">
        <f>VC_NEW2!DR34</f>
        <v>0</v>
      </c>
      <c r="DX78" s="7">
        <f>VC_NEW2!DS34</f>
        <v>0</v>
      </c>
      <c r="DY78" s="7">
        <f>VC_NEW2!DT34</f>
        <v>0</v>
      </c>
      <c r="DZ78" s="7">
        <f>VC_NEW2!DU34</f>
        <v>0</v>
      </c>
      <c r="EA78" s="7">
        <f>VC_NEW2!DV34</f>
        <v>0</v>
      </c>
      <c r="EB78" s="7">
        <f>VC_NEW2!DW34</f>
        <v>0</v>
      </c>
      <c r="EC78" s="7">
        <f>VC_NEW2!DX34</f>
        <v>0</v>
      </c>
      <c r="ED78" s="7">
        <f>VC_NEW2!DY34</f>
        <v>0</v>
      </c>
      <c r="EE78" s="7">
        <f>VC_NEW2!DZ34</f>
        <v>0</v>
      </c>
      <c r="EF78" s="7">
        <f>VC_NEW2!EA34</f>
        <v>0</v>
      </c>
      <c r="EG78" s="7">
        <f>VC_NEW2!EB34</f>
        <v>0</v>
      </c>
      <c r="EH78" s="7">
        <f>VC_NEW2!EC34</f>
        <v>0</v>
      </c>
      <c r="EI78" s="7">
        <f>VC_NEW2!ED34</f>
        <v>0</v>
      </c>
      <c r="EJ78" s="7">
        <f>VC_NEW2!EE34</f>
        <v>0</v>
      </c>
      <c r="EK78" s="7">
        <f>VC_NEW2!EF34</f>
        <v>0</v>
      </c>
      <c r="EL78" s="7" t="str">
        <f>VC_NEW2!EG34</f>
        <v>L219V</v>
      </c>
      <c r="EM78" s="7">
        <f>VC_NEW2!EH34</f>
        <v>0</v>
      </c>
      <c r="EN78" s="7">
        <f>VC_NEW2!EI34</f>
        <v>0</v>
      </c>
      <c r="EO78" s="7">
        <f>VC_NEW2!EJ34</f>
        <v>0</v>
      </c>
      <c r="EP78" s="7">
        <f>VC_NEW2!EK34</f>
        <v>0</v>
      </c>
      <c r="EQ78" s="7">
        <f>VC_NEW2!EL34</f>
        <v>0</v>
      </c>
      <c r="ER78" s="7">
        <f>VC_NEW2!EM34</f>
        <v>0</v>
      </c>
      <c r="ES78" s="7">
        <f>VC_NEW2!EN34</f>
        <v>0</v>
      </c>
      <c r="ET78" s="7">
        <f>VC_NEW2!EO34</f>
        <v>0</v>
      </c>
      <c r="EU78" s="7">
        <f>VC_NEW2!EP34</f>
        <v>0</v>
      </c>
      <c r="EV78" s="7">
        <f>VC_NEW2!EQ34</f>
        <v>0</v>
      </c>
      <c r="EW78" s="7" t="str">
        <f>VC_NEW2!ER34</f>
        <v>L240V, A572V</v>
      </c>
      <c r="EX78" s="7">
        <f>VC_NEW2!ES34</f>
        <v>0</v>
      </c>
      <c r="EY78" s="7">
        <f>VC_NEW2!ET34</f>
        <v>0</v>
      </c>
      <c r="EZ78" s="7">
        <f>VC_NEW2!EU34</f>
        <v>0</v>
      </c>
      <c r="FA78" s="7">
        <f>VC_NEW2!EV34</f>
        <v>0</v>
      </c>
      <c r="FB78" s="7">
        <f>VC_NEW2!EW34</f>
        <v>0</v>
      </c>
      <c r="FC78" s="7">
        <f>VC_NEW2!EX34</f>
        <v>0</v>
      </c>
      <c r="FD78" s="7">
        <f>VC_NEW2!EY34</f>
        <v>0</v>
      </c>
      <c r="FE78" s="7">
        <f>VC_NEW2!EZ34</f>
        <v>0</v>
      </c>
      <c r="FF78" s="7">
        <f>VC_NEW2!FA34</f>
        <v>0</v>
      </c>
      <c r="FG78" s="7">
        <f>VC_NEW2!FB34</f>
        <v>0</v>
      </c>
      <c r="FH78" s="7">
        <f>VC_NEW2!FC34</f>
        <v>0</v>
      </c>
      <c r="FI78" s="7">
        <f>VC_NEW2!FD34</f>
        <v>0</v>
      </c>
      <c r="FJ78" s="7">
        <f>VC_NEW2!FE34</f>
        <v>0</v>
      </c>
      <c r="FK78" s="7">
        <f>VC_NEW2!FF34</f>
        <v>0</v>
      </c>
      <c r="FL78" s="7">
        <f>VC_NEW2!FG34</f>
        <v>0</v>
      </c>
      <c r="FM78" s="7">
        <f>VC_NEW2!FH34</f>
        <v>0</v>
      </c>
      <c r="FN78" s="7">
        <f>VC_NEW2!FI34</f>
        <v>0</v>
      </c>
      <c r="FO78" s="7">
        <f>VC_NEW2!FJ34</f>
        <v>0</v>
      </c>
      <c r="FP78" s="7">
        <f>VC_NEW2!FK34</f>
        <v>0</v>
      </c>
      <c r="FQ78" s="7">
        <f>VC_NEW2!FL34</f>
        <v>0</v>
      </c>
      <c r="FR78" s="7">
        <f>VC_NEW2!FM34</f>
        <v>0</v>
      </c>
      <c r="FS78" s="7">
        <f>VC_NEW2!FN34</f>
        <v>0</v>
      </c>
      <c r="FT78" s="7">
        <f>VC_NEW2!FO34</f>
        <v>0</v>
      </c>
      <c r="FU78" s="7">
        <f>VC_NEW2!FP34</f>
        <v>0</v>
      </c>
      <c r="FV78" s="7">
        <f>VC_NEW2!FQ34</f>
        <v>0</v>
      </c>
      <c r="FW78" s="7">
        <f>VC_NEW2!FR34</f>
        <v>0</v>
      </c>
      <c r="FX78" s="7" t="str">
        <f>VC_NEW2!FS34</f>
        <v>G243S</v>
      </c>
      <c r="FY78" s="7">
        <f>VC_NEW2!FT34</f>
        <v>0</v>
      </c>
      <c r="FZ78" s="7">
        <f>VC_NEW2!FU34</f>
        <v>0</v>
      </c>
      <c r="GA78" s="7">
        <f>VC_NEW2!FV34</f>
        <v>0</v>
      </c>
      <c r="GB78" s="7" t="str">
        <f>VC_NEW2!FW34</f>
        <v>I347T</v>
      </c>
      <c r="GC78" s="7">
        <f>VC_NEW2!FX34</f>
        <v>0</v>
      </c>
      <c r="GD78" s="7">
        <f>VC_NEW2!FY34</f>
        <v>0</v>
      </c>
      <c r="GE78" s="7">
        <f>VC_NEW2!FZ34</f>
        <v>0</v>
      </c>
      <c r="GF78" s="7">
        <f>VC_NEW2!GA34</f>
        <v>0</v>
      </c>
      <c r="GG78" s="7">
        <f>VC_NEW2!GB34</f>
        <v>0</v>
      </c>
      <c r="GH78" s="7">
        <f>VC_NEW2!GC34</f>
        <v>0</v>
      </c>
      <c r="GI78" s="7">
        <f>VC_NEW2!GD34</f>
        <v>0</v>
      </c>
      <c r="GJ78" s="7">
        <f>VC_NEW2!GE34</f>
        <v>0</v>
      </c>
      <c r="GK78" s="7">
        <f>VC_NEW2!GF34</f>
        <v>0</v>
      </c>
      <c r="GL78" s="7">
        <f>VC_NEW2!GG34</f>
        <v>0</v>
      </c>
      <c r="GM78" s="7">
        <f>VC_NEW2!GH34</f>
        <v>0</v>
      </c>
      <c r="GN78" s="7">
        <f>VC_NEW2!GI34</f>
        <v>0</v>
      </c>
      <c r="GO78" s="7">
        <f>VC_NEW2!GJ34</f>
        <v>0</v>
      </c>
      <c r="GP78" s="7">
        <f>VC_NEW2!GK34</f>
        <v>0</v>
      </c>
      <c r="GQ78" s="7">
        <f>VC_NEW2!GL34</f>
        <v>0</v>
      </c>
      <c r="GR78" s="7" t="str">
        <f>VC_NEW2!GM34</f>
        <v>L23V, Y146F</v>
      </c>
      <c r="GS78" s="7">
        <f>VC_NEW2!GN34</f>
        <v>0</v>
      </c>
      <c r="GT78" s="7">
        <f>VC_NEW2!GO34</f>
        <v>0</v>
      </c>
      <c r="GU78" s="7">
        <f>VC_NEW2!GP34</f>
        <v>0</v>
      </c>
      <c r="GV78" s="7">
        <f>VC_NEW2!GQ34</f>
        <v>0</v>
      </c>
      <c r="GW78" s="7">
        <f>VC_NEW2!GR34</f>
        <v>0</v>
      </c>
      <c r="GX78" s="7">
        <f>VC_NEW2!GS34</f>
        <v>0</v>
      </c>
      <c r="GY78" s="7">
        <f>VC_NEW2!GT34</f>
        <v>0</v>
      </c>
      <c r="GZ78" s="7">
        <f>VC_NEW2!GU34</f>
        <v>0</v>
      </c>
      <c r="HA78" s="7">
        <f>VC_NEW2!GV34</f>
        <v>0</v>
      </c>
      <c r="HB78" s="7">
        <f>VC_NEW2!GW34</f>
        <v>0</v>
      </c>
      <c r="HC78" s="7">
        <f>VC_NEW2!GX34</f>
        <v>0</v>
      </c>
    </row>
    <row r="79" spans="1:211" s="7" customFormat="1" ht="15" hidden="1" customHeight="1" x14ac:dyDescent="0.25">
      <c r="A79" s="7" t="s">
        <v>32</v>
      </c>
      <c r="B79" s="7" t="s">
        <v>99</v>
      </c>
      <c r="C79" s="8" t="s">
        <v>3</v>
      </c>
      <c r="D79" s="7" t="s">
        <v>76</v>
      </c>
      <c r="E79" s="7" t="s">
        <v>138</v>
      </c>
      <c r="F79" s="7" t="s">
        <v>73</v>
      </c>
      <c r="G79" s="7" t="s">
        <v>1054</v>
      </c>
      <c r="H79" s="7">
        <f>VC_NEW2!C34</f>
        <v>0</v>
      </c>
      <c r="I79" s="7">
        <f>VC_NEW2!D34</f>
        <v>0</v>
      </c>
      <c r="J79" s="7">
        <f>VC_NEW2!E34</f>
        <v>0</v>
      </c>
      <c r="K79" s="7">
        <f>VC_NEW2!F34</f>
        <v>0</v>
      </c>
      <c r="L79" s="7">
        <f>VC_NEW2!G34</f>
        <v>0</v>
      </c>
      <c r="M79" s="7">
        <f>VC_NEW2!H34</f>
        <v>0</v>
      </c>
      <c r="N79" s="7">
        <f>VC_NEW2!I34</f>
        <v>0</v>
      </c>
      <c r="O79" s="7">
        <f>VC_NEW2!J34</f>
        <v>0</v>
      </c>
      <c r="P79" s="7">
        <f>VC_NEW2!K34</f>
        <v>0</v>
      </c>
      <c r="Q79" s="7">
        <f>VC_NEW2!L34</f>
        <v>0</v>
      </c>
      <c r="R79" s="7">
        <f>VC_NEW2!M34</f>
        <v>0</v>
      </c>
      <c r="S79" s="7">
        <f>VC_NEW2!N34</f>
        <v>0</v>
      </c>
      <c r="T79" s="7">
        <f>VC_NEW2!O34</f>
        <v>0</v>
      </c>
      <c r="U79" s="7">
        <f>VC_NEW2!P34</f>
        <v>0</v>
      </c>
      <c r="V79" s="7">
        <f>VC_NEW2!Q34</f>
        <v>0</v>
      </c>
      <c r="W79" s="7">
        <f>VC_NEW2!R34</f>
        <v>0</v>
      </c>
      <c r="X79" s="7">
        <f>VC_NEW2!S34</f>
        <v>0</v>
      </c>
      <c r="Y79" s="7">
        <f>VC_NEW2!T34</f>
        <v>0</v>
      </c>
      <c r="Z79" s="7">
        <f>VC_NEW2!U34</f>
        <v>0</v>
      </c>
      <c r="AA79" s="7">
        <f>VC_NEW2!V34</f>
        <v>0</v>
      </c>
      <c r="AB79" s="7">
        <f>VC_NEW2!W34</f>
        <v>0</v>
      </c>
      <c r="AC79" s="7">
        <f>VC_NEW2!X34</f>
        <v>0</v>
      </c>
      <c r="AD79" s="7">
        <f>VC_NEW2!Y34</f>
        <v>0</v>
      </c>
      <c r="AE79" s="7">
        <f>VC_NEW2!Z34</f>
        <v>0</v>
      </c>
      <c r="AF79" s="7">
        <f>VC_NEW2!AA34</f>
        <v>0</v>
      </c>
      <c r="AG79" s="7">
        <f>VC_NEW2!AB34</f>
        <v>0</v>
      </c>
      <c r="AH79" s="7">
        <f>VC_NEW2!AC34</f>
        <v>0</v>
      </c>
      <c r="AI79" s="7">
        <f>VC_NEW2!AD34</f>
        <v>0</v>
      </c>
      <c r="AJ79" s="7">
        <f>VC_NEW2!AE34</f>
        <v>0</v>
      </c>
      <c r="AK79" s="7">
        <f>VC_NEW2!AF34</f>
        <v>0</v>
      </c>
      <c r="AL79" s="7">
        <f>VC_NEW2!AG34</f>
        <v>0</v>
      </c>
      <c r="AM79" s="7">
        <f>VC_NEW2!AH34</f>
        <v>0</v>
      </c>
      <c r="AN79" s="7">
        <f>VC_NEW2!AI34</f>
        <v>0</v>
      </c>
      <c r="AO79" s="7">
        <f>VC_NEW2!AJ34</f>
        <v>0</v>
      </c>
      <c r="AP79" s="7">
        <f>VC_NEW2!AK34</f>
        <v>0</v>
      </c>
      <c r="AQ79" s="7">
        <f>VC_NEW2!AL34</f>
        <v>0</v>
      </c>
      <c r="AR79" s="7">
        <f>VC_NEW2!AM34</f>
        <v>0</v>
      </c>
      <c r="AS79" s="7">
        <f>VC_NEW2!AN34</f>
        <v>0</v>
      </c>
      <c r="AT79" s="7">
        <f>VC_NEW2!AO34</f>
        <v>0</v>
      </c>
      <c r="AU79" s="7">
        <f>VC_NEW2!AP34</f>
        <v>0</v>
      </c>
      <c r="AV79" s="7">
        <f>VC_NEW2!AQ34</f>
        <v>0</v>
      </c>
      <c r="AW79" s="7">
        <f>VC_NEW2!AR34</f>
        <v>0</v>
      </c>
      <c r="AX79" s="7">
        <f>VC_NEW2!AS34</f>
        <v>0</v>
      </c>
      <c r="AY79" s="7">
        <f>VC_NEW2!AT34</f>
        <v>0</v>
      </c>
      <c r="AZ79" s="7">
        <f>VC_NEW2!AU34</f>
        <v>0</v>
      </c>
      <c r="BA79" s="7">
        <f>VC_NEW2!AV34</f>
        <v>0</v>
      </c>
      <c r="BB79" s="7" t="str">
        <f>VC_NEW2!AW34</f>
        <v>D440E</v>
      </c>
      <c r="BC79" s="7">
        <f>VC_NEW2!AX34</f>
        <v>0</v>
      </c>
      <c r="BD79" s="7">
        <f>VC_NEW2!AY34</f>
        <v>0</v>
      </c>
      <c r="BE79" s="7">
        <f>VC_NEW2!AZ34</f>
        <v>0</v>
      </c>
      <c r="BF79" s="7">
        <f>VC_NEW2!BA34</f>
        <v>0</v>
      </c>
      <c r="BG79" s="7">
        <f>VC_NEW2!BB34</f>
        <v>0</v>
      </c>
      <c r="BH79" s="7">
        <f>VC_NEW2!BC34</f>
        <v>0</v>
      </c>
      <c r="BI79" s="7">
        <f>VC_NEW2!BD34</f>
        <v>0</v>
      </c>
      <c r="BJ79" s="7">
        <f>VC_NEW2!BE34</f>
        <v>0</v>
      </c>
      <c r="BK79" s="7">
        <f>VC_NEW2!BF34</f>
        <v>0</v>
      </c>
      <c r="BL79" s="7">
        <f>VC_NEW2!BG34</f>
        <v>0</v>
      </c>
      <c r="BM79" s="7">
        <f>VC_NEW2!BH34</f>
        <v>0</v>
      </c>
      <c r="BN79" s="7" t="str">
        <f>VC_NEW2!BI34</f>
        <v>R551L</v>
      </c>
      <c r="BO79" s="7">
        <f>VC_NEW2!BJ34</f>
        <v>0</v>
      </c>
      <c r="BP79" s="7" t="str">
        <f>VC_NEW2!BK34</f>
        <v>L21P</v>
      </c>
      <c r="BQ79" s="7">
        <f>VC_NEW2!BL34</f>
        <v>0</v>
      </c>
      <c r="BR79" s="7">
        <f>VC_NEW2!BM34</f>
        <v>0</v>
      </c>
      <c r="BS79" s="7">
        <f>VC_NEW2!BN34</f>
        <v>0</v>
      </c>
      <c r="BT79" s="7" t="str">
        <f>VC_NEW2!BO34</f>
        <v>L23V</v>
      </c>
      <c r="BU79" s="7">
        <f>VC_NEW2!BP34</f>
        <v>0</v>
      </c>
      <c r="BV79" s="7">
        <f>VC_NEW2!BQ34</f>
        <v>0</v>
      </c>
      <c r="BW79" s="7">
        <f>VC_NEW2!BR34</f>
        <v>0</v>
      </c>
      <c r="BX79" s="7">
        <f>VC_NEW2!BS34</f>
        <v>0</v>
      </c>
      <c r="BY79" s="7">
        <f>VC_NEW2!BT34</f>
        <v>0</v>
      </c>
      <c r="BZ79" s="7">
        <f>VC_NEW2!BU34</f>
        <v>0</v>
      </c>
      <c r="CA79" s="7">
        <f>VC_NEW2!BV34</f>
        <v>0</v>
      </c>
      <c r="CB79" s="7">
        <f>VC_NEW2!BW34</f>
        <v>0</v>
      </c>
      <c r="CC79" s="7">
        <f>VC_NEW2!BX34</f>
        <v>0</v>
      </c>
      <c r="CD79" s="7">
        <f>VC_NEW2!BY34</f>
        <v>0</v>
      </c>
      <c r="CE79" s="7">
        <f>VC_NEW2!BZ34</f>
        <v>0</v>
      </c>
      <c r="CF79" s="7">
        <f>VC_NEW2!CA34</f>
        <v>0</v>
      </c>
      <c r="CG79" s="7">
        <f>VC_NEW2!CB34</f>
        <v>0</v>
      </c>
      <c r="CH79" s="7">
        <f>VC_NEW2!CC34</f>
        <v>0</v>
      </c>
      <c r="CI79" s="7">
        <f>VC_NEW2!CD34</f>
        <v>0</v>
      </c>
      <c r="CJ79" s="7">
        <f>VC_NEW2!CE34</f>
        <v>0</v>
      </c>
      <c r="CK79" s="7">
        <f>VC_NEW2!CF34</f>
        <v>0</v>
      </c>
      <c r="CL79" s="7">
        <f>VC_NEW2!CG34</f>
        <v>0</v>
      </c>
      <c r="CM79" s="7">
        <f>VC_NEW2!CH34</f>
        <v>0</v>
      </c>
      <c r="CN79" s="7">
        <f>VC_NEW2!CI34</f>
        <v>0</v>
      </c>
      <c r="CO79" s="7">
        <f>VC_NEW2!CJ34</f>
        <v>0</v>
      </c>
      <c r="CP79" s="7">
        <f>VC_NEW2!CK34</f>
        <v>0</v>
      </c>
      <c r="CQ79" s="7">
        <f>VC_NEW2!CL34</f>
        <v>0</v>
      </c>
      <c r="CR79" s="7">
        <f>VC_NEW2!CM34</f>
        <v>0</v>
      </c>
      <c r="CS79" s="7">
        <f>VC_NEW2!CN34</f>
        <v>0</v>
      </c>
      <c r="CT79" s="7">
        <f>VC_NEW2!CO34</f>
        <v>0</v>
      </c>
      <c r="CU79" s="7">
        <f>VC_NEW2!CP34</f>
        <v>0</v>
      </c>
      <c r="CV79" s="7">
        <f>VC_NEW2!CQ34</f>
        <v>0</v>
      </c>
      <c r="CW79" s="7">
        <f>VC_NEW2!CR34</f>
        <v>0</v>
      </c>
      <c r="CX79" s="7">
        <f>VC_NEW2!CS34</f>
        <v>0</v>
      </c>
      <c r="CY79" s="7">
        <f>VC_NEW2!CT34</f>
        <v>0</v>
      </c>
      <c r="CZ79" s="7">
        <f>VC_NEW2!CU34</f>
        <v>0</v>
      </c>
      <c r="DA79" s="7">
        <f>VC_NEW2!CV34</f>
        <v>0</v>
      </c>
      <c r="DB79" s="7">
        <f>VC_NEW2!CW34</f>
        <v>0</v>
      </c>
      <c r="DC79" s="7">
        <f>VC_NEW2!CX34</f>
        <v>0</v>
      </c>
      <c r="DD79" s="7">
        <f>VC_NEW2!CY34</f>
        <v>0</v>
      </c>
      <c r="DE79" s="7">
        <f>VC_NEW2!CZ34</f>
        <v>0</v>
      </c>
      <c r="DF79" s="7">
        <f>VC_NEW2!DA34</f>
        <v>0</v>
      </c>
      <c r="DG79" s="7">
        <f>VC_NEW2!DB34</f>
        <v>0</v>
      </c>
      <c r="DH79" s="7">
        <f>VC_NEW2!DC34</f>
        <v>0</v>
      </c>
      <c r="DI79" s="7">
        <f>VC_NEW2!DD34</f>
        <v>0</v>
      </c>
      <c r="DJ79" s="7">
        <f>VC_NEW2!DE34</f>
        <v>0</v>
      </c>
      <c r="DK79" s="7">
        <f>VC_NEW2!DF34</f>
        <v>0</v>
      </c>
      <c r="DL79" s="7">
        <f>VC_NEW2!DG34</f>
        <v>0</v>
      </c>
      <c r="DM79" s="7">
        <f>VC_NEW2!DH34</f>
        <v>0</v>
      </c>
      <c r="DN79" s="7">
        <f>VC_NEW2!DI34</f>
        <v>0</v>
      </c>
      <c r="DO79" s="7">
        <f>VC_NEW2!DJ34</f>
        <v>0</v>
      </c>
      <c r="DP79" s="7">
        <f>VC_NEW2!DK34</f>
        <v>0</v>
      </c>
      <c r="DQ79" s="7">
        <f>VC_NEW2!DL34</f>
        <v>0</v>
      </c>
      <c r="DR79" s="7">
        <f>VC_NEW2!DM34</f>
        <v>0</v>
      </c>
      <c r="DS79" s="7">
        <f>VC_NEW2!DN34</f>
        <v>0</v>
      </c>
      <c r="DT79" s="7">
        <f>VC_NEW2!DO34</f>
        <v>0</v>
      </c>
      <c r="DU79" s="7">
        <f>VC_NEW2!DP34</f>
        <v>0</v>
      </c>
      <c r="DV79" s="7">
        <f>VC_NEW2!DQ34</f>
        <v>0</v>
      </c>
      <c r="DW79" s="7">
        <f>VC_NEW2!DR34</f>
        <v>0</v>
      </c>
      <c r="DX79" s="7">
        <f>VC_NEW2!DS34</f>
        <v>0</v>
      </c>
      <c r="DY79" s="7">
        <f>VC_NEW2!DT34</f>
        <v>0</v>
      </c>
      <c r="DZ79" s="7">
        <f>VC_NEW2!DU34</f>
        <v>0</v>
      </c>
      <c r="EA79" s="7">
        <f>VC_NEW2!DV34</f>
        <v>0</v>
      </c>
      <c r="EB79" s="7">
        <f>VC_NEW2!DW34</f>
        <v>0</v>
      </c>
      <c r="EC79" s="7">
        <f>VC_NEW2!DX34</f>
        <v>0</v>
      </c>
      <c r="ED79" s="7">
        <f>VC_NEW2!DY34</f>
        <v>0</v>
      </c>
      <c r="EE79" s="7">
        <f>VC_NEW2!DZ34</f>
        <v>0</v>
      </c>
      <c r="EF79" s="7">
        <f>VC_NEW2!EA34</f>
        <v>0</v>
      </c>
      <c r="EG79" s="7">
        <f>VC_NEW2!EB34</f>
        <v>0</v>
      </c>
      <c r="EH79" s="7">
        <f>VC_NEW2!EC34</f>
        <v>0</v>
      </c>
      <c r="EI79" s="7">
        <f>VC_NEW2!ED34</f>
        <v>0</v>
      </c>
      <c r="EJ79" s="7">
        <f>VC_NEW2!EE34</f>
        <v>0</v>
      </c>
      <c r="EK79" s="7">
        <f>VC_NEW2!EF34</f>
        <v>0</v>
      </c>
      <c r="EL79" s="7" t="str">
        <f>VC_NEW2!EG34</f>
        <v>L219V</v>
      </c>
      <c r="EM79" s="7">
        <f>VC_NEW2!EH34</f>
        <v>0</v>
      </c>
      <c r="EN79" s="7">
        <f>VC_NEW2!EI34</f>
        <v>0</v>
      </c>
      <c r="EO79" s="7">
        <f>VC_NEW2!EJ34</f>
        <v>0</v>
      </c>
      <c r="EP79" s="7">
        <f>VC_NEW2!EK34</f>
        <v>0</v>
      </c>
      <c r="EQ79" s="7">
        <f>VC_NEW2!EL34</f>
        <v>0</v>
      </c>
      <c r="ER79" s="7">
        <f>VC_NEW2!EM34</f>
        <v>0</v>
      </c>
      <c r="ES79" s="7">
        <f>VC_NEW2!EN34</f>
        <v>0</v>
      </c>
      <c r="ET79" s="7">
        <f>VC_NEW2!EO34</f>
        <v>0</v>
      </c>
      <c r="EU79" s="7">
        <f>VC_NEW2!EP34</f>
        <v>0</v>
      </c>
      <c r="EV79" s="7">
        <f>VC_NEW2!EQ34</f>
        <v>0</v>
      </c>
      <c r="EW79" s="7" t="str">
        <f>VC_NEW2!ER34</f>
        <v>L240V, A572V</v>
      </c>
      <c r="EX79" s="7">
        <f>VC_NEW2!ES34</f>
        <v>0</v>
      </c>
      <c r="EY79" s="7">
        <f>VC_NEW2!ET34</f>
        <v>0</v>
      </c>
      <c r="EZ79" s="7">
        <f>VC_NEW2!EU34</f>
        <v>0</v>
      </c>
      <c r="FA79" s="7">
        <f>VC_NEW2!EV34</f>
        <v>0</v>
      </c>
      <c r="FB79" s="7">
        <f>VC_NEW2!EW34</f>
        <v>0</v>
      </c>
      <c r="FC79" s="7">
        <f>VC_NEW2!EX34</f>
        <v>0</v>
      </c>
      <c r="FD79" s="7">
        <f>VC_NEW2!EY34</f>
        <v>0</v>
      </c>
      <c r="FE79" s="7">
        <f>VC_NEW2!EZ34</f>
        <v>0</v>
      </c>
      <c r="FF79" s="7">
        <f>VC_NEW2!FA34</f>
        <v>0</v>
      </c>
      <c r="FG79" s="7">
        <f>VC_NEW2!FB34</f>
        <v>0</v>
      </c>
      <c r="FH79" s="7">
        <f>VC_NEW2!FC34</f>
        <v>0</v>
      </c>
      <c r="FI79" s="7">
        <f>VC_NEW2!FD34</f>
        <v>0</v>
      </c>
      <c r="FJ79" s="7">
        <f>VC_NEW2!FE34</f>
        <v>0</v>
      </c>
      <c r="FK79" s="7">
        <f>VC_NEW2!FF34</f>
        <v>0</v>
      </c>
      <c r="FL79" s="7">
        <f>VC_NEW2!FG34</f>
        <v>0</v>
      </c>
      <c r="FM79" s="7">
        <f>VC_NEW2!FH34</f>
        <v>0</v>
      </c>
      <c r="FN79" s="7">
        <f>VC_NEW2!FI34</f>
        <v>0</v>
      </c>
      <c r="FO79" s="7">
        <f>VC_NEW2!FJ34</f>
        <v>0</v>
      </c>
      <c r="FP79" s="7">
        <f>VC_NEW2!FK34</f>
        <v>0</v>
      </c>
      <c r="FQ79" s="7">
        <f>VC_NEW2!FL34</f>
        <v>0</v>
      </c>
      <c r="FR79" s="7">
        <f>VC_NEW2!FM34</f>
        <v>0</v>
      </c>
      <c r="FS79" s="7">
        <f>VC_NEW2!FN34</f>
        <v>0</v>
      </c>
      <c r="FT79" s="7">
        <f>VC_NEW2!FO34</f>
        <v>0</v>
      </c>
      <c r="FU79" s="7">
        <f>VC_NEW2!FP34</f>
        <v>0</v>
      </c>
      <c r="FV79" s="7">
        <f>VC_NEW2!FQ34</f>
        <v>0</v>
      </c>
      <c r="FW79" s="7">
        <f>VC_NEW2!FR34</f>
        <v>0</v>
      </c>
      <c r="FX79" s="7" t="str">
        <f>VC_NEW2!FS34</f>
        <v>G243S</v>
      </c>
      <c r="FY79" s="7">
        <f>VC_NEW2!FT34</f>
        <v>0</v>
      </c>
      <c r="FZ79" s="7">
        <f>VC_NEW2!FU34</f>
        <v>0</v>
      </c>
      <c r="GA79" s="7">
        <f>VC_NEW2!FV34</f>
        <v>0</v>
      </c>
      <c r="GB79" s="7" t="str">
        <f>VC_NEW2!FW34</f>
        <v>I347T</v>
      </c>
      <c r="GC79" s="7">
        <f>VC_NEW2!FX34</f>
        <v>0</v>
      </c>
      <c r="GD79" s="7">
        <f>VC_NEW2!FY34</f>
        <v>0</v>
      </c>
      <c r="GE79" s="7">
        <f>VC_NEW2!FZ34</f>
        <v>0</v>
      </c>
      <c r="GF79" s="7">
        <f>VC_NEW2!GA34</f>
        <v>0</v>
      </c>
      <c r="GG79" s="7">
        <f>VC_NEW2!GB34</f>
        <v>0</v>
      </c>
      <c r="GH79" s="7">
        <f>VC_NEW2!GC34</f>
        <v>0</v>
      </c>
      <c r="GI79" s="7">
        <f>VC_NEW2!GD34</f>
        <v>0</v>
      </c>
      <c r="GJ79" s="7">
        <f>VC_NEW2!GE34</f>
        <v>0</v>
      </c>
      <c r="GK79" s="7">
        <f>VC_NEW2!GF34</f>
        <v>0</v>
      </c>
      <c r="GL79" s="7">
        <f>VC_NEW2!GG34</f>
        <v>0</v>
      </c>
      <c r="GM79" s="7">
        <f>VC_NEW2!GH34</f>
        <v>0</v>
      </c>
      <c r="GN79" s="7">
        <f>VC_NEW2!GI34</f>
        <v>0</v>
      </c>
      <c r="GO79" s="7">
        <f>VC_NEW2!GJ34</f>
        <v>0</v>
      </c>
      <c r="GP79" s="7">
        <f>VC_NEW2!GK34</f>
        <v>0</v>
      </c>
      <c r="GQ79" s="7">
        <f>VC_NEW2!GL34</f>
        <v>0</v>
      </c>
      <c r="GR79" s="7" t="str">
        <f>VC_NEW2!GM34</f>
        <v>L23V, Y146F</v>
      </c>
      <c r="GS79" s="7">
        <f>VC_NEW2!GN34</f>
        <v>0</v>
      </c>
      <c r="GT79" s="7">
        <f>VC_NEW2!GO34</f>
        <v>0</v>
      </c>
      <c r="GU79" s="7">
        <f>VC_NEW2!GP34</f>
        <v>0</v>
      </c>
      <c r="GV79" s="7">
        <f>VC_NEW2!GQ34</f>
        <v>0</v>
      </c>
      <c r="GW79" s="7">
        <f>VC_NEW2!GR34</f>
        <v>0</v>
      </c>
      <c r="GX79" s="7">
        <f>VC_NEW2!GS34</f>
        <v>0</v>
      </c>
      <c r="GY79" s="7">
        <f>VC_NEW2!GT34</f>
        <v>0</v>
      </c>
      <c r="GZ79" s="7">
        <f>VC_NEW2!GU34</f>
        <v>0</v>
      </c>
      <c r="HA79" s="7">
        <f>VC_NEW2!GV34</f>
        <v>0</v>
      </c>
      <c r="HB79" s="7">
        <f>VC_NEW2!GW34</f>
        <v>0</v>
      </c>
      <c r="HC79" s="7">
        <f>VC_NEW2!GX34</f>
        <v>0</v>
      </c>
    </row>
    <row r="80" spans="1:211" s="1" customFormat="1" ht="15" hidden="1" customHeight="1" x14ac:dyDescent="0.25">
      <c r="A80" s="30" t="s">
        <v>33</v>
      </c>
      <c r="B80" s="30" t="s">
        <v>34</v>
      </c>
      <c r="C80" s="31" t="s">
        <v>1</v>
      </c>
      <c r="D80" s="30" t="s">
        <v>76</v>
      </c>
      <c r="E80" s="30" t="s">
        <v>147</v>
      </c>
      <c r="F80" s="30" t="s">
        <v>74</v>
      </c>
      <c r="G80" s="30" t="s">
        <v>136</v>
      </c>
      <c r="H80" s="1">
        <f>VC_NEW2!C35</f>
        <v>0</v>
      </c>
      <c r="I80" s="1">
        <f>VC_NEW2!D35</f>
        <v>0</v>
      </c>
      <c r="J80" s="1">
        <f>VC_NEW2!E35</f>
        <v>0</v>
      </c>
      <c r="K80" s="1">
        <f>VC_NEW2!F35</f>
        <v>0</v>
      </c>
      <c r="L80" s="1" t="str">
        <f>VC_NEW2!G35</f>
        <v xml:space="preserve"> L135Q  </v>
      </c>
      <c r="M80" s="1">
        <f>VC_NEW2!H35</f>
        <v>0</v>
      </c>
      <c r="N80" s="1" t="str">
        <f>VC_NEW2!I35</f>
        <v>A96T</v>
      </c>
      <c r="O80" s="1">
        <f>VC_NEW2!J35</f>
        <v>0</v>
      </c>
      <c r="P80" s="1">
        <f>VC_NEW2!K35</f>
        <v>0</v>
      </c>
      <c r="Q80" s="1">
        <f>VC_NEW2!L35</f>
        <v>0</v>
      </c>
      <c r="R80" s="1">
        <f>VC_NEW2!M35</f>
        <v>0</v>
      </c>
      <c r="S80" s="1">
        <f>VC_NEW2!N35</f>
        <v>0</v>
      </c>
      <c r="T80" s="1">
        <f>VC_NEW2!O35</f>
        <v>0</v>
      </c>
      <c r="U80" s="1">
        <f>VC_NEW2!P35</f>
        <v>0</v>
      </c>
      <c r="V80" s="1" t="str">
        <f>VC_NEW2!Q35</f>
        <v xml:space="preserve"> R140W  </v>
      </c>
      <c r="W80" s="1">
        <f>VC_NEW2!R35</f>
        <v>0</v>
      </c>
      <c r="X80" s="1">
        <f>VC_NEW2!S35</f>
        <v>0</v>
      </c>
      <c r="Y80" s="1">
        <f>VC_NEW2!T35</f>
        <v>0</v>
      </c>
      <c r="Z80" s="1">
        <f>VC_NEW2!U35</f>
        <v>0</v>
      </c>
      <c r="AA80" s="1">
        <f>VC_NEW2!V35</f>
        <v>0</v>
      </c>
      <c r="AB80" s="1">
        <f>VC_NEW2!W35</f>
        <v>0</v>
      </c>
      <c r="AC80" s="1">
        <f>VC_NEW2!X35</f>
        <v>0</v>
      </c>
      <c r="AD80" s="1">
        <f>VC_NEW2!Y35</f>
        <v>0</v>
      </c>
      <c r="AE80" s="1">
        <f>VC_NEW2!Z35</f>
        <v>0</v>
      </c>
      <c r="AF80" s="1">
        <f>VC_NEW2!AA35</f>
        <v>0</v>
      </c>
      <c r="AG80" s="1">
        <f>VC_NEW2!AB35</f>
        <v>0</v>
      </c>
      <c r="AH80" s="1">
        <f>VC_NEW2!AC35</f>
        <v>0</v>
      </c>
      <c r="AI80" s="1">
        <f>VC_NEW2!AD35</f>
        <v>0</v>
      </c>
      <c r="AJ80" s="1">
        <f>VC_NEW2!AE35</f>
        <v>0</v>
      </c>
      <c r="AK80" s="1">
        <f>VC_NEW2!AF35</f>
        <v>0</v>
      </c>
      <c r="AL80" s="1">
        <f>VC_NEW2!AG35</f>
        <v>0</v>
      </c>
      <c r="AM80" s="1">
        <f>VC_NEW2!AH35</f>
        <v>0</v>
      </c>
      <c r="AN80" s="1">
        <f>VC_NEW2!AI35</f>
        <v>0</v>
      </c>
      <c r="AO80" s="1">
        <f>VC_NEW2!AJ35</f>
        <v>0</v>
      </c>
      <c r="AP80" s="1">
        <f>VC_NEW2!AK35</f>
        <v>0</v>
      </c>
      <c r="AQ80" s="1">
        <f>VC_NEW2!AL35</f>
        <v>0</v>
      </c>
      <c r="AR80" s="1">
        <f>VC_NEW2!AM35</f>
        <v>0</v>
      </c>
      <c r="AS80" s="1">
        <f>VC_NEW2!AN35</f>
        <v>0</v>
      </c>
      <c r="AT80" s="1">
        <f>VC_NEW2!AO35</f>
        <v>0</v>
      </c>
      <c r="AU80" s="1" t="str">
        <f>VC_NEW2!AP35</f>
        <v>Q131X</v>
      </c>
      <c r="AV80" s="1">
        <f>VC_NEW2!AQ35</f>
        <v>0</v>
      </c>
      <c r="AW80" s="1">
        <f>VC_NEW2!AR35</f>
        <v>0</v>
      </c>
      <c r="AX80" s="1">
        <f>VC_NEW2!AS35</f>
        <v>0</v>
      </c>
      <c r="AY80" s="1">
        <f>VC_NEW2!AT35</f>
        <v>0</v>
      </c>
      <c r="AZ80" s="1">
        <f>VC_NEW2!AU35</f>
        <v>0</v>
      </c>
      <c r="BA80" s="1">
        <f>VC_NEW2!AV35</f>
        <v>0</v>
      </c>
      <c r="BB80" s="1">
        <f>VC_NEW2!AW35</f>
        <v>0</v>
      </c>
      <c r="BC80" s="1">
        <f>VC_NEW2!AX35</f>
        <v>0</v>
      </c>
      <c r="BD80" s="1">
        <f>VC_NEW2!AY35</f>
        <v>0</v>
      </c>
      <c r="BE80" s="1">
        <f>VC_NEW2!AZ35</f>
        <v>0</v>
      </c>
      <c r="BF80" s="1">
        <f>VC_NEW2!BA35</f>
        <v>0</v>
      </c>
      <c r="BG80" s="1" t="str">
        <f>VC_NEW2!BB35</f>
        <v xml:space="preserve">T47I </v>
      </c>
      <c r="BH80" s="1">
        <f>VC_NEW2!BC35</f>
        <v>0</v>
      </c>
      <c r="BI80" s="1">
        <f>VC_NEW2!BD35</f>
        <v>0</v>
      </c>
      <c r="BJ80" s="1">
        <f>VC_NEW2!BE35</f>
        <v>0</v>
      </c>
      <c r="BK80" s="1">
        <f>VC_NEW2!BF35</f>
        <v>0</v>
      </c>
      <c r="BL80" s="1">
        <f>VC_NEW2!BG35</f>
        <v>0</v>
      </c>
      <c r="BM80" s="1">
        <f>VC_NEW2!BH35</f>
        <v>0</v>
      </c>
      <c r="BN80" s="1">
        <f>VC_NEW2!BI35</f>
        <v>0</v>
      </c>
      <c r="BO80" s="1">
        <f>VC_NEW2!BJ35</f>
        <v>0</v>
      </c>
      <c r="BP80" s="1">
        <f>VC_NEW2!BK35</f>
        <v>0</v>
      </c>
      <c r="BQ80" s="1">
        <f>VC_NEW2!BL35</f>
        <v>0</v>
      </c>
      <c r="BR80" s="1">
        <f>VC_NEW2!BM35</f>
        <v>0</v>
      </c>
      <c r="BS80" s="1" t="str">
        <f>VC_NEW2!BN35</f>
        <v xml:space="preserve">T139M  </v>
      </c>
      <c r="BT80" s="1">
        <f>VC_NEW2!BO35</f>
        <v>0</v>
      </c>
      <c r="BU80" s="1">
        <f>VC_NEW2!BP35</f>
        <v>0</v>
      </c>
      <c r="BV80" s="1">
        <f>VC_NEW2!BQ35</f>
        <v>0</v>
      </c>
      <c r="BW80" s="1">
        <f>VC_NEW2!BR35</f>
        <v>0</v>
      </c>
      <c r="BX80" s="1">
        <f>VC_NEW2!BS35</f>
        <v>0</v>
      </c>
      <c r="BY80" s="1">
        <f>VC_NEW2!BT35</f>
        <v>0</v>
      </c>
      <c r="BZ80" s="1">
        <f>VC_NEW2!BU35</f>
        <v>0</v>
      </c>
      <c r="CA80" s="1">
        <f>VC_NEW2!BV35</f>
        <v>0</v>
      </c>
      <c r="CB80" s="1">
        <f>VC_NEW2!BW35</f>
        <v>0</v>
      </c>
      <c r="CC80" s="1">
        <f>VC_NEW2!BX35</f>
        <v>0</v>
      </c>
      <c r="CD80" s="1">
        <f>VC_NEW2!BY35</f>
        <v>0</v>
      </c>
      <c r="CE80" s="1">
        <f>VC_NEW2!BZ35</f>
        <v>0</v>
      </c>
      <c r="CF80" s="1" t="str">
        <f>VC_NEW2!CA35</f>
        <v>S75F</v>
      </c>
      <c r="CG80" s="1">
        <f>VC_NEW2!CB35</f>
        <v>0</v>
      </c>
      <c r="CH80" s="1">
        <f>VC_NEW2!CC35</f>
        <v>0</v>
      </c>
      <c r="CI80" s="1">
        <f>VC_NEW2!CD35</f>
        <v>0</v>
      </c>
      <c r="CJ80" s="1">
        <f>VC_NEW2!CE35</f>
        <v>0</v>
      </c>
      <c r="CK80" s="1">
        <f>VC_NEW2!CF35</f>
        <v>0</v>
      </c>
      <c r="CL80" s="1">
        <f>VC_NEW2!CG35</f>
        <v>0</v>
      </c>
      <c r="CM80" s="1">
        <f>VC_NEW2!CH35</f>
        <v>0</v>
      </c>
      <c r="CN80" s="1">
        <f>VC_NEW2!CI35</f>
        <v>0</v>
      </c>
      <c r="CO80" s="1" t="str">
        <f>VC_NEW2!CJ35</f>
        <v>A144V</v>
      </c>
      <c r="CP80" s="1">
        <f>VC_NEW2!CK35</f>
        <v>0</v>
      </c>
      <c r="CQ80" s="1">
        <f>VC_NEW2!CL35</f>
        <v>0</v>
      </c>
      <c r="CR80" s="1">
        <f>VC_NEW2!CM35</f>
        <v>0</v>
      </c>
      <c r="CS80" s="1">
        <f>VC_NEW2!CN35</f>
        <v>0</v>
      </c>
      <c r="CT80" s="1" t="str">
        <f>VC_NEW2!CO35</f>
        <v xml:space="preserve">V10I </v>
      </c>
      <c r="CU80" s="1">
        <f>VC_NEW2!CP35</f>
        <v>0</v>
      </c>
      <c r="CV80" s="1">
        <f>VC_NEW2!CQ35</f>
        <v>0</v>
      </c>
      <c r="CW80" s="1">
        <f>VC_NEW2!CR35</f>
        <v>0</v>
      </c>
      <c r="CX80" s="1">
        <f>VC_NEW2!CS35</f>
        <v>0</v>
      </c>
      <c r="CY80" s="1">
        <f>VC_NEW2!CT35</f>
        <v>0</v>
      </c>
      <c r="CZ80" s="1">
        <f>VC_NEW2!CU35</f>
        <v>0</v>
      </c>
      <c r="DA80" s="1">
        <f>VC_NEW2!CV35</f>
        <v>0</v>
      </c>
      <c r="DB80" s="1">
        <f>VC_NEW2!CW35</f>
        <v>0</v>
      </c>
      <c r="DC80" s="1">
        <f>VC_NEW2!CX35</f>
        <v>0</v>
      </c>
      <c r="DD80" s="1" t="str">
        <f>VC_NEW2!CY35</f>
        <v xml:space="preserve">T182I </v>
      </c>
      <c r="DE80" s="1">
        <f>VC_NEW2!CZ35</f>
        <v>0</v>
      </c>
      <c r="DF80" s="1">
        <f>VC_NEW2!DA35</f>
        <v>0</v>
      </c>
      <c r="DG80" s="1">
        <f>VC_NEW2!DB35</f>
        <v>0</v>
      </c>
      <c r="DH80" s="1">
        <f>VC_NEW2!DC35</f>
        <v>0</v>
      </c>
      <c r="DI80" s="1">
        <f>VC_NEW2!DD35</f>
        <v>0</v>
      </c>
      <c r="DJ80" s="1">
        <f>VC_NEW2!DE35</f>
        <v>0</v>
      </c>
      <c r="DK80" s="1" t="str">
        <f>VC_NEW2!DF35</f>
        <v xml:space="preserve">A134P  </v>
      </c>
      <c r="DL80" s="1">
        <f>VC_NEW2!DG35</f>
        <v>0</v>
      </c>
      <c r="DM80" s="1">
        <f>VC_NEW2!DH35</f>
        <v>0</v>
      </c>
      <c r="DN80" s="1">
        <f>VC_NEW2!DI35</f>
        <v>0</v>
      </c>
      <c r="DO80" s="1" t="str">
        <f>VC_NEW2!DJ35</f>
        <v>D59E</v>
      </c>
      <c r="DP80" s="1">
        <f>VC_NEW2!DK35</f>
        <v>0</v>
      </c>
      <c r="DQ80" s="1">
        <f>VC_NEW2!DL35</f>
        <v>0</v>
      </c>
      <c r="DR80" s="1">
        <f>VC_NEW2!DM35</f>
        <v>0</v>
      </c>
      <c r="DS80" s="1">
        <f>VC_NEW2!DN35</f>
        <v>0</v>
      </c>
      <c r="DT80" s="1">
        <f>VC_NEW2!DO35</f>
        <v>0</v>
      </c>
      <c r="DU80" s="1" t="str">
        <f>VC_NEW2!DP35</f>
        <v xml:space="preserve">F113L  </v>
      </c>
      <c r="DV80" s="1">
        <f>VC_NEW2!DQ35</f>
        <v>0</v>
      </c>
      <c r="DW80" s="1" t="str">
        <f>VC_NEW2!DR35</f>
        <v xml:space="preserve">F113L  </v>
      </c>
      <c r="DX80" s="1">
        <f>VC_NEW2!DS35</f>
        <v>0</v>
      </c>
      <c r="DY80" s="1">
        <f>VC_NEW2!DT35</f>
        <v>0</v>
      </c>
      <c r="DZ80" s="1">
        <f>VC_NEW2!DU35</f>
        <v>0</v>
      </c>
      <c r="EA80" s="1">
        <f>VC_NEW2!DV35</f>
        <v>0</v>
      </c>
      <c r="EB80" s="1">
        <f>VC_NEW2!DW35</f>
        <v>0</v>
      </c>
      <c r="EC80" s="1">
        <f>VC_NEW2!DX35</f>
        <v>0</v>
      </c>
      <c r="ED80" s="1">
        <f>VC_NEW2!DY35</f>
        <v>0</v>
      </c>
      <c r="EE80" s="1" t="str">
        <f>VC_NEW2!DZ35</f>
        <v xml:space="preserve">V10G  </v>
      </c>
      <c r="EF80" s="1">
        <f>VC_NEW2!EA35</f>
        <v>0</v>
      </c>
      <c r="EG80" s="1">
        <f>VC_NEW2!EB35</f>
        <v>0</v>
      </c>
      <c r="EH80" s="1" t="str">
        <f>VC_NEW2!EC35</f>
        <v xml:space="preserve">L40Q  </v>
      </c>
      <c r="EI80" s="1">
        <f>VC_NEW2!ED35</f>
        <v>0</v>
      </c>
      <c r="EJ80" s="1">
        <f>VC_NEW2!EE35</f>
        <v>0</v>
      </c>
      <c r="EK80" s="1">
        <f>VC_NEW2!EF35</f>
        <v>0</v>
      </c>
      <c r="EL80" s="1" t="str">
        <f>VC_NEW2!EG35</f>
        <v xml:space="preserve">D83G  </v>
      </c>
      <c r="EM80" s="1">
        <f>VC_NEW2!EH35</f>
        <v>0</v>
      </c>
      <c r="EN80" s="1">
        <f>VC_NEW2!EI35</f>
        <v>0</v>
      </c>
      <c r="EO80" s="1">
        <f>VC_NEW2!EJ35</f>
        <v>0</v>
      </c>
      <c r="EP80" s="1">
        <f>VC_NEW2!EK35</f>
        <v>0</v>
      </c>
      <c r="EQ80" s="1">
        <f>VC_NEW2!EL35</f>
        <v>0</v>
      </c>
      <c r="ER80" s="1">
        <f>VC_NEW2!EM35</f>
        <v>0</v>
      </c>
      <c r="ES80" s="1">
        <f>VC_NEW2!EN35</f>
        <v>0</v>
      </c>
      <c r="ET80" s="1">
        <f>VC_NEW2!EO35</f>
        <v>0</v>
      </c>
      <c r="EU80" s="1">
        <f>VC_NEW2!EP35</f>
        <v>0</v>
      </c>
      <c r="EV80" s="1">
        <f>VC_NEW2!EQ35</f>
        <v>0</v>
      </c>
      <c r="EW80" s="1" t="str">
        <f>VC_NEW2!ER35</f>
        <v>R11H, A85S, S175P</v>
      </c>
      <c r="EX80" s="1">
        <f>VC_NEW2!ES35</f>
        <v>0</v>
      </c>
      <c r="EY80" s="1">
        <f>VC_NEW2!ET35</f>
        <v>0</v>
      </c>
      <c r="EZ80" s="1">
        <f>VC_NEW2!EU35</f>
        <v>0</v>
      </c>
      <c r="FA80" s="1">
        <f>VC_NEW2!EV35</f>
        <v>0</v>
      </c>
      <c r="FB80" s="1">
        <f>VC_NEW2!EW35</f>
        <v>0</v>
      </c>
      <c r="FC80" s="1">
        <f>VC_NEW2!EX35</f>
        <v>0</v>
      </c>
      <c r="FD80" s="1">
        <f>VC_NEW2!EY35</f>
        <v>0</v>
      </c>
      <c r="FE80" s="1" t="str">
        <f>VC_NEW2!EZ35</f>
        <v>A96T</v>
      </c>
      <c r="FF80" s="1">
        <f>VC_NEW2!FA35</f>
        <v>0</v>
      </c>
      <c r="FG80" s="1">
        <f>VC_NEW2!FB35</f>
        <v>0</v>
      </c>
      <c r="FH80" s="1">
        <f>VC_NEW2!FC35</f>
        <v>0</v>
      </c>
      <c r="FI80" s="1" t="str">
        <f>VC_NEW2!FD35</f>
        <v xml:space="preserve">A29V, W97C </v>
      </c>
      <c r="FJ80" s="1">
        <f>VC_NEW2!FE35</f>
        <v>0</v>
      </c>
      <c r="FK80" s="1" t="str">
        <f>VC_NEW2!FF35</f>
        <v xml:space="preserve"> G137E  </v>
      </c>
      <c r="FL80" s="1">
        <f>VC_NEW2!FG35</f>
        <v>0</v>
      </c>
      <c r="FM80" s="1">
        <f>VC_NEW2!FH35</f>
        <v>0</v>
      </c>
      <c r="FN80" s="1">
        <f>VC_NEW2!FI35</f>
        <v>0</v>
      </c>
      <c r="FO80" s="1">
        <f>VC_NEW2!FJ35</f>
        <v>0</v>
      </c>
      <c r="FP80" s="1">
        <f>VC_NEW2!FK35</f>
        <v>0</v>
      </c>
      <c r="FQ80" s="1">
        <f>VC_NEW2!FL35</f>
        <v>0</v>
      </c>
      <c r="FR80" s="1">
        <f>VC_NEW2!FM35</f>
        <v>0</v>
      </c>
      <c r="FS80" s="1">
        <f>VC_NEW2!FN35</f>
        <v>0</v>
      </c>
      <c r="FT80" s="1">
        <f>VC_NEW2!FO35</f>
        <v>0</v>
      </c>
      <c r="FU80" s="1">
        <f>VC_NEW2!FP35</f>
        <v>0</v>
      </c>
      <c r="FV80" s="1">
        <f>VC_NEW2!FQ35</f>
        <v>0</v>
      </c>
      <c r="FW80" s="1">
        <f>VC_NEW2!FR35</f>
        <v>0</v>
      </c>
      <c r="FX80" s="1">
        <f>VC_NEW2!FS35</f>
        <v>0</v>
      </c>
      <c r="FY80" s="1">
        <f>VC_NEW2!FT35</f>
        <v>0</v>
      </c>
      <c r="FZ80" s="1">
        <f>VC_NEW2!FU35</f>
        <v>0</v>
      </c>
      <c r="GA80" s="1">
        <f>VC_NEW2!FV35</f>
        <v>0</v>
      </c>
      <c r="GB80" s="1">
        <f>VC_NEW2!FW35</f>
        <v>0</v>
      </c>
      <c r="GC80" s="1">
        <f>VC_NEW2!FX35</f>
        <v>0</v>
      </c>
      <c r="GD80" s="1">
        <f>VC_NEW2!FY35</f>
        <v>0</v>
      </c>
      <c r="GE80" s="1">
        <f>VC_NEW2!FZ35</f>
        <v>0</v>
      </c>
      <c r="GF80" s="1">
        <f>VC_NEW2!GA35</f>
        <v>0</v>
      </c>
      <c r="GG80" s="1">
        <f>VC_NEW2!GB35</f>
        <v>0</v>
      </c>
      <c r="GH80" s="1">
        <f>VC_NEW2!GC35</f>
        <v>0</v>
      </c>
      <c r="GI80" s="1">
        <f>VC_NEW2!GD35</f>
        <v>0</v>
      </c>
      <c r="GJ80" s="1">
        <f>VC_NEW2!GE35</f>
        <v>0</v>
      </c>
      <c r="GK80" s="1">
        <f>VC_NEW2!GF35</f>
        <v>0</v>
      </c>
      <c r="GL80" s="1">
        <f>VC_NEW2!GG35</f>
        <v>0</v>
      </c>
      <c r="GM80" s="1">
        <f>VC_NEW2!GH35</f>
        <v>0</v>
      </c>
      <c r="GN80" s="1" t="str">
        <f>VC_NEW2!GI35</f>
        <v xml:space="preserve">G46S </v>
      </c>
      <c r="GO80" s="1" t="str">
        <f>VC_NEW2!GJ35</f>
        <v xml:space="preserve">A29V, W97C </v>
      </c>
      <c r="GP80" s="1">
        <f>VC_NEW2!GK35</f>
        <v>0</v>
      </c>
      <c r="GQ80" s="1">
        <f>VC_NEW2!GL35</f>
        <v>0</v>
      </c>
      <c r="GR80" s="1">
        <f>VC_NEW2!GM35</f>
        <v>0</v>
      </c>
      <c r="GS80" s="1">
        <f>VC_NEW2!GN35</f>
        <v>0</v>
      </c>
      <c r="GT80" s="1" t="str">
        <f>VC_NEW2!GO35</f>
        <v>R178C</v>
      </c>
      <c r="GU80" s="1">
        <f>VC_NEW2!GP35</f>
        <v>0</v>
      </c>
      <c r="GV80" s="1">
        <f>VC_NEW2!GQ35</f>
        <v>0</v>
      </c>
      <c r="GW80" s="1">
        <f>VC_NEW2!GR35</f>
        <v>0</v>
      </c>
      <c r="GX80" s="1">
        <f>VC_NEW2!GS35</f>
        <v>0</v>
      </c>
      <c r="GY80" s="1">
        <f>VC_NEW2!GT35</f>
        <v>0</v>
      </c>
      <c r="GZ80" s="1">
        <f>VC_NEW2!GU35</f>
        <v>0</v>
      </c>
      <c r="HA80" s="1">
        <f>VC_NEW2!GV35</f>
        <v>0</v>
      </c>
      <c r="HB80" s="1">
        <f>VC_NEW2!GW35</f>
        <v>0</v>
      </c>
      <c r="HC80" s="1">
        <f>VC_NEW2!GX35</f>
        <v>0</v>
      </c>
    </row>
    <row r="81" spans="1:443" s="1" customFormat="1" ht="15" customHeight="1" x14ac:dyDescent="0.25">
      <c r="A81" s="30" t="s">
        <v>33</v>
      </c>
      <c r="B81" s="30" t="s">
        <v>34</v>
      </c>
      <c r="C81" s="31" t="s">
        <v>2</v>
      </c>
      <c r="D81" s="30" t="s">
        <v>76</v>
      </c>
      <c r="E81" s="30" t="s">
        <v>139</v>
      </c>
      <c r="F81" s="30" t="s">
        <v>74</v>
      </c>
      <c r="G81" s="30" t="s">
        <v>136</v>
      </c>
      <c r="H81" s="1">
        <f>VC_NEW2!C35</f>
        <v>0</v>
      </c>
      <c r="I81" s="1">
        <f>VC_NEW2!D35</f>
        <v>0</v>
      </c>
      <c r="J81" s="1">
        <f>VC_NEW2!E35</f>
        <v>0</v>
      </c>
      <c r="K81" s="1">
        <f>VC_NEW2!F35</f>
        <v>0</v>
      </c>
      <c r="L81" s="1" t="str">
        <f>VC_NEW2!G35</f>
        <v xml:space="preserve"> L135Q  </v>
      </c>
      <c r="M81" s="1">
        <f>VC_NEW2!H35</f>
        <v>0</v>
      </c>
      <c r="N81" s="1" t="str">
        <f>VC_NEW2!I35</f>
        <v>A96T</v>
      </c>
      <c r="O81" s="1">
        <f>VC_NEW2!J35</f>
        <v>0</v>
      </c>
      <c r="P81" s="1">
        <f>VC_NEW2!K35</f>
        <v>0</v>
      </c>
      <c r="Q81" s="1">
        <f>VC_NEW2!L35</f>
        <v>0</v>
      </c>
      <c r="R81" s="1">
        <f>VC_NEW2!M35</f>
        <v>0</v>
      </c>
      <c r="S81" s="1">
        <f>VC_NEW2!N35</f>
        <v>0</v>
      </c>
      <c r="T81" s="1">
        <f>VC_NEW2!O35</f>
        <v>0</v>
      </c>
      <c r="U81" s="1">
        <f>VC_NEW2!P35</f>
        <v>0</v>
      </c>
      <c r="V81" s="1" t="str">
        <f>VC_NEW2!Q35</f>
        <v xml:space="preserve"> R140W  </v>
      </c>
      <c r="W81" s="1">
        <f>VC_NEW2!R35</f>
        <v>0</v>
      </c>
      <c r="X81" s="1">
        <f>VC_NEW2!S35</f>
        <v>0</v>
      </c>
      <c r="Y81" s="1">
        <f>VC_NEW2!T35</f>
        <v>0</v>
      </c>
      <c r="Z81" s="1">
        <f>VC_NEW2!U35</f>
        <v>0</v>
      </c>
      <c r="AA81" s="1">
        <f>VC_NEW2!V35</f>
        <v>0</v>
      </c>
      <c r="AB81" s="1">
        <f>VC_NEW2!W35</f>
        <v>0</v>
      </c>
      <c r="AC81" s="1">
        <f>VC_NEW2!X35</f>
        <v>0</v>
      </c>
      <c r="AD81" s="1">
        <f>VC_NEW2!Y35</f>
        <v>0</v>
      </c>
      <c r="AE81" s="1">
        <f>VC_NEW2!Z35</f>
        <v>0</v>
      </c>
      <c r="AF81" s="1">
        <f>VC_NEW2!AA35</f>
        <v>0</v>
      </c>
      <c r="AG81" s="1">
        <f>VC_NEW2!AB35</f>
        <v>0</v>
      </c>
      <c r="AH81" s="1">
        <f>VC_NEW2!AC35</f>
        <v>0</v>
      </c>
      <c r="AI81" s="1">
        <f>VC_NEW2!AD35</f>
        <v>0</v>
      </c>
      <c r="AJ81" s="1">
        <f>VC_NEW2!AE35</f>
        <v>0</v>
      </c>
      <c r="AK81" s="1">
        <f>VC_NEW2!AF35</f>
        <v>0</v>
      </c>
      <c r="AL81" s="1">
        <f>VC_NEW2!AG35</f>
        <v>0</v>
      </c>
      <c r="AM81" s="1">
        <f>VC_NEW2!AH35</f>
        <v>0</v>
      </c>
      <c r="AN81" s="1">
        <f>VC_NEW2!AI35</f>
        <v>0</v>
      </c>
      <c r="AO81" s="1">
        <f>VC_NEW2!AJ35</f>
        <v>0</v>
      </c>
      <c r="AP81" s="1">
        <f>VC_NEW2!AK35</f>
        <v>0</v>
      </c>
      <c r="AQ81" s="1">
        <f>VC_NEW2!AL35</f>
        <v>0</v>
      </c>
      <c r="AR81" s="1">
        <f>VC_NEW2!AM35</f>
        <v>0</v>
      </c>
      <c r="AS81" s="1">
        <f>VC_NEW2!AN35</f>
        <v>0</v>
      </c>
      <c r="AT81" s="1">
        <f>VC_NEW2!AO35</f>
        <v>0</v>
      </c>
      <c r="AU81" s="1" t="str">
        <f>VC_NEW2!AP35</f>
        <v>Q131X</v>
      </c>
      <c r="AV81" s="1">
        <f>VC_NEW2!AQ35</f>
        <v>0</v>
      </c>
      <c r="AW81" s="1">
        <f>VC_NEW2!AR35</f>
        <v>0</v>
      </c>
      <c r="AX81" s="1">
        <f>VC_NEW2!AS35</f>
        <v>0</v>
      </c>
      <c r="AY81" s="1">
        <f>VC_NEW2!AT35</f>
        <v>0</v>
      </c>
      <c r="AZ81" s="1">
        <f>VC_NEW2!AU35</f>
        <v>0</v>
      </c>
      <c r="BA81" s="1">
        <f>VC_NEW2!AV35</f>
        <v>0</v>
      </c>
      <c r="BB81" s="1">
        <f>VC_NEW2!AW35</f>
        <v>0</v>
      </c>
      <c r="BC81" s="1">
        <f>VC_NEW2!AX35</f>
        <v>0</v>
      </c>
      <c r="BD81" s="1">
        <f>VC_NEW2!AY35</f>
        <v>0</v>
      </c>
      <c r="BE81" s="1">
        <f>VC_NEW2!AZ35</f>
        <v>0</v>
      </c>
      <c r="BF81" s="1">
        <f>VC_NEW2!BA35</f>
        <v>0</v>
      </c>
      <c r="BG81" s="1" t="str">
        <f>VC_NEW2!BB35</f>
        <v xml:space="preserve">T47I </v>
      </c>
      <c r="BH81" s="1">
        <f>VC_NEW2!BC35</f>
        <v>0</v>
      </c>
      <c r="BI81" s="1">
        <f>VC_NEW2!BD35</f>
        <v>0</v>
      </c>
      <c r="BJ81" s="1">
        <f>VC_NEW2!BE35</f>
        <v>0</v>
      </c>
      <c r="BK81" s="1">
        <f>VC_NEW2!BF35</f>
        <v>0</v>
      </c>
      <c r="BL81" s="1">
        <f>VC_NEW2!BG35</f>
        <v>0</v>
      </c>
      <c r="BM81" s="1">
        <f>VC_NEW2!BH35</f>
        <v>0</v>
      </c>
      <c r="BN81" s="1">
        <f>VC_NEW2!BI35</f>
        <v>0</v>
      </c>
      <c r="BO81" s="1">
        <f>VC_NEW2!BJ35</f>
        <v>0</v>
      </c>
      <c r="BP81" s="1">
        <f>VC_NEW2!BK35</f>
        <v>0</v>
      </c>
      <c r="BQ81" s="1">
        <f>VC_NEW2!BL35</f>
        <v>0</v>
      </c>
      <c r="BR81" s="1">
        <f>VC_NEW2!BM35</f>
        <v>0</v>
      </c>
      <c r="BS81" s="1" t="str">
        <f>VC_NEW2!BN35</f>
        <v xml:space="preserve">T139M  </v>
      </c>
      <c r="BT81" s="1">
        <f>VC_NEW2!BO35</f>
        <v>0</v>
      </c>
      <c r="BU81" s="1">
        <f>VC_NEW2!BP35</f>
        <v>0</v>
      </c>
      <c r="BV81" s="1">
        <f>VC_NEW2!BQ35</f>
        <v>0</v>
      </c>
      <c r="BW81" s="1">
        <f>VC_NEW2!BR35</f>
        <v>0</v>
      </c>
      <c r="BX81" s="1">
        <f>VC_NEW2!BS35</f>
        <v>0</v>
      </c>
      <c r="BY81" s="1">
        <f>VC_NEW2!BT35</f>
        <v>0</v>
      </c>
      <c r="BZ81" s="1">
        <f>VC_NEW2!BU35</f>
        <v>0</v>
      </c>
      <c r="CA81" s="1">
        <f>VC_NEW2!BV35</f>
        <v>0</v>
      </c>
      <c r="CB81" s="1">
        <f>VC_NEW2!BW35</f>
        <v>0</v>
      </c>
      <c r="CC81" s="1">
        <f>VC_NEW2!BX35</f>
        <v>0</v>
      </c>
      <c r="CD81" s="1">
        <f>VC_NEW2!BY35</f>
        <v>0</v>
      </c>
      <c r="CE81" s="1">
        <f>VC_NEW2!BZ35</f>
        <v>0</v>
      </c>
      <c r="CF81" s="1" t="str">
        <f>VC_NEW2!CA35</f>
        <v>S75F</v>
      </c>
      <c r="CG81" s="1">
        <f>VC_NEW2!CB35</f>
        <v>0</v>
      </c>
      <c r="CH81" s="1">
        <f>VC_NEW2!CC35</f>
        <v>0</v>
      </c>
      <c r="CI81" s="1">
        <f>VC_NEW2!CD35</f>
        <v>0</v>
      </c>
      <c r="CJ81" s="1">
        <f>VC_NEW2!CE35</f>
        <v>0</v>
      </c>
      <c r="CK81" s="1">
        <f>VC_NEW2!CF35</f>
        <v>0</v>
      </c>
      <c r="CL81" s="1">
        <f>VC_NEW2!CG35</f>
        <v>0</v>
      </c>
      <c r="CM81" s="1">
        <f>VC_NEW2!CH35</f>
        <v>0</v>
      </c>
      <c r="CN81" s="1">
        <f>VC_NEW2!CI35</f>
        <v>0</v>
      </c>
      <c r="CO81" s="1" t="str">
        <f>VC_NEW2!CJ35</f>
        <v>A144V</v>
      </c>
      <c r="CP81" s="1">
        <f>VC_NEW2!CK35</f>
        <v>0</v>
      </c>
      <c r="CQ81" s="1">
        <f>VC_NEW2!CL35</f>
        <v>0</v>
      </c>
      <c r="CR81" s="1">
        <f>VC_NEW2!CM35</f>
        <v>0</v>
      </c>
      <c r="CS81" s="1">
        <f>VC_NEW2!CN35</f>
        <v>0</v>
      </c>
      <c r="CT81" s="1" t="str">
        <f>VC_NEW2!CO35</f>
        <v xml:space="preserve">V10I </v>
      </c>
      <c r="CU81" s="1">
        <f>VC_NEW2!CP35</f>
        <v>0</v>
      </c>
      <c r="CV81" s="1">
        <f>VC_NEW2!CQ35</f>
        <v>0</v>
      </c>
      <c r="CW81" s="1">
        <f>VC_NEW2!CR35</f>
        <v>0</v>
      </c>
      <c r="CX81" s="1">
        <f>VC_NEW2!CS35</f>
        <v>0</v>
      </c>
      <c r="CY81" s="1">
        <f>VC_NEW2!CT35</f>
        <v>0</v>
      </c>
      <c r="CZ81" s="1">
        <f>VC_NEW2!CU35</f>
        <v>0</v>
      </c>
      <c r="DA81" s="1">
        <f>VC_NEW2!CV35</f>
        <v>0</v>
      </c>
      <c r="DB81" s="1">
        <f>VC_NEW2!CW35</f>
        <v>0</v>
      </c>
      <c r="DC81" s="1">
        <f>VC_NEW2!CX35</f>
        <v>0</v>
      </c>
      <c r="DD81" s="1" t="str">
        <f>VC_NEW2!CY35</f>
        <v xml:space="preserve">T182I </v>
      </c>
      <c r="DE81" s="1">
        <f>VC_NEW2!CZ35</f>
        <v>0</v>
      </c>
      <c r="DF81" s="1">
        <f>VC_NEW2!DA35</f>
        <v>0</v>
      </c>
      <c r="DG81" s="1">
        <f>VC_NEW2!DB35</f>
        <v>0</v>
      </c>
      <c r="DH81" s="1">
        <f>VC_NEW2!DC35</f>
        <v>0</v>
      </c>
      <c r="DI81" s="1">
        <f>VC_NEW2!DD35</f>
        <v>0</v>
      </c>
      <c r="DJ81" s="1">
        <f>VC_NEW2!DE35</f>
        <v>0</v>
      </c>
      <c r="DK81" s="1" t="str">
        <f>VC_NEW2!DF35</f>
        <v xml:space="preserve">A134P  </v>
      </c>
      <c r="DL81" s="1">
        <f>VC_NEW2!DG35</f>
        <v>0</v>
      </c>
      <c r="DM81" s="1">
        <f>VC_NEW2!DH35</f>
        <v>0</v>
      </c>
      <c r="DN81" s="1">
        <f>VC_NEW2!DI35</f>
        <v>0</v>
      </c>
      <c r="DO81" s="1" t="str">
        <f>VC_NEW2!DJ35</f>
        <v>D59E</v>
      </c>
      <c r="DP81" s="1">
        <f>VC_NEW2!DK35</f>
        <v>0</v>
      </c>
      <c r="DQ81" s="1">
        <f>VC_NEW2!DL35</f>
        <v>0</v>
      </c>
      <c r="DR81" s="1">
        <f>VC_NEW2!DM35</f>
        <v>0</v>
      </c>
      <c r="DS81" s="1">
        <f>VC_NEW2!DN35</f>
        <v>0</v>
      </c>
      <c r="DT81" s="1">
        <f>VC_NEW2!DO35</f>
        <v>0</v>
      </c>
      <c r="DU81" s="1" t="str">
        <f>VC_NEW2!DP35</f>
        <v xml:space="preserve">F113L  </v>
      </c>
      <c r="DV81" s="1">
        <f>VC_NEW2!DQ35</f>
        <v>0</v>
      </c>
      <c r="DW81" s="1" t="str">
        <f>VC_NEW2!DR35</f>
        <v xml:space="preserve">F113L  </v>
      </c>
      <c r="DX81" s="1">
        <f>VC_NEW2!DS35</f>
        <v>0</v>
      </c>
      <c r="DY81" s="1">
        <f>VC_NEW2!DT35</f>
        <v>0</v>
      </c>
      <c r="DZ81" s="1">
        <f>VC_NEW2!DU35</f>
        <v>0</v>
      </c>
      <c r="EA81" s="1">
        <f>VC_NEW2!DV35</f>
        <v>0</v>
      </c>
      <c r="EB81" s="1">
        <f>VC_NEW2!DW35</f>
        <v>0</v>
      </c>
      <c r="EC81" s="1">
        <f>VC_NEW2!DX35</f>
        <v>0</v>
      </c>
      <c r="ED81" s="1">
        <f>VC_NEW2!DY35</f>
        <v>0</v>
      </c>
      <c r="EE81" s="1" t="str">
        <f>VC_NEW2!DZ35</f>
        <v xml:space="preserve">V10G  </v>
      </c>
      <c r="EF81" s="1">
        <f>VC_NEW2!EA35</f>
        <v>0</v>
      </c>
      <c r="EG81" s="1">
        <f>VC_NEW2!EB35</f>
        <v>0</v>
      </c>
      <c r="EH81" s="1" t="str">
        <f>VC_NEW2!EC35</f>
        <v xml:space="preserve">L40Q  </v>
      </c>
      <c r="EI81" s="1">
        <f>VC_NEW2!ED35</f>
        <v>0</v>
      </c>
      <c r="EJ81" s="1">
        <f>VC_NEW2!EE35</f>
        <v>0</v>
      </c>
      <c r="EK81" s="1">
        <f>VC_NEW2!EF35</f>
        <v>0</v>
      </c>
      <c r="EL81" s="1" t="str">
        <f>VC_NEW2!EG35</f>
        <v xml:space="preserve">D83G  </v>
      </c>
      <c r="EM81" s="1">
        <f>VC_NEW2!EH35</f>
        <v>0</v>
      </c>
      <c r="EN81" s="1">
        <f>VC_NEW2!EI35</f>
        <v>0</v>
      </c>
      <c r="EO81" s="1">
        <f>VC_NEW2!EJ35</f>
        <v>0</v>
      </c>
      <c r="EP81" s="1">
        <f>VC_NEW2!EK35</f>
        <v>0</v>
      </c>
      <c r="EQ81" s="1">
        <f>VC_NEW2!EL35</f>
        <v>0</v>
      </c>
      <c r="ER81" s="1">
        <f>VC_NEW2!EM35</f>
        <v>0</v>
      </c>
      <c r="ES81" s="1">
        <f>VC_NEW2!EN35</f>
        <v>0</v>
      </c>
      <c r="ET81" s="1">
        <f>VC_NEW2!EO35</f>
        <v>0</v>
      </c>
      <c r="EU81" s="1">
        <f>VC_NEW2!EP35</f>
        <v>0</v>
      </c>
      <c r="EV81" s="1">
        <f>VC_NEW2!EQ35</f>
        <v>0</v>
      </c>
      <c r="EW81" s="1" t="str">
        <f>VC_NEW2!ER35</f>
        <v>R11H, A85S, S175P</v>
      </c>
      <c r="EX81" s="1">
        <f>VC_NEW2!ES35</f>
        <v>0</v>
      </c>
      <c r="EY81" s="1">
        <f>VC_NEW2!ET35</f>
        <v>0</v>
      </c>
      <c r="EZ81" s="1">
        <f>VC_NEW2!EU35</f>
        <v>0</v>
      </c>
      <c r="FA81" s="1">
        <f>VC_NEW2!EV35</f>
        <v>0</v>
      </c>
      <c r="FB81" s="1">
        <f>VC_NEW2!EW35</f>
        <v>0</v>
      </c>
      <c r="FC81" s="1">
        <f>VC_NEW2!EX35</f>
        <v>0</v>
      </c>
      <c r="FD81" s="1">
        <f>VC_NEW2!EY35</f>
        <v>0</v>
      </c>
      <c r="FE81" s="1" t="str">
        <f>VC_NEW2!EZ35</f>
        <v>A96T</v>
      </c>
      <c r="FF81" s="1">
        <f>VC_NEW2!FA35</f>
        <v>0</v>
      </c>
      <c r="FG81" s="1">
        <f>VC_NEW2!FB35</f>
        <v>0</v>
      </c>
      <c r="FH81" s="1">
        <f>VC_NEW2!FC35</f>
        <v>0</v>
      </c>
      <c r="FI81" s="1" t="str">
        <f>VC_NEW2!FD35</f>
        <v xml:space="preserve">A29V, W97C </v>
      </c>
      <c r="FJ81" s="1">
        <f>VC_NEW2!FE35</f>
        <v>0</v>
      </c>
      <c r="FK81" s="1" t="str">
        <f>VC_NEW2!FF35</f>
        <v xml:space="preserve"> G137E  </v>
      </c>
      <c r="FL81" s="1">
        <f>VC_NEW2!FG35</f>
        <v>0</v>
      </c>
      <c r="FM81" s="1">
        <f>VC_NEW2!FH35</f>
        <v>0</v>
      </c>
      <c r="FN81" s="1">
        <f>VC_NEW2!FI35</f>
        <v>0</v>
      </c>
      <c r="FO81" s="1">
        <f>VC_NEW2!FJ35</f>
        <v>0</v>
      </c>
      <c r="FP81" s="1">
        <f>VC_NEW2!FK35</f>
        <v>0</v>
      </c>
      <c r="FQ81" s="1">
        <f>VC_NEW2!FL35</f>
        <v>0</v>
      </c>
      <c r="FR81" s="1">
        <f>VC_NEW2!FM35</f>
        <v>0</v>
      </c>
      <c r="FS81" s="1">
        <f>VC_NEW2!FN35</f>
        <v>0</v>
      </c>
      <c r="FT81" s="1">
        <f>VC_NEW2!FO35</f>
        <v>0</v>
      </c>
      <c r="FU81" s="1">
        <f>VC_NEW2!FP35</f>
        <v>0</v>
      </c>
      <c r="FV81" s="1">
        <f>VC_NEW2!FQ35</f>
        <v>0</v>
      </c>
      <c r="FW81" s="1">
        <f>VC_NEW2!FR35</f>
        <v>0</v>
      </c>
      <c r="FX81" s="1">
        <f>VC_NEW2!FS35</f>
        <v>0</v>
      </c>
      <c r="FY81" s="1">
        <f>VC_NEW2!FT35</f>
        <v>0</v>
      </c>
      <c r="FZ81" s="1">
        <f>VC_NEW2!FU35</f>
        <v>0</v>
      </c>
      <c r="GA81" s="1">
        <f>VC_NEW2!FV35</f>
        <v>0</v>
      </c>
      <c r="GB81" s="1">
        <f>VC_NEW2!FW35</f>
        <v>0</v>
      </c>
      <c r="GC81" s="1">
        <f>VC_NEW2!FX35</f>
        <v>0</v>
      </c>
      <c r="GD81" s="1">
        <f>VC_NEW2!FY35</f>
        <v>0</v>
      </c>
      <c r="GE81" s="1">
        <f>VC_NEW2!FZ35</f>
        <v>0</v>
      </c>
      <c r="GF81" s="1">
        <f>VC_NEW2!GA35</f>
        <v>0</v>
      </c>
      <c r="GG81" s="1">
        <f>VC_NEW2!GB35</f>
        <v>0</v>
      </c>
      <c r="GH81" s="1">
        <f>VC_NEW2!GC35</f>
        <v>0</v>
      </c>
      <c r="GI81" s="1">
        <f>VC_NEW2!GD35</f>
        <v>0</v>
      </c>
      <c r="GJ81" s="1">
        <f>VC_NEW2!GE35</f>
        <v>0</v>
      </c>
      <c r="GK81" s="1">
        <f>VC_NEW2!GF35</f>
        <v>0</v>
      </c>
      <c r="GL81" s="1">
        <f>VC_NEW2!GG35</f>
        <v>0</v>
      </c>
      <c r="GM81" s="1">
        <f>VC_NEW2!GH35</f>
        <v>0</v>
      </c>
      <c r="GN81" s="1" t="str">
        <f>VC_NEW2!GI35</f>
        <v xml:space="preserve">G46S </v>
      </c>
      <c r="GO81" s="1" t="str">
        <f>VC_NEW2!GJ35</f>
        <v xml:space="preserve">A29V, W97C </v>
      </c>
      <c r="GP81" s="1">
        <f>VC_NEW2!GK35</f>
        <v>0</v>
      </c>
      <c r="GQ81" s="1">
        <f>VC_NEW2!GL35</f>
        <v>0</v>
      </c>
      <c r="GR81" s="1">
        <f>VC_NEW2!GM35</f>
        <v>0</v>
      </c>
      <c r="GS81" s="1">
        <f>VC_NEW2!GN35</f>
        <v>0</v>
      </c>
      <c r="GT81" s="1" t="str">
        <f>VC_NEW2!GO35</f>
        <v>R178C</v>
      </c>
      <c r="GU81" s="1">
        <f>VC_NEW2!GP35</f>
        <v>0</v>
      </c>
      <c r="GV81" s="1">
        <f>VC_NEW2!GQ35</f>
        <v>0</v>
      </c>
      <c r="GW81" s="1">
        <f>VC_NEW2!GR35</f>
        <v>0</v>
      </c>
      <c r="GX81" s="1">
        <f>VC_NEW2!GS35</f>
        <v>0</v>
      </c>
      <c r="GY81" s="1">
        <f>VC_NEW2!GT35</f>
        <v>0</v>
      </c>
      <c r="GZ81" s="1">
        <f>VC_NEW2!GU35</f>
        <v>0</v>
      </c>
      <c r="HA81" s="1">
        <f>VC_NEW2!GV35</f>
        <v>0</v>
      </c>
      <c r="HB81" s="1">
        <f>VC_NEW2!GW35</f>
        <v>0</v>
      </c>
      <c r="HC81" s="1">
        <f>VC_NEW2!GX35</f>
        <v>0</v>
      </c>
    </row>
    <row r="82" spans="1:443" s="1" customFormat="1" ht="15" hidden="1" customHeight="1" x14ac:dyDescent="0.25">
      <c r="A82" s="30" t="s">
        <v>33</v>
      </c>
      <c r="B82" s="30" t="s">
        <v>34</v>
      </c>
      <c r="C82" s="31" t="s">
        <v>3</v>
      </c>
      <c r="D82" s="30" t="s">
        <v>76</v>
      </c>
      <c r="E82" s="30" t="s">
        <v>139</v>
      </c>
      <c r="F82" s="30" t="s">
        <v>74</v>
      </c>
      <c r="G82" s="30" t="s">
        <v>136</v>
      </c>
      <c r="H82" s="1">
        <f>VC_NEW2!C35</f>
        <v>0</v>
      </c>
      <c r="I82" s="1">
        <f>VC_NEW2!D35</f>
        <v>0</v>
      </c>
      <c r="J82" s="1">
        <f>VC_NEW2!E35</f>
        <v>0</v>
      </c>
      <c r="K82" s="1">
        <f>VC_NEW2!F35</f>
        <v>0</v>
      </c>
      <c r="L82" s="1" t="str">
        <f>VC_NEW2!G35</f>
        <v xml:space="preserve"> L135Q  </v>
      </c>
      <c r="M82" s="1">
        <f>VC_NEW2!H35</f>
        <v>0</v>
      </c>
      <c r="N82" s="1" t="str">
        <f>VC_NEW2!I35</f>
        <v>A96T</v>
      </c>
      <c r="O82" s="1">
        <f>VC_NEW2!J35</f>
        <v>0</v>
      </c>
      <c r="P82" s="1">
        <f>VC_NEW2!K35</f>
        <v>0</v>
      </c>
      <c r="Q82" s="1">
        <f>VC_NEW2!L35</f>
        <v>0</v>
      </c>
      <c r="R82" s="1">
        <f>VC_NEW2!M35</f>
        <v>0</v>
      </c>
      <c r="S82" s="1">
        <f>VC_NEW2!N35</f>
        <v>0</v>
      </c>
      <c r="T82" s="1">
        <f>VC_NEW2!O35</f>
        <v>0</v>
      </c>
      <c r="U82" s="1">
        <f>VC_NEW2!P35</f>
        <v>0</v>
      </c>
      <c r="V82" s="1" t="str">
        <f>VC_NEW2!Q35</f>
        <v xml:space="preserve"> R140W  </v>
      </c>
      <c r="W82" s="1">
        <f>VC_NEW2!R35</f>
        <v>0</v>
      </c>
      <c r="X82" s="1">
        <f>VC_NEW2!S35</f>
        <v>0</v>
      </c>
      <c r="Y82" s="1">
        <f>VC_NEW2!T35</f>
        <v>0</v>
      </c>
      <c r="Z82" s="1">
        <f>VC_NEW2!U35</f>
        <v>0</v>
      </c>
      <c r="AA82" s="1">
        <f>VC_NEW2!V35</f>
        <v>0</v>
      </c>
      <c r="AB82" s="1">
        <f>VC_NEW2!W35</f>
        <v>0</v>
      </c>
      <c r="AC82" s="1">
        <f>VC_NEW2!X35</f>
        <v>0</v>
      </c>
      <c r="AD82" s="1">
        <f>VC_NEW2!Y35</f>
        <v>0</v>
      </c>
      <c r="AE82" s="1">
        <f>VC_NEW2!Z35</f>
        <v>0</v>
      </c>
      <c r="AF82" s="1">
        <f>VC_NEW2!AA35</f>
        <v>0</v>
      </c>
      <c r="AG82" s="1">
        <f>VC_NEW2!AB35</f>
        <v>0</v>
      </c>
      <c r="AH82" s="1">
        <f>VC_NEW2!AC35</f>
        <v>0</v>
      </c>
      <c r="AI82" s="1">
        <f>VC_NEW2!AD35</f>
        <v>0</v>
      </c>
      <c r="AJ82" s="1">
        <f>VC_NEW2!AE35</f>
        <v>0</v>
      </c>
      <c r="AK82" s="1">
        <f>VC_NEW2!AF35</f>
        <v>0</v>
      </c>
      <c r="AL82" s="1">
        <f>VC_NEW2!AG35</f>
        <v>0</v>
      </c>
      <c r="AM82" s="1">
        <f>VC_NEW2!AH35</f>
        <v>0</v>
      </c>
      <c r="AN82" s="1">
        <f>VC_NEW2!AI35</f>
        <v>0</v>
      </c>
      <c r="AO82" s="1">
        <f>VC_NEW2!AJ35</f>
        <v>0</v>
      </c>
      <c r="AP82" s="1">
        <f>VC_NEW2!AK35</f>
        <v>0</v>
      </c>
      <c r="AQ82" s="1">
        <f>VC_NEW2!AL35</f>
        <v>0</v>
      </c>
      <c r="AR82" s="1">
        <f>VC_NEW2!AM35</f>
        <v>0</v>
      </c>
      <c r="AS82" s="1">
        <f>VC_NEW2!AN35</f>
        <v>0</v>
      </c>
      <c r="AT82" s="1">
        <f>VC_NEW2!AO35</f>
        <v>0</v>
      </c>
      <c r="AU82" s="1" t="str">
        <f>VC_NEW2!AP35</f>
        <v>Q131X</v>
      </c>
      <c r="AV82" s="1">
        <f>VC_NEW2!AQ35</f>
        <v>0</v>
      </c>
      <c r="AW82" s="1">
        <f>VC_NEW2!AR35</f>
        <v>0</v>
      </c>
      <c r="AX82" s="1">
        <f>VC_NEW2!AS35</f>
        <v>0</v>
      </c>
      <c r="AY82" s="1">
        <f>VC_NEW2!AT35</f>
        <v>0</v>
      </c>
      <c r="AZ82" s="1">
        <f>VC_NEW2!AU35</f>
        <v>0</v>
      </c>
      <c r="BA82" s="1">
        <f>VC_NEW2!AV35</f>
        <v>0</v>
      </c>
      <c r="BB82" s="1">
        <f>VC_NEW2!AW35</f>
        <v>0</v>
      </c>
      <c r="BC82" s="1">
        <f>VC_NEW2!AX35</f>
        <v>0</v>
      </c>
      <c r="BD82" s="1">
        <f>VC_NEW2!AY35</f>
        <v>0</v>
      </c>
      <c r="BE82" s="1">
        <f>VC_NEW2!AZ35</f>
        <v>0</v>
      </c>
      <c r="BF82" s="1">
        <f>VC_NEW2!BA35</f>
        <v>0</v>
      </c>
      <c r="BG82" s="1" t="str">
        <f>VC_NEW2!BB35</f>
        <v xml:space="preserve">T47I </v>
      </c>
      <c r="BH82" s="1">
        <f>VC_NEW2!BC35</f>
        <v>0</v>
      </c>
      <c r="BI82" s="1">
        <f>VC_NEW2!BD35</f>
        <v>0</v>
      </c>
      <c r="BJ82" s="1">
        <f>VC_NEW2!BE35</f>
        <v>0</v>
      </c>
      <c r="BK82" s="1">
        <f>VC_NEW2!BF35</f>
        <v>0</v>
      </c>
      <c r="BL82" s="1">
        <f>VC_NEW2!BG35</f>
        <v>0</v>
      </c>
      <c r="BM82" s="1">
        <f>VC_NEW2!BH35</f>
        <v>0</v>
      </c>
      <c r="BN82" s="1">
        <f>VC_NEW2!BI35</f>
        <v>0</v>
      </c>
      <c r="BO82" s="1">
        <f>VC_NEW2!BJ35</f>
        <v>0</v>
      </c>
      <c r="BP82" s="1">
        <f>VC_NEW2!BK35</f>
        <v>0</v>
      </c>
      <c r="BQ82" s="1">
        <f>VC_NEW2!BL35</f>
        <v>0</v>
      </c>
      <c r="BR82" s="1">
        <f>VC_NEW2!BM35</f>
        <v>0</v>
      </c>
      <c r="BS82" s="1" t="str">
        <f>VC_NEW2!BN35</f>
        <v xml:space="preserve">T139M  </v>
      </c>
      <c r="BT82" s="1">
        <f>VC_NEW2!BO35</f>
        <v>0</v>
      </c>
      <c r="BU82" s="1">
        <f>VC_NEW2!BP35</f>
        <v>0</v>
      </c>
      <c r="BV82" s="1">
        <f>VC_NEW2!BQ35</f>
        <v>0</v>
      </c>
      <c r="BW82" s="1">
        <f>VC_NEW2!BR35</f>
        <v>0</v>
      </c>
      <c r="BX82" s="1">
        <f>VC_NEW2!BS35</f>
        <v>0</v>
      </c>
      <c r="BY82" s="1">
        <f>VC_NEW2!BT35</f>
        <v>0</v>
      </c>
      <c r="BZ82" s="1">
        <f>VC_NEW2!BU35</f>
        <v>0</v>
      </c>
      <c r="CA82" s="1">
        <f>VC_NEW2!BV35</f>
        <v>0</v>
      </c>
      <c r="CB82" s="1">
        <f>VC_NEW2!BW35</f>
        <v>0</v>
      </c>
      <c r="CC82" s="1">
        <f>VC_NEW2!BX35</f>
        <v>0</v>
      </c>
      <c r="CD82" s="1">
        <f>VC_NEW2!BY35</f>
        <v>0</v>
      </c>
      <c r="CE82" s="1">
        <f>VC_NEW2!BZ35</f>
        <v>0</v>
      </c>
      <c r="CF82" s="1" t="str">
        <f>VC_NEW2!CA35</f>
        <v>S75F</v>
      </c>
      <c r="CG82" s="1">
        <f>VC_NEW2!CB35</f>
        <v>0</v>
      </c>
      <c r="CH82" s="1">
        <f>VC_NEW2!CC35</f>
        <v>0</v>
      </c>
      <c r="CI82" s="1">
        <f>VC_NEW2!CD35</f>
        <v>0</v>
      </c>
      <c r="CJ82" s="1">
        <f>VC_NEW2!CE35</f>
        <v>0</v>
      </c>
      <c r="CK82" s="1">
        <f>VC_NEW2!CF35</f>
        <v>0</v>
      </c>
      <c r="CL82" s="1">
        <f>VC_NEW2!CG35</f>
        <v>0</v>
      </c>
      <c r="CM82" s="1">
        <f>VC_NEW2!CH35</f>
        <v>0</v>
      </c>
      <c r="CN82" s="1">
        <f>VC_NEW2!CI35</f>
        <v>0</v>
      </c>
      <c r="CO82" s="1" t="str">
        <f>VC_NEW2!CJ35</f>
        <v>A144V</v>
      </c>
      <c r="CP82" s="1">
        <f>VC_NEW2!CK35</f>
        <v>0</v>
      </c>
      <c r="CQ82" s="1">
        <f>VC_NEW2!CL35</f>
        <v>0</v>
      </c>
      <c r="CR82" s="1">
        <f>VC_NEW2!CM35</f>
        <v>0</v>
      </c>
      <c r="CS82" s="1">
        <f>VC_NEW2!CN35</f>
        <v>0</v>
      </c>
      <c r="CT82" s="1" t="str">
        <f>VC_NEW2!CO35</f>
        <v xml:space="preserve">V10I </v>
      </c>
      <c r="CU82" s="1">
        <f>VC_NEW2!CP35</f>
        <v>0</v>
      </c>
      <c r="CV82" s="1">
        <f>VC_NEW2!CQ35</f>
        <v>0</v>
      </c>
      <c r="CW82" s="1">
        <f>VC_NEW2!CR35</f>
        <v>0</v>
      </c>
      <c r="CX82" s="1">
        <f>VC_NEW2!CS35</f>
        <v>0</v>
      </c>
      <c r="CY82" s="1">
        <f>VC_NEW2!CT35</f>
        <v>0</v>
      </c>
      <c r="CZ82" s="1">
        <f>VC_NEW2!CU35</f>
        <v>0</v>
      </c>
      <c r="DA82" s="1">
        <f>VC_NEW2!CV35</f>
        <v>0</v>
      </c>
      <c r="DB82" s="1">
        <f>VC_NEW2!CW35</f>
        <v>0</v>
      </c>
      <c r="DC82" s="1">
        <f>VC_NEW2!CX35</f>
        <v>0</v>
      </c>
      <c r="DD82" s="1" t="str">
        <f>VC_NEW2!CY35</f>
        <v xml:space="preserve">T182I </v>
      </c>
      <c r="DE82" s="1">
        <f>VC_NEW2!CZ35</f>
        <v>0</v>
      </c>
      <c r="DF82" s="1">
        <f>VC_NEW2!DA35</f>
        <v>0</v>
      </c>
      <c r="DG82" s="1">
        <f>VC_NEW2!DB35</f>
        <v>0</v>
      </c>
      <c r="DH82" s="1">
        <f>VC_NEW2!DC35</f>
        <v>0</v>
      </c>
      <c r="DI82" s="1">
        <f>VC_NEW2!DD35</f>
        <v>0</v>
      </c>
      <c r="DJ82" s="1">
        <f>VC_NEW2!DE35</f>
        <v>0</v>
      </c>
      <c r="DK82" s="1" t="str">
        <f>VC_NEW2!DF35</f>
        <v xml:space="preserve">A134P  </v>
      </c>
      <c r="DL82" s="1">
        <f>VC_NEW2!DG35</f>
        <v>0</v>
      </c>
      <c r="DM82" s="1">
        <f>VC_NEW2!DH35</f>
        <v>0</v>
      </c>
      <c r="DN82" s="1">
        <f>VC_NEW2!DI35</f>
        <v>0</v>
      </c>
      <c r="DO82" s="1" t="str">
        <f>VC_NEW2!DJ35</f>
        <v>D59E</v>
      </c>
      <c r="DP82" s="1">
        <f>VC_NEW2!DK35</f>
        <v>0</v>
      </c>
      <c r="DQ82" s="1">
        <f>VC_NEW2!DL35</f>
        <v>0</v>
      </c>
      <c r="DR82" s="1">
        <f>VC_NEW2!DM35</f>
        <v>0</v>
      </c>
      <c r="DS82" s="1">
        <f>VC_NEW2!DN35</f>
        <v>0</v>
      </c>
      <c r="DT82" s="1">
        <f>VC_NEW2!DO35</f>
        <v>0</v>
      </c>
      <c r="DU82" s="1" t="str">
        <f>VC_NEW2!DP35</f>
        <v xml:space="preserve">F113L  </v>
      </c>
      <c r="DV82" s="1">
        <f>VC_NEW2!DQ35</f>
        <v>0</v>
      </c>
      <c r="DW82" s="1" t="str">
        <f>VC_NEW2!DR35</f>
        <v xml:space="preserve">F113L  </v>
      </c>
      <c r="DX82" s="1">
        <f>VC_NEW2!DS35</f>
        <v>0</v>
      </c>
      <c r="DY82" s="1">
        <f>VC_NEW2!DT35</f>
        <v>0</v>
      </c>
      <c r="DZ82" s="1">
        <f>VC_NEW2!DU35</f>
        <v>0</v>
      </c>
      <c r="EA82" s="1">
        <f>VC_NEW2!DV35</f>
        <v>0</v>
      </c>
      <c r="EB82" s="1">
        <f>VC_NEW2!DW35</f>
        <v>0</v>
      </c>
      <c r="EC82" s="1">
        <f>VC_NEW2!DX35</f>
        <v>0</v>
      </c>
      <c r="ED82" s="1">
        <f>VC_NEW2!DY35</f>
        <v>0</v>
      </c>
      <c r="EE82" s="1" t="str">
        <f>VC_NEW2!DZ35</f>
        <v xml:space="preserve">V10G  </v>
      </c>
      <c r="EF82" s="1">
        <f>VC_NEW2!EA35</f>
        <v>0</v>
      </c>
      <c r="EG82" s="1">
        <f>VC_NEW2!EB35</f>
        <v>0</v>
      </c>
      <c r="EH82" s="1" t="str">
        <f>VC_NEW2!EC35</f>
        <v xml:space="preserve">L40Q  </v>
      </c>
      <c r="EI82" s="1">
        <f>VC_NEW2!ED35</f>
        <v>0</v>
      </c>
      <c r="EJ82" s="1">
        <f>VC_NEW2!EE35</f>
        <v>0</v>
      </c>
      <c r="EK82" s="1">
        <f>VC_NEW2!EF35</f>
        <v>0</v>
      </c>
      <c r="EL82" s="1" t="str">
        <f>VC_NEW2!EG35</f>
        <v xml:space="preserve">D83G  </v>
      </c>
      <c r="EM82" s="1">
        <f>VC_NEW2!EH35</f>
        <v>0</v>
      </c>
      <c r="EN82" s="1">
        <f>VC_NEW2!EI35</f>
        <v>0</v>
      </c>
      <c r="EO82" s="1">
        <f>VC_NEW2!EJ35</f>
        <v>0</v>
      </c>
      <c r="EP82" s="1">
        <f>VC_NEW2!EK35</f>
        <v>0</v>
      </c>
      <c r="EQ82" s="1">
        <f>VC_NEW2!EL35</f>
        <v>0</v>
      </c>
      <c r="ER82" s="1">
        <f>VC_NEW2!EM35</f>
        <v>0</v>
      </c>
      <c r="ES82" s="1">
        <f>VC_NEW2!EN35</f>
        <v>0</v>
      </c>
      <c r="ET82" s="1">
        <f>VC_NEW2!EO35</f>
        <v>0</v>
      </c>
      <c r="EU82" s="1">
        <f>VC_NEW2!EP35</f>
        <v>0</v>
      </c>
      <c r="EV82" s="1">
        <f>VC_NEW2!EQ35</f>
        <v>0</v>
      </c>
      <c r="EW82" s="1" t="str">
        <f>VC_NEW2!ER35</f>
        <v>R11H, A85S, S175P</v>
      </c>
      <c r="EX82" s="1">
        <f>VC_NEW2!ES35</f>
        <v>0</v>
      </c>
      <c r="EY82" s="1">
        <f>VC_NEW2!ET35</f>
        <v>0</v>
      </c>
      <c r="EZ82" s="1">
        <f>VC_NEW2!EU35</f>
        <v>0</v>
      </c>
      <c r="FA82" s="1">
        <f>VC_NEW2!EV35</f>
        <v>0</v>
      </c>
      <c r="FB82" s="1">
        <f>VC_NEW2!EW35</f>
        <v>0</v>
      </c>
      <c r="FC82" s="1">
        <f>VC_NEW2!EX35</f>
        <v>0</v>
      </c>
      <c r="FD82" s="1">
        <f>VC_NEW2!EY35</f>
        <v>0</v>
      </c>
      <c r="FE82" s="1" t="str">
        <f>VC_NEW2!EZ35</f>
        <v>A96T</v>
      </c>
      <c r="FF82" s="1">
        <f>VC_NEW2!FA35</f>
        <v>0</v>
      </c>
      <c r="FG82" s="1">
        <f>VC_NEW2!FB35</f>
        <v>0</v>
      </c>
      <c r="FH82" s="1">
        <f>VC_NEW2!FC35</f>
        <v>0</v>
      </c>
      <c r="FI82" s="1" t="str">
        <f>VC_NEW2!FD35</f>
        <v xml:space="preserve">A29V, W97C </v>
      </c>
      <c r="FJ82" s="1">
        <f>VC_NEW2!FE35</f>
        <v>0</v>
      </c>
      <c r="FK82" s="1" t="str">
        <f>VC_NEW2!FF35</f>
        <v xml:space="preserve"> G137E  </v>
      </c>
      <c r="FL82" s="1">
        <f>VC_NEW2!FG35</f>
        <v>0</v>
      </c>
      <c r="FM82" s="1">
        <f>VC_NEW2!FH35</f>
        <v>0</v>
      </c>
      <c r="FN82" s="1">
        <f>VC_NEW2!FI35</f>
        <v>0</v>
      </c>
      <c r="FO82" s="1">
        <f>VC_NEW2!FJ35</f>
        <v>0</v>
      </c>
      <c r="FP82" s="1">
        <f>VC_NEW2!FK35</f>
        <v>0</v>
      </c>
      <c r="FQ82" s="1">
        <f>VC_NEW2!FL35</f>
        <v>0</v>
      </c>
      <c r="FR82" s="1">
        <f>VC_NEW2!FM35</f>
        <v>0</v>
      </c>
      <c r="FS82" s="1">
        <f>VC_NEW2!FN35</f>
        <v>0</v>
      </c>
      <c r="FT82" s="1">
        <f>VC_NEW2!FO35</f>
        <v>0</v>
      </c>
      <c r="FU82" s="1">
        <f>VC_NEW2!FP35</f>
        <v>0</v>
      </c>
      <c r="FV82" s="1">
        <f>VC_NEW2!FQ35</f>
        <v>0</v>
      </c>
      <c r="FW82" s="1">
        <f>VC_NEW2!FR35</f>
        <v>0</v>
      </c>
      <c r="FX82" s="1">
        <f>VC_NEW2!FS35</f>
        <v>0</v>
      </c>
      <c r="FY82" s="1">
        <f>VC_NEW2!FT35</f>
        <v>0</v>
      </c>
      <c r="FZ82" s="1">
        <f>VC_NEW2!FU35</f>
        <v>0</v>
      </c>
      <c r="GA82" s="1">
        <f>VC_NEW2!FV35</f>
        <v>0</v>
      </c>
      <c r="GB82" s="1">
        <f>VC_NEW2!FW35</f>
        <v>0</v>
      </c>
      <c r="GC82" s="1">
        <f>VC_NEW2!FX35</f>
        <v>0</v>
      </c>
      <c r="GD82" s="1">
        <f>VC_NEW2!FY35</f>
        <v>0</v>
      </c>
      <c r="GE82" s="1">
        <f>VC_NEW2!FZ35</f>
        <v>0</v>
      </c>
      <c r="GF82" s="1">
        <f>VC_NEW2!GA35</f>
        <v>0</v>
      </c>
      <c r="GG82" s="1">
        <f>VC_NEW2!GB35</f>
        <v>0</v>
      </c>
      <c r="GH82" s="1">
        <f>VC_NEW2!GC35</f>
        <v>0</v>
      </c>
      <c r="GI82" s="1">
        <f>VC_NEW2!GD35</f>
        <v>0</v>
      </c>
      <c r="GJ82" s="1">
        <f>VC_NEW2!GE35</f>
        <v>0</v>
      </c>
      <c r="GK82" s="1">
        <f>VC_NEW2!GF35</f>
        <v>0</v>
      </c>
      <c r="GL82" s="1">
        <f>VC_NEW2!GG35</f>
        <v>0</v>
      </c>
      <c r="GM82" s="1">
        <f>VC_NEW2!GH35</f>
        <v>0</v>
      </c>
      <c r="GN82" s="1" t="str">
        <f>VC_NEW2!GI35</f>
        <v xml:space="preserve">G46S </v>
      </c>
      <c r="GO82" s="1" t="str">
        <f>VC_NEW2!GJ35</f>
        <v xml:space="preserve">A29V, W97C </v>
      </c>
      <c r="GP82" s="1">
        <f>VC_NEW2!GK35</f>
        <v>0</v>
      </c>
      <c r="GQ82" s="1">
        <f>VC_NEW2!GL35</f>
        <v>0</v>
      </c>
      <c r="GR82" s="1">
        <f>VC_NEW2!GM35</f>
        <v>0</v>
      </c>
      <c r="GS82" s="1">
        <f>VC_NEW2!GN35</f>
        <v>0</v>
      </c>
      <c r="GT82" s="1" t="str">
        <f>VC_NEW2!GO35</f>
        <v>R178C</v>
      </c>
      <c r="GU82" s="1">
        <f>VC_NEW2!GP35</f>
        <v>0</v>
      </c>
      <c r="GV82" s="1">
        <f>VC_NEW2!GQ35</f>
        <v>0</v>
      </c>
      <c r="GW82" s="1">
        <f>VC_NEW2!GR35</f>
        <v>0</v>
      </c>
      <c r="GX82" s="1">
        <f>VC_NEW2!GS35</f>
        <v>0</v>
      </c>
      <c r="GY82" s="1">
        <f>VC_NEW2!GT35</f>
        <v>0</v>
      </c>
      <c r="GZ82" s="1">
        <f>VC_NEW2!GU35</f>
        <v>0</v>
      </c>
      <c r="HA82" s="1">
        <f>VC_NEW2!GV35</f>
        <v>0</v>
      </c>
      <c r="HB82" s="1">
        <f>VC_NEW2!GW35</f>
        <v>0</v>
      </c>
      <c r="HC82" s="1">
        <f>VC_NEW2!GX35</f>
        <v>0</v>
      </c>
    </row>
    <row r="83" spans="1:443" s="7" customFormat="1" ht="15" hidden="1" customHeight="1" x14ac:dyDescent="0.25">
      <c r="A83" s="56" t="s">
        <v>90</v>
      </c>
      <c r="B83" s="57" t="s">
        <v>93</v>
      </c>
      <c r="C83" s="58" t="s">
        <v>4</v>
      </c>
      <c r="D83" s="57" t="s">
        <v>77</v>
      </c>
      <c r="E83" s="57"/>
      <c r="F83" s="57" t="s">
        <v>74</v>
      </c>
      <c r="G83" s="112" t="s">
        <v>1055</v>
      </c>
      <c r="H83" s="7">
        <f>VC_NEW2!C36</f>
        <v>0</v>
      </c>
      <c r="I83" s="7">
        <f>VC_NEW2!D36</f>
        <v>0</v>
      </c>
      <c r="J83" s="7">
        <f>VC_NEW2!E36</f>
        <v>0</v>
      </c>
      <c r="K83" s="7">
        <f>VC_NEW2!F36</f>
        <v>0</v>
      </c>
      <c r="L83" s="7">
        <f>VC_NEW2!G36</f>
        <v>0</v>
      </c>
      <c r="M83" s="7">
        <f>VC_NEW2!H36</f>
        <v>0</v>
      </c>
      <c r="N83" s="7">
        <f>VC_NEW2!I36</f>
        <v>0</v>
      </c>
      <c r="O83" s="7">
        <f>VC_NEW2!J36</f>
        <v>0</v>
      </c>
      <c r="P83" s="7">
        <f>VC_NEW2!K36</f>
        <v>0</v>
      </c>
      <c r="Q83" s="7">
        <f>VC_NEW2!L36</f>
        <v>0</v>
      </c>
      <c r="R83" s="7">
        <f>VC_NEW2!M36</f>
        <v>0</v>
      </c>
      <c r="S83" s="7">
        <f>VC_NEW2!N36</f>
        <v>0</v>
      </c>
      <c r="T83" s="7" t="str">
        <f>VC_NEW2!O36</f>
        <v>I261T</v>
      </c>
      <c r="U83" s="7">
        <f>VC_NEW2!P36</f>
        <v>0</v>
      </c>
      <c r="V83" s="7">
        <f>VC_NEW2!Q36</f>
        <v>0</v>
      </c>
      <c r="W83" s="7">
        <f>VC_NEW2!R36</f>
        <v>0</v>
      </c>
      <c r="X83" s="7">
        <f>VC_NEW2!S36</f>
        <v>0</v>
      </c>
      <c r="Y83" s="7" t="str">
        <f>VC_NEW2!T36</f>
        <v xml:space="preserve">  A152V</v>
      </c>
      <c r="Z83" s="7">
        <f>VC_NEW2!U36</f>
        <v>0</v>
      </c>
      <c r="AA83" s="7">
        <f>VC_NEW2!V36</f>
        <v>0</v>
      </c>
      <c r="AB83" s="7">
        <f>VC_NEW2!W36</f>
        <v>0</v>
      </c>
      <c r="AC83" s="7">
        <f>VC_NEW2!X36</f>
        <v>0</v>
      </c>
      <c r="AD83" s="7">
        <f>VC_NEW2!Y36</f>
        <v>0</v>
      </c>
      <c r="AE83" s="7">
        <f>VC_NEW2!Z36</f>
        <v>0</v>
      </c>
      <c r="AF83" s="7">
        <f>VC_NEW2!AA36</f>
        <v>0</v>
      </c>
      <c r="AG83" s="7">
        <f>VC_NEW2!AB36</f>
        <v>0</v>
      </c>
      <c r="AH83" s="7">
        <f>VC_NEW2!AC36</f>
        <v>0</v>
      </c>
      <c r="AI83" s="7">
        <f>VC_NEW2!AD36</f>
        <v>0</v>
      </c>
      <c r="AJ83" s="7">
        <f>VC_NEW2!AE36</f>
        <v>0</v>
      </c>
      <c r="AK83" s="7">
        <f>VC_NEW2!AF36</f>
        <v>0</v>
      </c>
      <c r="AL83" s="7">
        <f>VC_NEW2!AG36</f>
        <v>0</v>
      </c>
      <c r="AM83" s="7">
        <f>VC_NEW2!AH36</f>
        <v>0</v>
      </c>
      <c r="AN83" s="7">
        <f>VC_NEW2!AI36</f>
        <v>0</v>
      </c>
      <c r="AO83" s="7">
        <f>VC_NEW2!AJ36</f>
        <v>0</v>
      </c>
      <c r="AP83" s="7">
        <f>VC_NEW2!AK36</f>
        <v>0</v>
      </c>
      <c r="AQ83" s="7">
        <f>VC_NEW2!AL36</f>
        <v>0</v>
      </c>
      <c r="AR83" s="7">
        <f>VC_NEW2!AM36</f>
        <v>0</v>
      </c>
      <c r="AS83" s="7">
        <f>VC_NEW2!AN36</f>
        <v>0</v>
      </c>
      <c r="AT83" s="7">
        <f>VC_NEW2!AO36</f>
        <v>0</v>
      </c>
      <c r="AU83" s="7">
        <f>VC_NEW2!AP36</f>
        <v>0</v>
      </c>
      <c r="AV83" s="7">
        <f>VC_NEW2!AQ36</f>
        <v>0</v>
      </c>
      <c r="AW83" s="7">
        <f>VC_NEW2!AR36</f>
        <v>0</v>
      </c>
      <c r="AX83" s="7">
        <f>VC_NEW2!AS36</f>
        <v>0</v>
      </c>
      <c r="AY83" s="7">
        <f>VC_NEW2!AT36</f>
        <v>0</v>
      </c>
      <c r="AZ83" s="7">
        <f>VC_NEW2!AU36</f>
        <v>0</v>
      </c>
      <c r="BA83" s="7">
        <f>VC_NEW2!AV36</f>
        <v>0</v>
      </c>
      <c r="BB83" s="7">
        <f>VC_NEW2!AW36</f>
        <v>0</v>
      </c>
      <c r="BC83" s="7">
        <f>VC_NEW2!AX36</f>
        <v>0</v>
      </c>
      <c r="BD83" s="7">
        <f>VC_NEW2!AY36</f>
        <v>0</v>
      </c>
      <c r="BE83" s="7">
        <f>VC_NEW2!AZ36</f>
        <v>0</v>
      </c>
      <c r="BF83" s="7">
        <f>VC_NEW2!BA36</f>
        <v>0</v>
      </c>
      <c r="BG83" s="7">
        <f>VC_NEW2!BB36</f>
        <v>0</v>
      </c>
      <c r="BH83" s="7">
        <f>VC_NEW2!BC36</f>
        <v>0</v>
      </c>
      <c r="BI83" s="7">
        <f>VC_NEW2!BD36</f>
        <v>0</v>
      </c>
      <c r="BJ83" s="7">
        <f>VC_NEW2!BE36</f>
        <v>0</v>
      </c>
      <c r="BK83" s="7">
        <f>VC_NEW2!BF36</f>
        <v>0</v>
      </c>
      <c r="BL83" s="7">
        <f>VC_NEW2!BG36</f>
        <v>0</v>
      </c>
      <c r="BM83" s="7">
        <f>VC_NEW2!BH36</f>
        <v>0</v>
      </c>
      <c r="BN83" s="7">
        <f>VC_NEW2!BI36</f>
        <v>0</v>
      </c>
      <c r="BO83" s="7">
        <f>VC_NEW2!BJ36</f>
        <v>0</v>
      </c>
      <c r="BP83" s="7">
        <f>VC_NEW2!BK36</f>
        <v>0</v>
      </c>
      <c r="BQ83" s="7">
        <f>VC_NEW2!BL36</f>
        <v>0</v>
      </c>
      <c r="BR83" s="7">
        <f>VC_NEW2!BM36</f>
        <v>0</v>
      </c>
      <c r="BS83" s="7">
        <f>VC_NEW2!BN36</f>
        <v>0</v>
      </c>
      <c r="BT83" s="7">
        <f>VC_NEW2!BO36</f>
        <v>0</v>
      </c>
      <c r="BU83" s="7">
        <f>VC_NEW2!BP36</f>
        <v>0</v>
      </c>
      <c r="BV83" s="7">
        <f>VC_NEW2!BQ36</f>
        <v>0</v>
      </c>
      <c r="BW83" s="7">
        <f>VC_NEW2!BR36</f>
        <v>0</v>
      </c>
      <c r="BX83" s="7">
        <f>VC_NEW2!BS36</f>
        <v>0</v>
      </c>
      <c r="BY83" s="7">
        <f>VC_NEW2!BT36</f>
        <v>0</v>
      </c>
      <c r="BZ83" s="7">
        <f>VC_NEW2!BU36</f>
        <v>0</v>
      </c>
      <c r="CA83" s="7">
        <f>VC_NEW2!BV36</f>
        <v>0</v>
      </c>
      <c r="CB83" s="7">
        <f>VC_NEW2!BW36</f>
        <v>0</v>
      </c>
      <c r="CC83" s="7">
        <f>VC_NEW2!BX36</f>
        <v>0</v>
      </c>
      <c r="CD83" s="7">
        <f>VC_NEW2!BY36</f>
        <v>0</v>
      </c>
      <c r="CE83" s="7">
        <f>VC_NEW2!BZ36</f>
        <v>0</v>
      </c>
      <c r="CF83" s="7">
        <f>VC_NEW2!CA36</f>
        <v>0</v>
      </c>
      <c r="CG83" s="7">
        <f>VC_NEW2!CB36</f>
        <v>0</v>
      </c>
      <c r="CH83" s="7">
        <f>VC_NEW2!CC36</f>
        <v>0</v>
      </c>
      <c r="CI83" s="7">
        <f>VC_NEW2!CD36</f>
        <v>0</v>
      </c>
      <c r="CJ83" s="7">
        <f>VC_NEW2!CE36</f>
        <v>0</v>
      </c>
      <c r="CK83" s="7">
        <f>VC_NEW2!CF36</f>
        <v>0</v>
      </c>
      <c r="CL83" s="7">
        <f>VC_NEW2!CG36</f>
        <v>0</v>
      </c>
      <c r="CM83" s="7">
        <f>VC_NEW2!CH36</f>
        <v>0</v>
      </c>
      <c r="CN83" s="7">
        <f>VC_NEW2!CI36</f>
        <v>0</v>
      </c>
      <c r="CO83" s="7">
        <f>VC_NEW2!CJ36</f>
        <v>0</v>
      </c>
      <c r="CP83" s="7">
        <f>VC_NEW2!CK36</f>
        <v>0</v>
      </c>
      <c r="CQ83" s="7">
        <f>VC_NEW2!CL36</f>
        <v>0</v>
      </c>
      <c r="CR83" s="7">
        <f>VC_NEW2!CM36</f>
        <v>0</v>
      </c>
      <c r="CS83" s="7">
        <f>VC_NEW2!CN36</f>
        <v>0</v>
      </c>
      <c r="CT83" s="7">
        <f>VC_NEW2!CO36</f>
        <v>0</v>
      </c>
      <c r="CU83" s="7">
        <f>VC_NEW2!CP36</f>
        <v>0</v>
      </c>
      <c r="CV83" s="7" t="str">
        <f>VC_NEW2!CQ36</f>
        <v xml:space="preserve"> D256G </v>
      </c>
      <c r="CW83" s="7">
        <f>VC_NEW2!CR36</f>
        <v>0</v>
      </c>
      <c r="CX83" s="7">
        <f>VC_NEW2!CS36</f>
        <v>0</v>
      </c>
      <c r="CY83" s="7">
        <f>VC_NEW2!CT36</f>
        <v>0</v>
      </c>
      <c r="CZ83" s="7">
        <f>VC_NEW2!CU36</f>
        <v>0</v>
      </c>
      <c r="DA83" s="7">
        <f>VC_NEW2!CV36</f>
        <v>0</v>
      </c>
      <c r="DB83" s="7">
        <f>VC_NEW2!CW36</f>
        <v>0</v>
      </c>
      <c r="DC83" s="7">
        <f>VC_NEW2!CX36</f>
        <v>0</v>
      </c>
      <c r="DD83" s="7">
        <f>VC_NEW2!CY36</f>
        <v>0</v>
      </c>
      <c r="DE83" s="7">
        <f>VC_NEW2!CZ36</f>
        <v>0</v>
      </c>
      <c r="DF83" s="7">
        <f>VC_NEW2!DA36</f>
        <v>0</v>
      </c>
      <c r="DG83" s="7">
        <f>VC_NEW2!DB36</f>
        <v>0</v>
      </c>
      <c r="DH83" s="7">
        <f>VC_NEW2!DC36</f>
        <v>0</v>
      </c>
      <c r="DI83" s="7">
        <f>VC_NEW2!DD36</f>
        <v>0</v>
      </c>
      <c r="DJ83" s="7">
        <f>VC_NEW2!DE36</f>
        <v>0</v>
      </c>
      <c r="DK83" s="7">
        <f>VC_NEW2!DF36</f>
        <v>0</v>
      </c>
      <c r="DL83" s="7">
        <f>VC_NEW2!DG36</f>
        <v>0</v>
      </c>
      <c r="DM83" s="7">
        <f>VC_NEW2!DH36</f>
        <v>0</v>
      </c>
      <c r="DN83" s="7">
        <f>VC_NEW2!DI36</f>
        <v>0</v>
      </c>
      <c r="DO83" s="7">
        <f>VC_NEW2!DJ36</f>
        <v>0</v>
      </c>
      <c r="DP83" s="7">
        <f>VC_NEW2!DK36</f>
        <v>0</v>
      </c>
      <c r="DQ83" s="7">
        <f>VC_NEW2!DL36</f>
        <v>0</v>
      </c>
      <c r="DR83" s="7">
        <f>VC_NEW2!DM36</f>
        <v>0</v>
      </c>
      <c r="DS83" s="7" t="str">
        <f>VC_NEW2!DN36</f>
        <v>N73D</v>
      </c>
      <c r="DT83" s="7">
        <f>VC_NEW2!DO36</f>
        <v>0</v>
      </c>
      <c r="DU83" s="7">
        <f>VC_NEW2!DP36</f>
        <v>0</v>
      </c>
      <c r="DV83" s="7">
        <f>VC_NEW2!DQ36</f>
        <v>0</v>
      </c>
      <c r="DW83" s="7">
        <f>VC_NEW2!DR36</f>
        <v>0</v>
      </c>
      <c r="DX83" s="7" t="str">
        <f>VC_NEW2!DS36</f>
        <v>V472A</v>
      </c>
      <c r="DY83" s="7">
        <f>VC_NEW2!DT36</f>
        <v>0</v>
      </c>
      <c r="DZ83" s="7">
        <f>VC_NEW2!DU36</f>
        <v>0</v>
      </c>
      <c r="EA83" s="7">
        <f>VC_NEW2!DV36</f>
        <v>0</v>
      </c>
      <c r="EB83" s="7">
        <f>VC_NEW2!DW36</f>
        <v>0</v>
      </c>
      <c r="EC83" s="7" t="str">
        <f>VC_NEW2!DX36</f>
        <v>R210H</v>
      </c>
      <c r="ED83" s="7">
        <f>VC_NEW2!DY36</f>
        <v>0</v>
      </c>
      <c r="EE83" s="7">
        <f>VC_NEW2!DZ36</f>
        <v>0</v>
      </c>
      <c r="EF83" s="7">
        <f>VC_NEW2!EA36</f>
        <v>0</v>
      </c>
      <c r="EG83" s="7">
        <f>VC_NEW2!EB36</f>
        <v>0</v>
      </c>
      <c r="EH83" s="7">
        <f>VC_NEW2!EC36</f>
        <v>0</v>
      </c>
      <c r="EI83" s="7">
        <f>VC_NEW2!ED36</f>
        <v>0</v>
      </c>
      <c r="EJ83" s="7">
        <f>VC_NEW2!EE36</f>
        <v>0</v>
      </c>
      <c r="EK83" s="7">
        <f>VC_NEW2!EF36</f>
        <v>0</v>
      </c>
      <c r="EL83" s="7" t="str">
        <f>VC_NEW2!EG36</f>
        <v xml:space="preserve">N121S       </v>
      </c>
      <c r="EM83" s="7">
        <f>VC_NEW2!EH36</f>
        <v>0</v>
      </c>
      <c r="EN83" s="7">
        <f>VC_NEW2!EI36</f>
        <v>0</v>
      </c>
      <c r="EO83" s="7">
        <f>VC_NEW2!EJ36</f>
        <v>0</v>
      </c>
      <c r="EP83" s="7">
        <f>VC_NEW2!EK36</f>
        <v>0</v>
      </c>
      <c r="EQ83" s="7">
        <f>VC_NEW2!EL36</f>
        <v>0</v>
      </c>
      <c r="ER83" s="7">
        <f>VC_NEW2!EM36</f>
        <v>0</v>
      </c>
      <c r="ES83" s="7" t="str">
        <f>VC_NEW2!EN36</f>
        <v>D303V</v>
      </c>
      <c r="ET83" s="7">
        <f>VC_NEW2!EO36</f>
        <v>0</v>
      </c>
      <c r="EU83" s="7">
        <f>VC_NEW2!EP36</f>
        <v>0</v>
      </c>
      <c r="EV83" s="7">
        <f>VC_NEW2!EQ36</f>
        <v>0</v>
      </c>
      <c r="EW83" s="7" t="str">
        <f>VC_NEW2!ER36</f>
        <v xml:space="preserve">A41T </v>
      </c>
      <c r="EX83" s="7">
        <f>VC_NEW2!ES36</f>
        <v>0</v>
      </c>
      <c r="EY83" s="7">
        <f>VC_NEW2!ET36</f>
        <v>0</v>
      </c>
      <c r="EZ83" s="7">
        <f>VC_NEW2!EU36</f>
        <v>0</v>
      </c>
      <c r="FA83" s="7">
        <f>VC_NEW2!EV36</f>
        <v>0</v>
      </c>
      <c r="FB83" s="7">
        <f>VC_NEW2!EW36</f>
        <v>0</v>
      </c>
      <c r="FC83" s="7">
        <f>VC_NEW2!EX36</f>
        <v>0</v>
      </c>
      <c r="FD83" s="7">
        <f>VC_NEW2!EY36</f>
        <v>0</v>
      </c>
      <c r="FE83" s="7">
        <f>VC_NEW2!EZ36</f>
        <v>0</v>
      </c>
      <c r="FF83" s="7">
        <f>VC_NEW2!FA36</f>
        <v>0</v>
      </c>
      <c r="FG83" s="7">
        <f>VC_NEW2!FB36</f>
        <v>0</v>
      </c>
      <c r="FH83" s="7">
        <f>VC_NEW2!FC36</f>
        <v>0</v>
      </c>
      <c r="FI83" s="7">
        <f>VC_NEW2!FD36</f>
        <v>0</v>
      </c>
      <c r="FJ83" s="7">
        <f>VC_NEW2!FE36</f>
        <v>0</v>
      </c>
      <c r="FK83" s="7">
        <f>VC_NEW2!FF36</f>
        <v>0</v>
      </c>
      <c r="FL83" s="7">
        <f>VC_NEW2!FG36</f>
        <v>0</v>
      </c>
      <c r="FM83" s="7">
        <f>VC_NEW2!FH36</f>
        <v>0</v>
      </c>
      <c r="FN83" s="7">
        <f>VC_NEW2!FI36</f>
        <v>0</v>
      </c>
      <c r="FO83" s="7">
        <f>VC_NEW2!FJ36</f>
        <v>0</v>
      </c>
      <c r="FP83" s="7">
        <f>VC_NEW2!FK36</f>
        <v>0</v>
      </c>
      <c r="FQ83" s="7">
        <f>VC_NEW2!FL36</f>
        <v>0</v>
      </c>
      <c r="FR83" s="7">
        <f>VC_NEW2!FM36</f>
        <v>0</v>
      </c>
      <c r="FS83" s="7" t="str">
        <f>VC_NEW2!FN36</f>
        <v>A364V</v>
      </c>
      <c r="FT83" s="7">
        <f>VC_NEW2!FO36</f>
        <v>0</v>
      </c>
      <c r="FU83" s="7">
        <f>VC_NEW2!FP36</f>
        <v>0</v>
      </c>
      <c r="FV83" s="7">
        <f>VC_NEW2!FQ36</f>
        <v>0</v>
      </c>
      <c r="FW83" s="7">
        <f>VC_NEW2!FR36</f>
        <v>0</v>
      </c>
      <c r="FX83" s="7">
        <f>VC_NEW2!FS36</f>
        <v>0</v>
      </c>
      <c r="FY83" s="7">
        <f>VC_NEW2!FT36</f>
        <v>0</v>
      </c>
      <c r="FZ83" s="7">
        <f>VC_NEW2!FU36</f>
        <v>0</v>
      </c>
      <c r="GA83" s="7">
        <f>VC_NEW2!FV36</f>
        <v>0</v>
      </c>
      <c r="GB83" s="7">
        <f>VC_NEW2!FW36</f>
        <v>0</v>
      </c>
      <c r="GC83" s="7">
        <f>VC_NEW2!FX36</f>
        <v>0</v>
      </c>
      <c r="GD83" s="7">
        <f>VC_NEW2!FY36</f>
        <v>0</v>
      </c>
      <c r="GE83" s="7">
        <f>VC_NEW2!FZ36</f>
        <v>0</v>
      </c>
      <c r="GF83" s="7">
        <f>VC_NEW2!GA36</f>
        <v>0</v>
      </c>
      <c r="GG83" s="7">
        <f>VC_NEW2!GB36</f>
        <v>0</v>
      </c>
      <c r="GH83" s="7">
        <f>VC_NEW2!GC36</f>
        <v>0</v>
      </c>
      <c r="GI83" s="7">
        <f>VC_NEW2!GD36</f>
        <v>0</v>
      </c>
      <c r="GJ83" s="7">
        <f>VC_NEW2!GE36</f>
        <v>0</v>
      </c>
      <c r="GK83" s="7">
        <f>VC_NEW2!GF36</f>
        <v>0</v>
      </c>
      <c r="GL83" s="7">
        <f>VC_NEW2!GG36</f>
        <v>0</v>
      </c>
      <c r="GM83" s="7">
        <f>VC_NEW2!GH36</f>
        <v>0</v>
      </c>
      <c r="GN83" s="7">
        <f>VC_NEW2!GI36</f>
        <v>0</v>
      </c>
      <c r="GO83" s="7">
        <f>VC_NEW2!GJ36</f>
        <v>0</v>
      </c>
      <c r="GP83" s="7">
        <f>VC_NEW2!GK36</f>
        <v>0</v>
      </c>
      <c r="GQ83" s="7" t="str">
        <f>VC_NEW2!GL36</f>
        <v xml:space="preserve">S127N </v>
      </c>
      <c r="GR83" s="7">
        <f>VC_NEW2!GM36</f>
        <v>0</v>
      </c>
      <c r="GS83" s="7">
        <f>VC_NEW2!GN36</f>
        <v>0</v>
      </c>
      <c r="GT83" s="7">
        <f>VC_NEW2!GO36</f>
        <v>0</v>
      </c>
      <c r="GU83" s="7">
        <f>VC_NEW2!GP36</f>
        <v>0</v>
      </c>
      <c r="GV83" s="7">
        <f>VC_NEW2!GQ36</f>
        <v>0</v>
      </c>
      <c r="GW83" s="7">
        <f>VC_NEW2!GR36</f>
        <v>0</v>
      </c>
      <c r="GX83" s="7">
        <f>VC_NEW2!GS36</f>
        <v>0</v>
      </c>
      <c r="GY83" s="7">
        <f>VC_NEW2!GT36</f>
        <v>0</v>
      </c>
      <c r="GZ83" s="7">
        <f>VC_NEW2!GU36</f>
        <v>0</v>
      </c>
      <c r="HA83" s="7">
        <f>VC_NEW2!GV36</f>
        <v>0</v>
      </c>
      <c r="HB83" s="7">
        <f>VC_NEW2!GW36</f>
        <v>0</v>
      </c>
      <c r="HC83" s="7">
        <f>VC_NEW2!GX36</f>
        <v>0</v>
      </c>
    </row>
    <row r="84" spans="1:443" s="1" customFormat="1" ht="15" hidden="1" customHeight="1" x14ac:dyDescent="0.25">
      <c r="A84" s="59" t="s">
        <v>89</v>
      </c>
      <c r="B84" s="60" t="s">
        <v>92</v>
      </c>
      <c r="C84" s="61" t="s">
        <v>4</v>
      </c>
      <c r="D84" s="60" t="s">
        <v>77</v>
      </c>
      <c r="E84" s="60"/>
      <c r="F84" s="60" t="s">
        <v>74</v>
      </c>
      <c r="G84" s="113"/>
      <c r="H84" s="1">
        <f>VC_NEW2!C37</f>
        <v>0</v>
      </c>
      <c r="I84" s="1">
        <f>VC_NEW2!D37</f>
        <v>0</v>
      </c>
      <c r="J84" s="1">
        <f>VC_NEW2!E37</f>
        <v>0</v>
      </c>
      <c r="K84" s="1">
        <f>VC_NEW2!F37</f>
        <v>0</v>
      </c>
      <c r="L84" s="1">
        <f>VC_NEW2!G37</f>
        <v>0</v>
      </c>
      <c r="M84" s="1" t="str">
        <f>VC_NEW2!H37</f>
        <v>R596S, L1027V</v>
      </c>
      <c r="N84" s="1">
        <f>VC_NEW2!I37</f>
        <v>0</v>
      </c>
      <c r="O84" s="1">
        <f>VC_NEW2!J37</f>
        <v>0</v>
      </c>
      <c r="P84" s="1">
        <f>VC_NEW2!K37</f>
        <v>0</v>
      </c>
      <c r="Q84" s="1">
        <f>VC_NEW2!L37</f>
        <v>0</v>
      </c>
      <c r="R84" s="1">
        <f>VC_NEW2!M37</f>
        <v>0</v>
      </c>
      <c r="S84" s="1">
        <f>VC_NEW2!N37</f>
        <v>0</v>
      </c>
      <c r="T84" s="1">
        <f>VC_NEW2!O37</f>
        <v>0</v>
      </c>
      <c r="U84" s="1">
        <f>VC_NEW2!P37</f>
        <v>0</v>
      </c>
      <c r="V84" s="1">
        <f>VC_NEW2!Q37</f>
        <v>0</v>
      </c>
      <c r="W84" s="1">
        <f>VC_NEW2!R37</f>
        <v>0</v>
      </c>
      <c r="X84" s="1">
        <f>VC_NEW2!S37</f>
        <v>0</v>
      </c>
      <c r="Y84" s="1">
        <f>VC_NEW2!T37</f>
        <v>0</v>
      </c>
      <c r="Z84" s="1">
        <f>VC_NEW2!U37</f>
        <v>0</v>
      </c>
      <c r="AA84" s="1">
        <f>VC_NEW2!V37</f>
        <v>0</v>
      </c>
      <c r="AB84" s="1" t="str">
        <f>VC_NEW2!W37</f>
        <v xml:space="preserve"> N775K  </v>
      </c>
      <c r="AC84" s="1">
        <f>VC_NEW2!X37</f>
        <v>0</v>
      </c>
      <c r="AD84" s="1">
        <f>VC_NEW2!Y37</f>
        <v>0</v>
      </c>
      <c r="AE84" s="1">
        <f>VC_NEW2!Z37</f>
        <v>0</v>
      </c>
      <c r="AF84" s="1">
        <f>VC_NEW2!AA37</f>
        <v>0</v>
      </c>
      <c r="AG84" s="1">
        <f>VC_NEW2!AB37</f>
        <v>0</v>
      </c>
      <c r="AH84" s="1">
        <f>VC_NEW2!AC37</f>
        <v>0</v>
      </c>
      <c r="AI84" s="1">
        <f>VC_NEW2!AD37</f>
        <v>0</v>
      </c>
      <c r="AJ84" s="1">
        <f>VC_NEW2!AE37</f>
        <v>0</v>
      </c>
      <c r="AK84" s="1">
        <f>VC_NEW2!AF37</f>
        <v>0</v>
      </c>
      <c r="AL84" s="1">
        <f>VC_NEW2!AG37</f>
        <v>0</v>
      </c>
      <c r="AM84" s="1">
        <f>VC_NEW2!AH37</f>
        <v>0</v>
      </c>
      <c r="AN84" s="1">
        <f>VC_NEW2!AI37</f>
        <v>0</v>
      </c>
      <c r="AO84" s="1">
        <f>VC_NEW2!AJ37</f>
        <v>0</v>
      </c>
      <c r="AP84" s="1">
        <f>VC_NEW2!AK37</f>
        <v>0</v>
      </c>
      <c r="AQ84" s="1" t="str">
        <f>VC_NEW2!AL37</f>
        <v>T778A, P829H</v>
      </c>
      <c r="AR84" s="1">
        <f>VC_NEW2!AM37</f>
        <v>0</v>
      </c>
      <c r="AS84" s="1">
        <f>VC_NEW2!AN37</f>
        <v>0</v>
      </c>
      <c r="AT84" s="1">
        <f>VC_NEW2!AO37</f>
        <v>0</v>
      </c>
      <c r="AU84" s="1">
        <f>VC_NEW2!AP37</f>
        <v>0</v>
      </c>
      <c r="AV84" s="1">
        <f>VC_NEW2!AQ37</f>
        <v>0</v>
      </c>
      <c r="AW84" s="1">
        <f>VC_NEW2!AR37</f>
        <v>0</v>
      </c>
      <c r="AX84" s="1">
        <f>VC_NEW2!AS37</f>
        <v>0</v>
      </c>
      <c r="AY84" s="1">
        <f>VC_NEW2!AT37</f>
        <v>0</v>
      </c>
      <c r="AZ84" s="1">
        <f>VC_NEW2!AU37</f>
        <v>0</v>
      </c>
      <c r="BA84" s="1">
        <f>VC_NEW2!AV37</f>
        <v>0</v>
      </c>
      <c r="BB84" s="1">
        <f>VC_NEW2!AW37</f>
        <v>0</v>
      </c>
      <c r="BC84" s="1">
        <f>VC_NEW2!AX37</f>
        <v>0</v>
      </c>
      <c r="BD84" s="1">
        <f>VC_NEW2!AY37</f>
        <v>0</v>
      </c>
      <c r="BE84" s="1">
        <f>VC_NEW2!AZ37</f>
        <v>0</v>
      </c>
      <c r="BF84" s="1">
        <f>VC_NEW2!BA37</f>
        <v>0</v>
      </c>
      <c r="BG84" s="1">
        <f>VC_NEW2!BB37</f>
        <v>0</v>
      </c>
      <c r="BH84" s="1" t="str">
        <f>VC_NEW2!BC37</f>
        <v xml:space="preserve"> N775K   </v>
      </c>
      <c r="BI84" s="1">
        <f>VC_NEW2!BD37</f>
        <v>0</v>
      </c>
      <c r="BJ84" s="1">
        <f>VC_NEW2!BE37</f>
        <v>0</v>
      </c>
      <c r="BK84" s="1">
        <f>VC_NEW2!BF37</f>
        <v>0</v>
      </c>
      <c r="BL84" s="1">
        <f>VC_NEW2!BG37</f>
        <v>0</v>
      </c>
      <c r="BM84" s="1">
        <f>VC_NEW2!BH37</f>
        <v>0</v>
      </c>
      <c r="BN84" s="1">
        <f>VC_NEW2!BI37</f>
        <v>0</v>
      </c>
      <c r="BO84" s="1">
        <f>VC_NEW2!BJ37</f>
        <v>0</v>
      </c>
      <c r="BP84" s="1">
        <f>VC_NEW2!BK37</f>
        <v>0</v>
      </c>
      <c r="BQ84" s="1">
        <f>VC_NEW2!BL37</f>
        <v>0</v>
      </c>
      <c r="BR84" s="1">
        <f>VC_NEW2!BM37</f>
        <v>0</v>
      </c>
      <c r="BS84" s="1">
        <f>VC_NEW2!BN37</f>
        <v>0</v>
      </c>
      <c r="BT84" s="1">
        <f>VC_NEW2!BO37</f>
        <v>0</v>
      </c>
      <c r="BU84" s="1">
        <f>VC_NEW2!BP37</f>
        <v>0</v>
      </c>
      <c r="BV84" s="1">
        <f>VC_NEW2!BQ37</f>
        <v>0</v>
      </c>
      <c r="BW84" s="1">
        <f>VC_NEW2!BR37</f>
        <v>0</v>
      </c>
      <c r="BX84" s="1">
        <f>VC_NEW2!BS37</f>
        <v>0</v>
      </c>
      <c r="BY84" s="1">
        <f>VC_NEW2!BT37</f>
        <v>0</v>
      </c>
      <c r="BZ84" s="1">
        <f>VC_NEW2!BU37</f>
        <v>0</v>
      </c>
      <c r="CA84" s="1">
        <f>VC_NEW2!BV37</f>
        <v>0</v>
      </c>
      <c r="CB84" s="1">
        <f>VC_NEW2!BW37</f>
        <v>0</v>
      </c>
      <c r="CC84" s="1">
        <f>VC_NEW2!BX37</f>
        <v>0</v>
      </c>
      <c r="CD84" s="1">
        <f>VC_NEW2!BY37</f>
        <v>0</v>
      </c>
      <c r="CE84" s="1">
        <f>VC_NEW2!BZ37</f>
        <v>0</v>
      </c>
      <c r="CF84" s="1">
        <f>VC_NEW2!CA37</f>
        <v>0</v>
      </c>
      <c r="CG84" s="1">
        <f>VC_NEW2!CB37</f>
        <v>0</v>
      </c>
      <c r="CH84" s="1">
        <f>VC_NEW2!CC37</f>
        <v>0</v>
      </c>
      <c r="CI84" s="1">
        <f>VC_NEW2!CD37</f>
        <v>0</v>
      </c>
      <c r="CJ84" s="1">
        <f>VC_NEW2!CE37</f>
        <v>0</v>
      </c>
      <c r="CK84" s="1">
        <f>VC_NEW2!CF37</f>
        <v>0</v>
      </c>
      <c r="CL84" s="1">
        <f>VC_NEW2!CG37</f>
        <v>0</v>
      </c>
      <c r="CM84" s="1">
        <f>VC_NEW2!CH37</f>
        <v>0</v>
      </c>
      <c r="CN84" s="1">
        <f>VC_NEW2!CI37</f>
        <v>0</v>
      </c>
      <c r="CO84" s="1">
        <f>VC_NEW2!CJ37</f>
        <v>0</v>
      </c>
      <c r="CP84" s="1">
        <f>VC_NEW2!CK37</f>
        <v>0</v>
      </c>
      <c r="CQ84" s="1">
        <f>VC_NEW2!CL37</f>
        <v>0</v>
      </c>
      <c r="CR84" s="1">
        <f>VC_NEW2!CM37</f>
        <v>0</v>
      </c>
      <c r="CS84" s="1">
        <f>VC_NEW2!CN37</f>
        <v>0</v>
      </c>
      <c r="CT84" s="1">
        <f>VC_NEW2!CO37</f>
        <v>0</v>
      </c>
      <c r="CU84" s="1">
        <f>VC_NEW2!CP37</f>
        <v>0</v>
      </c>
      <c r="CV84" s="1">
        <f>VC_NEW2!CQ37</f>
        <v>0</v>
      </c>
      <c r="CW84" s="1">
        <f>VC_NEW2!CR37</f>
        <v>0</v>
      </c>
      <c r="CX84" s="1">
        <f>VC_NEW2!CS37</f>
        <v>0</v>
      </c>
      <c r="CY84" s="1">
        <f>VC_NEW2!CT37</f>
        <v>0</v>
      </c>
      <c r="CZ84" s="1">
        <f>VC_NEW2!CU37</f>
        <v>0</v>
      </c>
      <c r="DA84" s="1">
        <f>VC_NEW2!CV37</f>
        <v>0</v>
      </c>
      <c r="DB84" s="1">
        <f>VC_NEW2!CW37</f>
        <v>0</v>
      </c>
      <c r="DC84" s="1">
        <f>VC_NEW2!CX37</f>
        <v>0</v>
      </c>
      <c r="DD84" s="1" t="str">
        <f>VC_NEW2!CY37</f>
        <v xml:space="preserve">T489I </v>
      </c>
      <c r="DE84" s="1">
        <f>VC_NEW2!CZ37</f>
        <v>0</v>
      </c>
      <c r="DF84" s="1">
        <f>VC_NEW2!DA37</f>
        <v>0</v>
      </c>
      <c r="DG84" s="1">
        <f>VC_NEW2!DB37</f>
        <v>0</v>
      </c>
      <c r="DH84" s="1">
        <f>VC_NEW2!DC37</f>
        <v>0</v>
      </c>
      <c r="DI84" s="1">
        <f>VC_NEW2!DD37</f>
        <v>0</v>
      </c>
      <c r="DJ84" s="1">
        <f>VC_NEW2!DE37</f>
        <v>0</v>
      </c>
      <c r="DK84" s="1">
        <f>VC_NEW2!DF37</f>
        <v>0</v>
      </c>
      <c r="DL84" s="1">
        <f>VC_NEW2!DG37</f>
        <v>0</v>
      </c>
      <c r="DM84" s="1">
        <f>VC_NEW2!DH37</f>
        <v>0</v>
      </c>
      <c r="DN84" s="1">
        <f>VC_NEW2!DI37</f>
        <v>0</v>
      </c>
      <c r="DO84" s="1">
        <f>VC_NEW2!DJ37</f>
        <v>0</v>
      </c>
      <c r="DP84" s="1">
        <f>VC_NEW2!DK37</f>
        <v>0</v>
      </c>
      <c r="DQ84" s="1">
        <f>VC_NEW2!DL37</f>
        <v>0</v>
      </c>
      <c r="DR84" s="1">
        <f>VC_NEW2!DM37</f>
        <v>0</v>
      </c>
      <c r="DS84" s="1">
        <f>VC_NEW2!DN37</f>
        <v>0</v>
      </c>
      <c r="DT84" s="1">
        <f>VC_NEW2!DO37</f>
        <v>0</v>
      </c>
      <c r="DU84" s="1">
        <f>VC_NEW2!DP37</f>
        <v>0</v>
      </c>
      <c r="DV84" s="1">
        <f>VC_NEW2!DQ37</f>
        <v>0</v>
      </c>
      <c r="DW84" s="1">
        <f>VC_NEW2!DR37</f>
        <v>0</v>
      </c>
      <c r="DX84" s="1">
        <f>VC_NEW2!DS37</f>
        <v>0</v>
      </c>
      <c r="DY84" s="1" t="str">
        <f>VC_NEW2!DT37</f>
        <v xml:space="preserve">R333C </v>
      </c>
      <c r="DZ84" s="1" t="str">
        <f>VC_NEW2!DU37</f>
        <v>A905T</v>
      </c>
      <c r="EA84" s="1">
        <f>VC_NEW2!DV37</f>
        <v>0</v>
      </c>
      <c r="EB84" s="1">
        <f>VC_NEW2!DW37</f>
        <v>0</v>
      </c>
      <c r="EC84" s="1">
        <f>VC_NEW2!DX37</f>
        <v>0</v>
      </c>
      <c r="ED84" s="1">
        <f>VC_NEW2!DY37</f>
        <v>0</v>
      </c>
      <c r="EE84" s="1">
        <f>VC_NEW2!DZ37</f>
        <v>0</v>
      </c>
      <c r="EF84" s="1">
        <f>VC_NEW2!EA37</f>
        <v>0</v>
      </c>
      <c r="EG84" s="1">
        <f>VC_NEW2!EB37</f>
        <v>0</v>
      </c>
      <c r="EH84" s="1">
        <f>VC_NEW2!EC37</f>
        <v>0</v>
      </c>
      <c r="EI84" s="1">
        <f>VC_NEW2!ED37</f>
        <v>0</v>
      </c>
      <c r="EJ84" s="1">
        <f>VC_NEW2!EE37</f>
        <v>0</v>
      </c>
      <c r="EK84" s="1" t="str">
        <f>VC_NEW2!EF37</f>
        <v xml:space="preserve">         </v>
      </c>
      <c r="EL84" s="1" t="str">
        <f>VC_NEW2!EG37</f>
        <v xml:space="preserve">H953N </v>
      </c>
      <c r="EM84" s="1">
        <f>VC_NEW2!EH37</f>
        <v>0</v>
      </c>
      <c r="EN84" s="1">
        <f>VC_NEW2!EI37</f>
        <v>0</v>
      </c>
      <c r="EO84" s="1">
        <f>VC_NEW2!EJ37</f>
        <v>0</v>
      </c>
      <c r="EP84" s="1">
        <f>VC_NEW2!EK37</f>
        <v>0</v>
      </c>
      <c r="EQ84" s="1">
        <f>VC_NEW2!EL37</f>
        <v>0</v>
      </c>
      <c r="ER84" s="1">
        <f>VC_NEW2!EM37</f>
        <v>0</v>
      </c>
      <c r="ES84" s="1">
        <f>VC_NEW2!EN37</f>
        <v>0</v>
      </c>
      <c r="ET84" s="1">
        <f>VC_NEW2!EO37</f>
        <v>0</v>
      </c>
      <c r="EU84" s="1">
        <f>VC_NEW2!EP37</f>
        <v>0</v>
      </c>
      <c r="EV84" s="1">
        <f>VC_NEW2!EQ37</f>
        <v>0</v>
      </c>
      <c r="EW84" s="1" t="str">
        <f>VC_NEW2!ER37</f>
        <v xml:space="preserve">G147D, A642D, H651R, T659S, S738N </v>
      </c>
      <c r="EX84" s="1" t="str">
        <f>VC_NEW2!ES37</f>
        <v xml:space="preserve">G686R </v>
      </c>
      <c r="EY84" s="1">
        <f>VC_NEW2!ET37</f>
        <v>0</v>
      </c>
      <c r="EZ84" s="1">
        <f>VC_NEW2!EU37</f>
        <v>0</v>
      </c>
      <c r="FA84" s="1">
        <f>VC_NEW2!EV37</f>
        <v>0</v>
      </c>
      <c r="FB84" s="1">
        <f>VC_NEW2!EW37</f>
        <v>0</v>
      </c>
      <c r="FC84" s="1" t="str">
        <f>VC_NEW2!EX37</f>
        <v xml:space="preserve">V351L </v>
      </c>
      <c r="FD84" s="1">
        <f>VC_NEW2!EY37</f>
        <v>0</v>
      </c>
      <c r="FE84" s="1">
        <f>VC_NEW2!EZ37</f>
        <v>0</v>
      </c>
      <c r="FF84" s="1">
        <f>VC_NEW2!FA37</f>
        <v>0</v>
      </c>
      <c r="FG84" s="1">
        <f>VC_NEW2!FB37</f>
        <v>0</v>
      </c>
      <c r="FH84" s="1" t="str">
        <f>VC_NEW2!FC37</f>
        <v xml:space="preserve">H953N </v>
      </c>
      <c r="FI84" s="1" t="str">
        <f>VC_NEW2!FD37</f>
        <v xml:space="preserve">T286M </v>
      </c>
      <c r="FJ84" s="1">
        <f>VC_NEW2!FE37</f>
        <v>0</v>
      </c>
      <c r="FK84" s="1">
        <f>VC_NEW2!FF37</f>
        <v>0</v>
      </c>
      <c r="FL84" s="1">
        <f>VC_NEW2!FG37</f>
        <v>0</v>
      </c>
      <c r="FM84" s="1">
        <f>VC_NEW2!FH37</f>
        <v>0</v>
      </c>
      <c r="FN84" s="1">
        <f>VC_NEW2!FI37</f>
        <v>0</v>
      </c>
      <c r="FO84" s="1">
        <f>VC_NEW2!FJ37</f>
        <v>0</v>
      </c>
      <c r="FP84" s="1">
        <f>VC_NEW2!FK37</f>
        <v>0</v>
      </c>
      <c r="FQ84" s="1">
        <f>VC_NEW2!FL37</f>
        <v>0</v>
      </c>
      <c r="FR84" s="1">
        <f>VC_NEW2!FM37</f>
        <v>0</v>
      </c>
      <c r="FS84" s="1">
        <f>VC_NEW2!FN37</f>
        <v>0</v>
      </c>
      <c r="FT84" s="1" t="str">
        <f>VC_NEW2!FO37</f>
        <v>I427V, G1042R</v>
      </c>
      <c r="FU84" s="1">
        <f>VC_NEW2!FP37</f>
        <v>0</v>
      </c>
      <c r="FV84" s="1">
        <f>VC_NEW2!FQ37</f>
        <v>0</v>
      </c>
      <c r="FW84" s="1">
        <f>VC_NEW2!FR37</f>
        <v>0</v>
      </c>
      <c r="FX84" s="1">
        <f>VC_NEW2!FS37</f>
        <v>0</v>
      </c>
      <c r="FY84" s="1">
        <f>VC_NEW2!FT37</f>
        <v>0</v>
      </c>
      <c r="FZ84" s="1">
        <f>VC_NEW2!FU37</f>
        <v>0</v>
      </c>
      <c r="GA84" s="1">
        <f>VC_NEW2!FV37</f>
        <v>0</v>
      </c>
      <c r="GB84" s="1">
        <f>VC_NEW2!FW37</f>
        <v>0</v>
      </c>
      <c r="GC84" s="1" t="str">
        <f>VC_NEW2!FX37</f>
        <v>V914I</v>
      </c>
      <c r="GD84" s="1">
        <f>VC_NEW2!FY37</f>
        <v>0</v>
      </c>
      <c r="GE84" s="1">
        <f>VC_NEW2!FZ37</f>
        <v>0</v>
      </c>
      <c r="GF84" s="1">
        <f>VC_NEW2!GA37</f>
        <v>0</v>
      </c>
      <c r="GG84" s="1">
        <f>VC_NEW2!GB37</f>
        <v>0</v>
      </c>
      <c r="GH84" s="1">
        <f>VC_NEW2!GC37</f>
        <v>0</v>
      </c>
      <c r="GI84" s="1">
        <f>VC_NEW2!GD37</f>
        <v>0</v>
      </c>
      <c r="GJ84" s="1">
        <f>VC_NEW2!GE37</f>
        <v>0</v>
      </c>
      <c r="GK84" s="1">
        <f>VC_NEW2!GF37</f>
        <v>0</v>
      </c>
      <c r="GL84" s="1">
        <f>VC_NEW2!GG37</f>
        <v>0</v>
      </c>
      <c r="GM84" s="1">
        <f>VC_NEW2!GH37</f>
        <v>0</v>
      </c>
      <c r="GN84" s="1">
        <f>VC_NEW2!GI37</f>
        <v>0</v>
      </c>
      <c r="GO84" s="1">
        <f>VC_NEW2!GJ37</f>
        <v>0</v>
      </c>
      <c r="GP84" s="1">
        <f>VC_NEW2!GK37</f>
        <v>0</v>
      </c>
      <c r="GQ84" s="1" t="str">
        <f>VC_NEW2!GL37</f>
        <v xml:space="preserve">R696C </v>
      </c>
      <c r="GR84" s="1">
        <f>VC_NEW2!GM37</f>
        <v>0</v>
      </c>
      <c r="GS84" s="1">
        <f>VC_NEW2!GN37</f>
        <v>0</v>
      </c>
      <c r="GT84" s="1">
        <f>VC_NEW2!GO37</f>
        <v>0</v>
      </c>
      <c r="GU84" s="1">
        <f>VC_NEW2!GP37</f>
        <v>0</v>
      </c>
      <c r="GV84" s="1">
        <f>VC_NEW2!GQ37</f>
        <v>0</v>
      </c>
      <c r="GW84" s="1">
        <f>VC_NEW2!GR37</f>
        <v>0</v>
      </c>
      <c r="GX84" s="1" t="str">
        <f>VC_NEW2!GS37</f>
        <v>L1027V</v>
      </c>
      <c r="GY84" s="1">
        <f>VC_NEW2!GT37</f>
        <v>0</v>
      </c>
      <c r="GZ84" s="1" t="str">
        <f>VC_NEW2!GU37</f>
        <v xml:space="preserve">R254H  </v>
      </c>
      <c r="HA84" s="1">
        <f>VC_NEW2!GV37</f>
        <v>0</v>
      </c>
      <c r="HB84" s="1">
        <f>VC_NEW2!GW37</f>
        <v>0</v>
      </c>
      <c r="HC84" s="1">
        <f>VC_NEW2!GX37</f>
        <v>0</v>
      </c>
    </row>
    <row r="85" spans="1:443" s="7" customFormat="1" ht="15.75" hidden="1" customHeight="1" thickBot="1" x14ac:dyDescent="0.3">
      <c r="A85" s="62" t="s">
        <v>88</v>
      </c>
      <c r="B85" s="63" t="s">
        <v>91</v>
      </c>
      <c r="C85" s="64" t="s">
        <v>4</v>
      </c>
      <c r="D85" s="63" t="s">
        <v>77</v>
      </c>
      <c r="E85" s="63"/>
      <c r="F85" s="63" t="s">
        <v>74</v>
      </c>
      <c r="G85" s="114"/>
      <c r="H85" s="7">
        <f>VC_NEW2!C38</f>
        <v>0</v>
      </c>
      <c r="I85" s="7" t="str">
        <f>VC_NEW2!D38</f>
        <v xml:space="preserve">V131M </v>
      </c>
      <c r="J85" s="7">
        <f>VC_NEW2!E38</f>
        <v>0</v>
      </c>
      <c r="K85" s="7">
        <f>VC_NEW2!F38</f>
        <v>0</v>
      </c>
      <c r="L85" s="7">
        <f>VC_NEW2!G38</f>
        <v>0</v>
      </c>
      <c r="M85" s="7" t="str">
        <f>VC_NEW2!H38</f>
        <v>V367A</v>
      </c>
      <c r="N85" s="7">
        <f>VC_NEW2!I38</f>
        <v>0</v>
      </c>
      <c r="O85" s="7">
        <f>VC_NEW2!J38</f>
        <v>0</v>
      </c>
      <c r="P85" s="7">
        <f>VC_NEW2!K38</f>
        <v>0</v>
      </c>
      <c r="Q85" s="7">
        <f>VC_NEW2!L38</f>
        <v>0</v>
      </c>
      <c r="R85" s="7">
        <f>VC_NEW2!M38</f>
        <v>0</v>
      </c>
      <c r="S85" s="7">
        <f>VC_NEW2!N38</f>
        <v>0</v>
      </c>
      <c r="T85" s="7">
        <f>VC_NEW2!O38</f>
        <v>0</v>
      </c>
      <c r="U85" s="7">
        <f>VC_NEW2!P38</f>
        <v>0</v>
      </c>
      <c r="V85" s="7">
        <f>VC_NEW2!Q38</f>
        <v>0</v>
      </c>
      <c r="W85" s="7">
        <f>VC_NEW2!R38</f>
        <v>0</v>
      </c>
      <c r="X85" s="7">
        <f>VC_NEW2!S38</f>
        <v>0</v>
      </c>
      <c r="Y85" s="7">
        <f>VC_NEW2!T38</f>
        <v>0</v>
      </c>
      <c r="Z85" s="7">
        <f>VC_NEW2!U38</f>
        <v>0</v>
      </c>
      <c r="AA85" s="7">
        <f>VC_NEW2!V38</f>
        <v>0</v>
      </c>
      <c r="AB85" s="7">
        <f>VC_NEW2!W38</f>
        <v>0</v>
      </c>
      <c r="AC85" s="7">
        <f>VC_NEW2!X38</f>
        <v>0</v>
      </c>
      <c r="AD85" s="7">
        <f>VC_NEW2!Y38</f>
        <v>0</v>
      </c>
      <c r="AE85" s="7">
        <f>VC_NEW2!Z38</f>
        <v>0</v>
      </c>
      <c r="AF85" s="7">
        <f>VC_NEW2!AA38</f>
        <v>0</v>
      </c>
      <c r="AG85" s="7">
        <f>VC_NEW2!AB38</f>
        <v>0</v>
      </c>
      <c r="AH85" s="7">
        <f>VC_NEW2!AC38</f>
        <v>0</v>
      </c>
      <c r="AI85" s="7">
        <f>VC_NEW2!AD38</f>
        <v>0</v>
      </c>
      <c r="AJ85" s="7" t="str">
        <f>VC_NEW2!AE38</f>
        <v xml:space="preserve">G8R </v>
      </c>
      <c r="AK85" s="7">
        <f>VC_NEW2!AF38</f>
        <v>0</v>
      </c>
      <c r="AL85" s="7">
        <f>VC_NEW2!AG38</f>
        <v>0</v>
      </c>
      <c r="AM85" s="7">
        <f>VC_NEW2!AH38</f>
        <v>0</v>
      </c>
      <c r="AN85" s="7">
        <f>VC_NEW2!AI38</f>
        <v>0</v>
      </c>
      <c r="AO85" s="7">
        <f>VC_NEW2!AJ38</f>
        <v>0</v>
      </c>
      <c r="AP85" s="7">
        <f>VC_NEW2!AK38</f>
        <v>0</v>
      </c>
      <c r="AQ85" s="7">
        <f>VC_NEW2!AL38</f>
        <v>0</v>
      </c>
      <c r="AR85" s="7">
        <f>VC_NEW2!AM38</f>
        <v>0</v>
      </c>
      <c r="AS85" s="7">
        <f>VC_NEW2!AN38</f>
        <v>0</v>
      </c>
      <c r="AT85" s="7">
        <f>VC_NEW2!AO38</f>
        <v>0</v>
      </c>
      <c r="AU85" s="7">
        <f>VC_NEW2!AP38</f>
        <v>0</v>
      </c>
      <c r="AV85" s="7">
        <f>VC_NEW2!AQ38</f>
        <v>0</v>
      </c>
      <c r="AW85" s="7">
        <f>VC_NEW2!AR38</f>
        <v>0</v>
      </c>
      <c r="AX85" s="7">
        <f>VC_NEW2!AS38</f>
        <v>0</v>
      </c>
      <c r="AY85" s="7">
        <f>VC_NEW2!AT38</f>
        <v>0</v>
      </c>
      <c r="AZ85" s="7">
        <f>VC_NEW2!AU38</f>
        <v>0</v>
      </c>
      <c r="BA85" s="7">
        <f>VC_NEW2!AV38</f>
        <v>0</v>
      </c>
      <c r="BB85" s="7">
        <f>VC_NEW2!AW38</f>
        <v>0</v>
      </c>
      <c r="BC85" s="7">
        <f>VC_NEW2!AX38</f>
        <v>0</v>
      </c>
      <c r="BD85" s="7">
        <f>VC_NEW2!AY38</f>
        <v>0</v>
      </c>
      <c r="BE85" s="7">
        <f>VC_NEW2!AZ38</f>
        <v>0</v>
      </c>
      <c r="BF85" s="7">
        <f>VC_NEW2!BA38</f>
        <v>0</v>
      </c>
      <c r="BG85" s="7">
        <f>VC_NEW2!BB38</f>
        <v>0</v>
      </c>
      <c r="BH85" s="7">
        <f>VC_NEW2!BC38</f>
        <v>0</v>
      </c>
      <c r="BI85" s="7">
        <f>VC_NEW2!BD38</f>
        <v>0</v>
      </c>
      <c r="BJ85" s="7">
        <f>VC_NEW2!BE38</f>
        <v>0</v>
      </c>
      <c r="BK85" s="7" t="str">
        <f>VC_NEW2!BF38</f>
        <v xml:space="preserve"> nt205∆2</v>
      </c>
      <c r="BL85" s="7">
        <f>VC_NEW2!BG38</f>
        <v>0</v>
      </c>
      <c r="BM85" s="7">
        <f>VC_NEW2!BH38</f>
        <v>0</v>
      </c>
      <c r="BN85" s="7">
        <f>VC_NEW2!BI38</f>
        <v>0</v>
      </c>
      <c r="BO85" s="7">
        <f>VC_NEW2!BJ38</f>
        <v>0</v>
      </c>
      <c r="BP85" s="7">
        <f>VC_NEW2!BK38</f>
        <v>0</v>
      </c>
      <c r="BQ85" s="7">
        <f>VC_NEW2!BL38</f>
        <v>0</v>
      </c>
      <c r="BR85" s="7">
        <f>VC_NEW2!BM38</f>
        <v>0</v>
      </c>
      <c r="BS85" s="7">
        <f>VC_NEW2!BN38</f>
        <v>0</v>
      </c>
      <c r="BT85" s="7">
        <f>VC_NEW2!BO38</f>
        <v>0</v>
      </c>
      <c r="BU85" s="7">
        <f>VC_NEW2!BP38</f>
        <v>0</v>
      </c>
      <c r="BV85" s="7">
        <f>VC_NEW2!BQ38</f>
        <v>0</v>
      </c>
      <c r="BW85" s="7">
        <f>VC_NEW2!BR38</f>
        <v>0</v>
      </c>
      <c r="BX85" s="7">
        <f>VC_NEW2!BS38</f>
        <v>0</v>
      </c>
      <c r="BY85" s="7">
        <f>VC_NEW2!BT38</f>
        <v>0</v>
      </c>
      <c r="BZ85" s="7">
        <f>VC_NEW2!BU38</f>
        <v>0</v>
      </c>
      <c r="CA85" s="7">
        <f>VC_NEW2!BV38</f>
        <v>0</v>
      </c>
      <c r="CB85" s="7">
        <f>VC_NEW2!BW38</f>
        <v>0</v>
      </c>
      <c r="CC85" s="7">
        <f>VC_NEW2!BX38</f>
        <v>0</v>
      </c>
      <c r="CD85" s="7">
        <f>VC_NEW2!BY38</f>
        <v>0</v>
      </c>
      <c r="CE85" s="7">
        <f>VC_NEW2!BZ38</f>
        <v>0</v>
      </c>
      <c r="CF85" s="7">
        <f>VC_NEW2!CA38</f>
        <v>0</v>
      </c>
      <c r="CG85" s="7">
        <f>VC_NEW2!CB38</f>
        <v>0</v>
      </c>
      <c r="CH85" s="7">
        <f>VC_NEW2!CC38</f>
        <v>0</v>
      </c>
      <c r="CI85" s="7">
        <f>VC_NEW2!CD38</f>
        <v>0</v>
      </c>
      <c r="CJ85" s="7">
        <f>VC_NEW2!CE38</f>
        <v>0</v>
      </c>
      <c r="CK85" s="7">
        <f>VC_NEW2!CF38</f>
        <v>0</v>
      </c>
      <c r="CL85" s="7">
        <f>VC_NEW2!CG38</f>
        <v>0</v>
      </c>
      <c r="CM85" s="7">
        <f>VC_NEW2!CH38</f>
        <v>0</v>
      </c>
      <c r="CN85" s="7">
        <f>VC_NEW2!CI38</f>
        <v>0</v>
      </c>
      <c r="CO85" s="7">
        <f>VC_NEW2!CJ38</f>
        <v>0</v>
      </c>
      <c r="CP85" s="7">
        <f>VC_NEW2!CK38</f>
        <v>0</v>
      </c>
      <c r="CQ85" s="7">
        <f>VC_NEW2!CL38</f>
        <v>0</v>
      </c>
      <c r="CR85" s="7">
        <f>VC_NEW2!CM38</f>
        <v>0</v>
      </c>
      <c r="CS85" s="7">
        <f>VC_NEW2!CN38</f>
        <v>0</v>
      </c>
      <c r="CT85" s="7">
        <f>VC_NEW2!CO38</f>
        <v>0</v>
      </c>
      <c r="CU85" s="7">
        <f>VC_NEW2!CP38</f>
        <v>0</v>
      </c>
      <c r="CV85" s="7">
        <f>VC_NEW2!CQ38</f>
        <v>0</v>
      </c>
      <c r="CW85" s="7">
        <f>VC_NEW2!CR38</f>
        <v>0</v>
      </c>
      <c r="CX85" s="7">
        <f>VC_NEW2!CS38</f>
        <v>0</v>
      </c>
      <c r="CY85" s="7">
        <f>VC_NEW2!CT38</f>
        <v>0</v>
      </c>
      <c r="CZ85" s="7">
        <f>VC_NEW2!CU38</f>
        <v>0</v>
      </c>
      <c r="DA85" s="7">
        <f>VC_NEW2!CV38</f>
        <v>0</v>
      </c>
      <c r="DB85" s="7">
        <f>VC_NEW2!CW38</f>
        <v>0</v>
      </c>
      <c r="DC85" s="7">
        <f>VC_NEW2!CX38</f>
        <v>0</v>
      </c>
      <c r="DD85" s="7">
        <f>VC_NEW2!CY38</f>
        <v>0</v>
      </c>
      <c r="DE85" s="7">
        <f>VC_NEW2!CZ38</f>
        <v>0</v>
      </c>
      <c r="DF85" s="7">
        <f>VC_NEW2!DA38</f>
        <v>0</v>
      </c>
      <c r="DG85" s="7">
        <f>VC_NEW2!DB38</f>
        <v>0</v>
      </c>
      <c r="DH85" s="7">
        <f>VC_NEW2!DC38</f>
        <v>0</v>
      </c>
      <c r="DI85" s="7">
        <f>VC_NEW2!DD38</f>
        <v>0</v>
      </c>
      <c r="DJ85" s="7">
        <f>VC_NEW2!DE38</f>
        <v>0</v>
      </c>
      <c r="DK85" s="7">
        <f>VC_NEW2!DF38</f>
        <v>0</v>
      </c>
      <c r="DL85" s="7">
        <f>VC_NEW2!DG38</f>
        <v>0</v>
      </c>
      <c r="DM85" s="7">
        <f>VC_NEW2!DH38</f>
        <v>0</v>
      </c>
      <c r="DN85" s="7">
        <f>VC_NEW2!DI38</f>
        <v>0</v>
      </c>
      <c r="DO85" s="7">
        <f>VC_NEW2!DJ38</f>
        <v>0</v>
      </c>
      <c r="DP85" s="7">
        <f>VC_NEW2!DK38</f>
        <v>0</v>
      </c>
      <c r="DQ85" s="7">
        <f>VC_NEW2!DL38</f>
        <v>0</v>
      </c>
      <c r="DR85" s="7">
        <f>VC_NEW2!DM38</f>
        <v>0</v>
      </c>
      <c r="DS85" s="7" t="str">
        <f>VC_NEW2!DN38</f>
        <v xml:space="preserve">T145I </v>
      </c>
      <c r="DT85" s="7">
        <f>VC_NEW2!DO38</f>
        <v>0</v>
      </c>
      <c r="DU85" s="7">
        <f>VC_NEW2!DP38</f>
        <v>0</v>
      </c>
      <c r="DV85" s="7">
        <f>VC_NEW2!DQ38</f>
        <v>0</v>
      </c>
      <c r="DW85" s="7">
        <f>VC_NEW2!DR38</f>
        <v>0</v>
      </c>
      <c r="DX85" s="7">
        <f>VC_NEW2!DS38</f>
        <v>0</v>
      </c>
      <c r="DY85" s="7" t="str">
        <f>VC_NEW2!DT38</f>
        <v>Q206X</v>
      </c>
      <c r="DZ85" s="7">
        <f>VC_NEW2!DU38</f>
        <v>0</v>
      </c>
      <c r="EA85" s="7">
        <f>VC_NEW2!DV38</f>
        <v>0</v>
      </c>
      <c r="EB85" s="7">
        <f>VC_NEW2!DW38</f>
        <v>0</v>
      </c>
      <c r="EC85" s="7" t="str">
        <f>VC_NEW2!DX38</f>
        <v xml:space="preserve">G254S </v>
      </c>
      <c r="ED85" s="7">
        <f>VC_NEW2!DY38</f>
        <v>0</v>
      </c>
      <c r="EE85" s="7">
        <f>VC_NEW2!DZ38</f>
        <v>0</v>
      </c>
      <c r="EF85" s="7">
        <f>VC_NEW2!EA38</f>
        <v>0</v>
      </c>
      <c r="EG85" s="7" t="str">
        <f>VC_NEW2!EB38</f>
        <v>Q134X</v>
      </c>
      <c r="EH85" s="7">
        <f>VC_NEW2!EC38</f>
        <v>0</v>
      </c>
      <c r="EI85" s="7">
        <f>VC_NEW2!ED38</f>
        <v>0</v>
      </c>
      <c r="EJ85" s="7">
        <f>VC_NEW2!EE38</f>
        <v>0</v>
      </c>
      <c r="EK85" s="7">
        <f>VC_NEW2!EF38</f>
        <v>0</v>
      </c>
      <c r="EL85" s="7">
        <f>VC_NEW2!EG38</f>
        <v>0</v>
      </c>
      <c r="EM85" s="7">
        <f>VC_NEW2!EH38</f>
        <v>0</v>
      </c>
      <c r="EN85" s="7">
        <f>VC_NEW2!EI38</f>
        <v>0</v>
      </c>
      <c r="EO85" s="7">
        <f>VC_NEW2!EJ38</f>
        <v>0</v>
      </c>
      <c r="EP85" s="7">
        <f>VC_NEW2!EK38</f>
        <v>0</v>
      </c>
      <c r="EQ85" s="7">
        <f>VC_NEW2!EL38</f>
        <v>0</v>
      </c>
      <c r="ER85" s="7">
        <f>VC_NEW2!EM38</f>
        <v>0</v>
      </c>
      <c r="ES85" s="7">
        <f>VC_NEW2!EN38</f>
        <v>0</v>
      </c>
      <c r="ET85" s="7">
        <f>VC_NEW2!EO38</f>
        <v>0</v>
      </c>
      <c r="EU85" s="7">
        <f>VC_NEW2!EP38</f>
        <v>0</v>
      </c>
      <c r="EV85" s="7">
        <f>VC_NEW2!EQ38</f>
        <v>0</v>
      </c>
      <c r="EW85" s="7" t="str">
        <f>VC_NEW2!ER38</f>
        <v>E152Q, V282I, N299S, G334A, V337A, E350K</v>
      </c>
      <c r="EX85" s="7">
        <f>VC_NEW2!ES38</f>
        <v>0</v>
      </c>
      <c r="EY85" s="7">
        <f>VC_NEW2!ET38</f>
        <v>0</v>
      </c>
      <c r="EZ85" s="7">
        <f>VC_NEW2!EU38</f>
        <v>0</v>
      </c>
      <c r="FA85" s="7">
        <f>VC_NEW2!EV38</f>
        <v>0</v>
      </c>
      <c r="FB85" s="7">
        <f>VC_NEW2!EW38</f>
        <v>0</v>
      </c>
      <c r="FC85" s="7">
        <f>VC_NEW2!EX38</f>
        <v>0</v>
      </c>
      <c r="FD85" s="7">
        <f>VC_NEW2!EY38</f>
        <v>0</v>
      </c>
      <c r="FE85" s="7">
        <f>VC_NEW2!EZ38</f>
        <v>0</v>
      </c>
      <c r="FF85" s="7">
        <f>VC_NEW2!FA38</f>
        <v>0</v>
      </c>
      <c r="FG85" s="7">
        <f>VC_NEW2!FB38</f>
        <v>0</v>
      </c>
      <c r="FH85" s="7">
        <f>VC_NEW2!FC38</f>
        <v>0</v>
      </c>
      <c r="FI85" s="7">
        <f>VC_NEW2!FD38</f>
        <v>0</v>
      </c>
      <c r="FJ85" s="7">
        <f>VC_NEW2!FE38</f>
        <v>0</v>
      </c>
      <c r="FK85" s="7">
        <f>VC_NEW2!FF38</f>
        <v>0</v>
      </c>
      <c r="FL85" s="7">
        <f>VC_NEW2!FG38</f>
        <v>0</v>
      </c>
      <c r="FM85" s="7">
        <f>VC_NEW2!FH38</f>
        <v>0</v>
      </c>
      <c r="FN85" s="7">
        <f>VC_NEW2!FI38</f>
        <v>0</v>
      </c>
      <c r="FO85" s="7">
        <f>VC_NEW2!FJ38</f>
        <v>0</v>
      </c>
      <c r="FP85" s="7">
        <f>VC_NEW2!FK38</f>
        <v>0</v>
      </c>
      <c r="FQ85" s="7">
        <f>VC_NEW2!FL38</f>
        <v>0</v>
      </c>
      <c r="FR85" s="7" t="str">
        <f>VC_NEW2!FM38</f>
        <v xml:space="preserve">G8R </v>
      </c>
      <c r="FS85" s="7">
        <f>VC_NEW2!FN38</f>
        <v>0</v>
      </c>
      <c r="FT85" s="7">
        <f>VC_NEW2!FO38</f>
        <v>0</v>
      </c>
      <c r="FU85" s="7">
        <f>VC_NEW2!FP38</f>
        <v>0</v>
      </c>
      <c r="FV85" s="7">
        <f>VC_NEW2!FQ38</f>
        <v>0</v>
      </c>
      <c r="FW85" s="7">
        <f>VC_NEW2!FR38</f>
        <v>0</v>
      </c>
      <c r="FX85" s="7">
        <f>VC_NEW2!FS38</f>
        <v>0</v>
      </c>
      <c r="FY85" s="7">
        <f>VC_NEW2!FT38</f>
        <v>0</v>
      </c>
      <c r="FZ85" s="7">
        <f>VC_NEW2!FU38</f>
        <v>0</v>
      </c>
      <c r="GA85" s="7">
        <f>VC_NEW2!FV38</f>
        <v>0</v>
      </c>
      <c r="GB85" s="7">
        <f>VC_NEW2!FW38</f>
        <v>0</v>
      </c>
      <c r="GC85" s="7">
        <f>VC_NEW2!FX38</f>
        <v>0</v>
      </c>
      <c r="GD85" s="7">
        <f>VC_NEW2!FY38</f>
        <v>0</v>
      </c>
      <c r="GE85" s="7">
        <f>VC_NEW2!FZ38</f>
        <v>0</v>
      </c>
      <c r="GF85" s="7">
        <f>VC_NEW2!GA38</f>
        <v>0</v>
      </c>
      <c r="GG85" s="7">
        <f>VC_NEW2!GB38</f>
        <v>0</v>
      </c>
      <c r="GH85" s="7">
        <f>VC_NEW2!GC38</f>
        <v>0</v>
      </c>
      <c r="GI85" s="7">
        <f>VC_NEW2!GD38</f>
        <v>0</v>
      </c>
      <c r="GJ85" s="7" t="str">
        <f>VC_NEW2!GE38</f>
        <v xml:space="preserve">S51R    </v>
      </c>
      <c r="GK85" s="7">
        <f>VC_NEW2!GF38</f>
        <v>0</v>
      </c>
      <c r="GL85" s="7">
        <f>VC_NEW2!GG38</f>
        <v>0</v>
      </c>
      <c r="GM85" s="7">
        <f>VC_NEW2!GH38</f>
        <v>0</v>
      </c>
      <c r="GN85" s="7">
        <f>VC_NEW2!GI38</f>
        <v>0</v>
      </c>
      <c r="GO85" s="7">
        <f>VC_NEW2!GJ38</f>
        <v>0</v>
      </c>
      <c r="GP85" s="7">
        <f>VC_NEW2!GK38</f>
        <v>0</v>
      </c>
      <c r="GQ85" s="7">
        <f>VC_NEW2!GL38</f>
        <v>0</v>
      </c>
      <c r="GR85" s="7">
        <f>VC_NEW2!GM38</f>
        <v>0</v>
      </c>
      <c r="GS85" s="7">
        <f>VC_NEW2!GN38</f>
        <v>0</v>
      </c>
      <c r="GT85" s="7">
        <f>VC_NEW2!GO38</f>
        <v>0</v>
      </c>
      <c r="GU85" s="7">
        <f>VC_NEW2!GP38</f>
        <v>0</v>
      </c>
      <c r="GV85" s="7">
        <f>VC_NEW2!GQ38</f>
        <v>0</v>
      </c>
      <c r="GW85" s="7">
        <f>VC_NEW2!GR38</f>
        <v>0</v>
      </c>
      <c r="GX85" s="7" t="str">
        <f>VC_NEW2!GS38</f>
        <v>V367A</v>
      </c>
      <c r="GY85" s="7">
        <f>VC_NEW2!GT38</f>
        <v>0</v>
      </c>
      <c r="GZ85" s="7" t="str">
        <f>VC_NEW2!GU38</f>
        <v>V367A</v>
      </c>
      <c r="HA85" s="7">
        <f>VC_NEW2!GV38</f>
        <v>0</v>
      </c>
      <c r="HB85" s="7">
        <f>VC_NEW2!GW38</f>
        <v>0</v>
      </c>
      <c r="HC85" s="7">
        <f>VC_NEW2!GX38</f>
        <v>0</v>
      </c>
    </row>
    <row r="86" spans="1:443" s="1" customFormat="1" ht="15.75" hidden="1" customHeight="1" thickBot="1" x14ac:dyDescent="0.3">
      <c r="A86" s="74" t="s">
        <v>66</v>
      </c>
      <c r="B86" s="75" t="s">
        <v>155</v>
      </c>
      <c r="C86" s="76" t="s">
        <v>4</v>
      </c>
      <c r="D86" s="75" t="s">
        <v>76</v>
      </c>
      <c r="E86" s="75" t="s">
        <v>147</v>
      </c>
      <c r="F86" s="75" t="s">
        <v>74</v>
      </c>
      <c r="G86" s="77" t="s">
        <v>141</v>
      </c>
      <c r="H86" s="1">
        <f>VC_NEW2!C39</f>
        <v>0</v>
      </c>
      <c r="I86" s="1">
        <f>VC_NEW2!D39</f>
        <v>0</v>
      </c>
      <c r="J86" s="1">
        <f>VC_NEW2!E39</f>
        <v>0</v>
      </c>
      <c r="K86" s="1">
        <f>VC_NEW2!F39</f>
        <v>0</v>
      </c>
      <c r="L86" s="1">
        <f>VC_NEW2!G39</f>
        <v>0</v>
      </c>
      <c r="M86" s="1">
        <f>VC_NEW2!H39</f>
        <v>0</v>
      </c>
      <c r="N86" s="1">
        <f>VC_NEW2!I39</f>
        <v>0</v>
      </c>
      <c r="O86" s="1">
        <f>VC_NEW2!J39</f>
        <v>0</v>
      </c>
      <c r="P86" s="1">
        <f>VC_NEW2!K39</f>
        <v>0</v>
      </c>
      <c r="Q86" s="1">
        <f>VC_NEW2!L39</f>
        <v>0</v>
      </c>
      <c r="R86" s="1">
        <f>VC_NEW2!M39</f>
        <v>0</v>
      </c>
      <c r="S86" s="1">
        <f>VC_NEW2!N39</f>
        <v>0</v>
      </c>
      <c r="T86" s="1">
        <f>VC_NEW2!O39</f>
        <v>0</v>
      </c>
      <c r="U86" s="1">
        <f>VC_NEW2!P39</f>
        <v>0</v>
      </c>
      <c r="V86" s="1">
        <f>VC_NEW2!Q39</f>
        <v>0</v>
      </c>
      <c r="W86" s="1">
        <f>VC_NEW2!R39</f>
        <v>0</v>
      </c>
      <c r="X86" s="1">
        <f>VC_NEW2!S39</f>
        <v>0</v>
      </c>
      <c r="Y86" s="1">
        <f>VC_NEW2!T39</f>
        <v>0</v>
      </c>
      <c r="Z86" s="1">
        <f>VC_NEW2!U39</f>
        <v>0</v>
      </c>
      <c r="AA86" s="1">
        <f>VC_NEW2!V39</f>
        <v>0</v>
      </c>
      <c r="AB86" s="1">
        <f>VC_NEW2!W39</f>
        <v>0</v>
      </c>
      <c r="AC86" s="1">
        <f>VC_NEW2!X39</f>
        <v>0</v>
      </c>
      <c r="AD86" s="1">
        <f>VC_NEW2!Y39</f>
        <v>0</v>
      </c>
      <c r="AE86" s="1">
        <f>VC_NEW2!Z39</f>
        <v>0</v>
      </c>
      <c r="AF86" s="1">
        <f>VC_NEW2!AA39</f>
        <v>0</v>
      </c>
      <c r="AG86" s="1">
        <f>VC_NEW2!AB39</f>
        <v>0</v>
      </c>
      <c r="AH86" s="1">
        <f>VC_NEW2!AC39</f>
        <v>0</v>
      </c>
      <c r="AI86" s="1">
        <f>VC_NEW2!AD39</f>
        <v>0</v>
      </c>
      <c r="AJ86" s="1" t="str">
        <f>VC_NEW2!AE39</f>
        <v>A124T</v>
      </c>
      <c r="AK86" s="1">
        <f>VC_NEW2!AF39</f>
        <v>0</v>
      </c>
      <c r="AL86" s="1">
        <f>VC_NEW2!AG39</f>
        <v>0</v>
      </c>
      <c r="AM86" s="1">
        <f>VC_NEW2!AH39</f>
        <v>0</v>
      </c>
      <c r="AN86" s="1">
        <f>VC_NEW2!AI39</f>
        <v>0</v>
      </c>
      <c r="AO86" s="1">
        <f>VC_NEW2!AJ39</f>
        <v>0</v>
      </c>
      <c r="AP86" s="1">
        <f>VC_NEW2!AK39</f>
        <v>0</v>
      </c>
      <c r="AQ86" s="1">
        <f>VC_NEW2!AL39</f>
        <v>0</v>
      </c>
      <c r="AR86" s="1">
        <f>VC_NEW2!AM39</f>
        <v>0</v>
      </c>
      <c r="AS86" s="1">
        <f>VC_NEW2!AN39</f>
        <v>0</v>
      </c>
      <c r="AT86" s="1">
        <f>VC_NEW2!AO39</f>
        <v>0</v>
      </c>
      <c r="AU86" s="1">
        <f>VC_NEW2!AP39</f>
        <v>0</v>
      </c>
      <c r="AV86" s="1">
        <f>VC_NEW2!AQ39</f>
        <v>0</v>
      </c>
      <c r="AW86" s="1">
        <f>VC_NEW2!AR39</f>
        <v>0</v>
      </c>
      <c r="AX86" s="1">
        <f>VC_NEW2!AS39</f>
        <v>0</v>
      </c>
      <c r="AY86" s="1">
        <f>VC_NEW2!AT39</f>
        <v>0</v>
      </c>
      <c r="AZ86" s="1">
        <f>VC_NEW2!AU39</f>
        <v>0</v>
      </c>
      <c r="BA86" s="1">
        <f>VC_NEW2!AV39</f>
        <v>0</v>
      </c>
      <c r="BB86" s="1">
        <f>VC_NEW2!AW39</f>
        <v>0</v>
      </c>
      <c r="BC86" s="1">
        <f>VC_NEW2!AX39</f>
        <v>0</v>
      </c>
      <c r="BD86" s="1">
        <f>VC_NEW2!AY39</f>
        <v>0</v>
      </c>
      <c r="BE86" s="1">
        <f>VC_NEW2!AZ39</f>
        <v>0</v>
      </c>
      <c r="BF86" s="1">
        <f>VC_NEW2!BA39</f>
        <v>0</v>
      </c>
      <c r="BG86" s="1" t="str">
        <f>VC_NEW2!BB39</f>
        <v>R163Q</v>
      </c>
      <c r="BH86" s="1">
        <f>VC_NEW2!BC39</f>
        <v>0</v>
      </c>
      <c r="BI86" s="1">
        <f>VC_NEW2!BD39</f>
        <v>0</v>
      </c>
      <c r="BJ86" s="1">
        <f>VC_NEW2!BE39</f>
        <v>0</v>
      </c>
      <c r="BK86" s="1">
        <f>VC_NEW2!BF39</f>
        <v>0</v>
      </c>
      <c r="BL86" s="1">
        <f>VC_NEW2!BG39</f>
        <v>0</v>
      </c>
      <c r="BM86" s="1">
        <f>VC_NEW2!BH39</f>
        <v>0</v>
      </c>
      <c r="BN86" s="1">
        <f>VC_NEW2!BI39</f>
        <v>0</v>
      </c>
      <c r="BO86" s="1">
        <f>VC_NEW2!BJ39</f>
        <v>0</v>
      </c>
      <c r="BP86" s="1">
        <f>VC_NEW2!BK39</f>
        <v>0</v>
      </c>
      <c r="BQ86" s="1">
        <f>VC_NEW2!BL39</f>
        <v>0</v>
      </c>
      <c r="BR86" s="1">
        <f>VC_NEW2!BM39</f>
        <v>0</v>
      </c>
      <c r="BS86" s="1">
        <f>VC_NEW2!BN39</f>
        <v>0</v>
      </c>
      <c r="BT86" s="1">
        <f>VC_NEW2!BO39</f>
        <v>0</v>
      </c>
      <c r="BU86" s="1">
        <f>VC_NEW2!BP39</f>
        <v>0</v>
      </c>
      <c r="BV86" s="1">
        <f>VC_NEW2!BQ39</f>
        <v>0</v>
      </c>
      <c r="BW86" s="1">
        <f>VC_NEW2!BR39</f>
        <v>0</v>
      </c>
      <c r="BX86" s="1">
        <f>VC_NEW2!BS39</f>
        <v>0</v>
      </c>
      <c r="BY86" s="1">
        <f>VC_NEW2!BT39</f>
        <v>0</v>
      </c>
      <c r="BZ86" s="1">
        <f>VC_NEW2!BU39</f>
        <v>0</v>
      </c>
      <c r="CA86" s="1">
        <f>VC_NEW2!BV39</f>
        <v>0</v>
      </c>
      <c r="CB86" s="1">
        <f>VC_NEW2!BW39</f>
        <v>0</v>
      </c>
      <c r="CC86" s="1">
        <f>VC_NEW2!BX39</f>
        <v>0</v>
      </c>
      <c r="CD86" s="1">
        <f>VC_NEW2!BY39</f>
        <v>0</v>
      </c>
      <c r="CE86" s="1">
        <f>VC_NEW2!BZ39</f>
        <v>0</v>
      </c>
      <c r="CF86" s="1">
        <f>VC_NEW2!CA39</f>
        <v>0</v>
      </c>
      <c r="CG86" s="1">
        <f>VC_NEW2!CB39</f>
        <v>0</v>
      </c>
      <c r="CH86" s="1">
        <f>VC_NEW2!CC39</f>
        <v>0</v>
      </c>
      <c r="CI86" s="1">
        <f>VC_NEW2!CD39</f>
        <v>0</v>
      </c>
      <c r="CJ86" s="1">
        <f>VC_NEW2!CE39</f>
        <v>0</v>
      </c>
      <c r="CK86" s="1">
        <f>VC_NEW2!CF39</f>
        <v>0</v>
      </c>
      <c r="CL86" s="1">
        <f>VC_NEW2!CG39</f>
        <v>0</v>
      </c>
      <c r="CM86" s="1">
        <f>VC_NEW2!CH39</f>
        <v>0</v>
      </c>
      <c r="CN86" s="1">
        <f>VC_NEW2!CI39</f>
        <v>0</v>
      </c>
      <c r="CO86" s="1">
        <f>VC_NEW2!CJ39</f>
        <v>0</v>
      </c>
      <c r="CP86" s="1">
        <f>VC_NEW2!CK39</f>
        <v>0</v>
      </c>
      <c r="CQ86" s="1">
        <f>VC_NEW2!CL39</f>
        <v>0</v>
      </c>
      <c r="CR86" s="1">
        <f>VC_NEW2!CM39</f>
        <v>0</v>
      </c>
      <c r="CS86" s="1">
        <f>VC_NEW2!CN39</f>
        <v>0</v>
      </c>
      <c r="CT86" s="1">
        <f>VC_NEW2!CO39</f>
        <v>0</v>
      </c>
      <c r="CU86" s="1">
        <f>VC_NEW2!CP39</f>
        <v>0</v>
      </c>
      <c r="CV86" s="1" t="str">
        <f>VC_NEW2!CQ39</f>
        <v>X188ext</v>
      </c>
      <c r="CW86" s="1">
        <f>VC_NEW2!CR39</f>
        <v>0</v>
      </c>
      <c r="CX86" s="1">
        <f>VC_NEW2!CS39</f>
        <v>0</v>
      </c>
      <c r="CY86" s="1">
        <f>VC_NEW2!CT39</f>
        <v>0</v>
      </c>
      <c r="CZ86" s="1">
        <f>VC_NEW2!CU39</f>
        <v>0</v>
      </c>
      <c r="DA86" s="1">
        <f>VC_NEW2!CV39</f>
        <v>0</v>
      </c>
      <c r="DB86" s="1">
        <f>VC_NEW2!CW39</f>
        <v>0</v>
      </c>
      <c r="DC86" s="1">
        <f>VC_NEW2!CX39</f>
        <v>0</v>
      </c>
      <c r="DD86" s="1">
        <f>VC_NEW2!CY39</f>
        <v>0</v>
      </c>
      <c r="DE86" s="1">
        <f>VC_NEW2!CZ39</f>
        <v>0</v>
      </c>
      <c r="DF86" s="1">
        <f>VC_NEW2!DA39</f>
        <v>0</v>
      </c>
      <c r="DG86" s="1">
        <f>VC_NEW2!DB39</f>
        <v>0</v>
      </c>
      <c r="DH86" s="1">
        <f>VC_NEW2!DC39</f>
        <v>0</v>
      </c>
      <c r="DI86" s="1">
        <f>VC_NEW2!DD39</f>
        <v>0</v>
      </c>
      <c r="DJ86" s="1">
        <f>VC_NEW2!DE39</f>
        <v>0</v>
      </c>
      <c r="DK86" s="1">
        <f>VC_NEW2!DF39</f>
        <v>0</v>
      </c>
      <c r="DL86" s="1">
        <f>VC_NEW2!DG39</f>
        <v>0</v>
      </c>
      <c r="DM86" s="1">
        <f>VC_NEW2!DH39</f>
        <v>0</v>
      </c>
      <c r="DN86" s="1">
        <f>VC_NEW2!DI39</f>
        <v>0</v>
      </c>
      <c r="DO86" s="1">
        <f>VC_NEW2!DJ39</f>
        <v>0</v>
      </c>
      <c r="DP86" s="1">
        <f>VC_NEW2!DK39</f>
        <v>0</v>
      </c>
      <c r="DQ86" s="1">
        <f>VC_NEW2!DL39</f>
        <v>0</v>
      </c>
      <c r="DR86" s="1">
        <f>VC_NEW2!DM39</f>
        <v>0</v>
      </c>
      <c r="DS86" s="1">
        <f>VC_NEW2!DN39</f>
        <v>0</v>
      </c>
      <c r="DT86" s="1">
        <f>VC_NEW2!DO39</f>
        <v>0</v>
      </c>
      <c r="DU86" s="1">
        <f>VC_NEW2!DP39</f>
        <v>0</v>
      </c>
      <c r="DV86" s="1">
        <f>VC_NEW2!DQ39</f>
        <v>0</v>
      </c>
      <c r="DW86" s="1">
        <f>VC_NEW2!DR39</f>
        <v>0</v>
      </c>
      <c r="DX86" s="1">
        <f>VC_NEW2!DS39</f>
        <v>0</v>
      </c>
      <c r="DY86" s="1" t="str">
        <f>VC_NEW2!DT39</f>
        <v>aa18InsVA</v>
      </c>
      <c r="DZ86" s="1">
        <f>VC_NEW2!DU39</f>
        <v>0</v>
      </c>
      <c r="EA86" s="1">
        <f>VC_NEW2!DV39</f>
        <v>0</v>
      </c>
      <c r="EB86" s="1">
        <f>VC_NEW2!DW39</f>
        <v>0</v>
      </c>
      <c r="EC86" s="1" t="str">
        <f>VC_NEW2!DX39</f>
        <v>G129R</v>
      </c>
      <c r="ED86" s="1">
        <f>VC_NEW2!DY39</f>
        <v>0</v>
      </c>
      <c r="EE86" s="1">
        <f>VC_NEW2!DZ39</f>
        <v>0</v>
      </c>
      <c r="EF86" s="1">
        <f>VC_NEW2!EA39</f>
        <v>0</v>
      </c>
      <c r="EG86" s="1" t="str">
        <f>VC_NEW2!EB39</f>
        <v>Q64X</v>
      </c>
      <c r="EH86" s="1">
        <f>VC_NEW2!EC39</f>
        <v>0</v>
      </c>
      <c r="EI86" s="1">
        <f>VC_NEW2!ED39</f>
        <v>0</v>
      </c>
      <c r="EJ86" s="1">
        <f>VC_NEW2!EE39</f>
        <v>0</v>
      </c>
      <c r="EK86" s="1" t="str">
        <f>VC_NEW2!EF39</f>
        <v xml:space="preserve"> R47Q </v>
      </c>
      <c r="EL86" s="1">
        <f>VC_NEW2!EG39</f>
        <v>0</v>
      </c>
      <c r="EM86" s="1">
        <f>VC_NEW2!EH39</f>
        <v>0</v>
      </c>
      <c r="EN86" s="1">
        <f>VC_NEW2!EI39</f>
        <v>0</v>
      </c>
      <c r="EO86" s="1">
        <f>VC_NEW2!EJ39</f>
        <v>0</v>
      </c>
      <c r="EP86" s="1">
        <f>VC_NEW2!EK39</f>
        <v>0</v>
      </c>
      <c r="EQ86" s="1">
        <f>VC_NEW2!EL39</f>
        <v>0</v>
      </c>
      <c r="ER86" s="1">
        <f>VC_NEW2!EM39</f>
        <v>0</v>
      </c>
      <c r="ES86" s="1">
        <f>VC_NEW2!EN39</f>
        <v>0</v>
      </c>
      <c r="ET86" s="1">
        <f>VC_NEW2!EO39</f>
        <v>0</v>
      </c>
      <c r="EU86" s="1">
        <f>VC_NEW2!EP39</f>
        <v>0</v>
      </c>
      <c r="EV86" s="1">
        <f>VC_NEW2!EQ39</f>
        <v>0</v>
      </c>
      <c r="EW86" s="1" t="str">
        <f>VC_NEW2!ER39</f>
        <v>E75G</v>
      </c>
      <c r="EX86" s="1">
        <f>VC_NEW2!ES39</f>
        <v>0</v>
      </c>
      <c r="EY86" s="1">
        <f>VC_NEW2!ET39</f>
        <v>0</v>
      </c>
      <c r="EZ86" s="1">
        <f>VC_NEW2!EU39</f>
        <v>0</v>
      </c>
      <c r="FA86" s="1">
        <f>VC_NEW2!EV39</f>
        <v>0</v>
      </c>
      <c r="FB86" s="1">
        <f>VC_NEW2!EW39</f>
        <v>0</v>
      </c>
      <c r="FC86" s="1">
        <f>VC_NEW2!EX39</f>
        <v>0</v>
      </c>
      <c r="FD86" s="1">
        <f>VC_NEW2!EY39</f>
        <v>0</v>
      </c>
      <c r="FE86" s="1">
        <f>VC_NEW2!EZ39</f>
        <v>0</v>
      </c>
      <c r="FF86" s="1">
        <f>VC_NEW2!FA39</f>
        <v>0</v>
      </c>
      <c r="FG86" s="1">
        <f>VC_NEW2!FB39</f>
        <v>0</v>
      </c>
      <c r="FH86" s="1">
        <f>VC_NEW2!FC39</f>
        <v>0</v>
      </c>
      <c r="FI86" s="1">
        <f>VC_NEW2!FD39</f>
        <v>0</v>
      </c>
      <c r="FJ86" s="1">
        <f>VC_NEW2!FE39</f>
        <v>0</v>
      </c>
      <c r="FK86" s="1">
        <f>VC_NEW2!FF39</f>
        <v>0</v>
      </c>
      <c r="FL86" s="1">
        <f>VC_NEW2!FG39</f>
        <v>0</v>
      </c>
      <c r="FM86" s="1">
        <f>VC_NEW2!FH39</f>
        <v>0</v>
      </c>
      <c r="FN86" s="1">
        <f>VC_NEW2!FI39</f>
        <v>0</v>
      </c>
      <c r="FO86" s="1">
        <f>VC_NEW2!FJ39</f>
        <v>0</v>
      </c>
      <c r="FP86" s="1">
        <f>VC_NEW2!FK39</f>
        <v>0</v>
      </c>
      <c r="FQ86" s="1">
        <f>VC_NEW2!FL39</f>
        <v>0</v>
      </c>
      <c r="FR86" s="1" t="str">
        <f>VC_NEW2!FM39</f>
        <v>A124T</v>
      </c>
      <c r="FS86" s="1">
        <f>VC_NEW2!FN39</f>
        <v>0</v>
      </c>
      <c r="FT86" s="1" t="str">
        <f>VC_NEW2!FO39</f>
        <v>G133S</v>
      </c>
      <c r="FU86" s="1">
        <f>VC_NEW2!FP39</f>
        <v>0</v>
      </c>
      <c r="FV86" s="1">
        <f>VC_NEW2!FQ39</f>
        <v>0</v>
      </c>
      <c r="FW86" s="1">
        <f>VC_NEW2!FR39</f>
        <v>0</v>
      </c>
      <c r="FX86" s="1">
        <f>VC_NEW2!FS39</f>
        <v>0</v>
      </c>
      <c r="FY86" s="1">
        <f>VC_NEW2!FT39</f>
        <v>0</v>
      </c>
      <c r="FZ86" s="1">
        <f>VC_NEW2!FU39</f>
        <v>0</v>
      </c>
      <c r="GA86" s="1">
        <f>VC_NEW2!FV39</f>
        <v>0</v>
      </c>
      <c r="GB86" s="1">
        <f>VC_NEW2!FW39</f>
        <v>0</v>
      </c>
      <c r="GC86" s="1">
        <f>VC_NEW2!FX39</f>
        <v>0</v>
      </c>
      <c r="GD86" s="1">
        <f>VC_NEW2!FY39</f>
        <v>0</v>
      </c>
      <c r="GE86" s="1">
        <f>VC_NEW2!FZ39</f>
        <v>0</v>
      </c>
      <c r="GF86" s="1">
        <f>VC_NEW2!GA39</f>
        <v>0</v>
      </c>
      <c r="GG86" s="1">
        <f>VC_NEW2!GB39</f>
        <v>0</v>
      </c>
      <c r="GH86" s="1">
        <f>VC_NEW2!GC39</f>
        <v>0</v>
      </c>
      <c r="GI86" s="1">
        <f>VC_NEW2!GD39</f>
        <v>0</v>
      </c>
      <c r="GJ86" s="1">
        <f>VC_NEW2!GE39</f>
        <v>0</v>
      </c>
      <c r="GK86" s="1">
        <f>VC_NEW2!GF39</f>
        <v>0</v>
      </c>
      <c r="GL86" s="1">
        <f>VC_NEW2!GG39</f>
        <v>0</v>
      </c>
      <c r="GM86" s="1">
        <f>VC_NEW2!GH39</f>
        <v>0</v>
      </c>
      <c r="GN86" s="1">
        <f>VC_NEW2!GI39</f>
        <v>0</v>
      </c>
      <c r="GO86" s="1">
        <f>VC_NEW2!GJ39</f>
        <v>0</v>
      </c>
      <c r="GP86" s="1">
        <f>VC_NEW2!GK39</f>
        <v>0</v>
      </c>
      <c r="GQ86" s="1">
        <f>VC_NEW2!GL39</f>
        <v>0</v>
      </c>
      <c r="GR86" s="1">
        <f>VC_NEW2!GM39</f>
        <v>0</v>
      </c>
      <c r="GS86" s="1">
        <f>VC_NEW2!GN39</f>
        <v>0</v>
      </c>
      <c r="GT86" s="1">
        <f>VC_NEW2!GO39</f>
        <v>0</v>
      </c>
      <c r="GU86" s="1">
        <f>VC_NEW2!GP39</f>
        <v>0</v>
      </c>
      <c r="GV86" s="1">
        <f>VC_NEW2!GQ39</f>
        <v>0</v>
      </c>
      <c r="GW86" s="1">
        <f>VC_NEW2!GR39</f>
        <v>0</v>
      </c>
      <c r="GX86" s="1">
        <f>VC_NEW2!GS39</f>
        <v>0</v>
      </c>
      <c r="GY86" s="1">
        <f>VC_NEW2!GT39</f>
        <v>0</v>
      </c>
      <c r="GZ86" s="1">
        <f>VC_NEW2!GU39</f>
        <v>0</v>
      </c>
      <c r="HA86" s="1">
        <f>VC_NEW2!GV39</f>
        <v>0</v>
      </c>
      <c r="HB86" s="1">
        <f>VC_NEW2!GW39</f>
        <v>0</v>
      </c>
      <c r="HC86" s="1">
        <f>VC_NEW2!GX39</f>
        <v>0</v>
      </c>
    </row>
    <row r="87" spans="1:443" s="2" customFormat="1" ht="15" hidden="1" customHeight="1" x14ac:dyDescent="0.25">
      <c r="A87" s="2" t="s">
        <v>133</v>
      </c>
      <c r="B87" s="2" t="s">
        <v>119</v>
      </c>
      <c r="C87" s="4" t="s">
        <v>0</v>
      </c>
      <c r="D87" s="2" t="s">
        <v>76</v>
      </c>
      <c r="E87" s="2" t="s">
        <v>138</v>
      </c>
      <c r="F87" s="2" t="s">
        <v>73</v>
      </c>
      <c r="G87" s="20" t="s">
        <v>157</v>
      </c>
      <c r="H87" s="1">
        <f>VC_NEW2!C41</f>
        <v>0</v>
      </c>
      <c r="I87" s="1">
        <f>VC_NEW2!D41</f>
        <v>0</v>
      </c>
      <c r="J87" s="1">
        <f>VC_NEW2!E41</f>
        <v>0</v>
      </c>
      <c r="K87" s="1">
        <f>VC_NEW2!F41</f>
        <v>0</v>
      </c>
      <c r="L87" s="1">
        <f>VC_NEW2!G41</f>
        <v>0</v>
      </c>
      <c r="M87" s="1" t="str">
        <f>VC_NEW2!H41</f>
        <v xml:space="preserve">D61N </v>
      </c>
      <c r="N87" s="1">
        <f>VC_NEW2!I41</f>
        <v>0</v>
      </c>
      <c r="O87" s="1">
        <f>VC_NEW2!J41</f>
        <v>0</v>
      </c>
      <c r="P87" s="1">
        <f>VC_NEW2!K41</f>
        <v>0</v>
      </c>
      <c r="Q87" s="1">
        <f>VC_NEW2!L41</f>
        <v>0</v>
      </c>
      <c r="R87" s="1">
        <f>VC_NEW2!M41</f>
        <v>0</v>
      </c>
      <c r="S87" s="1">
        <f>VC_NEW2!N41</f>
        <v>0</v>
      </c>
      <c r="T87" s="1">
        <f>VC_NEW2!O41</f>
        <v>0</v>
      </c>
      <c r="U87" s="1">
        <f>VC_NEW2!P41</f>
        <v>0</v>
      </c>
      <c r="V87" s="1">
        <f>VC_NEW2!Q41</f>
        <v>0</v>
      </c>
      <c r="W87" s="1">
        <f>VC_NEW2!R41</f>
        <v>0</v>
      </c>
      <c r="X87" s="1">
        <f>VC_NEW2!S41</f>
        <v>0</v>
      </c>
      <c r="Y87" s="1">
        <f>VC_NEW2!T41</f>
        <v>0</v>
      </c>
      <c r="Z87" s="1">
        <f>VC_NEW2!U41</f>
        <v>0</v>
      </c>
      <c r="AA87" s="1">
        <f>VC_NEW2!V41</f>
        <v>0</v>
      </c>
      <c r="AB87" s="1">
        <f>VC_NEW2!W41</f>
        <v>0</v>
      </c>
      <c r="AC87" s="1">
        <f>VC_NEW2!X41</f>
        <v>0</v>
      </c>
      <c r="AD87" s="1">
        <f>VC_NEW2!Y41</f>
        <v>0</v>
      </c>
      <c r="AE87" s="1">
        <f>VC_NEW2!Z41</f>
        <v>0</v>
      </c>
      <c r="AF87" s="1">
        <f>VC_NEW2!AA41</f>
        <v>0</v>
      </c>
      <c r="AG87" s="1">
        <f>VC_NEW2!AB41</f>
        <v>0</v>
      </c>
      <c r="AH87" s="1">
        <f>VC_NEW2!AC41</f>
        <v>0</v>
      </c>
      <c r="AI87" s="1">
        <f>VC_NEW2!AD41</f>
        <v>0</v>
      </c>
      <c r="AJ87" s="1">
        <f>VC_NEW2!AE41</f>
        <v>0</v>
      </c>
      <c r="AK87" s="1">
        <f>VC_NEW2!AF41</f>
        <v>0</v>
      </c>
      <c r="AL87" s="1">
        <f>VC_NEW2!AG41</f>
        <v>0</v>
      </c>
      <c r="AM87" s="1">
        <f>VC_NEW2!AH41</f>
        <v>0</v>
      </c>
      <c r="AN87" s="1">
        <f>VC_NEW2!AI41</f>
        <v>0</v>
      </c>
      <c r="AO87" s="1">
        <f>VC_NEW2!AJ41</f>
        <v>0</v>
      </c>
      <c r="AP87" s="1">
        <f>VC_NEW2!AK41</f>
        <v>0</v>
      </c>
      <c r="AQ87" s="1">
        <f>VC_NEW2!AL41</f>
        <v>0</v>
      </c>
      <c r="AR87" s="1">
        <f>VC_NEW2!AM41</f>
        <v>0</v>
      </c>
      <c r="AS87" s="1">
        <f>VC_NEW2!AN41</f>
        <v>0</v>
      </c>
      <c r="AT87" s="1">
        <f>VC_NEW2!AO41</f>
        <v>0</v>
      </c>
      <c r="AU87" s="1">
        <f>VC_NEW2!AP41</f>
        <v>0</v>
      </c>
      <c r="AV87" s="1">
        <f>VC_NEW2!AQ41</f>
        <v>0</v>
      </c>
      <c r="AW87" s="1">
        <f>VC_NEW2!AR41</f>
        <v>0</v>
      </c>
      <c r="AX87" s="1">
        <f>VC_NEW2!AS41</f>
        <v>0</v>
      </c>
      <c r="AY87" s="1">
        <f>VC_NEW2!AT41</f>
        <v>0</v>
      </c>
      <c r="AZ87" s="1">
        <f>VC_NEW2!AU41</f>
        <v>0</v>
      </c>
      <c r="BA87" s="1">
        <f>VC_NEW2!AV41</f>
        <v>0</v>
      </c>
      <c r="BB87" s="1">
        <f>VC_NEW2!AW41</f>
        <v>0</v>
      </c>
      <c r="BC87" s="1">
        <f>VC_NEW2!AX41</f>
        <v>0</v>
      </c>
      <c r="BD87" s="1">
        <f>VC_NEW2!AY41</f>
        <v>0</v>
      </c>
      <c r="BE87" s="1">
        <f>VC_NEW2!AZ41</f>
        <v>0</v>
      </c>
      <c r="BF87" s="1">
        <f>VC_NEW2!BA41</f>
        <v>0</v>
      </c>
      <c r="BG87" s="1">
        <f>VC_NEW2!BB41</f>
        <v>0</v>
      </c>
      <c r="BH87" s="1">
        <f>VC_NEW2!BC41</f>
        <v>0</v>
      </c>
      <c r="BI87" s="1">
        <f>VC_NEW2!BD41</f>
        <v>0</v>
      </c>
      <c r="BJ87" s="1">
        <f>VC_NEW2!BE41</f>
        <v>0</v>
      </c>
      <c r="BK87" s="1">
        <f>VC_NEW2!BF41</f>
        <v>0</v>
      </c>
      <c r="BL87" s="1">
        <f>VC_NEW2!BG41</f>
        <v>0</v>
      </c>
      <c r="BM87" s="1">
        <f>VC_NEW2!BH41</f>
        <v>0</v>
      </c>
      <c r="BN87" s="1">
        <f>VC_NEW2!BI41</f>
        <v>0</v>
      </c>
      <c r="BO87" s="1">
        <f>VC_NEW2!BJ41</f>
        <v>0</v>
      </c>
      <c r="BP87" s="1">
        <f>VC_NEW2!BK41</f>
        <v>0</v>
      </c>
      <c r="BQ87" s="1">
        <f>VC_NEW2!BL41</f>
        <v>0</v>
      </c>
      <c r="BR87" s="1">
        <f>VC_NEW2!BM41</f>
        <v>0</v>
      </c>
      <c r="BS87" s="1">
        <f>VC_NEW2!BN41</f>
        <v>0</v>
      </c>
      <c r="BT87" s="1">
        <f>VC_NEW2!BO41</f>
        <v>0</v>
      </c>
      <c r="BU87" s="1">
        <f>VC_NEW2!BP41</f>
        <v>0</v>
      </c>
      <c r="BV87" s="1">
        <f>VC_NEW2!BQ41</f>
        <v>0</v>
      </c>
      <c r="BW87" s="1">
        <f>VC_NEW2!BR41</f>
        <v>0</v>
      </c>
      <c r="BX87" s="1">
        <f>VC_NEW2!BS41</f>
        <v>0</v>
      </c>
      <c r="BY87" s="1">
        <f>VC_NEW2!BT41</f>
        <v>0</v>
      </c>
      <c r="BZ87" s="1">
        <f>VC_NEW2!BU41</f>
        <v>0</v>
      </c>
      <c r="CA87" s="1">
        <f>VC_NEW2!BV41</f>
        <v>0</v>
      </c>
      <c r="CB87" s="1">
        <f>VC_NEW2!BW41</f>
        <v>0</v>
      </c>
      <c r="CC87" s="1" t="str">
        <f>VC_NEW2!BX41</f>
        <v>R122H</v>
      </c>
      <c r="CD87" s="1">
        <f>VC_NEW2!BY41</f>
        <v>0</v>
      </c>
      <c r="CE87" s="1">
        <f>VC_NEW2!BZ41</f>
        <v>0</v>
      </c>
      <c r="CF87" s="1">
        <f>VC_NEW2!CA41</f>
        <v>0</v>
      </c>
      <c r="CG87" s="1">
        <f>VC_NEW2!CB41</f>
        <v>0</v>
      </c>
      <c r="CH87" s="1">
        <f>VC_NEW2!CC41</f>
        <v>0</v>
      </c>
      <c r="CI87" s="1">
        <f>VC_NEW2!CD41</f>
        <v>0</v>
      </c>
      <c r="CJ87" s="1">
        <f>VC_NEW2!CE41</f>
        <v>0</v>
      </c>
      <c r="CK87" s="1">
        <f>VC_NEW2!CF41</f>
        <v>0</v>
      </c>
      <c r="CL87" s="1">
        <f>VC_NEW2!CG41</f>
        <v>0</v>
      </c>
      <c r="CM87" s="1">
        <f>VC_NEW2!CH41</f>
        <v>0</v>
      </c>
      <c r="CN87" s="1">
        <f>VC_NEW2!CI41</f>
        <v>0</v>
      </c>
      <c r="CO87" s="1">
        <f>VC_NEW2!CJ41</f>
        <v>0</v>
      </c>
      <c r="CP87" s="1">
        <f>VC_NEW2!CK41</f>
        <v>0</v>
      </c>
      <c r="CQ87" s="1">
        <f>VC_NEW2!CL41</f>
        <v>0</v>
      </c>
      <c r="CR87" s="1">
        <f>VC_NEW2!CM41</f>
        <v>0</v>
      </c>
      <c r="CS87" s="1">
        <f>VC_NEW2!CN41</f>
        <v>0</v>
      </c>
      <c r="CT87" s="1">
        <f>VC_NEW2!CO41</f>
        <v>0</v>
      </c>
      <c r="CU87" s="1">
        <f>VC_NEW2!CP41</f>
        <v>0</v>
      </c>
      <c r="CV87" s="1">
        <f>VC_NEW2!CQ41</f>
        <v>0</v>
      </c>
      <c r="CW87" s="1">
        <f>VC_NEW2!CR41</f>
        <v>0</v>
      </c>
      <c r="CX87" s="1">
        <f>VC_NEW2!CS41</f>
        <v>0</v>
      </c>
      <c r="CY87" s="1">
        <f>VC_NEW2!CT41</f>
        <v>0</v>
      </c>
      <c r="CZ87" s="1">
        <f>VC_NEW2!CU41</f>
        <v>0</v>
      </c>
      <c r="DA87" s="1">
        <f>VC_NEW2!CV41</f>
        <v>0</v>
      </c>
      <c r="DB87" s="1">
        <f>VC_NEW2!CW41</f>
        <v>0</v>
      </c>
      <c r="DC87" s="1">
        <f>VC_NEW2!CX41</f>
        <v>0</v>
      </c>
      <c r="DD87" s="1">
        <f>VC_NEW2!CY41</f>
        <v>0</v>
      </c>
      <c r="DE87" s="1">
        <f>VC_NEW2!CZ41</f>
        <v>0</v>
      </c>
      <c r="DF87" s="1">
        <f>VC_NEW2!DA41</f>
        <v>0</v>
      </c>
      <c r="DG87" s="1">
        <f>VC_NEW2!DB41</f>
        <v>0</v>
      </c>
      <c r="DH87" s="1">
        <f>VC_NEW2!DC41</f>
        <v>0</v>
      </c>
      <c r="DI87" s="1">
        <f>VC_NEW2!DD41</f>
        <v>0</v>
      </c>
      <c r="DJ87" s="1">
        <f>VC_NEW2!DE41</f>
        <v>0</v>
      </c>
      <c r="DK87" s="1">
        <f>VC_NEW2!DF41</f>
        <v>0</v>
      </c>
      <c r="DL87" s="1">
        <f>VC_NEW2!DG41</f>
        <v>0</v>
      </c>
      <c r="DM87" s="1">
        <f>VC_NEW2!DH41</f>
        <v>0</v>
      </c>
      <c r="DN87" s="1">
        <f>VC_NEW2!DI41</f>
        <v>0</v>
      </c>
      <c r="DO87" s="1">
        <f>VC_NEW2!DJ41</f>
        <v>0</v>
      </c>
      <c r="DP87" s="1">
        <f>VC_NEW2!DK41</f>
        <v>0</v>
      </c>
      <c r="DQ87" s="1">
        <f>VC_NEW2!DL41</f>
        <v>0</v>
      </c>
      <c r="DR87" s="1">
        <f>VC_NEW2!DM41</f>
        <v>0</v>
      </c>
      <c r="DS87" s="1">
        <f>VC_NEW2!DN41</f>
        <v>0</v>
      </c>
      <c r="DT87" s="1">
        <f>VC_NEW2!DO41</f>
        <v>0</v>
      </c>
      <c r="DU87" s="1">
        <f>VC_NEW2!DP41</f>
        <v>0</v>
      </c>
      <c r="DV87" s="1">
        <f>VC_NEW2!DQ41</f>
        <v>0</v>
      </c>
      <c r="DW87" s="1">
        <f>VC_NEW2!DR41</f>
        <v>0</v>
      </c>
      <c r="DX87" s="1">
        <f>VC_NEW2!DS41</f>
        <v>0</v>
      </c>
      <c r="DY87" s="1">
        <f>VC_NEW2!DT41</f>
        <v>0</v>
      </c>
      <c r="DZ87" s="1">
        <f>VC_NEW2!DU41</f>
        <v>0</v>
      </c>
      <c r="EA87" s="1">
        <f>VC_NEW2!DV41</f>
        <v>0</v>
      </c>
      <c r="EB87" s="1">
        <f>VC_NEW2!DW41</f>
        <v>0</v>
      </c>
      <c r="EC87" s="1">
        <f>VC_NEW2!DX41</f>
        <v>0</v>
      </c>
      <c r="ED87" s="1">
        <f>VC_NEW2!DY41</f>
        <v>0</v>
      </c>
      <c r="EE87" s="1">
        <f>VC_NEW2!DZ41</f>
        <v>0</v>
      </c>
      <c r="EF87" s="1">
        <f>VC_NEW2!EA41</f>
        <v>0</v>
      </c>
      <c r="EG87" s="1">
        <f>VC_NEW2!EB41</f>
        <v>0</v>
      </c>
      <c r="EH87" s="1">
        <f>VC_NEW2!EC41</f>
        <v>0</v>
      </c>
      <c r="EI87" s="1">
        <f>VC_NEW2!ED41</f>
        <v>0</v>
      </c>
      <c r="EJ87" s="1">
        <f>VC_NEW2!EE41</f>
        <v>0</v>
      </c>
      <c r="EK87" s="1">
        <f>VC_NEW2!EF41</f>
        <v>0</v>
      </c>
      <c r="EL87" s="1">
        <f>VC_NEW2!EG41</f>
        <v>0</v>
      </c>
      <c r="EM87" s="1">
        <f>VC_NEW2!EH41</f>
        <v>0</v>
      </c>
      <c r="EN87" s="1">
        <f>VC_NEW2!EI41</f>
        <v>0</v>
      </c>
      <c r="EO87" s="1">
        <f>VC_NEW2!EJ41</f>
        <v>0</v>
      </c>
      <c r="EP87" s="1">
        <f>VC_NEW2!EK41</f>
        <v>0</v>
      </c>
      <c r="EQ87" s="1">
        <f>VC_NEW2!EL41</f>
        <v>0</v>
      </c>
      <c r="ER87" s="1">
        <f>VC_NEW2!EM41</f>
        <v>0</v>
      </c>
      <c r="ES87" s="1">
        <f>VC_NEW2!EN41</f>
        <v>0</v>
      </c>
      <c r="ET87" s="1">
        <f>VC_NEW2!EO41</f>
        <v>0</v>
      </c>
      <c r="EU87" s="1">
        <f>VC_NEW2!EP41</f>
        <v>0</v>
      </c>
      <c r="EV87" s="1" t="str">
        <f>VC_NEW2!EQ41</f>
        <v xml:space="preserve"> E163D</v>
      </c>
      <c r="EW87" s="1">
        <f>VC_NEW2!ER41</f>
        <v>0</v>
      </c>
      <c r="EX87" s="1">
        <f>VC_NEW2!ES41</f>
        <v>0</v>
      </c>
      <c r="EY87" s="1">
        <f>VC_NEW2!ET41</f>
        <v>0</v>
      </c>
      <c r="EZ87" s="1">
        <f>VC_NEW2!EU41</f>
        <v>0</v>
      </c>
      <c r="FA87" s="1">
        <f>VC_NEW2!EV41</f>
        <v>0</v>
      </c>
      <c r="FB87" s="1">
        <f>VC_NEW2!EW41</f>
        <v>0</v>
      </c>
      <c r="FC87" s="1">
        <f>VC_NEW2!EX41</f>
        <v>0</v>
      </c>
      <c r="FD87" s="1">
        <f>VC_NEW2!EY41</f>
        <v>0</v>
      </c>
      <c r="FE87" s="1">
        <f>VC_NEW2!EZ41</f>
        <v>0</v>
      </c>
      <c r="FF87" s="1">
        <f>VC_NEW2!FA41</f>
        <v>0</v>
      </c>
      <c r="FG87" s="1">
        <f>VC_NEW2!FB41</f>
        <v>0</v>
      </c>
      <c r="FH87" s="1">
        <f>VC_NEW2!FC41</f>
        <v>0</v>
      </c>
      <c r="FI87" s="1">
        <f>VC_NEW2!FD41</f>
        <v>0</v>
      </c>
      <c r="FJ87" s="1">
        <f>VC_NEW2!FE41</f>
        <v>0</v>
      </c>
      <c r="FK87" s="1">
        <f>VC_NEW2!FF41</f>
        <v>0</v>
      </c>
      <c r="FL87" s="1">
        <f>VC_NEW2!FG41</f>
        <v>0</v>
      </c>
      <c r="FM87" s="1">
        <f>VC_NEW2!FH41</f>
        <v>0</v>
      </c>
      <c r="FN87" s="1">
        <f>VC_NEW2!FI41</f>
        <v>0</v>
      </c>
      <c r="FO87" s="1">
        <f>VC_NEW2!FJ41</f>
        <v>0</v>
      </c>
      <c r="FP87" s="1">
        <f>VC_NEW2!FK41</f>
        <v>0</v>
      </c>
      <c r="FQ87" s="1">
        <f>VC_NEW2!FL41</f>
        <v>0</v>
      </c>
      <c r="FR87" s="1">
        <f>VC_NEW2!FM41</f>
        <v>0</v>
      </c>
      <c r="FS87" s="1">
        <f>VC_NEW2!FN41</f>
        <v>0</v>
      </c>
      <c r="FT87" s="1">
        <f>VC_NEW2!FO41</f>
        <v>0</v>
      </c>
      <c r="FU87" s="1">
        <f>VC_NEW2!FP41</f>
        <v>0</v>
      </c>
      <c r="FV87" s="1">
        <f>VC_NEW2!FQ41</f>
        <v>0</v>
      </c>
      <c r="FW87" s="1">
        <f>VC_NEW2!FR41</f>
        <v>0</v>
      </c>
      <c r="FX87" s="1">
        <f>VC_NEW2!FS41</f>
        <v>0</v>
      </c>
      <c r="FY87" s="1">
        <f>VC_NEW2!FT41</f>
        <v>0</v>
      </c>
      <c r="FZ87" s="1">
        <f>VC_NEW2!FU41</f>
        <v>0</v>
      </c>
      <c r="GA87" s="1">
        <f>VC_NEW2!FV41</f>
        <v>0</v>
      </c>
      <c r="GB87" s="1">
        <f>VC_NEW2!FW41</f>
        <v>0</v>
      </c>
      <c r="GC87" s="1">
        <f>VC_NEW2!FX41</f>
        <v>0</v>
      </c>
      <c r="GD87" s="1">
        <f>VC_NEW2!FY41</f>
        <v>0</v>
      </c>
      <c r="GE87" s="1" t="str">
        <f>VC_NEW2!FZ41</f>
        <v>R81Q</v>
      </c>
      <c r="GF87" s="1">
        <f>VC_NEW2!GA41</f>
        <v>0</v>
      </c>
      <c r="GG87" s="1">
        <f>VC_NEW2!GB41</f>
        <v>0</v>
      </c>
      <c r="GH87" s="1">
        <f>VC_NEW2!GC41</f>
        <v>0</v>
      </c>
      <c r="GI87" s="1">
        <f>VC_NEW2!GD41</f>
        <v>0</v>
      </c>
      <c r="GJ87" s="1">
        <f>VC_NEW2!GE41</f>
        <v>0</v>
      </c>
      <c r="GK87" s="1">
        <f>VC_NEW2!GF41</f>
        <v>0</v>
      </c>
      <c r="GL87" s="1">
        <f>VC_NEW2!GG41</f>
        <v>0</v>
      </c>
      <c r="GM87" s="1">
        <f>VC_NEW2!GH41</f>
        <v>0</v>
      </c>
      <c r="GN87" s="1">
        <f>VC_NEW2!GI41</f>
        <v>0</v>
      </c>
      <c r="GO87" s="1">
        <f>VC_NEW2!GJ41</f>
        <v>0</v>
      </c>
      <c r="GP87" s="1">
        <f>VC_NEW2!GK41</f>
        <v>0</v>
      </c>
      <c r="GQ87" s="1">
        <f>VC_NEW2!GL41</f>
        <v>0</v>
      </c>
      <c r="GR87" s="1">
        <f>VC_NEW2!GM41</f>
        <v>0</v>
      </c>
      <c r="GS87" s="1">
        <f>VC_NEW2!GN41</f>
        <v>0</v>
      </c>
      <c r="GT87" s="1">
        <f>VC_NEW2!GO41</f>
        <v>0</v>
      </c>
      <c r="GU87" s="1">
        <f>VC_NEW2!GP41</f>
        <v>0</v>
      </c>
      <c r="GV87" s="1">
        <f>VC_NEW2!GQ41</f>
        <v>0</v>
      </c>
      <c r="GW87" s="1">
        <f>VC_NEW2!GR41</f>
        <v>0</v>
      </c>
      <c r="GX87" s="1" t="str">
        <f>VC_NEW2!GS41</f>
        <v xml:space="preserve">D61N </v>
      </c>
      <c r="GY87" s="1">
        <f>VC_NEW2!GT41</f>
        <v>0</v>
      </c>
      <c r="GZ87" s="1">
        <f>VC_NEW2!GU41</f>
        <v>0</v>
      </c>
      <c r="HA87" s="1">
        <f>VC_NEW2!GV41</f>
        <v>0</v>
      </c>
      <c r="HB87" s="1">
        <f>VC_NEW2!GW41</f>
        <v>0</v>
      </c>
      <c r="HC87" s="1">
        <f>VC_NEW2!GX41</f>
        <v>0</v>
      </c>
    </row>
    <row r="88" spans="1:443" s="7" customFormat="1" ht="15" hidden="1" customHeight="1" x14ac:dyDescent="0.25">
      <c r="A88" s="7" t="s">
        <v>118</v>
      </c>
      <c r="B88" s="7" t="s">
        <v>121</v>
      </c>
      <c r="C88" s="8" t="s">
        <v>0</v>
      </c>
      <c r="D88" s="7" t="s">
        <v>76</v>
      </c>
      <c r="E88" s="7" t="s">
        <v>138</v>
      </c>
      <c r="F88" s="7" t="s">
        <v>73</v>
      </c>
      <c r="G88" s="7" t="s">
        <v>156</v>
      </c>
      <c r="H88" s="7">
        <f>VC_NEW2!C42</f>
        <v>0</v>
      </c>
      <c r="I88" s="7">
        <f>VC_NEW2!D42</f>
        <v>0</v>
      </c>
      <c r="J88" s="7">
        <f>VC_NEW2!E42</f>
        <v>0</v>
      </c>
      <c r="K88" s="7">
        <f>VC_NEW2!F42</f>
        <v>0</v>
      </c>
      <c r="L88" s="7">
        <f>VC_NEW2!G42</f>
        <v>0</v>
      </c>
      <c r="M88" s="7">
        <f>VC_NEW2!H42</f>
        <v>0</v>
      </c>
      <c r="N88" s="7">
        <f>VC_NEW2!I42</f>
        <v>0</v>
      </c>
      <c r="O88" s="7">
        <f>VC_NEW2!J42</f>
        <v>0</v>
      </c>
      <c r="P88" s="7">
        <f>VC_NEW2!K42</f>
        <v>0</v>
      </c>
      <c r="Q88" s="7">
        <f>VC_NEW2!L42</f>
        <v>0</v>
      </c>
      <c r="R88" s="7" t="str">
        <f>VC_NEW2!M42</f>
        <v xml:space="preserve">T343A </v>
      </c>
      <c r="S88" s="7">
        <f>VC_NEW2!N42</f>
        <v>0</v>
      </c>
      <c r="T88" s="7">
        <f>VC_NEW2!O42</f>
        <v>0</v>
      </c>
      <c r="U88" s="7">
        <f>VC_NEW2!P42</f>
        <v>0</v>
      </c>
      <c r="V88" s="7">
        <f>VC_NEW2!Q42</f>
        <v>0</v>
      </c>
      <c r="W88" s="7">
        <f>VC_NEW2!R42</f>
        <v>0</v>
      </c>
      <c r="X88" s="7">
        <f>VC_NEW2!S42</f>
        <v>0</v>
      </c>
      <c r="Y88" s="7">
        <f>VC_NEW2!T42</f>
        <v>0</v>
      </c>
      <c r="Z88" s="7">
        <f>VC_NEW2!U42</f>
        <v>0</v>
      </c>
      <c r="AA88" s="7">
        <f>VC_NEW2!V42</f>
        <v>0</v>
      </c>
      <c r="AB88" s="7">
        <f>VC_NEW2!W42</f>
        <v>0</v>
      </c>
      <c r="AC88" s="7" t="str">
        <f>VC_NEW2!X42</f>
        <v xml:space="preserve"> V431I</v>
      </c>
      <c r="AD88" s="7">
        <f>VC_NEW2!Y42</f>
        <v>0</v>
      </c>
      <c r="AE88" s="7">
        <f>VC_NEW2!Z42</f>
        <v>0</v>
      </c>
      <c r="AF88" s="7">
        <f>VC_NEW2!AA42</f>
        <v>0</v>
      </c>
      <c r="AG88" s="7">
        <f>VC_NEW2!AB42</f>
        <v>0</v>
      </c>
      <c r="AH88" s="7">
        <f>VC_NEW2!AC42</f>
        <v>0</v>
      </c>
      <c r="AI88" s="7">
        <f>VC_NEW2!AD42</f>
        <v>0</v>
      </c>
      <c r="AJ88" s="7">
        <f>VC_NEW2!AE42</f>
        <v>0</v>
      </c>
      <c r="AK88" s="7">
        <f>VC_NEW2!AF42</f>
        <v>0</v>
      </c>
      <c r="AL88" s="7">
        <f>VC_NEW2!AG42</f>
        <v>0</v>
      </c>
      <c r="AM88" s="7">
        <f>VC_NEW2!AH42</f>
        <v>0</v>
      </c>
      <c r="AN88" s="7">
        <f>VC_NEW2!AI42</f>
        <v>0</v>
      </c>
      <c r="AO88" s="7">
        <f>VC_NEW2!AJ42</f>
        <v>0</v>
      </c>
      <c r="AP88" s="7">
        <f>VC_NEW2!AK42</f>
        <v>0</v>
      </c>
      <c r="AQ88" s="7">
        <f>VC_NEW2!AL42</f>
        <v>0</v>
      </c>
      <c r="AR88" s="7">
        <f>VC_NEW2!AM42</f>
        <v>0</v>
      </c>
      <c r="AS88" s="7">
        <f>VC_NEW2!AN42</f>
        <v>0</v>
      </c>
      <c r="AT88" s="7">
        <f>VC_NEW2!AO42</f>
        <v>0</v>
      </c>
      <c r="AU88" s="7">
        <f>VC_NEW2!AP42</f>
        <v>0</v>
      </c>
      <c r="AV88" s="7">
        <f>VC_NEW2!AQ42</f>
        <v>0</v>
      </c>
      <c r="AW88" s="7">
        <f>VC_NEW2!AR42</f>
        <v>0</v>
      </c>
      <c r="AX88" s="7">
        <f>VC_NEW2!AS42</f>
        <v>0</v>
      </c>
      <c r="AY88" s="7">
        <f>VC_NEW2!AT42</f>
        <v>0</v>
      </c>
      <c r="AZ88" s="7">
        <f>VC_NEW2!AU42</f>
        <v>0</v>
      </c>
      <c r="BA88" s="7">
        <f>VC_NEW2!AV42</f>
        <v>0</v>
      </c>
      <c r="BB88" s="7">
        <f>VC_NEW2!AW42</f>
        <v>0</v>
      </c>
      <c r="BC88" s="7">
        <f>VC_NEW2!AX42</f>
        <v>0</v>
      </c>
      <c r="BD88" s="7">
        <f>VC_NEW2!AY42</f>
        <v>0</v>
      </c>
      <c r="BE88" s="7">
        <f>VC_NEW2!AZ42</f>
        <v>0</v>
      </c>
      <c r="BF88" s="7" t="str">
        <f>VC_NEW2!BA42</f>
        <v>T406A</v>
      </c>
      <c r="BG88" s="7">
        <f>VC_NEW2!BB42</f>
        <v>0</v>
      </c>
      <c r="BH88" s="7">
        <f>VC_NEW2!BC42</f>
        <v>0</v>
      </c>
      <c r="BI88" s="7">
        <f>VC_NEW2!BD42</f>
        <v>0</v>
      </c>
      <c r="BJ88" s="7">
        <f>VC_NEW2!BE42</f>
        <v>0</v>
      </c>
      <c r="BK88" s="7">
        <f>VC_NEW2!BF42</f>
        <v>0</v>
      </c>
      <c r="BL88" s="7">
        <f>VC_NEW2!BG42</f>
        <v>0</v>
      </c>
      <c r="BM88" s="7">
        <f>VC_NEW2!BH42</f>
        <v>0</v>
      </c>
      <c r="BN88" s="7">
        <f>VC_NEW2!BI42</f>
        <v>0</v>
      </c>
      <c r="BO88" s="7">
        <f>VC_NEW2!BJ42</f>
        <v>0</v>
      </c>
      <c r="BP88" s="7">
        <f>VC_NEW2!BK42</f>
        <v>0</v>
      </c>
      <c r="BQ88" s="7">
        <f>VC_NEW2!BL42</f>
        <v>0</v>
      </c>
      <c r="BR88" s="7">
        <f>VC_NEW2!BM42</f>
        <v>0</v>
      </c>
      <c r="BS88" s="7">
        <f>VC_NEW2!BN42</f>
        <v>0</v>
      </c>
      <c r="BT88" s="7">
        <f>VC_NEW2!BO42</f>
        <v>0</v>
      </c>
      <c r="BU88" s="7">
        <f>VC_NEW2!BP42</f>
        <v>0</v>
      </c>
      <c r="BV88" s="7">
        <f>VC_NEW2!BQ42</f>
        <v>0</v>
      </c>
      <c r="BW88" s="7">
        <f>VC_NEW2!BR42</f>
        <v>0</v>
      </c>
      <c r="BX88" s="7">
        <f>VC_NEW2!BS42</f>
        <v>0</v>
      </c>
      <c r="BY88" s="7">
        <f>VC_NEW2!BT42</f>
        <v>0</v>
      </c>
      <c r="BZ88" s="7">
        <f>VC_NEW2!BU42</f>
        <v>0</v>
      </c>
      <c r="CA88" s="7">
        <f>VC_NEW2!BV42</f>
        <v>0</v>
      </c>
      <c r="CB88" s="7">
        <f>VC_NEW2!BW42</f>
        <v>0</v>
      </c>
      <c r="CC88" s="7">
        <f>VC_NEW2!BX42</f>
        <v>0</v>
      </c>
      <c r="CD88" s="7">
        <f>VC_NEW2!BY42</f>
        <v>0</v>
      </c>
      <c r="CE88" s="7">
        <f>VC_NEW2!BZ42</f>
        <v>0</v>
      </c>
      <c r="CF88" s="7">
        <f>VC_NEW2!CA42</f>
        <v>0</v>
      </c>
      <c r="CG88" s="7">
        <f>VC_NEW2!CB42</f>
        <v>0</v>
      </c>
      <c r="CH88" s="7">
        <f>VC_NEW2!CC42</f>
        <v>0</v>
      </c>
      <c r="CI88" s="7">
        <f>VC_NEW2!CD42</f>
        <v>0</v>
      </c>
      <c r="CJ88" s="7">
        <f>VC_NEW2!CE42</f>
        <v>0</v>
      </c>
      <c r="CK88" s="7">
        <f>VC_NEW2!CF42</f>
        <v>0</v>
      </c>
      <c r="CL88" s="7">
        <f>VC_NEW2!CG42</f>
        <v>0</v>
      </c>
      <c r="CM88" s="7">
        <f>VC_NEW2!CH42</f>
        <v>0</v>
      </c>
      <c r="CN88" s="7">
        <f>VC_NEW2!CI42</f>
        <v>0</v>
      </c>
      <c r="CO88" s="7">
        <f>VC_NEW2!CJ42</f>
        <v>0</v>
      </c>
      <c r="CP88" s="7">
        <f>VC_NEW2!CK42</f>
        <v>0</v>
      </c>
      <c r="CQ88" s="7">
        <f>VC_NEW2!CL42</f>
        <v>0</v>
      </c>
      <c r="CR88" s="7">
        <f>VC_NEW2!CM42</f>
        <v>0</v>
      </c>
      <c r="CS88" s="7">
        <f>VC_NEW2!CN42</f>
        <v>0</v>
      </c>
      <c r="CT88" s="7">
        <f>VC_NEW2!CO42</f>
        <v>0</v>
      </c>
      <c r="CU88" s="7">
        <f>VC_NEW2!CP42</f>
        <v>0</v>
      </c>
      <c r="CV88" s="7">
        <f>VC_NEW2!CQ42</f>
        <v>0</v>
      </c>
      <c r="CW88" s="7">
        <f>VC_NEW2!CR42</f>
        <v>0</v>
      </c>
      <c r="CX88" s="7">
        <f>VC_NEW2!CS42</f>
        <v>0</v>
      </c>
      <c r="CY88" s="7">
        <f>VC_NEW2!CT42</f>
        <v>0</v>
      </c>
      <c r="CZ88" s="7">
        <f>VC_NEW2!CU42</f>
        <v>0</v>
      </c>
      <c r="DA88" s="7">
        <f>VC_NEW2!CV42</f>
        <v>0</v>
      </c>
      <c r="DB88" s="7">
        <f>VC_NEW2!CW42</f>
        <v>0</v>
      </c>
      <c r="DC88" s="7">
        <f>VC_NEW2!CX42</f>
        <v>0</v>
      </c>
      <c r="DD88" s="7" t="str">
        <f>VC_NEW2!CY42</f>
        <v xml:space="preserve">S94N </v>
      </c>
      <c r="DE88" s="7">
        <f>VC_NEW2!CZ42</f>
        <v>0</v>
      </c>
      <c r="DF88" s="7">
        <f>VC_NEW2!DA42</f>
        <v>0</v>
      </c>
      <c r="DG88" s="7">
        <f>VC_NEW2!DB42</f>
        <v>0</v>
      </c>
      <c r="DH88" s="7">
        <f>VC_NEW2!DC42</f>
        <v>0</v>
      </c>
      <c r="DI88" s="7">
        <f>VC_NEW2!DD42</f>
        <v>0</v>
      </c>
      <c r="DJ88" s="7">
        <f>VC_NEW2!DE42</f>
        <v>0</v>
      </c>
      <c r="DK88" s="7">
        <f>VC_NEW2!DF42</f>
        <v>0</v>
      </c>
      <c r="DL88" s="7">
        <f>VC_NEW2!DG42</f>
        <v>0</v>
      </c>
      <c r="DM88" s="7">
        <f>VC_NEW2!DH42</f>
        <v>0</v>
      </c>
      <c r="DN88" s="7">
        <f>VC_NEW2!DI42</f>
        <v>0</v>
      </c>
      <c r="DO88" s="7">
        <f>VC_NEW2!DJ42</f>
        <v>0</v>
      </c>
      <c r="DP88" s="7">
        <f>VC_NEW2!DK42</f>
        <v>0</v>
      </c>
      <c r="DQ88" s="7">
        <f>VC_NEW2!DL42</f>
        <v>0</v>
      </c>
      <c r="DR88" s="7">
        <f>VC_NEW2!DM42</f>
        <v>0</v>
      </c>
      <c r="DS88" s="7">
        <f>VC_NEW2!DN42</f>
        <v>0</v>
      </c>
      <c r="DT88" s="7">
        <f>VC_NEW2!DO42</f>
        <v>0</v>
      </c>
      <c r="DU88" s="7">
        <f>VC_NEW2!DP42</f>
        <v>0</v>
      </c>
      <c r="DV88" s="7">
        <f>VC_NEW2!DQ42</f>
        <v>0</v>
      </c>
      <c r="DW88" s="7">
        <f>VC_NEW2!DR42</f>
        <v>0</v>
      </c>
      <c r="DX88" s="7">
        <f>VC_NEW2!DS42</f>
        <v>0</v>
      </c>
      <c r="DY88" s="7">
        <f>VC_NEW2!DT42</f>
        <v>0</v>
      </c>
      <c r="DZ88" s="7">
        <f>VC_NEW2!DU42</f>
        <v>0</v>
      </c>
      <c r="EA88" s="7">
        <f>VC_NEW2!DV42</f>
        <v>0</v>
      </c>
      <c r="EB88" s="7">
        <f>VC_NEW2!DW42</f>
        <v>0</v>
      </c>
      <c r="EC88" s="7">
        <f>VC_NEW2!DX42</f>
        <v>0</v>
      </c>
      <c r="ED88" s="7">
        <f>VC_NEW2!DY42</f>
        <v>0</v>
      </c>
      <c r="EE88" s="7">
        <f>VC_NEW2!DZ42</f>
        <v>0</v>
      </c>
      <c r="EF88" s="7">
        <f>VC_NEW2!EA42</f>
        <v>0</v>
      </c>
      <c r="EG88" s="7">
        <f>VC_NEW2!EB42</f>
        <v>0</v>
      </c>
      <c r="EH88" s="7">
        <f>VC_NEW2!EC42</f>
        <v>0</v>
      </c>
      <c r="EI88" s="7">
        <f>VC_NEW2!ED42</f>
        <v>0</v>
      </c>
      <c r="EJ88" s="7">
        <f>VC_NEW2!EE42</f>
        <v>0</v>
      </c>
      <c r="EK88" s="7">
        <f>VC_NEW2!EF42</f>
        <v>0</v>
      </c>
      <c r="EL88" s="7">
        <f>VC_NEW2!EG42</f>
        <v>0</v>
      </c>
      <c r="EM88" s="7">
        <f>VC_NEW2!EH42</f>
        <v>0</v>
      </c>
      <c r="EN88" s="7">
        <f>VC_NEW2!EI42</f>
        <v>0</v>
      </c>
      <c r="EO88" s="7">
        <f>VC_NEW2!EJ42</f>
        <v>0</v>
      </c>
      <c r="EP88" s="7">
        <f>VC_NEW2!EK42</f>
        <v>0</v>
      </c>
      <c r="EQ88" s="7">
        <f>VC_NEW2!EL42</f>
        <v>0</v>
      </c>
      <c r="ER88" s="7">
        <f>VC_NEW2!EM42</f>
        <v>0</v>
      </c>
      <c r="ES88" s="7" t="str">
        <f>VC_NEW2!EN42</f>
        <v xml:space="preserve"> A467V</v>
      </c>
      <c r="ET88" s="7">
        <f>VC_NEW2!EO42</f>
        <v>0</v>
      </c>
      <c r="EU88" s="7">
        <f>VC_NEW2!EP42</f>
        <v>0</v>
      </c>
      <c r="EV88" s="7">
        <f>VC_NEW2!EQ42</f>
        <v>0</v>
      </c>
      <c r="EW88" s="7" t="str">
        <f>VC_NEW2!ER42</f>
        <v>A197S, E213D, L217V, L398Q, G469S</v>
      </c>
      <c r="EX88" s="7" t="str">
        <f>VC_NEW2!ES42</f>
        <v xml:space="preserve">    G439D</v>
      </c>
      <c r="EY88" s="7">
        <f>VC_NEW2!ET42</f>
        <v>0</v>
      </c>
      <c r="EZ88" s="7">
        <f>VC_NEW2!EU42</f>
        <v>0</v>
      </c>
      <c r="FA88" s="7">
        <f>VC_NEW2!EV42</f>
        <v>0</v>
      </c>
      <c r="FB88" s="7">
        <f>VC_NEW2!EW42</f>
        <v>0</v>
      </c>
      <c r="FC88" s="7">
        <f>VC_NEW2!EX42</f>
        <v>0</v>
      </c>
      <c r="FD88" s="7">
        <f>VC_NEW2!EY42</f>
        <v>0</v>
      </c>
      <c r="FE88" s="7">
        <f>VC_NEW2!EZ42</f>
        <v>0</v>
      </c>
      <c r="FF88" s="7">
        <f>VC_NEW2!FA42</f>
        <v>0</v>
      </c>
      <c r="FG88" s="7" t="str">
        <f>VC_NEW2!FB42</f>
        <v xml:space="preserve">A67T </v>
      </c>
      <c r="FH88" s="7">
        <f>VC_NEW2!FC42</f>
        <v>0</v>
      </c>
      <c r="FI88" s="7">
        <f>VC_NEW2!FD42</f>
        <v>0</v>
      </c>
      <c r="FJ88" s="7">
        <f>VC_NEW2!FE42</f>
        <v>0</v>
      </c>
      <c r="FK88" s="7">
        <f>VC_NEW2!FF42</f>
        <v>0</v>
      </c>
      <c r="FL88" s="7">
        <f>VC_NEW2!FG42</f>
        <v>0</v>
      </c>
      <c r="FM88" s="7">
        <f>VC_NEW2!FH42</f>
        <v>0</v>
      </c>
      <c r="FN88" s="7">
        <f>VC_NEW2!FI42</f>
        <v>0</v>
      </c>
      <c r="FO88" s="7">
        <f>VC_NEW2!FJ42</f>
        <v>0</v>
      </c>
      <c r="FP88" s="7">
        <f>VC_NEW2!FK42</f>
        <v>0</v>
      </c>
      <c r="FQ88" s="7">
        <f>VC_NEW2!FL42</f>
        <v>0</v>
      </c>
      <c r="FR88" s="7">
        <f>VC_NEW2!FM42</f>
        <v>0</v>
      </c>
      <c r="FS88" s="7">
        <f>VC_NEW2!FN42</f>
        <v>0</v>
      </c>
      <c r="FT88" s="7">
        <f>VC_NEW2!FO42</f>
        <v>0</v>
      </c>
      <c r="FU88" s="7">
        <f>VC_NEW2!FP42</f>
        <v>0</v>
      </c>
      <c r="FV88" s="7" t="str">
        <f>VC_NEW2!FQ42</f>
        <v xml:space="preserve"> V431I</v>
      </c>
      <c r="FW88" s="7" t="str">
        <f>VC_NEW2!FR42</f>
        <v xml:space="preserve">A67T </v>
      </c>
      <c r="FX88" s="7">
        <f>VC_NEW2!FS42</f>
        <v>0</v>
      </c>
      <c r="FY88" s="7">
        <f>VC_NEW2!FT42</f>
        <v>0</v>
      </c>
      <c r="FZ88" s="7">
        <f>VC_NEW2!FU42</f>
        <v>0</v>
      </c>
      <c r="GA88" s="7">
        <f>VC_NEW2!FV42</f>
        <v>0</v>
      </c>
      <c r="GB88" s="7">
        <f>VC_NEW2!FW42</f>
        <v>0</v>
      </c>
      <c r="GC88" s="7">
        <f>VC_NEW2!FX42</f>
        <v>0</v>
      </c>
      <c r="GD88" s="7">
        <f>VC_NEW2!FY42</f>
        <v>0</v>
      </c>
      <c r="GE88" s="7">
        <f>VC_NEW2!FZ42</f>
        <v>0</v>
      </c>
      <c r="GF88" s="7">
        <f>VC_NEW2!GA42</f>
        <v>0</v>
      </c>
      <c r="GG88" s="7">
        <f>VC_NEW2!GB42</f>
        <v>0</v>
      </c>
      <c r="GH88" s="7">
        <f>VC_NEW2!GC42</f>
        <v>0</v>
      </c>
      <c r="GI88" s="7">
        <f>VC_NEW2!GD42</f>
        <v>0</v>
      </c>
      <c r="GJ88" s="7">
        <f>VC_NEW2!GE42</f>
        <v>0</v>
      </c>
      <c r="GK88" s="7">
        <f>VC_NEW2!GF42</f>
        <v>0</v>
      </c>
      <c r="GL88" s="7">
        <f>VC_NEW2!GG42</f>
        <v>0</v>
      </c>
      <c r="GM88" s="7">
        <f>VC_NEW2!GH42</f>
        <v>0</v>
      </c>
      <c r="GN88" s="7">
        <f>VC_NEW2!GI42</f>
        <v>0</v>
      </c>
      <c r="GO88" s="7">
        <f>VC_NEW2!GJ42</f>
        <v>0</v>
      </c>
      <c r="GP88" s="7">
        <f>VC_NEW2!GK42</f>
        <v>0</v>
      </c>
      <c r="GQ88" s="7">
        <f>VC_NEW2!GL42</f>
        <v>0</v>
      </c>
      <c r="GR88" s="7">
        <f>VC_NEW2!GM42</f>
        <v>0</v>
      </c>
      <c r="GS88" s="7">
        <f>VC_NEW2!GN42</f>
        <v>0</v>
      </c>
      <c r="GT88" s="7">
        <f>VC_NEW2!GO42</f>
        <v>0</v>
      </c>
      <c r="GU88" s="7">
        <f>VC_NEW2!GP42</f>
        <v>0</v>
      </c>
      <c r="GV88" s="7">
        <f>VC_NEW2!GQ42</f>
        <v>0</v>
      </c>
      <c r="GW88" s="7">
        <f>VC_NEW2!GR42</f>
        <v>0</v>
      </c>
      <c r="GX88" s="7" t="str">
        <f>VC_NEW2!GS42</f>
        <v xml:space="preserve">A173T </v>
      </c>
      <c r="GY88" s="7">
        <f>VC_NEW2!GT42</f>
        <v>0</v>
      </c>
      <c r="GZ88" s="7">
        <f>VC_NEW2!GU42</f>
        <v>0</v>
      </c>
      <c r="HA88" s="7">
        <f>VC_NEW2!GV42</f>
        <v>0</v>
      </c>
      <c r="HB88" s="7">
        <f>VC_NEW2!GW42</f>
        <v>0</v>
      </c>
      <c r="HC88" s="7">
        <f>VC_NEW2!GX42</f>
        <v>0</v>
      </c>
    </row>
    <row r="89" spans="1:443" s="2" customFormat="1" ht="15" hidden="1" customHeight="1" x14ac:dyDescent="0.25">
      <c r="A89" s="2" t="s">
        <v>68</v>
      </c>
      <c r="B89" s="2" t="s">
        <v>69</v>
      </c>
      <c r="C89" s="4" t="s">
        <v>4</v>
      </c>
      <c r="D89" s="2" t="s">
        <v>76</v>
      </c>
      <c r="E89" s="2">
        <v>0.5</v>
      </c>
      <c r="F89" s="2" t="s">
        <v>73</v>
      </c>
      <c r="G89" s="2" t="s">
        <v>158</v>
      </c>
      <c r="H89" s="1">
        <f>VC_NEW2!C43</f>
        <v>0</v>
      </c>
      <c r="I89" s="1">
        <f>VC_NEW2!D43</f>
        <v>0</v>
      </c>
      <c r="J89" s="1" t="str">
        <f>VC_NEW2!E43</f>
        <v>R441L</v>
      </c>
      <c r="K89" s="1" t="str">
        <f>VC_NEW2!F43</f>
        <v xml:space="preserve">S87W </v>
      </c>
      <c r="L89" s="1">
        <f>VC_NEW2!G43</f>
        <v>0</v>
      </c>
      <c r="M89" s="1">
        <f>VC_NEW2!H43</f>
        <v>0</v>
      </c>
      <c r="N89" s="1" t="str">
        <f>VC_NEW2!I43</f>
        <v xml:space="preserve">S87L </v>
      </c>
      <c r="O89" s="1">
        <f>VC_NEW2!J43</f>
        <v>0</v>
      </c>
      <c r="P89" s="1">
        <f>VC_NEW2!K43</f>
        <v>0</v>
      </c>
      <c r="Q89" s="1">
        <f>VC_NEW2!L43</f>
        <v>0</v>
      </c>
      <c r="R89" s="1">
        <f>VC_NEW2!M43</f>
        <v>0</v>
      </c>
      <c r="S89" s="1">
        <f>VC_NEW2!N43</f>
        <v>0</v>
      </c>
      <c r="T89" s="1">
        <f>VC_NEW2!O43</f>
        <v>0</v>
      </c>
      <c r="U89" s="1">
        <f>VC_NEW2!P43</f>
        <v>0</v>
      </c>
      <c r="V89" s="1">
        <f>VC_NEW2!Q43</f>
        <v>0</v>
      </c>
      <c r="W89" s="1">
        <f>VC_NEW2!R43</f>
        <v>0</v>
      </c>
      <c r="X89" s="1">
        <f>VC_NEW2!S43</f>
        <v>0</v>
      </c>
      <c r="Y89" s="1">
        <f>VC_NEW2!T43</f>
        <v>0</v>
      </c>
      <c r="Z89" s="1">
        <f>VC_NEW2!U43</f>
        <v>0</v>
      </c>
      <c r="AA89" s="1">
        <f>VC_NEW2!V43</f>
        <v>0</v>
      </c>
      <c r="AB89" s="1">
        <f>VC_NEW2!W43</f>
        <v>0</v>
      </c>
      <c r="AC89" s="1">
        <f>VC_NEW2!X43</f>
        <v>0</v>
      </c>
      <c r="AD89" s="1">
        <f>VC_NEW2!Y43</f>
        <v>0</v>
      </c>
      <c r="AE89" s="1">
        <f>VC_NEW2!Z43</f>
        <v>0</v>
      </c>
      <c r="AF89" s="1">
        <f>VC_NEW2!AA43</f>
        <v>0</v>
      </c>
      <c r="AG89" s="1">
        <f>VC_NEW2!AB43</f>
        <v>0</v>
      </c>
      <c r="AH89" s="1">
        <f>VC_NEW2!AC43</f>
        <v>0</v>
      </c>
      <c r="AI89" s="1">
        <f>VC_NEW2!AD43</f>
        <v>0</v>
      </c>
      <c r="AJ89" s="1" t="str">
        <f>VC_NEW2!AE43</f>
        <v>A688V</v>
      </c>
      <c r="AK89" s="1">
        <f>VC_NEW2!AF43</f>
        <v>0</v>
      </c>
      <c r="AL89" s="1">
        <f>VC_NEW2!AG43</f>
        <v>0</v>
      </c>
      <c r="AM89" s="1" t="str">
        <f>VC_NEW2!AH43</f>
        <v>V238I</v>
      </c>
      <c r="AN89" s="1">
        <f>VC_NEW2!AI43</f>
        <v>0</v>
      </c>
      <c r="AO89" s="1">
        <f>VC_NEW2!AJ43</f>
        <v>0</v>
      </c>
      <c r="AP89" s="1">
        <f>VC_NEW2!AK43</f>
        <v>0</v>
      </c>
      <c r="AQ89" s="1">
        <f>VC_NEW2!AL43</f>
        <v>0</v>
      </c>
      <c r="AR89" s="1">
        <f>VC_NEW2!AM43</f>
        <v>0</v>
      </c>
      <c r="AS89" s="1">
        <f>VC_NEW2!AN43</f>
        <v>0</v>
      </c>
      <c r="AT89" s="1">
        <f>VC_NEW2!AO43</f>
        <v>0</v>
      </c>
      <c r="AU89" s="1">
        <f>VC_NEW2!AP43</f>
        <v>0</v>
      </c>
      <c r="AV89" s="1">
        <f>VC_NEW2!AQ43</f>
        <v>0</v>
      </c>
      <c r="AW89" s="1">
        <f>VC_NEW2!AR43</f>
        <v>0</v>
      </c>
      <c r="AX89" s="1" t="str">
        <f>VC_NEW2!AS43</f>
        <v>P683S</v>
      </c>
      <c r="AY89" s="1">
        <f>VC_NEW2!AT43</f>
        <v>0</v>
      </c>
      <c r="AZ89" s="1">
        <f>VC_NEW2!AU43</f>
        <v>0</v>
      </c>
      <c r="BA89" s="1" t="str">
        <f>VC_NEW2!AV43</f>
        <v>S87W, L168Q</v>
      </c>
      <c r="BB89" s="1">
        <f>VC_NEW2!AW43</f>
        <v>0</v>
      </c>
      <c r="BC89" s="1" t="str">
        <f>VC_NEW2!AX43</f>
        <v>S87W, L168Q</v>
      </c>
      <c r="BD89" s="1">
        <f>VC_NEW2!AY43</f>
        <v>0</v>
      </c>
      <c r="BE89" s="1">
        <f>VC_NEW2!AZ43</f>
        <v>0</v>
      </c>
      <c r="BF89" s="1">
        <f>VC_NEW2!BA43</f>
        <v>0</v>
      </c>
      <c r="BG89" s="1">
        <f>VC_NEW2!BB43</f>
        <v>0</v>
      </c>
      <c r="BH89" s="1">
        <f>VC_NEW2!BC43</f>
        <v>0</v>
      </c>
      <c r="BI89" s="1" t="str">
        <f>VC_NEW2!BD43</f>
        <v>S87W, L168Q</v>
      </c>
      <c r="BJ89" s="1">
        <f>VC_NEW2!BE43</f>
        <v>0</v>
      </c>
      <c r="BK89" s="1">
        <f>VC_NEW2!BF43</f>
        <v>0</v>
      </c>
      <c r="BL89" s="1">
        <f>VC_NEW2!BG43</f>
        <v>0</v>
      </c>
      <c r="BM89" s="1">
        <f>VC_NEW2!BH43</f>
        <v>0</v>
      </c>
      <c r="BN89" s="1" t="str">
        <f>VC_NEW2!BI43</f>
        <v>D422A</v>
      </c>
      <c r="BO89" s="1">
        <f>VC_NEW2!BJ43</f>
        <v>0</v>
      </c>
      <c r="BP89" s="1">
        <f>VC_NEW2!BK43</f>
        <v>0</v>
      </c>
      <c r="BQ89" s="1">
        <f>VC_NEW2!BL43</f>
        <v>0</v>
      </c>
      <c r="BR89" s="1" t="str">
        <f>VC_NEW2!BM43</f>
        <v>S87L</v>
      </c>
      <c r="BS89" s="1" t="str">
        <f>VC_NEW2!BN43</f>
        <v>S87W, L168Q</v>
      </c>
      <c r="BT89" s="1">
        <f>VC_NEW2!BO43</f>
        <v>0</v>
      </c>
      <c r="BU89" s="1">
        <f>VC_NEW2!BP43</f>
        <v>0</v>
      </c>
      <c r="BV89" s="1">
        <f>VC_NEW2!BQ43</f>
        <v>0</v>
      </c>
      <c r="BW89" s="1" t="str">
        <f>VC_NEW2!BR43</f>
        <v>S87W</v>
      </c>
      <c r="BX89" s="1">
        <f>VC_NEW2!BS43</f>
        <v>0</v>
      </c>
      <c r="BY89" s="1">
        <f>VC_NEW2!BT43</f>
        <v>0</v>
      </c>
      <c r="BZ89" s="1">
        <f>VC_NEW2!BU43</f>
        <v>0</v>
      </c>
      <c r="CA89" s="1">
        <f>VC_NEW2!BV43</f>
        <v>0</v>
      </c>
      <c r="CB89" s="1">
        <f>VC_NEW2!BW43</f>
        <v>0</v>
      </c>
      <c r="CC89" s="1">
        <f>VC_NEW2!BX43</f>
        <v>0</v>
      </c>
      <c r="CD89" s="1" t="str">
        <f>VC_NEW2!BY43</f>
        <v>S87W, L168Q</v>
      </c>
      <c r="CE89" s="1">
        <f>VC_NEW2!BZ43</f>
        <v>0</v>
      </c>
      <c r="CF89" s="1" t="str">
        <f>VC_NEW2!CA43</f>
        <v>S87W</v>
      </c>
      <c r="CG89" s="1">
        <f>VC_NEW2!CB43</f>
        <v>0</v>
      </c>
      <c r="CH89" s="1">
        <f>VC_NEW2!CC43</f>
        <v>0</v>
      </c>
      <c r="CI89" s="1">
        <f>VC_NEW2!CD43</f>
        <v>0</v>
      </c>
      <c r="CJ89" s="1" t="str">
        <f>VC_NEW2!CE43</f>
        <v>S87W, L168Q</v>
      </c>
      <c r="CK89" s="1" t="str">
        <f>VC_NEW2!CF43</f>
        <v>S87W, L168Q</v>
      </c>
      <c r="CL89" s="1">
        <f>VC_NEW2!CG43</f>
        <v>0</v>
      </c>
      <c r="CM89" s="1" t="str">
        <f>VC_NEW2!CH43</f>
        <v>S87W</v>
      </c>
      <c r="CN89" s="1">
        <f>VC_NEW2!CI43</f>
        <v>0</v>
      </c>
      <c r="CO89" s="1">
        <f>VC_NEW2!CJ43</f>
        <v>0</v>
      </c>
      <c r="CP89" s="1" t="str">
        <f>VC_NEW2!CK43</f>
        <v>S87W, L168Q</v>
      </c>
      <c r="CQ89" s="1" t="str">
        <f>VC_NEW2!CL43</f>
        <v>S87W, L168Q</v>
      </c>
      <c r="CR89" s="1">
        <f>VC_NEW2!CM43</f>
        <v>0</v>
      </c>
      <c r="CS89" s="1">
        <f>VC_NEW2!CN43</f>
        <v>0</v>
      </c>
      <c r="CT89" s="1">
        <f>VC_NEW2!CO43</f>
        <v>0</v>
      </c>
      <c r="CU89" s="1">
        <f>VC_NEW2!CP43</f>
        <v>0</v>
      </c>
      <c r="CV89" s="1">
        <f>VC_NEW2!CQ43</f>
        <v>0</v>
      </c>
      <c r="CW89" s="1" t="str">
        <f>VC_NEW2!CR43</f>
        <v>S87L</v>
      </c>
      <c r="CX89" s="1">
        <f>VC_NEW2!CS43</f>
        <v>0</v>
      </c>
      <c r="CY89" s="1">
        <f>VC_NEW2!CT43</f>
        <v>0</v>
      </c>
      <c r="CZ89" s="1" t="str">
        <f>VC_NEW2!CU43</f>
        <v>S87L</v>
      </c>
      <c r="DA89" s="1">
        <f>VC_NEW2!CV43</f>
        <v>0</v>
      </c>
      <c r="DB89" s="1">
        <f>VC_NEW2!CW43</f>
        <v>0</v>
      </c>
      <c r="DC89" s="1">
        <f>VC_NEW2!CX43</f>
        <v>0</v>
      </c>
      <c r="DD89" s="1">
        <f>VC_NEW2!CY43</f>
        <v>0</v>
      </c>
      <c r="DE89" s="1">
        <f>VC_NEW2!CZ43</f>
        <v>0</v>
      </c>
      <c r="DF89" s="1">
        <f>VC_NEW2!DA43</f>
        <v>0</v>
      </c>
      <c r="DG89" s="1">
        <f>VC_NEW2!DB43</f>
        <v>0</v>
      </c>
      <c r="DH89" s="1">
        <f>VC_NEW2!DC43</f>
        <v>0</v>
      </c>
      <c r="DI89" s="1">
        <f>VC_NEW2!DD43</f>
        <v>0</v>
      </c>
      <c r="DJ89" s="1" t="str">
        <f>VC_NEW2!DE43</f>
        <v>S87L</v>
      </c>
      <c r="DK89" s="1" t="str">
        <f>VC_NEW2!DF43</f>
        <v>E91K, L458F</v>
      </c>
      <c r="DL89" s="1" t="str">
        <f>VC_NEW2!DG43</f>
        <v>S87L</v>
      </c>
      <c r="DM89" s="1">
        <f>VC_NEW2!DH43</f>
        <v>0</v>
      </c>
      <c r="DN89" s="1">
        <f>VC_NEW2!DI43</f>
        <v>0</v>
      </c>
      <c r="DO89" s="1">
        <f>VC_NEW2!DJ43</f>
        <v>0</v>
      </c>
      <c r="DP89" s="1">
        <f>VC_NEW2!DK43</f>
        <v>0</v>
      </c>
      <c r="DQ89" s="1">
        <f>VC_NEW2!DL43</f>
        <v>0</v>
      </c>
      <c r="DR89" s="1">
        <f>VC_NEW2!DM43</f>
        <v>0</v>
      </c>
      <c r="DS89" s="1">
        <f>VC_NEW2!DN43</f>
        <v>0</v>
      </c>
      <c r="DT89" s="1">
        <f>VC_NEW2!DO43</f>
        <v>0</v>
      </c>
      <c r="DU89" s="1" t="str">
        <f>VC_NEW2!DP43</f>
        <v>S87W, L168Q</v>
      </c>
      <c r="DV89" s="1">
        <f>VC_NEW2!DQ43</f>
        <v>0</v>
      </c>
      <c r="DW89" s="1" t="str">
        <f>VC_NEW2!DR43</f>
        <v>S87W, L168Q</v>
      </c>
      <c r="DX89" s="1">
        <f>VC_NEW2!DS43</f>
        <v>0</v>
      </c>
      <c r="DY89" s="1">
        <f>VC_NEW2!DT43</f>
        <v>0</v>
      </c>
      <c r="DZ89" s="1">
        <f>VC_NEW2!DU43</f>
        <v>0</v>
      </c>
      <c r="EA89" s="1" t="str">
        <f>VC_NEW2!DV43</f>
        <v>S87W, L168Q</v>
      </c>
      <c r="EB89" s="1" t="str">
        <f>VC_NEW2!DW43</f>
        <v>V238I</v>
      </c>
      <c r="EC89" s="1">
        <f>VC_NEW2!DX43</f>
        <v>0</v>
      </c>
      <c r="ED89" s="1">
        <f>VC_NEW2!DY43</f>
        <v>0</v>
      </c>
      <c r="EE89" s="1" t="str">
        <f>VC_NEW2!DZ43</f>
        <v>S87W, L168Q</v>
      </c>
      <c r="EF89" s="1">
        <f>VC_NEW2!EA43</f>
        <v>0</v>
      </c>
      <c r="EG89" s="1">
        <f>VC_NEW2!EB43</f>
        <v>0</v>
      </c>
      <c r="EH89" s="1" t="str">
        <f>VC_NEW2!EC43</f>
        <v>S87L</v>
      </c>
      <c r="EI89" s="1">
        <f>VC_NEW2!ED43</f>
        <v>0</v>
      </c>
      <c r="EJ89" s="1" t="str">
        <f>VC_NEW2!EE43</f>
        <v xml:space="preserve">E91K </v>
      </c>
      <c r="EK89" s="1" t="str">
        <f>VC_NEW2!EF43</f>
        <v>S87L</v>
      </c>
      <c r="EL89" s="1">
        <f>VC_NEW2!EG43</f>
        <v>0</v>
      </c>
      <c r="EM89" s="1">
        <f>VC_NEW2!EH43</f>
        <v>0</v>
      </c>
      <c r="EN89" s="1">
        <f>VC_NEW2!EI43</f>
        <v>0</v>
      </c>
      <c r="EO89" s="1">
        <f>VC_NEW2!EJ43</f>
        <v>0</v>
      </c>
      <c r="EP89" s="1">
        <f>VC_NEW2!EK43</f>
        <v>0</v>
      </c>
      <c r="EQ89" s="1">
        <f>VC_NEW2!EL43</f>
        <v>0</v>
      </c>
      <c r="ER89" s="1">
        <f>VC_NEW2!EM43</f>
        <v>0</v>
      </c>
      <c r="ES89" s="1">
        <f>VC_NEW2!EN43</f>
        <v>0</v>
      </c>
      <c r="ET89" s="1">
        <f>VC_NEW2!EO43</f>
        <v>0</v>
      </c>
      <c r="EU89" s="1">
        <f>VC_NEW2!EP43</f>
        <v>0</v>
      </c>
      <c r="EV89" s="1">
        <f>VC_NEW2!EQ43</f>
        <v>0</v>
      </c>
      <c r="EW89" s="1" t="str">
        <f>VC_NEW2!ER43</f>
        <v>I388V, A528T</v>
      </c>
      <c r="EX89" s="1">
        <f>VC_NEW2!ES43</f>
        <v>0</v>
      </c>
      <c r="EY89" s="1">
        <f>VC_NEW2!ET43</f>
        <v>0</v>
      </c>
      <c r="EZ89" s="1">
        <f>VC_NEW2!EU43</f>
        <v>0</v>
      </c>
      <c r="FA89" s="1" t="str">
        <f>VC_NEW2!EV43</f>
        <v>S87L</v>
      </c>
      <c r="FB89" s="1">
        <f>VC_NEW2!EW43</f>
        <v>0</v>
      </c>
      <c r="FC89" s="1">
        <f>VC_NEW2!EX43</f>
        <v>0</v>
      </c>
      <c r="FD89" s="1">
        <f>VC_NEW2!EY43</f>
        <v>0</v>
      </c>
      <c r="FE89" s="1" t="str">
        <f>VC_NEW2!EZ43</f>
        <v xml:space="preserve">S87L </v>
      </c>
      <c r="FF89" s="1">
        <f>VC_NEW2!FA43</f>
        <v>0</v>
      </c>
      <c r="FG89" s="1">
        <f>VC_NEW2!FB43</f>
        <v>0</v>
      </c>
      <c r="FH89" s="1">
        <f>VC_NEW2!FC43</f>
        <v>0</v>
      </c>
      <c r="FI89" s="1" t="str">
        <f>VC_NEW2!FD43</f>
        <v>S87L</v>
      </c>
      <c r="FJ89" s="1">
        <f>VC_NEW2!FE43</f>
        <v>0</v>
      </c>
      <c r="FK89" s="1">
        <f>VC_NEW2!FF43</f>
        <v>0</v>
      </c>
      <c r="FL89" s="1" t="str">
        <f>VC_NEW2!FG43</f>
        <v xml:space="preserve">S87L </v>
      </c>
      <c r="FM89" s="1">
        <f>VC_NEW2!FH43</f>
        <v>0</v>
      </c>
      <c r="FN89" s="1" t="str">
        <f>VC_NEW2!FI43</f>
        <v>V238I</v>
      </c>
      <c r="FO89" s="1">
        <f>VC_NEW2!FJ43</f>
        <v>0</v>
      </c>
      <c r="FP89" s="1">
        <f>VC_NEW2!FK43</f>
        <v>0</v>
      </c>
      <c r="FQ89" s="1" t="str">
        <f>VC_NEW2!FL43</f>
        <v>S87W, L168Q</v>
      </c>
      <c r="FR89" s="1" t="str">
        <f>VC_NEW2!FM43</f>
        <v>A688V</v>
      </c>
      <c r="FS89" s="1">
        <f>VC_NEW2!FN43</f>
        <v>0</v>
      </c>
      <c r="FT89" s="1">
        <f>VC_NEW2!FO43</f>
        <v>0</v>
      </c>
      <c r="FU89" s="1">
        <f>VC_NEW2!FP43</f>
        <v>0</v>
      </c>
      <c r="FV89" s="1">
        <f>VC_NEW2!FQ43</f>
        <v>0</v>
      </c>
      <c r="FW89" s="1" t="str">
        <f>VC_NEW2!FR43</f>
        <v xml:space="preserve">S87L </v>
      </c>
      <c r="FX89" s="1">
        <f>VC_NEW2!FS43</f>
        <v>0</v>
      </c>
      <c r="FY89" s="1">
        <f>VC_NEW2!FT43</f>
        <v>0</v>
      </c>
      <c r="FZ89" s="1">
        <f>VC_NEW2!FU43</f>
        <v>0</v>
      </c>
      <c r="GA89" s="1" t="str">
        <f>VC_NEW2!FV43</f>
        <v>S87W, L168Q</v>
      </c>
      <c r="GB89" s="1" t="str">
        <f>VC_NEW2!FW43</f>
        <v>S87L</v>
      </c>
      <c r="GC89" s="1">
        <f>VC_NEW2!FX43</f>
        <v>0</v>
      </c>
      <c r="GD89" s="1">
        <f>VC_NEW2!FY43</f>
        <v>0</v>
      </c>
      <c r="GE89" s="1" t="str">
        <f>VC_NEW2!FZ43</f>
        <v>M502L</v>
      </c>
      <c r="GF89" s="1">
        <f>VC_NEW2!GA43</f>
        <v>0</v>
      </c>
      <c r="GG89" s="1" t="str">
        <f>VC_NEW2!GB43</f>
        <v>K726R</v>
      </c>
      <c r="GH89" s="1">
        <f>VC_NEW2!GC43</f>
        <v>0</v>
      </c>
      <c r="GI89" s="1">
        <f>VC_NEW2!GD43</f>
        <v>0</v>
      </c>
      <c r="GJ89" s="1">
        <f>VC_NEW2!GE43</f>
        <v>0</v>
      </c>
      <c r="GK89" s="1">
        <f>VC_NEW2!GF43</f>
        <v>0</v>
      </c>
      <c r="GL89" s="1">
        <f>VC_NEW2!GG43</f>
        <v>0</v>
      </c>
      <c r="GM89" s="1" t="str">
        <f>VC_NEW2!GH43</f>
        <v>S87W, L168Q</v>
      </c>
      <c r="GN89" s="1">
        <f>VC_NEW2!GI43</f>
        <v>0</v>
      </c>
      <c r="GO89" s="1">
        <f>VC_NEW2!GJ43</f>
        <v>0</v>
      </c>
      <c r="GP89" s="1">
        <f>VC_NEW2!GK43</f>
        <v>0</v>
      </c>
      <c r="GQ89" s="1">
        <f>VC_NEW2!GL43</f>
        <v>0</v>
      </c>
      <c r="GR89" s="1">
        <f>VC_NEW2!GM43</f>
        <v>0</v>
      </c>
      <c r="GS89" s="1">
        <f>VC_NEW2!GN43</f>
        <v>0</v>
      </c>
      <c r="GT89" s="1">
        <f>VC_NEW2!GO43</f>
        <v>0</v>
      </c>
      <c r="GU89" s="1">
        <f>VC_NEW2!GP43</f>
        <v>0</v>
      </c>
      <c r="GV89" s="1">
        <f>VC_NEW2!GQ43</f>
        <v>0</v>
      </c>
      <c r="GW89" s="1">
        <f>VC_NEW2!GR43</f>
        <v>0</v>
      </c>
      <c r="GX89" s="1">
        <f>VC_NEW2!GS43</f>
        <v>0</v>
      </c>
      <c r="GY89" s="1" t="str">
        <f>VC_NEW2!GT43</f>
        <v>E91K</v>
      </c>
      <c r="GZ89" s="1">
        <f>VC_NEW2!GU43</f>
        <v>0</v>
      </c>
      <c r="HA89" s="1" t="str">
        <f>VC_NEW2!GV43</f>
        <v>G85C</v>
      </c>
      <c r="HB89" s="1" t="str">
        <f>VC_NEW2!GW43</f>
        <v>S87W, L168Q</v>
      </c>
      <c r="HC89" s="1">
        <f>VC_NEW2!GX43</f>
        <v>0</v>
      </c>
    </row>
    <row r="90" spans="1:443" s="7" customFormat="1" ht="15" hidden="1" customHeight="1" x14ac:dyDescent="0.25">
      <c r="A90" s="7" t="s">
        <v>70</v>
      </c>
      <c r="B90" s="7" t="s">
        <v>71</v>
      </c>
      <c r="C90" s="8" t="s">
        <v>4</v>
      </c>
      <c r="D90" s="7" t="s">
        <v>76</v>
      </c>
      <c r="E90" s="7">
        <v>0.5</v>
      </c>
      <c r="F90" s="7" t="s">
        <v>73</v>
      </c>
      <c r="G90" s="7" t="s">
        <v>159</v>
      </c>
      <c r="H90" s="7">
        <f>VC_NEW2!C44</f>
        <v>0</v>
      </c>
      <c r="I90" s="7">
        <f>VC_NEW2!D44</f>
        <v>0</v>
      </c>
      <c r="J90" s="7">
        <f>VC_NEW2!E44</f>
        <v>0</v>
      </c>
      <c r="K90" s="7">
        <f>VC_NEW2!F44</f>
        <v>0</v>
      </c>
      <c r="L90" s="7" t="str">
        <f>VC_NEW2!G44</f>
        <v>E459V</v>
      </c>
      <c r="M90" s="7">
        <f>VC_NEW2!H44</f>
        <v>0</v>
      </c>
      <c r="N90" s="7" t="str">
        <f>VC_NEW2!I44</f>
        <v xml:space="preserve">P438S </v>
      </c>
      <c r="O90" s="7">
        <f>VC_NEW2!J44</f>
        <v>0</v>
      </c>
      <c r="P90" s="7">
        <f>VC_NEW2!K44</f>
        <v>0</v>
      </c>
      <c r="Q90" s="7">
        <f>VC_NEW2!L44</f>
        <v>0</v>
      </c>
      <c r="R90" s="7">
        <f>VC_NEW2!M44</f>
        <v>0</v>
      </c>
      <c r="S90" s="7">
        <f>VC_NEW2!N44</f>
        <v>0</v>
      </c>
      <c r="T90" s="7">
        <f>VC_NEW2!O44</f>
        <v>0</v>
      </c>
      <c r="U90" s="7">
        <f>VC_NEW2!P44</f>
        <v>0</v>
      </c>
      <c r="V90" s="7">
        <f>VC_NEW2!Q44</f>
        <v>0</v>
      </c>
      <c r="W90" s="7">
        <f>VC_NEW2!R44</f>
        <v>0</v>
      </c>
      <c r="X90" s="7">
        <f>VC_NEW2!S44</f>
        <v>0</v>
      </c>
      <c r="Y90" s="7">
        <f>VC_NEW2!T44</f>
        <v>0</v>
      </c>
      <c r="Z90" s="7">
        <f>VC_NEW2!U44</f>
        <v>0</v>
      </c>
      <c r="AA90" s="7">
        <f>VC_NEW2!V44</f>
        <v>0</v>
      </c>
      <c r="AB90" s="7">
        <f>VC_NEW2!W44</f>
        <v>0</v>
      </c>
      <c r="AC90" s="7">
        <f>VC_NEW2!X44</f>
        <v>0</v>
      </c>
      <c r="AD90" s="7">
        <f>VC_NEW2!Y44</f>
        <v>0</v>
      </c>
      <c r="AE90" s="7">
        <f>VC_NEW2!Z44</f>
        <v>0</v>
      </c>
      <c r="AF90" s="7">
        <f>VC_NEW2!AA44</f>
        <v>0</v>
      </c>
      <c r="AG90" s="7">
        <f>VC_NEW2!AB44</f>
        <v>0</v>
      </c>
      <c r="AH90" s="7">
        <f>VC_NEW2!AC44</f>
        <v>0</v>
      </c>
      <c r="AI90" s="7">
        <f>VC_NEW2!AD44</f>
        <v>0</v>
      </c>
      <c r="AJ90" s="7">
        <f>VC_NEW2!AE44</f>
        <v>0</v>
      </c>
      <c r="AK90" s="7">
        <f>VC_NEW2!AF44</f>
        <v>0</v>
      </c>
      <c r="AL90" s="7">
        <f>VC_NEW2!AG44</f>
        <v>0</v>
      </c>
      <c r="AM90" s="7">
        <f>VC_NEW2!AH44</f>
        <v>0</v>
      </c>
      <c r="AN90" s="7">
        <f>VC_NEW2!AI44</f>
        <v>0</v>
      </c>
      <c r="AO90" s="7">
        <f>VC_NEW2!AJ44</f>
        <v>0</v>
      </c>
      <c r="AP90" s="7">
        <f>VC_NEW2!AK44</f>
        <v>0</v>
      </c>
      <c r="AQ90" s="7">
        <f>VC_NEW2!AL44</f>
        <v>0</v>
      </c>
      <c r="AR90" s="7">
        <f>VC_NEW2!AM44</f>
        <v>0</v>
      </c>
      <c r="AS90" s="7">
        <f>VC_NEW2!AN44</f>
        <v>0</v>
      </c>
      <c r="AT90" s="7">
        <f>VC_NEW2!AO44</f>
        <v>0</v>
      </c>
      <c r="AU90" s="7">
        <f>VC_NEW2!AP44</f>
        <v>0</v>
      </c>
      <c r="AV90" s="7">
        <f>VC_NEW2!AQ44</f>
        <v>0</v>
      </c>
      <c r="AW90" s="7">
        <f>VC_NEW2!AR44</f>
        <v>0</v>
      </c>
      <c r="AX90" s="7">
        <f>VC_NEW2!AS44</f>
        <v>0</v>
      </c>
      <c r="AY90" s="7">
        <f>VC_NEW2!AT44</f>
        <v>0</v>
      </c>
      <c r="AZ90" s="7">
        <f>VC_NEW2!AU44</f>
        <v>0</v>
      </c>
      <c r="BA90" s="7">
        <f>VC_NEW2!AV44</f>
        <v>0</v>
      </c>
      <c r="BB90" s="7">
        <f>VC_NEW2!AW44</f>
        <v>0</v>
      </c>
      <c r="BC90" s="7">
        <f>VC_NEW2!AX44</f>
        <v>0</v>
      </c>
      <c r="BD90" s="7">
        <f>VC_NEW2!AY44</f>
        <v>0</v>
      </c>
      <c r="BE90" s="7">
        <f>VC_NEW2!AZ44</f>
        <v>0</v>
      </c>
      <c r="BF90" s="7">
        <f>VC_NEW2!BA44</f>
        <v>0</v>
      </c>
      <c r="BG90" s="7">
        <f>VC_NEW2!BB44</f>
        <v>0</v>
      </c>
      <c r="BH90" s="7">
        <f>VC_NEW2!BC44</f>
        <v>0</v>
      </c>
      <c r="BI90" s="7">
        <f>VC_NEW2!BD44</f>
        <v>0</v>
      </c>
      <c r="BJ90" s="7">
        <f>VC_NEW2!BE44</f>
        <v>0</v>
      </c>
      <c r="BK90" s="7">
        <f>VC_NEW2!BF44</f>
        <v>0</v>
      </c>
      <c r="BL90" s="7">
        <f>VC_NEW2!BG44</f>
        <v>0</v>
      </c>
      <c r="BM90" s="7" t="str">
        <f>VC_NEW2!BH44</f>
        <v>E215Q</v>
      </c>
      <c r="BN90" s="7">
        <f>VC_NEW2!BI44</f>
        <v>0</v>
      </c>
      <c r="BO90" s="7">
        <f>VC_NEW2!BJ44</f>
        <v>0</v>
      </c>
      <c r="BP90" s="7">
        <f>VC_NEW2!BK44</f>
        <v>0</v>
      </c>
      <c r="BQ90" s="7">
        <f>VC_NEW2!BL44</f>
        <v>0</v>
      </c>
      <c r="BR90" s="7">
        <f>VC_NEW2!BM44</f>
        <v>0</v>
      </c>
      <c r="BS90" s="7">
        <f>VC_NEW2!BN44</f>
        <v>0</v>
      </c>
      <c r="BT90" s="7">
        <f>VC_NEW2!BO44</f>
        <v>0</v>
      </c>
      <c r="BU90" s="7">
        <f>VC_NEW2!BP44</f>
        <v>0</v>
      </c>
      <c r="BV90" s="7">
        <f>VC_NEW2!BQ44</f>
        <v>0</v>
      </c>
      <c r="BW90" s="7">
        <f>VC_NEW2!BR44</f>
        <v>0</v>
      </c>
      <c r="BX90" s="7">
        <f>VC_NEW2!BS44</f>
        <v>0</v>
      </c>
      <c r="BY90" s="7">
        <f>VC_NEW2!BT44</f>
        <v>0</v>
      </c>
      <c r="BZ90" s="7">
        <f>VC_NEW2!BU44</f>
        <v>0</v>
      </c>
      <c r="CA90" s="7">
        <f>VC_NEW2!BV44</f>
        <v>0</v>
      </c>
      <c r="CB90" s="7">
        <f>VC_NEW2!BW44</f>
        <v>0</v>
      </c>
      <c r="CC90" s="7">
        <f>VC_NEW2!BX44</f>
        <v>0</v>
      </c>
      <c r="CD90" s="7">
        <f>VC_NEW2!BY44</f>
        <v>0</v>
      </c>
      <c r="CE90" s="7">
        <f>VC_NEW2!BZ44</f>
        <v>0</v>
      </c>
      <c r="CF90" s="7">
        <f>VC_NEW2!CA44</f>
        <v>0</v>
      </c>
      <c r="CG90" s="7">
        <f>VC_NEW2!CB44</f>
        <v>0</v>
      </c>
      <c r="CH90" s="7">
        <f>VC_NEW2!CC44</f>
        <v>0</v>
      </c>
      <c r="CI90" s="7">
        <f>VC_NEW2!CD44</f>
        <v>0</v>
      </c>
      <c r="CJ90" s="7">
        <f>VC_NEW2!CE44</f>
        <v>0</v>
      </c>
      <c r="CK90" s="7">
        <f>VC_NEW2!CF44</f>
        <v>0</v>
      </c>
      <c r="CL90" s="7">
        <f>VC_NEW2!CG44</f>
        <v>0</v>
      </c>
      <c r="CM90" s="7">
        <f>VC_NEW2!CH44</f>
        <v>0</v>
      </c>
      <c r="CN90" s="7">
        <f>VC_NEW2!CI44</f>
        <v>0</v>
      </c>
      <c r="CO90" s="7" t="str">
        <f>VC_NEW2!CJ44</f>
        <v>V629A</v>
      </c>
      <c r="CP90" s="7">
        <f>VC_NEW2!CK44</f>
        <v>0</v>
      </c>
      <c r="CQ90" s="7">
        <f>VC_NEW2!CL44</f>
        <v>0</v>
      </c>
      <c r="CR90" s="7">
        <f>VC_NEW2!CM44</f>
        <v>0</v>
      </c>
      <c r="CS90" s="7">
        <f>VC_NEW2!CN44</f>
        <v>0</v>
      </c>
      <c r="CT90" s="7">
        <f>VC_NEW2!CO44</f>
        <v>0</v>
      </c>
      <c r="CU90" s="7">
        <f>VC_NEW2!CP44</f>
        <v>0</v>
      </c>
      <c r="CV90" s="7">
        <f>VC_NEW2!CQ44</f>
        <v>0</v>
      </c>
      <c r="CW90" s="7">
        <f>VC_NEW2!CR44</f>
        <v>0</v>
      </c>
      <c r="CX90" s="7">
        <f>VC_NEW2!CS44</f>
        <v>0</v>
      </c>
      <c r="CY90" s="7">
        <f>VC_NEW2!CT44</f>
        <v>0</v>
      </c>
      <c r="CZ90" s="7">
        <f>VC_NEW2!CU44</f>
        <v>0</v>
      </c>
      <c r="DA90" s="7">
        <f>VC_NEW2!CV44</f>
        <v>0</v>
      </c>
      <c r="DB90" s="7">
        <f>VC_NEW2!CW44</f>
        <v>0</v>
      </c>
      <c r="DC90" s="7">
        <f>VC_NEW2!CX44</f>
        <v>0</v>
      </c>
      <c r="DD90" s="7">
        <f>VC_NEW2!CY44</f>
        <v>0</v>
      </c>
      <c r="DE90" s="7" t="str">
        <f>VC_NEW2!CZ44</f>
        <v>P511S</v>
      </c>
      <c r="DF90" s="7">
        <f>VC_NEW2!DA44</f>
        <v>0</v>
      </c>
      <c r="DG90" s="7">
        <f>VC_NEW2!DB44</f>
        <v>0</v>
      </c>
      <c r="DH90" s="7">
        <f>VC_NEW2!DC44</f>
        <v>0</v>
      </c>
      <c r="DI90" s="7">
        <f>VC_NEW2!DD44</f>
        <v>0</v>
      </c>
      <c r="DJ90" s="7">
        <f>VC_NEW2!DE44</f>
        <v>0</v>
      </c>
      <c r="DK90" s="7" t="str">
        <f>VC_NEW2!DF44</f>
        <v>E215Q</v>
      </c>
      <c r="DL90" s="7">
        <f>VC_NEW2!DG44</f>
        <v>0</v>
      </c>
      <c r="DM90" s="7">
        <f>VC_NEW2!DH44</f>
        <v>0</v>
      </c>
      <c r="DN90" s="7">
        <f>VC_NEW2!DI44</f>
        <v>0</v>
      </c>
      <c r="DO90" s="7">
        <f>VC_NEW2!DJ44</f>
        <v>0</v>
      </c>
      <c r="DP90" s="7">
        <f>VC_NEW2!DK44</f>
        <v>0</v>
      </c>
      <c r="DQ90" s="7">
        <f>VC_NEW2!DL44</f>
        <v>0</v>
      </c>
      <c r="DR90" s="7">
        <f>VC_NEW2!DM44</f>
        <v>0</v>
      </c>
      <c r="DS90" s="7">
        <f>VC_NEW2!DN44</f>
        <v>0</v>
      </c>
      <c r="DT90" s="7">
        <f>VC_NEW2!DO44</f>
        <v>0</v>
      </c>
      <c r="DU90" s="7">
        <f>VC_NEW2!DP44</f>
        <v>0</v>
      </c>
      <c r="DV90" s="7">
        <f>VC_NEW2!DQ44</f>
        <v>0</v>
      </c>
      <c r="DW90" s="7">
        <f>VC_NEW2!DR44</f>
        <v>0</v>
      </c>
      <c r="DX90" s="7">
        <f>VC_NEW2!DS44</f>
        <v>0</v>
      </c>
      <c r="DY90" s="7">
        <f>VC_NEW2!DT44</f>
        <v>0</v>
      </c>
      <c r="DZ90" s="7">
        <f>VC_NEW2!DU44</f>
        <v>0</v>
      </c>
      <c r="EA90" s="7">
        <f>VC_NEW2!DV44</f>
        <v>0</v>
      </c>
      <c r="EB90" s="7">
        <f>VC_NEW2!DW44</f>
        <v>0</v>
      </c>
      <c r="EC90" s="7">
        <f>VC_NEW2!DX44</f>
        <v>0</v>
      </c>
      <c r="ED90" s="7">
        <f>VC_NEW2!DY44</f>
        <v>0</v>
      </c>
      <c r="EE90" s="7">
        <f>VC_NEW2!DZ44</f>
        <v>0</v>
      </c>
      <c r="EF90" s="7">
        <f>VC_NEW2!EA44</f>
        <v>0</v>
      </c>
      <c r="EG90" s="7">
        <f>VC_NEW2!EB44</f>
        <v>0</v>
      </c>
      <c r="EH90" s="7">
        <f>VC_NEW2!EC44</f>
        <v>0</v>
      </c>
      <c r="EI90" s="7">
        <f>VC_NEW2!ED44</f>
        <v>0</v>
      </c>
      <c r="EJ90" s="7">
        <f>VC_NEW2!EE44</f>
        <v>0</v>
      </c>
      <c r="EK90" s="7">
        <f>VC_NEW2!EF44</f>
        <v>0</v>
      </c>
      <c r="EL90" s="7">
        <f>VC_NEW2!EG44</f>
        <v>0</v>
      </c>
      <c r="EM90" s="7">
        <f>VC_NEW2!EH44</f>
        <v>0</v>
      </c>
      <c r="EN90" s="7">
        <f>VC_NEW2!EI44</f>
        <v>0</v>
      </c>
      <c r="EO90" s="7">
        <f>VC_NEW2!EJ44</f>
        <v>0</v>
      </c>
      <c r="EP90" s="7">
        <f>VC_NEW2!EK44</f>
        <v>0</v>
      </c>
      <c r="EQ90" s="7" t="str">
        <f>VC_NEW2!EL44</f>
        <v xml:space="preserve">S457R </v>
      </c>
      <c r="ER90" s="7">
        <f>VC_NEW2!EM44</f>
        <v>0</v>
      </c>
      <c r="ES90" s="7">
        <f>VC_NEW2!EN44</f>
        <v>0</v>
      </c>
      <c r="ET90" s="7">
        <f>VC_NEW2!EO44</f>
        <v>0</v>
      </c>
      <c r="EU90" s="7" t="str">
        <f>VC_NEW2!EP44</f>
        <v xml:space="preserve">S457R </v>
      </c>
      <c r="EV90" s="7" t="str">
        <f>VC_NEW2!EQ44</f>
        <v>E215Q</v>
      </c>
      <c r="EW90" s="7">
        <f>VC_NEW2!ER44</f>
        <v>0</v>
      </c>
      <c r="EX90" s="7">
        <f>VC_NEW2!ES44</f>
        <v>0</v>
      </c>
      <c r="EY90" s="7">
        <f>VC_NEW2!ET44</f>
        <v>0</v>
      </c>
      <c r="EZ90" s="7">
        <f>VC_NEW2!EU44</f>
        <v>0</v>
      </c>
      <c r="FA90" s="7">
        <f>VC_NEW2!EV44</f>
        <v>0</v>
      </c>
      <c r="FB90" s="7">
        <f>VC_NEW2!EW44</f>
        <v>0</v>
      </c>
      <c r="FC90" s="7" t="str">
        <f>VC_NEW2!EX44</f>
        <v xml:space="preserve"> E459K </v>
      </c>
      <c r="FD90" s="7">
        <f>VC_NEW2!EY44</f>
        <v>0</v>
      </c>
      <c r="FE90" s="7" t="str">
        <f>VC_NEW2!EZ44</f>
        <v xml:space="preserve">P438S </v>
      </c>
      <c r="FF90" s="7">
        <f>VC_NEW2!FA44</f>
        <v>0</v>
      </c>
      <c r="FG90" s="7">
        <f>VC_NEW2!FB44</f>
        <v>0</v>
      </c>
      <c r="FH90" s="7">
        <f>VC_NEW2!FC44</f>
        <v>0</v>
      </c>
      <c r="FI90" s="7">
        <f>VC_NEW2!FD44</f>
        <v>0</v>
      </c>
      <c r="FJ90" s="7">
        <f>VC_NEW2!FE44</f>
        <v>0</v>
      </c>
      <c r="FK90" s="7">
        <f>VC_NEW2!FF44</f>
        <v>0</v>
      </c>
      <c r="FL90" s="7">
        <f>VC_NEW2!FG44</f>
        <v>0</v>
      </c>
      <c r="FM90" s="7">
        <f>VC_NEW2!FH44</f>
        <v>0</v>
      </c>
      <c r="FN90" s="7">
        <f>VC_NEW2!FI44</f>
        <v>0</v>
      </c>
      <c r="FO90" s="7">
        <f>VC_NEW2!FJ44</f>
        <v>0</v>
      </c>
      <c r="FP90" s="7">
        <f>VC_NEW2!FK44</f>
        <v>0</v>
      </c>
      <c r="FQ90" s="7">
        <f>VC_NEW2!FL44</f>
        <v>0</v>
      </c>
      <c r="FR90" s="7">
        <f>VC_NEW2!FM44</f>
        <v>0</v>
      </c>
      <c r="FS90" s="7">
        <f>VC_NEW2!FN44</f>
        <v>0</v>
      </c>
      <c r="FT90" s="7">
        <f>VC_NEW2!FO44</f>
        <v>0</v>
      </c>
      <c r="FU90" s="7">
        <f>VC_NEW2!FP44</f>
        <v>0</v>
      </c>
      <c r="FV90" s="7">
        <f>VC_NEW2!FQ44</f>
        <v>0</v>
      </c>
      <c r="FW90" s="7">
        <f>VC_NEW2!FR44</f>
        <v>0</v>
      </c>
      <c r="FX90" s="7">
        <f>VC_NEW2!FS44</f>
        <v>0</v>
      </c>
      <c r="FY90" s="7">
        <f>VC_NEW2!FT44</f>
        <v>0</v>
      </c>
      <c r="FZ90" s="7">
        <f>VC_NEW2!FU44</f>
        <v>0</v>
      </c>
      <c r="GA90" s="7">
        <f>VC_NEW2!FV44</f>
        <v>0</v>
      </c>
      <c r="GB90" s="7">
        <f>VC_NEW2!FW44</f>
        <v>0</v>
      </c>
      <c r="GC90" s="7" t="str">
        <f>VC_NEW2!FX44</f>
        <v>I89T</v>
      </c>
      <c r="GD90" s="7">
        <f>VC_NEW2!FY44</f>
        <v>0</v>
      </c>
      <c r="GE90" s="7">
        <f>VC_NEW2!FZ44</f>
        <v>0</v>
      </c>
      <c r="GF90" s="7">
        <f>VC_NEW2!GA44</f>
        <v>0</v>
      </c>
      <c r="GG90" s="7">
        <f>VC_NEW2!GB44</f>
        <v>0</v>
      </c>
      <c r="GH90" s="7">
        <f>VC_NEW2!GC44</f>
        <v>0</v>
      </c>
      <c r="GI90" s="7">
        <f>VC_NEW2!GD44</f>
        <v>0</v>
      </c>
      <c r="GJ90" s="7">
        <f>VC_NEW2!GE44</f>
        <v>0</v>
      </c>
      <c r="GK90" s="7">
        <f>VC_NEW2!GF44</f>
        <v>0</v>
      </c>
      <c r="GL90" s="7">
        <f>VC_NEW2!GG44</f>
        <v>0</v>
      </c>
      <c r="GM90" s="7">
        <f>VC_NEW2!GH44</f>
        <v>0</v>
      </c>
      <c r="GN90" s="7">
        <f>VC_NEW2!GI44</f>
        <v>0</v>
      </c>
      <c r="GO90" s="7">
        <f>VC_NEW2!GJ44</f>
        <v>0</v>
      </c>
      <c r="GP90" s="7">
        <f>VC_NEW2!GK44</f>
        <v>0</v>
      </c>
      <c r="GQ90" s="7">
        <f>VC_NEW2!GL44</f>
        <v>0</v>
      </c>
      <c r="GR90" s="7">
        <f>VC_NEW2!GM44</f>
        <v>0</v>
      </c>
      <c r="GS90" s="7" t="str">
        <f>VC_NEW2!GN44</f>
        <v xml:space="preserve">A342V </v>
      </c>
      <c r="GT90" s="7">
        <f>VC_NEW2!GO44</f>
        <v>0</v>
      </c>
      <c r="GU90" s="7">
        <f>VC_NEW2!GP44</f>
        <v>0</v>
      </c>
      <c r="GV90" s="7">
        <f>VC_NEW2!GQ44</f>
        <v>0</v>
      </c>
      <c r="GW90" s="7">
        <f>VC_NEW2!GR44</f>
        <v>0</v>
      </c>
      <c r="GX90" s="7">
        <f>VC_NEW2!GS44</f>
        <v>0</v>
      </c>
      <c r="GY90" s="7">
        <f>VC_NEW2!GT44</f>
        <v>0</v>
      </c>
      <c r="GZ90" s="7">
        <f>VC_NEW2!GU44</f>
        <v>0</v>
      </c>
      <c r="HA90" s="7">
        <f>VC_NEW2!GV44</f>
        <v>0</v>
      </c>
      <c r="HB90" s="7">
        <f>VC_NEW2!GW44</f>
        <v>0</v>
      </c>
      <c r="HC90" s="7">
        <f>VC_NEW2!GX44</f>
        <v>0</v>
      </c>
    </row>
    <row r="91" spans="1:443" s="2" customFormat="1" ht="15" hidden="1" customHeight="1" x14ac:dyDescent="0.25">
      <c r="A91" s="2" t="s">
        <v>80</v>
      </c>
      <c r="B91" s="2" t="s">
        <v>59</v>
      </c>
      <c r="C91" s="4" t="s">
        <v>0</v>
      </c>
      <c r="D91" s="2" t="s">
        <v>76</v>
      </c>
      <c r="E91" s="2" t="s">
        <v>138</v>
      </c>
      <c r="F91" s="2" t="s">
        <v>74</v>
      </c>
      <c r="G91" s="2" t="s">
        <v>136</v>
      </c>
      <c r="H91" s="1">
        <f>VC_NEW2!C47</f>
        <v>0</v>
      </c>
      <c r="I91" s="1">
        <f>VC_NEW2!D47</f>
        <v>0</v>
      </c>
      <c r="J91" s="1">
        <f>VC_NEW2!E47</f>
        <v>0</v>
      </c>
      <c r="K91" s="1">
        <f>VC_NEW2!F47</f>
        <v>0</v>
      </c>
      <c r="L91" s="1">
        <f>VC_NEW2!G47</f>
        <v>0</v>
      </c>
      <c r="M91" s="1" t="str">
        <f>VC_NEW2!H47</f>
        <v xml:space="preserve">  A262S</v>
      </c>
      <c r="N91" s="1">
        <f>VC_NEW2!I47</f>
        <v>0</v>
      </c>
      <c r="O91" s="1">
        <f>VC_NEW2!J47</f>
        <v>0</v>
      </c>
      <c r="P91" s="1">
        <f>VC_NEW2!K47</f>
        <v>0</v>
      </c>
      <c r="Q91" s="1">
        <f>VC_NEW2!L47</f>
        <v>0</v>
      </c>
      <c r="R91" s="1">
        <f>VC_NEW2!M47</f>
        <v>0</v>
      </c>
      <c r="S91" s="1">
        <f>VC_NEW2!N47</f>
        <v>0</v>
      </c>
      <c r="T91" s="1">
        <f>VC_NEW2!O47</f>
        <v>0</v>
      </c>
      <c r="U91" s="1">
        <f>VC_NEW2!P47</f>
        <v>0</v>
      </c>
      <c r="V91" s="1">
        <f>VC_NEW2!Q47</f>
        <v>0</v>
      </c>
      <c r="W91" s="1">
        <f>VC_NEW2!R47</f>
        <v>0</v>
      </c>
      <c r="X91" s="1">
        <f>VC_NEW2!S47</f>
        <v>0</v>
      </c>
      <c r="Y91" s="1">
        <f>VC_NEW2!T47</f>
        <v>0</v>
      </c>
      <c r="Z91" s="1">
        <f>VC_NEW2!U47</f>
        <v>0</v>
      </c>
      <c r="AA91" s="1">
        <f>VC_NEW2!V47</f>
        <v>0</v>
      </c>
      <c r="AB91" s="1">
        <f>VC_NEW2!W47</f>
        <v>0</v>
      </c>
      <c r="AC91" s="1">
        <f>VC_NEW2!X47</f>
        <v>0</v>
      </c>
      <c r="AD91" s="1">
        <f>VC_NEW2!Y47</f>
        <v>0</v>
      </c>
      <c r="AE91" s="1">
        <f>VC_NEW2!Z47</f>
        <v>0</v>
      </c>
      <c r="AF91" s="1">
        <f>VC_NEW2!AA47</f>
        <v>0</v>
      </c>
      <c r="AG91" s="1">
        <f>VC_NEW2!AB47</f>
        <v>0</v>
      </c>
      <c r="AH91" s="1">
        <f>VC_NEW2!AC47</f>
        <v>0</v>
      </c>
      <c r="AI91" s="1">
        <f>VC_NEW2!AD47</f>
        <v>0</v>
      </c>
      <c r="AJ91" s="1">
        <f>VC_NEW2!AE47</f>
        <v>0</v>
      </c>
      <c r="AK91" s="1">
        <f>VC_NEW2!AF47</f>
        <v>0</v>
      </c>
      <c r="AL91" s="1">
        <f>VC_NEW2!AG47</f>
        <v>0</v>
      </c>
      <c r="AM91" s="1">
        <f>VC_NEW2!AH47</f>
        <v>0</v>
      </c>
      <c r="AN91" s="1">
        <f>VC_NEW2!AI47</f>
        <v>0</v>
      </c>
      <c r="AO91" s="1">
        <f>VC_NEW2!AJ47</f>
        <v>0</v>
      </c>
      <c r="AP91" s="1" t="str">
        <f>VC_NEW2!AK47</f>
        <v>R320C</v>
      </c>
      <c r="AQ91" s="1">
        <f>VC_NEW2!AL47</f>
        <v>0</v>
      </c>
      <c r="AR91" s="1">
        <f>VC_NEW2!AM47</f>
        <v>0</v>
      </c>
      <c r="AS91" s="1">
        <f>VC_NEW2!AN47</f>
        <v>0</v>
      </c>
      <c r="AT91" s="1">
        <f>VC_NEW2!AO47</f>
        <v>0</v>
      </c>
      <c r="AU91" s="1">
        <f>VC_NEW2!AP47</f>
        <v>0</v>
      </c>
      <c r="AV91" s="1">
        <f>VC_NEW2!AQ47</f>
        <v>0</v>
      </c>
      <c r="AW91" s="1">
        <f>VC_NEW2!AR47</f>
        <v>0</v>
      </c>
      <c r="AX91" s="1">
        <f>VC_NEW2!AS47</f>
        <v>0</v>
      </c>
      <c r="AY91" s="1">
        <f>VC_NEW2!AT47</f>
        <v>0</v>
      </c>
      <c r="AZ91" s="1">
        <f>VC_NEW2!AU47</f>
        <v>0</v>
      </c>
      <c r="BA91" s="1" t="str">
        <f>VC_NEW2!AV47</f>
        <v>V266M</v>
      </c>
      <c r="BB91" s="1">
        <f>VC_NEW2!AW47</f>
        <v>0</v>
      </c>
      <c r="BC91" s="1" t="str">
        <f>VC_NEW2!AX47</f>
        <v>V266M</v>
      </c>
      <c r="BD91" s="1">
        <f>VC_NEW2!AY47</f>
        <v>0</v>
      </c>
      <c r="BE91" s="1">
        <f>VC_NEW2!AZ47</f>
        <v>0</v>
      </c>
      <c r="BF91" s="1">
        <f>VC_NEW2!BA47</f>
        <v>0</v>
      </c>
      <c r="BG91" s="1">
        <f>VC_NEW2!BB47</f>
        <v>0</v>
      </c>
      <c r="BH91" s="1">
        <f>VC_NEW2!BC47</f>
        <v>0</v>
      </c>
      <c r="BI91" s="1" t="str">
        <f>VC_NEW2!BD47</f>
        <v>V266M</v>
      </c>
      <c r="BJ91" s="1">
        <f>VC_NEW2!BE47</f>
        <v>0</v>
      </c>
      <c r="BK91" s="1">
        <f>VC_NEW2!BF47</f>
        <v>0</v>
      </c>
      <c r="BL91" s="1">
        <f>VC_NEW2!BG47</f>
        <v>0</v>
      </c>
      <c r="BM91" s="1" t="str">
        <f>VC_NEW2!BH47</f>
        <v>D159N</v>
      </c>
      <c r="BN91" s="1">
        <f>VC_NEW2!BI47</f>
        <v>0</v>
      </c>
      <c r="BO91" s="1">
        <f>VC_NEW2!BJ47</f>
        <v>0</v>
      </c>
      <c r="BP91" s="1">
        <f>VC_NEW2!BK47</f>
        <v>0</v>
      </c>
      <c r="BQ91" s="1">
        <f>VC_NEW2!BL47</f>
        <v>0</v>
      </c>
      <c r="BR91" s="1">
        <f>VC_NEW2!BM47</f>
        <v>0</v>
      </c>
      <c r="BS91" s="1" t="str">
        <f>VC_NEW2!BN47</f>
        <v>V266M</v>
      </c>
      <c r="BT91" s="1" t="str">
        <f>VC_NEW2!BO47</f>
        <v>A262S</v>
      </c>
      <c r="BU91" s="1">
        <f>VC_NEW2!BP47</f>
        <v>0</v>
      </c>
      <c r="BV91" s="1">
        <f>VC_NEW2!BQ47</f>
        <v>0</v>
      </c>
      <c r="BW91" s="1">
        <f>VC_NEW2!BR47</f>
        <v>0</v>
      </c>
      <c r="BX91" s="1">
        <f>VC_NEW2!BS47</f>
        <v>0</v>
      </c>
      <c r="BY91" s="2">
        <f>VC_NEW2!BT47</f>
        <v>0</v>
      </c>
      <c r="BZ91" s="1" t="str">
        <f>VC_NEW2!BU47</f>
        <v xml:space="preserve"> A87T     </v>
      </c>
      <c r="CA91" s="1">
        <f>VC_NEW2!BV47</f>
        <v>0</v>
      </c>
      <c r="CB91" s="1">
        <f>VC_NEW2!BW47</f>
        <v>0</v>
      </c>
      <c r="CC91" s="1">
        <f>VC_NEW2!BX47</f>
        <v>0</v>
      </c>
      <c r="CD91" s="1" t="str">
        <f>VC_NEW2!BY47</f>
        <v>V266M</v>
      </c>
      <c r="CE91" s="1">
        <f>VC_NEW2!BZ47</f>
        <v>0</v>
      </c>
      <c r="CF91" s="1">
        <f>VC_NEW2!CA47</f>
        <v>0</v>
      </c>
      <c r="CG91" s="1">
        <f>VC_NEW2!CB47</f>
        <v>0</v>
      </c>
      <c r="CH91" s="1">
        <f>VC_NEW2!CC47</f>
        <v>0</v>
      </c>
      <c r="CI91" s="1">
        <f>VC_NEW2!CD47</f>
        <v>0</v>
      </c>
      <c r="CJ91" s="1" t="str">
        <f>VC_NEW2!CE47</f>
        <v>V266M</v>
      </c>
      <c r="CK91" s="1" t="str">
        <f>VC_NEW2!CF47</f>
        <v>V266M</v>
      </c>
      <c r="CL91" s="1">
        <f>VC_NEW2!CG47</f>
        <v>0</v>
      </c>
      <c r="CM91" s="1">
        <f>VC_NEW2!CH47</f>
        <v>0</v>
      </c>
      <c r="CN91" s="1">
        <f>VC_NEW2!CI47</f>
        <v>0</v>
      </c>
      <c r="CO91" s="1">
        <f>VC_NEW2!CJ47</f>
        <v>0</v>
      </c>
      <c r="CP91" s="1" t="str">
        <f>VC_NEW2!CK47</f>
        <v>V266M</v>
      </c>
      <c r="CQ91" s="1" t="str">
        <f>VC_NEW2!CL47</f>
        <v>V266M</v>
      </c>
      <c r="CR91" s="1">
        <f>VC_NEW2!CM47</f>
        <v>0</v>
      </c>
      <c r="CS91" s="1">
        <f>VC_NEW2!CN47</f>
        <v>0</v>
      </c>
      <c r="CT91" s="1">
        <f>VC_NEW2!CO47</f>
        <v>0</v>
      </c>
      <c r="CU91" s="1">
        <f>VC_NEW2!CP47</f>
        <v>0</v>
      </c>
      <c r="CV91" s="1">
        <f>VC_NEW2!CQ47</f>
        <v>0</v>
      </c>
      <c r="CW91" s="1">
        <f>VC_NEW2!CR47</f>
        <v>0</v>
      </c>
      <c r="CX91" s="1">
        <f>VC_NEW2!CS47</f>
        <v>0</v>
      </c>
      <c r="CY91" s="1">
        <f>VC_NEW2!CT47</f>
        <v>0</v>
      </c>
      <c r="CZ91" s="1">
        <f>VC_NEW2!CU47</f>
        <v>0</v>
      </c>
      <c r="DA91" s="1">
        <f>VC_NEW2!CV47</f>
        <v>0</v>
      </c>
      <c r="DB91" s="1">
        <f>VC_NEW2!CW47</f>
        <v>0</v>
      </c>
      <c r="DC91" s="1">
        <f>VC_NEW2!CX47</f>
        <v>0</v>
      </c>
      <c r="DD91" s="1">
        <f>VC_NEW2!CY47</f>
        <v>0</v>
      </c>
      <c r="DE91" s="1">
        <f>VC_NEW2!CZ47</f>
        <v>0</v>
      </c>
      <c r="DF91" s="1">
        <f>VC_NEW2!DA47</f>
        <v>0</v>
      </c>
      <c r="DG91" s="1">
        <f>VC_NEW2!DB47</f>
        <v>0</v>
      </c>
      <c r="DH91" s="1" t="str">
        <f>VC_NEW2!DC47</f>
        <v xml:space="preserve">S184G  </v>
      </c>
      <c r="DI91" s="1">
        <f>VC_NEW2!DD47</f>
        <v>0</v>
      </c>
      <c r="DJ91" s="1">
        <f>VC_NEW2!DE47</f>
        <v>0</v>
      </c>
      <c r="DK91" s="1" t="str">
        <f>VC_NEW2!DF47</f>
        <v>A262S</v>
      </c>
      <c r="DL91" s="1">
        <f>VC_NEW2!DG47</f>
        <v>0</v>
      </c>
      <c r="DM91" s="1">
        <f>VC_NEW2!DH47</f>
        <v>0</v>
      </c>
      <c r="DN91" s="1">
        <f>VC_NEW2!DI47</f>
        <v>0</v>
      </c>
      <c r="DO91" s="1">
        <f>VC_NEW2!DJ47</f>
        <v>0</v>
      </c>
      <c r="DP91" s="1">
        <f>VC_NEW2!DK47</f>
        <v>0</v>
      </c>
      <c r="DQ91" s="1">
        <f>VC_NEW2!DL47</f>
        <v>0</v>
      </c>
      <c r="DR91" s="1">
        <f>VC_NEW2!DM47</f>
        <v>0</v>
      </c>
      <c r="DS91" s="1">
        <f>VC_NEW2!DN47</f>
        <v>0</v>
      </c>
      <c r="DT91" s="1">
        <f>VC_NEW2!DO47</f>
        <v>0</v>
      </c>
      <c r="DU91" s="1" t="str">
        <f>VC_NEW2!DP47</f>
        <v>V266M</v>
      </c>
      <c r="DV91" s="1">
        <f>VC_NEW2!DQ47</f>
        <v>0</v>
      </c>
      <c r="DW91" s="1" t="str">
        <f>VC_NEW2!DR47</f>
        <v>V266M</v>
      </c>
      <c r="DX91" s="1">
        <f>VC_NEW2!DS47</f>
        <v>0</v>
      </c>
      <c r="DY91" s="1">
        <f>VC_NEW2!DT47</f>
        <v>0</v>
      </c>
      <c r="DZ91" s="1">
        <f>VC_NEW2!DU47</f>
        <v>0</v>
      </c>
      <c r="EA91" s="1" t="str">
        <f>VC_NEW2!DV47</f>
        <v>V266M</v>
      </c>
      <c r="EB91" s="1">
        <f>VC_NEW2!DW47</f>
        <v>0</v>
      </c>
      <c r="EC91" s="1">
        <f>VC_NEW2!DX47</f>
        <v>0</v>
      </c>
      <c r="ED91" s="1">
        <f>VC_NEW2!DY47</f>
        <v>0</v>
      </c>
      <c r="EE91" s="1" t="str">
        <f>VC_NEW2!DZ47</f>
        <v>V266M</v>
      </c>
      <c r="EF91" s="1">
        <f>VC_NEW2!EA47</f>
        <v>0</v>
      </c>
      <c r="EG91" s="1">
        <f>VC_NEW2!EB47</f>
        <v>0</v>
      </c>
      <c r="EH91" s="1">
        <f>VC_NEW2!EC47</f>
        <v>0</v>
      </c>
      <c r="EI91" s="1">
        <f>VC_NEW2!ED47</f>
        <v>0</v>
      </c>
      <c r="EJ91" s="1">
        <f>VC_NEW2!EE47</f>
        <v>0</v>
      </c>
      <c r="EK91" s="1" t="str">
        <f>VC_NEW2!EF47</f>
        <v xml:space="preserve">S184G  </v>
      </c>
      <c r="EL91" s="1">
        <f>VC_NEW2!EG47</f>
        <v>0</v>
      </c>
      <c r="EM91" s="1">
        <f>VC_NEW2!EH47</f>
        <v>0</v>
      </c>
      <c r="EN91" s="1">
        <f>VC_NEW2!EI47</f>
        <v>0</v>
      </c>
      <c r="EO91" s="1">
        <f>VC_NEW2!EJ47</f>
        <v>0</v>
      </c>
      <c r="EP91" s="1">
        <f>VC_NEW2!EK47</f>
        <v>0</v>
      </c>
      <c r="EQ91" s="1">
        <f>VC_NEW2!EL47</f>
        <v>0</v>
      </c>
      <c r="ER91" s="1">
        <f>VC_NEW2!EM47</f>
        <v>0</v>
      </c>
      <c r="ES91" s="1">
        <f>VC_NEW2!EN47</f>
        <v>0</v>
      </c>
      <c r="ET91" s="1">
        <f>VC_NEW2!EO47</f>
        <v>0</v>
      </c>
      <c r="EU91" s="1">
        <f>VC_NEW2!EP47</f>
        <v>0</v>
      </c>
      <c r="EV91" s="1" t="str">
        <f>VC_NEW2!EQ47</f>
        <v>A262S</v>
      </c>
      <c r="EW91" s="1" t="str">
        <f>VC_NEW2!ER47</f>
        <v>V247I, V362I</v>
      </c>
      <c r="EX91" s="1">
        <f>VC_NEW2!ES47</f>
        <v>0</v>
      </c>
      <c r="EY91" s="1">
        <f>VC_NEW2!ET47</f>
        <v>0</v>
      </c>
      <c r="EZ91" s="1">
        <f>VC_NEW2!EU47</f>
        <v>0</v>
      </c>
      <c r="FA91" s="1">
        <f>VC_NEW2!EV47</f>
        <v>0</v>
      </c>
      <c r="FB91" s="1">
        <f>VC_NEW2!EW47</f>
        <v>0</v>
      </c>
      <c r="FC91" s="1">
        <f>VC_NEW2!EX47</f>
        <v>0</v>
      </c>
      <c r="FD91" s="1">
        <f>VC_NEW2!EY47</f>
        <v>0</v>
      </c>
      <c r="FE91" s="1">
        <f>VC_NEW2!EZ47</f>
        <v>0</v>
      </c>
      <c r="FF91" s="1">
        <f>VC_NEW2!FA47</f>
        <v>0</v>
      </c>
      <c r="FG91" s="1" t="str">
        <f>VC_NEW2!FB47</f>
        <v xml:space="preserve">G190S </v>
      </c>
      <c r="FH91" s="1">
        <f>VC_NEW2!FC47</f>
        <v>0</v>
      </c>
      <c r="FI91" s="1">
        <f>VC_NEW2!FD47</f>
        <v>0</v>
      </c>
      <c r="FJ91" s="1">
        <f>VC_NEW2!FE47</f>
        <v>0</v>
      </c>
      <c r="FK91" s="1">
        <f>VC_NEW2!FF47</f>
        <v>0</v>
      </c>
      <c r="FL91" s="1">
        <f>VC_NEW2!FG47</f>
        <v>0</v>
      </c>
      <c r="FM91" s="1">
        <f>VC_NEW2!FH47</f>
        <v>0</v>
      </c>
      <c r="FN91" s="1">
        <f>VC_NEW2!FI47</f>
        <v>0</v>
      </c>
      <c r="FO91" s="1" t="str">
        <f>VC_NEW2!FJ47</f>
        <v>V266M</v>
      </c>
      <c r="FP91" s="1">
        <f>VC_NEW2!FK47</f>
        <v>0</v>
      </c>
      <c r="FQ91" s="1" t="str">
        <f>VC_NEW2!FL47</f>
        <v>V266M</v>
      </c>
      <c r="FR91" s="1">
        <f>VC_NEW2!FM47</f>
        <v>0</v>
      </c>
      <c r="FS91" s="1" t="str">
        <f>VC_NEW2!FN47</f>
        <v xml:space="preserve"> G134D   </v>
      </c>
      <c r="FT91" s="1">
        <f>VC_NEW2!FO47</f>
        <v>0</v>
      </c>
      <c r="FU91" s="1">
        <f>VC_NEW2!FP47</f>
        <v>0</v>
      </c>
      <c r="FV91" s="1">
        <f>VC_NEW2!FQ47</f>
        <v>0</v>
      </c>
      <c r="FW91" s="1" t="str">
        <f>VC_NEW2!FR47</f>
        <v xml:space="preserve">G190S </v>
      </c>
      <c r="FX91" s="1">
        <f>VC_NEW2!FS47</f>
        <v>0</v>
      </c>
      <c r="FY91" s="1">
        <f>VC_NEW2!FT47</f>
        <v>0</v>
      </c>
      <c r="FZ91" s="1">
        <f>VC_NEW2!FU47</f>
        <v>0</v>
      </c>
      <c r="GA91" s="1" t="str">
        <f>VC_NEW2!FV47</f>
        <v>V266M</v>
      </c>
      <c r="GB91" s="1">
        <f>VC_NEW2!FW47</f>
        <v>0</v>
      </c>
      <c r="GC91" s="1">
        <f>VC_NEW2!FX47</f>
        <v>0</v>
      </c>
      <c r="GD91" s="1">
        <f>VC_NEW2!FY47</f>
        <v>0</v>
      </c>
      <c r="GE91" s="1">
        <f>VC_NEW2!FZ47</f>
        <v>0</v>
      </c>
      <c r="GF91" s="1">
        <f>VC_NEW2!GA47</f>
        <v>0</v>
      </c>
      <c r="GG91" s="1">
        <f>VC_NEW2!GB47</f>
        <v>0</v>
      </c>
      <c r="GH91" s="1">
        <f>VC_NEW2!GC47</f>
        <v>0</v>
      </c>
      <c r="GI91" s="1">
        <f>VC_NEW2!GD47</f>
        <v>0</v>
      </c>
      <c r="GJ91" s="1">
        <f>VC_NEW2!GE47</f>
        <v>0</v>
      </c>
      <c r="GK91" s="1">
        <f>VC_NEW2!GF47</f>
        <v>0</v>
      </c>
      <c r="GL91" s="1">
        <f>VC_NEW2!GG47</f>
        <v>0</v>
      </c>
      <c r="GM91" s="1" t="str">
        <f>VC_NEW2!GH47</f>
        <v>V266M</v>
      </c>
      <c r="GN91" s="1">
        <f>VC_NEW2!GI47</f>
        <v>0</v>
      </c>
      <c r="GO91" s="1">
        <f>VC_NEW2!GJ47</f>
        <v>0</v>
      </c>
      <c r="GP91" s="1">
        <f>VC_NEW2!GK47</f>
        <v>0</v>
      </c>
      <c r="GQ91" s="1">
        <f>VC_NEW2!GL47</f>
        <v>0</v>
      </c>
      <c r="GR91" s="1">
        <f>VC_NEW2!GM47</f>
        <v>0</v>
      </c>
      <c r="GS91" s="1">
        <f>VC_NEW2!GN47</f>
        <v>0</v>
      </c>
      <c r="GT91" s="1">
        <f>VC_NEW2!GO47</f>
        <v>0</v>
      </c>
      <c r="GU91" s="1" t="str">
        <f>VC_NEW2!GP47</f>
        <v xml:space="preserve">H182Y  </v>
      </c>
      <c r="GV91" s="1">
        <f>VC_NEW2!GQ47</f>
        <v>0</v>
      </c>
      <c r="GW91" s="1">
        <f>VC_NEW2!GR47</f>
        <v>0</v>
      </c>
      <c r="GX91" s="1" t="str">
        <f>VC_NEW2!GS47</f>
        <v>A262S</v>
      </c>
      <c r="GY91" s="1">
        <f>VC_NEW2!GT47</f>
        <v>0</v>
      </c>
      <c r="GZ91" s="1">
        <f>VC_NEW2!GU47</f>
        <v>0</v>
      </c>
      <c r="HA91" s="1">
        <f>VC_NEW2!GV47</f>
        <v>0</v>
      </c>
      <c r="HB91" s="1" t="str">
        <f>VC_NEW2!GW47</f>
        <v>V266M</v>
      </c>
      <c r="HC91" s="1">
        <f>VC_NEW2!GX47</f>
        <v>0</v>
      </c>
    </row>
    <row r="92" spans="1:443" s="7" customFormat="1" ht="15" hidden="1" customHeight="1" x14ac:dyDescent="0.25">
      <c r="A92" s="7" t="s">
        <v>37</v>
      </c>
      <c r="B92" s="7" t="s">
        <v>38</v>
      </c>
      <c r="C92" s="8" t="s">
        <v>1</v>
      </c>
      <c r="D92" s="7" t="s">
        <v>76</v>
      </c>
      <c r="E92" s="7" t="s">
        <v>139</v>
      </c>
      <c r="F92" s="7" t="s">
        <v>74</v>
      </c>
      <c r="G92" s="7" t="s">
        <v>136</v>
      </c>
      <c r="H92" s="7">
        <f>VC_NEW2!C48</f>
        <v>0</v>
      </c>
      <c r="I92" s="7">
        <f>VC_NEW2!D48</f>
        <v>0</v>
      </c>
      <c r="J92" s="7">
        <f>VC_NEW2!E48</f>
        <v>0</v>
      </c>
      <c r="K92" s="7">
        <f>VC_NEW2!F48</f>
        <v>0</v>
      </c>
      <c r="L92" s="7">
        <f>VC_NEW2!G48</f>
        <v>0</v>
      </c>
      <c r="M92" s="7">
        <f>VC_NEW2!H48</f>
        <v>0</v>
      </c>
      <c r="N92" s="7">
        <f>VC_NEW2!I48</f>
        <v>0</v>
      </c>
      <c r="O92" s="7">
        <f>VC_NEW2!J48</f>
        <v>0</v>
      </c>
      <c r="P92" s="7">
        <f>VC_NEW2!K48</f>
        <v>0</v>
      </c>
      <c r="Q92" s="7">
        <f>VC_NEW2!L48</f>
        <v>0</v>
      </c>
      <c r="R92" s="7">
        <f>VC_NEW2!M48</f>
        <v>0</v>
      </c>
      <c r="S92" s="7">
        <f>VC_NEW2!N48</f>
        <v>0</v>
      </c>
      <c r="T92" s="7">
        <f>VC_NEW2!O48</f>
        <v>0</v>
      </c>
      <c r="U92" s="7">
        <f>VC_NEW2!P48</f>
        <v>0</v>
      </c>
      <c r="V92" s="7">
        <f>VC_NEW2!Q48</f>
        <v>0</v>
      </c>
      <c r="W92" s="7">
        <f>VC_NEW2!R48</f>
        <v>0</v>
      </c>
      <c r="X92" s="7">
        <f>VC_NEW2!S48</f>
        <v>0</v>
      </c>
      <c r="Y92" s="7">
        <f>VC_NEW2!T48</f>
        <v>0</v>
      </c>
      <c r="Z92" s="7">
        <f>VC_NEW2!U48</f>
        <v>0</v>
      </c>
      <c r="AA92" s="7">
        <f>VC_NEW2!V48</f>
        <v>0</v>
      </c>
      <c r="AB92" s="7" t="str">
        <f>VC_NEW2!W48</f>
        <v>Q117E</v>
      </c>
      <c r="AC92" s="7">
        <f>VC_NEW2!X48</f>
        <v>0</v>
      </c>
      <c r="AD92" s="7">
        <f>VC_NEW2!Y48</f>
        <v>0</v>
      </c>
      <c r="AE92" s="7">
        <f>VC_NEW2!Z48</f>
        <v>0</v>
      </c>
      <c r="AF92" s="7">
        <f>VC_NEW2!AA48</f>
        <v>0</v>
      </c>
      <c r="AG92" s="7">
        <f>VC_NEW2!AB48</f>
        <v>0</v>
      </c>
      <c r="AH92" s="7" t="str">
        <f>VC_NEW2!AC48</f>
        <v>P116S</v>
      </c>
      <c r="AI92" s="7">
        <f>VC_NEW2!AD48</f>
        <v>0</v>
      </c>
      <c r="AJ92" s="7">
        <f>VC_NEW2!AE48</f>
        <v>0</v>
      </c>
      <c r="AK92" s="7">
        <f>VC_NEW2!AF48</f>
        <v>0</v>
      </c>
      <c r="AL92" s="7">
        <f>VC_NEW2!AG48</f>
        <v>0</v>
      </c>
      <c r="AM92" s="7">
        <f>VC_NEW2!AH48</f>
        <v>0</v>
      </c>
      <c r="AN92" s="7">
        <f>VC_NEW2!AI48</f>
        <v>0</v>
      </c>
      <c r="AO92" s="7">
        <f>VC_NEW2!AJ48</f>
        <v>0</v>
      </c>
      <c r="AP92" s="7">
        <f>VC_NEW2!AK48</f>
        <v>0</v>
      </c>
      <c r="AQ92" s="7">
        <f>VC_NEW2!AL48</f>
        <v>0</v>
      </c>
      <c r="AR92" s="7">
        <f>VC_NEW2!AM48</f>
        <v>0</v>
      </c>
      <c r="AS92" s="7">
        <f>VC_NEW2!AN48</f>
        <v>0</v>
      </c>
      <c r="AT92" s="7">
        <f>VC_NEW2!AO48</f>
        <v>0</v>
      </c>
      <c r="AU92" s="7">
        <f>VC_NEW2!AP48</f>
        <v>0</v>
      </c>
      <c r="AV92" s="7">
        <f>VC_NEW2!AQ48</f>
        <v>0</v>
      </c>
      <c r="AW92" s="7">
        <f>VC_NEW2!AR48</f>
        <v>0</v>
      </c>
      <c r="AX92" s="7">
        <f>VC_NEW2!AS48</f>
        <v>0</v>
      </c>
      <c r="AY92" s="7">
        <f>VC_NEW2!AT48</f>
        <v>0</v>
      </c>
      <c r="AZ92" s="7">
        <f>VC_NEW2!AU48</f>
        <v>0</v>
      </c>
      <c r="BA92" s="7">
        <f>VC_NEW2!AV48</f>
        <v>0</v>
      </c>
      <c r="BB92" s="7">
        <f>VC_NEW2!AW48</f>
        <v>0</v>
      </c>
      <c r="BC92" s="7">
        <f>VC_NEW2!AX48</f>
        <v>0</v>
      </c>
      <c r="BD92" s="7">
        <f>VC_NEW2!AY48</f>
        <v>0</v>
      </c>
      <c r="BE92" s="7">
        <f>VC_NEW2!AZ48</f>
        <v>0</v>
      </c>
      <c r="BF92" s="7">
        <f>VC_NEW2!BA48</f>
        <v>0</v>
      </c>
      <c r="BG92" s="7">
        <f>VC_NEW2!BB48</f>
        <v>0</v>
      </c>
      <c r="BH92" s="7" t="str">
        <f>VC_NEW2!BC48</f>
        <v>Q117E</v>
      </c>
      <c r="BI92" s="7">
        <f>VC_NEW2!BD48</f>
        <v>0</v>
      </c>
      <c r="BJ92" s="7">
        <f>VC_NEW2!BE48</f>
        <v>0</v>
      </c>
      <c r="BK92" s="7">
        <f>VC_NEW2!BF48</f>
        <v>0</v>
      </c>
      <c r="BL92" s="7">
        <f>VC_NEW2!BG48</f>
        <v>0</v>
      </c>
      <c r="BM92" s="7">
        <f>VC_NEW2!BH48</f>
        <v>0</v>
      </c>
      <c r="BN92" s="7">
        <f>VC_NEW2!BI48</f>
        <v>0</v>
      </c>
      <c r="BO92" s="7">
        <f>VC_NEW2!BJ48</f>
        <v>0</v>
      </c>
      <c r="BP92" s="7">
        <f>VC_NEW2!BK48</f>
        <v>0</v>
      </c>
      <c r="BQ92" s="7">
        <f>VC_NEW2!BL48</f>
        <v>0</v>
      </c>
      <c r="BR92" s="7">
        <f>VC_NEW2!BM48</f>
        <v>0</v>
      </c>
      <c r="BS92" s="7">
        <f>VC_NEW2!BN48</f>
        <v>0</v>
      </c>
      <c r="BT92" s="7">
        <f>VC_NEW2!BO48</f>
        <v>0</v>
      </c>
      <c r="BU92" s="7">
        <f>VC_NEW2!BP48</f>
        <v>0</v>
      </c>
      <c r="BV92" s="7">
        <f>VC_NEW2!BQ48</f>
        <v>0</v>
      </c>
      <c r="BW92" s="7">
        <f>VC_NEW2!BR48</f>
        <v>0</v>
      </c>
      <c r="BX92" s="7">
        <f>VC_NEW2!BS48</f>
        <v>0</v>
      </c>
      <c r="BY92" s="7">
        <f>VC_NEW2!BT48</f>
        <v>0</v>
      </c>
      <c r="BZ92" s="7">
        <f>VC_NEW2!BU48</f>
        <v>0</v>
      </c>
      <c r="CA92" s="7">
        <f>VC_NEW2!BV48</f>
        <v>0</v>
      </c>
      <c r="CB92" s="7">
        <f>VC_NEW2!BW48</f>
        <v>0</v>
      </c>
      <c r="CC92" s="7">
        <f>VC_NEW2!BX48</f>
        <v>0</v>
      </c>
      <c r="CD92" s="7">
        <f>VC_NEW2!BY48</f>
        <v>0</v>
      </c>
      <c r="CE92" s="7">
        <f>VC_NEW2!BZ48</f>
        <v>0</v>
      </c>
      <c r="CF92" s="7">
        <f>VC_NEW2!CA48</f>
        <v>0</v>
      </c>
      <c r="CG92" s="7">
        <f>VC_NEW2!CB48</f>
        <v>0</v>
      </c>
      <c r="CH92" s="7">
        <f>VC_NEW2!CC48</f>
        <v>0</v>
      </c>
      <c r="CI92" s="7">
        <f>VC_NEW2!CD48</f>
        <v>0</v>
      </c>
      <c r="CJ92" s="7">
        <f>VC_NEW2!CE48</f>
        <v>0</v>
      </c>
      <c r="CK92" s="7">
        <f>VC_NEW2!CF48</f>
        <v>0</v>
      </c>
      <c r="CL92" s="7">
        <f>VC_NEW2!CG48</f>
        <v>0</v>
      </c>
      <c r="CM92" s="7">
        <f>VC_NEW2!CH48</f>
        <v>0</v>
      </c>
      <c r="CN92" s="7">
        <f>VC_NEW2!CI48</f>
        <v>0</v>
      </c>
      <c r="CO92" s="7">
        <f>VC_NEW2!CJ48</f>
        <v>0</v>
      </c>
      <c r="CP92" s="7">
        <f>VC_NEW2!CK48</f>
        <v>0</v>
      </c>
      <c r="CQ92" s="7">
        <f>VC_NEW2!CL48</f>
        <v>0</v>
      </c>
      <c r="CR92" s="7">
        <f>VC_NEW2!CM48</f>
        <v>0</v>
      </c>
      <c r="CS92" s="7">
        <f>VC_NEW2!CN48</f>
        <v>0</v>
      </c>
      <c r="CT92" s="7">
        <f>VC_NEW2!CO48</f>
        <v>0</v>
      </c>
      <c r="CU92" s="7">
        <f>VC_NEW2!CP48</f>
        <v>0</v>
      </c>
      <c r="CV92" s="7">
        <f>VC_NEW2!CQ48</f>
        <v>0</v>
      </c>
      <c r="CW92" s="7">
        <f>VC_NEW2!CR48</f>
        <v>0</v>
      </c>
      <c r="CX92" s="7">
        <f>VC_NEW2!CS48</f>
        <v>0</v>
      </c>
      <c r="CY92" s="7">
        <f>VC_NEW2!CT48</f>
        <v>0</v>
      </c>
      <c r="CZ92" s="7">
        <f>VC_NEW2!CU48</f>
        <v>0</v>
      </c>
      <c r="DA92" s="7">
        <f>VC_NEW2!CV48</f>
        <v>0</v>
      </c>
      <c r="DB92" s="7">
        <f>VC_NEW2!CW48</f>
        <v>0</v>
      </c>
      <c r="DC92" s="7">
        <f>VC_NEW2!CX48</f>
        <v>0</v>
      </c>
      <c r="DD92" s="7">
        <f>VC_NEW2!CY48</f>
        <v>0</v>
      </c>
      <c r="DE92" s="7">
        <f>VC_NEW2!CZ48</f>
        <v>0</v>
      </c>
      <c r="DF92" s="7">
        <f>VC_NEW2!DA48</f>
        <v>0</v>
      </c>
      <c r="DG92" s="7">
        <f>VC_NEW2!DB48</f>
        <v>0</v>
      </c>
      <c r="DH92" s="7">
        <f>VC_NEW2!DC48</f>
        <v>0</v>
      </c>
      <c r="DI92" s="7">
        <f>VC_NEW2!DD48</f>
        <v>0</v>
      </c>
      <c r="DJ92" s="7">
        <f>VC_NEW2!DE48</f>
        <v>0</v>
      </c>
      <c r="DK92" s="7">
        <f>VC_NEW2!DF48</f>
        <v>0</v>
      </c>
      <c r="DL92" s="7">
        <f>VC_NEW2!DG48</f>
        <v>0</v>
      </c>
      <c r="DM92" s="7">
        <f>VC_NEW2!DH48</f>
        <v>0</v>
      </c>
      <c r="DN92" s="7">
        <f>VC_NEW2!DI48</f>
        <v>0</v>
      </c>
      <c r="DO92" s="7">
        <f>VC_NEW2!DJ48</f>
        <v>0</v>
      </c>
      <c r="DP92" s="7">
        <f>VC_NEW2!DK48</f>
        <v>0</v>
      </c>
      <c r="DQ92" s="7">
        <f>VC_NEW2!DL48</f>
        <v>0</v>
      </c>
      <c r="DR92" s="7">
        <f>VC_NEW2!DM48</f>
        <v>0</v>
      </c>
      <c r="DS92" s="7">
        <f>VC_NEW2!DN48</f>
        <v>0</v>
      </c>
      <c r="DT92" s="7">
        <f>VC_NEW2!DO48</f>
        <v>0</v>
      </c>
      <c r="DU92" s="7">
        <f>VC_NEW2!DP48</f>
        <v>0</v>
      </c>
      <c r="DV92" s="7">
        <f>VC_NEW2!DQ48</f>
        <v>0</v>
      </c>
      <c r="DW92" s="7">
        <f>VC_NEW2!DR48</f>
        <v>0</v>
      </c>
      <c r="DX92" s="7">
        <f>VC_NEW2!DS48</f>
        <v>0</v>
      </c>
      <c r="DY92" s="7">
        <f>VC_NEW2!DT48</f>
        <v>0</v>
      </c>
      <c r="DZ92" s="7">
        <f>VC_NEW2!DU48</f>
        <v>0</v>
      </c>
      <c r="EA92" s="7">
        <f>VC_NEW2!DV48</f>
        <v>0</v>
      </c>
      <c r="EB92" s="7">
        <f>VC_NEW2!DW48</f>
        <v>0</v>
      </c>
      <c r="EC92" s="7">
        <f>VC_NEW2!DX48</f>
        <v>0</v>
      </c>
      <c r="ED92" s="7">
        <f>VC_NEW2!DY48</f>
        <v>0</v>
      </c>
      <c r="EE92" s="7">
        <f>VC_NEW2!DZ48</f>
        <v>0</v>
      </c>
      <c r="EF92" s="7">
        <f>VC_NEW2!EA48</f>
        <v>0</v>
      </c>
      <c r="EG92" s="7">
        <f>VC_NEW2!EB48</f>
        <v>0</v>
      </c>
      <c r="EH92" s="7">
        <f>VC_NEW2!EC48</f>
        <v>0</v>
      </c>
      <c r="EI92" s="7">
        <f>VC_NEW2!ED48</f>
        <v>0</v>
      </c>
      <c r="EJ92" s="7">
        <f>VC_NEW2!EE48</f>
        <v>0</v>
      </c>
      <c r="EK92" s="7">
        <f>VC_NEW2!EF48</f>
        <v>0</v>
      </c>
      <c r="EL92" s="7">
        <f>VC_NEW2!EG48</f>
        <v>0</v>
      </c>
      <c r="EM92" s="7">
        <f>VC_NEW2!EH48</f>
        <v>0</v>
      </c>
      <c r="EN92" s="7">
        <f>VC_NEW2!EI48</f>
        <v>0</v>
      </c>
      <c r="EO92" s="7">
        <f>VC_NEW2!EJ48</f>
        <v>0</v>
      </c>
      <c r="EP92" s="7">
        <f>VC_NEW2!EK48</f>
        <v>0</v>
      </c>
      <c r="EQ92" s="7">
        <f>VC_NEW2!EL48</f>
        <v>0</v>
      </c>
      <c r="ER92" s="7">
        <f>VC_NEW2!EM48</f>
        <v>0</v>
      </c>
      <c r="ES92" s="7">
        <f>VC_NEW2!EN48</f>
        <v>0</v>
      </c>
      <c r="ET92" s="7">
        <f>VC_NEW2!EO48</f>
        <v>0</v>
      </c>
      <c r="EU92" s="7">
        <f>VC_NEW2!EP48</f>
        <v>0</v>
      </c>
      <c r="EV92" s="7">
        <f>VC_NEW2!EQ48</f>
        <v>0</v>
      </c>
      <c r="EW92" s="7" t="str">
        <f>VC_NEW2!ER48</f>
        <v>A8V, Q110K</v>
      </c>
      <c r="EX92" s="7">
        <f>VC_NEW2!ES48</f>
        <v>0</v>
      </c>
      <c r="EY92" s="7">
        <f>VC_NEW2!ET48</f>
        <v>0</v>
      </c>
      <c r="EZ92" s="7">
        <f>VC_NEW2!EU48</f>
        <v>0</v>
      </c>
      <c r="FA92" s="7">
        <f>VC_NEW2!EV48</f>
        <v>0</v>
      </c>
      <c r="FB92" s="7">
        <f>VC_NEW2!EW48</f>
        <v>0</v>
      </c>
      <c r="FC92" s="7">
        <f>VC_NEW2!EX48</f>
        <v>0</v>
      </c>
      <c r="FD92" s="7">
        <f>VC_NEW2!EY48</f>
        <v>0</v>
      </c>
      <c r="FE92" s="7">
        <f>VC_NEW2!EZ48</f>
        <v>0</v>
      </c>
      <c r="FF92" s="7">
        <f>VC_NEW2!FA48</f>
        <v>0</v>
      </c>
      <c r="FG92" s="7">
        <f>VC_NEW2!FB48</f>
        <v>0</v>
      </c>
      <c r="FH92" s="7">
        <f>VC_NEW2!FC48</f>
        <v>0</v>
      </c>
      <c r="FI92" s="7">
        <f>VC_NEW2!FD48</f>
        <v>0</v>
      </c>
      <c r="FJ92" s="7">
        <f>VC_NEW2!FE48</f>
        <v>0</v>
      </c>
      <c r="FK92" s="7">
        <f>VC_NEW2!FF48</f>
        <v>0</v>
      </c>
      <c r="FL92" s="7">
        <f>VC_NEW2!FG48</f>
        <v>0</v>
      </c>
      <c r="FM92" s="7">
        <f>VC_NEW2!FH48</f>
        <v>0</v>
      </c>
      <c r="FN92" s="7">
        <f>VC_NEW2!FI48</f>
        <v>0</v>
      </c>
      <c r="FO92" s="7">
        <f>VC_NEW2!FJ48</f>
        <v>0</v>
      </c>
      <c r="FP92" s="7">
        <f>VC_NEW2!FK48</f>
        <v>0</v>
      </c>
      <c r="FQ92" s="7">
        <f>VC_NEW2!FL48</f>
        <v>0</v>
      </c>
      <c r="FR92" s="7">
        <f>VC_NEW2!FM48</f>
        <v>0</v>
      </c>
      <c r="FS92" s="7">
        <f>VC_NEW2!FN48</f>
        <v>0</v>
      </c>
      <c r="FT92" s="7">
        <f>VC_NEW2!FO48</f>
        <v>0</v>
      </c>
      <c r="FU92" s="7">
        <f>VC_NEW2!FP48</f>
        <v>0</v>
      </c>
      <c r="FV92" s="7">
        <f>VC_NEW2!FQ48</f>
        <v>0</v>
      </c>
      <c r="FW92" s="7">
        <f>VC_NEW2!FR48</f>
        <v>0</v>
      </c>
      <c r="FX92" s="7">
        <f>VC_NEW2!FS48</f>
        <v>0</v>
      </c>
      <c r="FY92" s="7" t="str">
        <f>VC_NEW2!FT48</f>
        <v>T115S</v>
      </c>
      <c r="FZ92" s="7">
        <f>VC_NEW2!FU48</f>
        <v>0</v>
      </c>
      <c r="GA92" s="7">
        <f>VC_NEW2!FV48</f>
        <v>0</v>
      </c>
      <c r="GB92" s="7">
        <f>VC_NEW2!FW48</f>
        <v>0</v>
      </c>
      <c r="GC92" s="7">
        <f>VC_NEW2!FX48</f>
        <v>0</v>
      </c>
      <c r="GD92" s="7">
        <f>VC_NEW2!FY48</f>
        <v>0</v>
      </c>
      <c r="GE92" s="7">
        <f>VC_NEW2!FZ48</f>
        <v>0</v>
      </c>
      <c r="GF92" s="7">
        <f>VC_NEW2!GA48</f>
        <v>0</v>
      </c>
      <c r="GG92" s="7">
        <f>VC_NEW2!GB48</f>
        <v>0</v>
      </c>
      <c r="GH92" s="7">
        <f>VC_NEW2!GC48</f>
        <v>0</v>
      </c>
      <c r="GI92" s="7">
        <f>VC_NEW2!GD48</f>
        <v>0</v>
      </c>
      <c r="GJ92" s="7">
        <f>VC_NEW2!GE48</f>
        <v>0</v>
      </c>
      <c r="GK92" s="7">
        <f>VC_NEW2!GF48</f>
        <v>0</v>
      </c>
      <c r="GL92" s="7">
        <f>VC_NEW2!GG48</f>
        <v>0</v>
      </c>
      <c r="GM92" s="7">
        <f>VC_NEW2!GH48</f>
        <v>0</v>
      </c>
      <c r="GN92" s="7">
        <f>VC_NEW2!GI48</f>
        <v>0</v>
      </c>
      <c r="GO92" s="7">
        <f>VC_NEW2!GJ48</f>
        <v>0</v>
      </c>
      <c r="GP92" s="7">
        <f>VC_NEW2!GK48</f>
        <v>0</v>
      </c>
      <c r="GQ92" s="7">
        <f>VC_NEW2!GL48</f>
        <v>0</v>
      </c>
      <c r="GR92" s="7">
        <f>VC_NEW2!GM48</f>
        <v>0</v>
      </c>
      <c r="GS92" s="7">
        <f>VC_NEW2!GN48</f>
        <v>0</v>
      </c>
      <c r="GT92" s="7">
        <f>VC_NEW2!GO48</f>
        <v>0</v>
      </c>
      <c r="GU92" s="7">
        <f>VC_NEW2!GP48</f>
        <v>0</v>
      </c>
      <c r="GV92" s="7">
        <f>VC_NEW2!GQ48</f>
        <v>0</v>
      </c>
      <c r="GW92" s="7">
        <f>VC_NEW2!GR48</f>
        <v>0</v>
      </c>
      <c r="GX92" s="7">
        <f>VC_NEW2!GS48</f>
        <v>0</v>
      </c>
      <c r="GY92" s="7">
        <f>VC_NEW2!GT48</f>
        <v>0</v>
      </c>
      <c r="GZ92" s="7">
        <f>VC_NEW2!GU48</f>
        <v>0</v>
      </c>
      <c r="HA92" s="7">
        <f>VC_NEW2!GV48</f>
        <v>0</v>
      </c>
      <c r="HB92" s="7">
        <f>VC_NEW2!GW48</f>
        <v>0</v>
      </c>
      <c r="HC92" s="7" t="str">
        <f>VC_NEW2!GX48</f>
        <v>P21Q</v>
      </c>
    </row>
    <row r="93" spans="1:443" ht="15" hidden="1" customHeight="1" x14ac:dyDescent="0.25">
      <c r="C93" s="4" t="s">
        <v>0</v>
      </c>
      <c r="G93" t="s">
        <v>1044</v>
      </c>
      <c r="H93" s="1">
        <v>0</v>
      </c>
      <c r="I93" s="1">
        <v>0.25</v>
      </c>
      <c r="J93" s="1">
        <v>0</v>
      </c>
      <c r="K93" s="1">
        <v>0</v>
      </c>
      <c r="L93" s="1">
        <v>0.5</v>
      </c>
      <c r="M93" s="1">
        <v>0.5</v>
      </c>
      <c r="N93" s="1">
        <v>2</v>
      </c>
      <c r="O93" s="1">
        <f>VC_NEW!J87</f>
        <v>0</v>
      </c>
      <c r="P93" s="1">
        <f>VC_NEW!K87</f>
        <v>0</v>
      </c>
      <c r="Q93" s="1">
        <f>VC_NEW!L87</f>
        <v>0</v>
      </c>
      <c r="R93" s="1">
        <v>0.25</v>
      </c>
      <c r="S93" s="1">
        <f>VC_NEW!N87</f>
        <v>0</v>
      </c>
      <c r="T93" s="1">
        <f>VC_NEW!O87</f>
        <v>0</v>
      </c>
      <c r="U93" s="1">
        <f>VC_NEW!P87</f>
        <v>0</v>
      </c>
      <c r="V93" s="1">
        <f>VC_NEW!Q87</f>
        <v>0</v>
      </c>
      <c r="W93" s="1">
        <f>VC_NEW!R87</f>
        <v>0</v>
      </c>
      <c r="X93" s="1">
        <f>VC_NEW!S87</f>
        <v>0</v>
      </c>
      <c r="Y93" s="1">
        <f>VC_NEW!T87</f>
        <v>0</v>
      </c>
      <c r="Z93" s="1">
        <v>0</v>
      </c>
      <c r="AA93" s="1">
        <f>VC_NEW!V87</f>
        <v>0</v>
      </c>
      <c r="AB93" s="1">
        <f>VC_NEW!W87</f>
        <v>0</v>
      </c>
      <c r="AC93" s="1">
        <v>0.5</v>
      </c>
      <c r="AD93" s="1">
        <f>VC_NEW!Y87</f>
        <v>0</v>
      </c>
      <c r="AE93" s="1">
        <v>0.25</v>
      </c>
      <c r="AF93" s="1">
        <f>VC_NEW!AA87</f>
        <v>0</v>
      </c>
      <c r="AG93" s="1">
        <f>VC_NEW!AB87</f>
        <v>0</v>
      </c>
      <c r="AH93" s="1">
        <f>VC_NEW!AC87</f>
        <v>0</v>
      </c>
      <c r="AI93" s="1">
        <f>VC_NEW!AD87</f>
        <v>0</v>
      </c>
      <c r="AJ93" s="1">
        <f>VC_NEW!AE87</f>
        <v>0</v>
      </c>
      <c r="AK93" s="1">
        <f>VC_NEW!AF87</f>
        <v>0</v>
      </c>
      <c r="AL93" s="1">
        <v>0.5</v>
      </c>
      <c r="AM93" s="1">
        <f>VC_NEW!AH87</f>
        <v>0</v>
      </c>
      <c r="AN93" s="1">
        <f>VC_NEW!AI87</f>
        <v>0</v>
      </c>
      <c r="AO93" s="1">
        <v>0.25</v>
      </c>
      <c r="AP93" s="1">
        <v>0.25</v>
      </c>
      <c r="AQ93" s="1">
        <v>0.5</v>
      </c>
      <c r="AR93" s="1">
        <f>VC_NEW!AM87</f>
        <v>0</v>
      </c>
      <c r="AS93" s="1">
        <f>VC_NEW!AN87</f>
        <v>0</v>
      </c>
      <c r="AT93" s="1">
        <v>0</v>
      </c>
      <c r="AU93" s="1">
        <f>VC_NEW!AP87</f>
        <v>0</v>
      </c>
      <c r="AV93" s="1">
        <f>VC_NEW!AQ87</f>
        <v>0</v>
      </c>
      <c r="AW93" s="1">
        <f>VC_NEW!AR87</f>
        <v>0</v>
      </c>
      <c r="AX93" s="1">
        <f>VC_NEW!AS87</f>
        <v>0</v>
      </c>
      <c r="AY93" s="1">
        <f>VC_NEW!AT87</f>
        <v>0</v>
      </c>
      <c r="AZ93" s="1">
        <f>VC_NEW!AU87</f>
        <v>0</v>
      </c>
      <c r="BA93" s="1">
        <v>1.75</v>
      </c>
      <c r="BB93" s="1">
        <f>VC_NEW!AW87</f>
        <v>0</v>
      </c>
      <c r="BC93" s="1">
        <v>1.75</v>
      </c>
      <c r="BD93" s="1">
        <f>VC_NEW!AY87</f>
        <v>0</v>
      </c>
      <c r="BE93" s="1">
        <v>0.5</v>
      </c>
      <c r="BF93" s="1">
        <v>0.25</v>
      </c>
      <c r="BG93" s="1">
        <v>0.25</v>
      </c>
      <c r="BH93" s="1">
        <f>VC_NEW!BC87</f>
        <v>0</v>
      </c>
      <c r="BI93" s="1">
        <v>1.75</v>
      </c>
      <c r="BJ93" s="1">
        <v>1.25</v>
      </c>
      <c r="BK93" s="1">
        <f>VC_NEW!BF87</f>
        <v>0</v>
      </c>
      <c r="BL93" s="1">
        <f>VC_NEW!BG87</f>
        <v>0</v>
      </c>
      <c r="BM93" s="1">
        <v>0.25</v>
      </c>
      <c r="BN93" s="1">
        <v>-0.5</v>
      </c>
      <c r="BO93" s="1">
        <f>VC_NEW!BJ87</f>
        <v>0</v>
      </c>
      <c r="BP93" s="1">
        <v>0</v>
      </c>
      <c r="BQ93" s="1">
        <v>0.25</v>
      </c>
      <c r="BR93" s="1">
        <v>1</v>
      </c>
      <c r="BS93" s="1">
        <v>1.75</v>
      </c>
      <c r="BT93" s="1">
        <v>1</v>
      </c>
      <c r="BU93" s="1">
        <v>0</v>
      </c>
      <c r="BV93" s="1">
        <v>0</v>
      </c>
      <c r="BW93" s="1">
        <v>0.25</v>
      </c>
      <c r="BX93" s="1">
        <v>0.25</v>
      </c>
      <c r="BY93" s="1">
        <f>VC_NEW!BT87</f>
        <v>0</v>
      </c>
      <c r="BZ93" s="1">
        <v>0.25</v>
      </c>
      <c r="CA93" s="1">
        <f>VC_NEW!BV87</f>
        <v>0</v>
      </c>
      <c r="CB93" s="1">
        <f>VC_NEW!BW87</f>
        <v>0</v>
      </c>
      <c r="CC93" s="1">
        <v>0.25</v>
      </c>
      <c r="CD93" s="1">
        <v>1.75</v>
      </c>
      <c r="CE93" s="1">
        <f>VC_NEW!BZ87</f>
        <v>0</v>
      </c>
      <c r="CF93" s="1">
        <f>VC_NEW!CA87</f>
        <v>0</v>
      </c>
      <c r="CG93" s="1">
        <v>0</v>
      </c>
      <c r="CH93" s="1">
        <f>VC_NEW!CC87</f>
        <v>0</v>
      </c>
      <c r="CI93" s="1">
        <v>0</v>
      </c>
      <c r="CJ93" s="1">
        <v>1.75</v>
      </c>
      <c r="CK93" s="1">
        <v>1.25</v>
      </c>
      <c r="CL93" s="1">
        <f>VC_NEW!CG87</f>
        <v>0</v>
      </c>
      <c r="CM93" s="1">
        <v>0.25</v>
      </c>
      <c r="CN93" s="1">
        <f>VC_NEW!CI87</f>
        <v>0</v>
      </c>
      <c r="CO93" s="1">
        <f>VC_NEW!CJ87</f>
        <v>0</v>
      </c>
      <c r="CP93" s="1">
        <v>1.75</v>
      </c>
      <c r="CQ93" s="1">
        <v>1.75</v>
      </c>
      <c r="CR93" s="1">
        <v>0</v>
      </c>
      <c r="CS93" s="1">
        <f>VC_NEW!CN87</f>
        <v>0</v>
      </c>
      <c r="CT93" s="1">
        <f>VC_NEW!CO87</f>
        <v>0</v>
      </c>
      <c r="CU93" s="1">
        <f>VC_NEW!CP87</f>
        <v>0</v>
      </c>
      <c r="CV93" s="1">
        <f>VC_NEW!CQ87</f>
        <v>0</v>
      </c>
      <c r="CW93" s="1">
        <v>0</v>
      </c>
      <c r="CX93" s="1">
        <f>VC_NEW!CS87</f>
        <v>0</v>
      </c>
      <c r="CY93" s="1">
        <f>VC_NEW!CT87</f>
        <v>0</v>
      </c>
      <c r="CZ93" s="1">
        <v>1.5</v>
      </c>
      <c r="DA93" s="1">
        <f>VC_NEW!CV87</f>
        <v>0</v>
      </c>
      <c r="DB93" s="1">
        <v>1.25</v>
      </c>
      <c r="DC93" s="1">
        <f>VC_NEW!CX87</f>
        <v>0</v>
      </c>
      <c r="DD93" s="1">
        <v>0.25</v>
      </c>
      <c r="DE93" s="1">
        <f>VC_NEW!CZ87</f>
        <v>0</v>
      </c>
      <c r="DF93" s="1">
        <f>VC_NEW!DA87</f>
        <v>0</v>
      </c>
      <c r="DG93" s="1">
        <f>VC_NEW!DB87</f>
        <v>0</v>
      </c>
      <c r="DH93" s="1">
        <v>0.25</v>
      </c>
      <c r="DI93" s="1">
        <v>-0.5</v>
      </c>
      <c r="DJ93" s="1">
        <v>0</v>
      </c>
      <c r="DK93" s="1">
        <v>1.25</v>
      </c>
      <c r="DL93" s="1">
        <v>0.25</v>
      </c>
      <c r="DM93" s="1">
        <v>0.5</v>
      </c>
      <c r="DN93" s="1">
        <v>-0.5</v>
      </c>
      <c r="DO93" s="1">
        <v>0</v>
      </c>
      <c r="DP93" s="1">
        <f>VC_NEW!DK87</f>
        <v>0</v>
      </c>
      <c r="DQ93" s="1">
        <v>0</v>
      </c>
      <c r="DR93" s="1">
        <v>-0.25</v>
      </c>
      <c r="DS93" s="1">
        <f>VC_NEW!DN87</f>
        <v>0</v>
      </c>
      <c r="DT93" s="1">
        <f>VC_NEW!DO87</f>
        <v>0</v>
      </c>
      <c r="DU93" s="1">
        <v>1.25</v>
      </c>
      <c r="DV93" s="1">
        <v>0.25</v>
      </c>
      <c r="DW93" s="1">
        <v>1.75</v>
      </c>
      <c r="DX93" s="1">
        <v>0.25</v>
      </c>
      <c r="DY93" s="1">
        <v>0.25</v>
      </c>
      <c r="DZ93" s="1">
        <f>VC_NEW!DU87</f>
        <v>0</v>
      </c>
      <c r="EA93" s="1">
        <v>1.75</v>
      </c>
      <c r="EB93" s="1">
        <f>VC_NEW!DW87</f>
        <v>0</v>
      </c>
      <c r="EC93" s="1">
        <f>VC_NEW!DX87</f>
        <v>0</v>
      </c>
      <c r="ED93" s="1">
        <v>1</v>
      </c>
      <c r="EE93" s="1">
        <v>1.75</v>
      </c>
      <c r="EF93" s="1">
        <v>-0.5</v>
      </c>
      <c r="EG93" s="1">
        <v>0.25</v>
      </c>
      <c r="EH93" s="1">
        <v>0.5</v>
      </c>
      <c r="EI93" s="1">
        <v>0.25</v>
      </c>
      <c r="EJ93" s="1">
        <f>VC_NEW!EE87</f>
        <v>0</v>
      </c>
      <c r="EK93" s="1">
        <v>0.25</v>
      </c>
      <c r="EL93" s="1">
        <f>VC_NEW!EG87</f>
        <v>0</v>
      </c>
      <c r="EM93" s="1">
        <f>VC_NEW!EH87</f>
        <v>0</v>
      </c>
      <c r="EN93" s="1">
        <f>VC_NEW!EI87</f>
        <v>0</v>
      </c>
      <c r="EO93" s="1">
        <f>VC_NEW!EJ87</f>
        <v>0</v>
      </c>
      <c r="EP93" s="1">
        <f>VC_NEW!EK87</f>
        <v>0</v>
      </c>
      <c r="EQ93" s="1">
        <v>-0.5</v>
      </c>
      <c r="ER93" s="1">
        <v>0.25</v>
      </c>
      <c r="ES93" s="1">
        <v>0.25</v>
      </c>
      <c r="ET93" s="1">
        <v>0.5</v>
      </c>
      <c r="EU93" s="1">
        <f>VC_NEW!EP87</f>
        <v>0</v>
      </c>
      <c r="EV93" s="1">
        <v>0.5</v>
      </c>
      <c r="EW93" s="1" t="s">
        <v>1151</v>
      </c>
      <c r="EX93" s="1">
        <v>0.25</v>
      </c>
      <c r="EY93" s="1">
        <f>VC_NEW!ET87</f>
        <v>0</v>
      </c>
      <c r="EZ93" s="1">
        <v>0.5</v>
      </c>
      <c r="FA93" s="1">
        <v>0.5</v>
      </c>
      <c r="FB93" s="1">
        <f>VC_NEW!EW87</f>
        <v>0</v>
      </c>
      <c r="FC93" s="1">
        <f>VC_NEW!EX87</f>
        <v>0</v>
      </c>
      <c r="FD93" s="1">
        <v>0</v>
      </c>
      <c r="FE93" s="1">
        <v>1.75</v>
      </c>
      <c r="FF93" s="1">
        <f>VC_NEW!FA87</f>
        <v>0</v>
      </c>
      <c r="FG93" s="1">
        <v>0.5</v>
      </c>
      <c r="FH93" s="1">
        <f>VC_NEW!FC87</f>
        <v>0</v>
      </c>
      <c r="FI93" s="1">
        <v>1.5</v>
      </c>
      <c r="FJ93" s="1">
        <v>-0.5</v>
      </c>
      <c r="FK93" s="1">
        <f>VC_NEW!FF87</f>
        <v>0</v>
      </c>
      <c r="FL93" s="1">
        <v>1.25</v>
      </c>
      <c r="FM93" s="1">
        <f>VC_NEW!FH87</f>
        <v>0</v>
      </c>
      <c r="FN93" s="1">
        <f>VC_NEW!FI87</f>
        <v>0</v>
      </c>
      <c r="FO93" s="1">
        <v>0.25</v>
      </c>
      <c r="FP93" s="1">
        <f>VC_NEW!FK87</f>
        <v>0</v>
      </c>
      <c r="FQ93" s="1">
        <v>1.75</v>
      </c>
      <c r="FR93" s="1">
        <f>VC_NEW!FM87</f>
        <v>0</v>
      </c>
      <c r="FS93" s="1">
        <v>0.75</v>
      </c>
      <c r="FT93" s="1">
        <f>VC_NEW!FO87</f>
        <v>0</v>
      </c>
      <c r="FU93" s="1">
        <v>1.25</v>
      </c>
      <c r="FV93" s="1">
        <v>0.25</v>
      </c>
      <c r="FW93" s="1">
        <v>0.5</v>
      </c>
      <c r="FX93" s="1">
        <v>0.25</v>
      </c>
      <c r="FY93" s="1">
        <f>VC_NEW!FT87</f>
        <v>0</v>
      </c>
      <c r="FZ93" s="1">
        <f>VC_NEW!FU87</f>
        <v>0</v>
      </c>
      <c r="GA93" s="1">
        <v>1.75</v>
      </c>
      <c r="GB93" s="1">
        <f>VC_NEW!FW87</f>
        <v>0</v>
      </c>
      <c r="GC93" s="1">
        <v>0.25</v>
      </c>
      <c r="GD93" s="1">
        <v>-0.5</v>
      </c>
      <c r="GE93" s="1">
        <v>0.5</v>
      </c>
      <c r="GF93" s="1">
        <f>VC_NEW!GA87</f>
        <v>0</v>
      </c>
      <c r="GG93" s="1">
        <f>VC_NEW!GB87</f>
        <v>0</v>
      </c>
      <c r="GH93" s="1">
        <v>0.25</v>
      </c>
      <c r="GI93" s="1">
        <f>VC_NEW!GD87</f>
        <v>0</v>
      </c>
      <c r="GJ93" s="1">
        <v>0.5</v>
      </c>
      <c r="GK93" s="1">
        <v>0.25</v>
      </c>
      <c r="GL93" s="1">
        <v>0.25</v>
      </c>
      <c r="GM93" s="1">
        <v>1.75</v>
      </c>
      <c r="GN93" s="1">
        <v>0.75</v>
      </c>
      <c r="GO93" s="1">
        <f>VC_NEW!GJ87</f>
        <v>0</v>
      </c>
      <c r="GP93" s="1">
        <v>0</v>
      </c>
      <c r="GQ93" s="1">
        <f>VC_NEW!GL87</f>
        <v>0</v>
      </c>
      <c r="GR93" s="1">
        <f>VC_NEW!GM87</f>
        <v>0</v>
      </c>
      <c r="GS93" s="1">
        <f>VC_NEW!GN87</f>
        <v>0</v>
      </c>
      <c r="GT93" s="1">
        <f>VC_NEW!GO87</f>
        <v>0</v>
      </c>
      <c r="GU93" s="1">
        <v>0.5</v>
      </c>
      <c r="GV93" s="1">
        <f>VC_NEW!GQ87</f>
        <v>0</v>
      </c>
      <c r="GW93" s="1">
        <f>VC_NEW!GR87</f>
        <v>0</v>
      </c>
      <c r="GX93" s="1">
        <v>1.25</v>
      </c>
      <c r="GY93" s="1">
        <v>1.5</v>
      </c>
      <c r="GZ93" s="1">
        <f>VC_NEW!GU87</f>
        <v>0</v>
      </c>
      <c r="HA93" s="1">
        <f>VC_NEW!GV87</f>
        <v>0</v>
      </c>
      <c r="HB93" s="1">
        <v>1.75</v>
      </c>
      <c r="HC93" s="1">
        <v>0.25</v>
      </c>
    </row>
    <row r="94" spans="1:443" ht="15" hidden="1" customHeight="1" x14ac:dyDescent="0.25">
      <c r="C94" s="8" t="s">
        <v>1</v>
      </c>
      <c r="G94" s="7" t="s">
        <v>1046</v>
      </c>
      <c r="H94" s="7">
        <v>0.25</v>
      </c>
      <c r="I94" s="7">
        <v>0.25</v>
      </c>
      <c r="J94" s="7">
        <v>0</v>
      </c>
      <c r="K94" s="7">
        <v>0.5</v>
      </c>
      <c r="L94" s="7">
        <v>0.5</v>
      </c>
      <c r="M94" s="7">
        <v>0</v>
      </c>
      <c r="N94" s="7">
        <v>0.5</v>
      </c>
      <c r="O94" s="7">
        <v>0</v>
      </c>
      <c r="P94" s="7">
        <v>0</v>
      </c>
      <c r="Q94" s="7">
        <f>VC_NEW!L88</f>
        <v>0</v>
      </c>
      <c r="R94" s="7">
        <v>0.25</v>
      </c>
      <c r="S94" s="7">
        <f>VC_NEW!N88</f>
        <v>0</v>
      </c>
      <c r="T94" s="7">
        <f>VC_NEW!O88</f>
        <v>0</v>
      </c>
      <c r="U94" s="7">
        <v>0</v>
      </c>
      <c r="V94" s="7">
        <v>1</v>
      </c>
      <c r="W94" s="7">
        <f>VC_NEW!R88</f>
        <v>0</v>
      </c>
      <c r="X94" s="7">
        <f>VC_NEW!S88</f>
        <v>0</v>
      </c>
      <c r="Y94" s="7">
        <f>VC_NEW!T88</f>
        <v>0</v>
      </c>
      <c r="Z94" s="7">
        <f>VC_NEW!U88</f>
        <v>0</v>
      </c>
      <c r="AA94" s="7">
        <f>VC_NEW!V88</f>
        <v>0</v>
      </c>
      <c r="AB94" s="7">
        <v>0.375</v>
      </c>
      <c r="AC94" s="7">
        <v>0.5</v>
      </c>
      <c r="AD94" s="7">
        <f>VC_NEW!Y88</f>
        <v>0</v>
      </c>
      <c r="AE94" s="7">
        <f>VC_NEW!Z88</f>
        <v>0</v>
      </c>
      <c r="AF94" s="7">
        <f>VC_NEW!AA88</f>
        <v>0</v>
      </c>
      <c r="AG94" s="7">
        <f>VC_NEW!AB88</f>
        <v>0</v>
      </c>
      <c r="AH94" s="7">
        <v>0.375</v>
      </c>
      <c r="AI94" s="7">
        <f>VC_NEW!AD88</f>
        <v>0</v>
      </c>
      <c r="AJ94" s="7">
        <f>VC_NEW!AE88</f>
        <v>0</v>
      </c>
      <c r="AK94" s="7">
        <v>0.25</v>
      </c>
      <c r="AL94" s="7">
        <f>VC_NEW!AG88</f>
        <v>0</v>
      </c>
      <c r="AM94" s="7">
        <v>0</v>
      </c>
      <c r="AN94" s="7">
        <f>VC_NEW!AI88</f>
        <v>0</v>
      </c>
      <c r="AO94" s="7">
        <v>1.25</v>
      </c>
      <c r="AP94" s="7">
        <f>VC_NEW!AK88</f>
        <v>0</v>
      </c>
      <c r="AQ94" s="7">
        <f>VC_NEW!AL88</f>
        <v>0</v>
      </c>
      <c r="AR94" s="7">
        <f>VC_NEW!AM88</f>
        <v>0</v>
      </c>
      <c r="AS94" s="7">
        <f>VC_NEW!AN88</f>
        <v>0</v>
      </c>
      <c r="AT94" s="7">
        <v>0.25</v>
      </c>
      <c r="AU94" s="7">
        <v>1</v>
      </c>
      <c r="AV94" s="7">
        <f>VC_NEW!AQ88</f>
        <v>0</v>
      </c>
      <c r="AW94" s="7">
        <f>VC_NEW!AR88</f>
        <v>0</v>
      </c>
      <c r="AX94" s="7">
        <f>VC_NEW!AS88</f>
        <v>0</v>
      </c>
      <c r="AY94" s="7">
        <f>VC_NEW!AT88</f>
        <v>0</v>
      </c>
      <c r="AZ94" s="7">
        <v>0</v>
      </c>
      <c r="BA94" s="7">
        <v>1</v>
      </c>
      <c r="BB94" s="7">
        <v>0.5</v>
      </c>
      <c r="BC94" s="7">
        <v>1</v>
      </c>
      <c r="BD94" s="7">
        <f>VC_NEW!AY88</f>
        <v>0</v>
      </c>
      <c r="BE94" s="7">
        <f>VC_NEW!AZ88</f>
        <v>0</v>
      </c>
      <c r="BF94" s="7">
        <f>VC_NEW!BA88</f>
        <v>0</v>
      </c>
      <c r="BG94" s="7">
        <v>0.625</v>
      </c>
      <c r="BH94" s="7">
        <f>VC_NEW!BC88</f>
        <v>0</v>
      </c>
      <c r="BI94" s="7">
        <v>1.5</v>
      </c>
      <c r="BJ94" s="7">
        <v>2.5</v>
      </c>
      <c r="BK94" s="7">
        <f>VC_NEW!BF88</f>
        <v>0</v>
      </c>
      <c r="BL94" s="7">
        <f>VC_NEW!BG88</f>
        <v>0</v>
      </c>
      <c r="BM94" s="7">
        <f>VC_NEW!BH88</f>
        <v>0</v>
      </c>
      <c r="BN94" s="7">
        <v>1.25</v>
      </c>
      <c r="BO94" s="7">
        <v>-0.5</v>
      </c>
      <c r="BP94" s="7">
        <v>0.25</v>
      </c>
      <c r="BQ94" s="7">
        <v>-0.5</v>
      </c>
      <c r="BR94" s="7">
        <v>0.5</v>
      </c>
      <c r="BS94" s="7">
        <v>0.5</v>
      </c>
      <c r="BT94" s="7">
        <v>0.5</v>
      </c>
      <c r="BU94" s="7">
        <v>0</v>
      </c>
      <c r="BV94" s="7">
        <v>0.5</v>
      </c>
      <c r="BW94" s="7">
        <v>0.5</v>
      </c>
      <c r="BX94" s="7">
        <v>0.5</v>
      </c>
      <c r="BY94" s="7">
        <f>VC_NEW!BT88</f>
        <v>0</v>
      </c>
      <c r="BZ94" s="7">
        <f>VC_NEW!BU88</f>
        <v>0</v>
      </c>
      <c r="CA94" s="7">
        <v>1</v>
      </c>
      <c r="CB94" s="7">
        <f>VC_NEW!BW88</f>
        <v>0</v>
      </c>
      <c r="CC94" s="7">
        <f>VC_NEW!BX88</f>
        <v>0</v>
      </c>
      <c r="CD94" s="7">
        <v>1</v>
      </c>
      <c r="CE94" s="7">
        <f>VC_NEW!BZ88</f>
        <v>0</v>
      </c>
      <c r="CF94" s="7">
        <v>1</v>
      </c>
      <c r="CG94" s="7">
        <f>VC_NEW!CB88</f>
        <v>0</v>
      </c>
      <c r="CH94" s="7">
        <f>VC_NEW!CC88</f>
        <v>0</v>
      </c>
      <c r="CI94" s="7">
        <f>VC_NEW!CD88</f>
        <v>0</v>
      </c>
      <c r="CJ94" s="7">
        <v>1</v>
      </c>
      <c r="CK94" s="7">
        <v>1</v>
      </c>
      <c r="CL94" s="7">
        <f>VC_NEW!CG88</f>
        <v>0</v>
      </c>
      <c r="CM94" s="7">
        <v>2</v>
      </c>
      <c r="CN94" s="7">
        <f>VC_NEW!CI88</f>
        <v>0</v>
      </c>
      <c r="CO94" s="7">
        <v>0.5</v>
      </c>
      <c r="CP94" s="7">
        <v>1</v>
      </c>
      <c r="CQ94" s="7">
        <v>1.5</v>
      </c>
      <c r="CR94" s="7">
        <f>VC_NEW!CM88</f>
        <v>0</v>
      </c>
      <c r="CS94" s="7">
        <v>0.5</v>
      </c>
      <c r="CT94" s="7">
        <v>0.5</v>
      </c>
      <c r="CU94" s="7">
        <v>0.25</v>
      </c>
      <c r="CV94" s="7">
        <f>VC_NEW!CQ88</f>
        <v>0</v>
      </c>
      <c r="CW94" s="7">
        <v>0.5</v>
      </c>
      <c r="CX94" s="7">
        <v>0.25</v>
      </c>
      <c r="CY94" s="7">
        <f>VC_NEW!CT88</f>
        <v>0</v>
      </c>
      <c r="CZ94" s="7">
        <v>1</v>
      </c>
      <c r="DA94" s="7">
        <f>VC_NEW!CV88</f>
        <v>0</v>
      </c>
      <c r="DB94" s="7">
        <f>VC_NEW!CW88</f>
        <v>0</v>
      </c>
      <c r="DC94" s="7">
        <f>VC_NEW!CX88</f>
        <v>0</v>
      </c>
      <c r="DD94" s="7">
        <v>0.5</v>
      </c>
      <c r="DE94" s="7">
        <f>VC_NEW!CZ88</f>
        <v>0</v>
      </c>
      <c r="DF94" s="7">
        <v>0.25</v>
      </c>
      <c r="DG94" s="7">
        <f>VC_NEW!DB88</f>
        <v>0</v>
      </c>
      <c r="DH94" s="7">
        <v>0.25</v>
      </c>
      <c r="DI94" s="7">
        <v>0.75</v>
      </c>
      <c r="DJ94" s="7">
        <v>1.5</v>
      </c>
      <c r="DK94" s="7">
        <v>3</v>
      </c>
      <c r="DL94" s="7">
        <v>0.25</v>
      </c>
      <c r="DM94" s="7">
        <f>VC_NEW!DH88</f>
        <v>0</v>
      </c>
      <c r="DN94" s="7">
        <v>0.5</v>
      </c>
      <c r="DO94" s="7">
        <v>0.5</v>
      </c>
      <c r="DP94" s="7">
        <v>0.25</v>
      </c>
      <c r="DQ94" s="7">
        <f>VC_NEW!DL88</f>
        <v>0</v>
      </c>
      <c r="DR94" s="7">
        <v>0.5</v>
      </c>
      <c r="DS94" s="7">
        <v>0.25</v>
      </c>
      <c r="DT94" s="7">
        <f>VC_NEW!DO88</f>
        <v>0</v>
      </c>
      <c r="DU94" s="7">
        <v>0.25</v>
      </c>
      <c r="DV94" s="7">
        <f>VC_NEW!DQ88</f>
        <v>0</v>
      </c>
      <c r="DW94" s="7">
        <v>0.75</v>
      </c>
      <c r="DX94" s="7">
        <f>VC_NEW!DS88</f>
        <v>0</v>
      </c>
      <c r="DY94" s="7">
        <f>VC_NEW!DT88</f>
        <v>0</v>
      </c>
      <c r="DZ94" s="7">
        <f>VC_NEW!DU88</f>
        <v>0</v>
      </c>
      <c r="EA94" s="7">
        <v>1.5</v>
      </c>
      <c r="EB94" s="7">
        <v>0.5</v>
      </c>
      <c r="EC94" s="7">
        <v>0.75</v>
      </c>
      <c r="ED94" s="7">
        <v>-0.5</v>
      </c>
      <c r="EE94" s="7">
        <v>2.5</v>
      </c>
      <c r="EF94" s="7">
        <v>0.5</v>
      </c>
      <c r="EG94" s="7">
        <v>-0.25</v>
      </c>
      <c r="EH94" s="7">
        <v>1.25</v>
      </c>
      <c r="EI94" s="7">
        <v>0</v>
      </c>
      <c r="EJ94" s="7">
        <v>0.5</v>
      </c>
      <c r="EK94" s="7">
        <v>0.75</v>
      </c>
      <c r="EL94" s="7">
        <v>1.5</v>
      </c>
      <c r="EM94" s="7">
        <f>VC_NEW!EH88</f>
        <v>0</v>
      </c>
      <c r="EN94" s="7">
        <v>0.5</v>
      </c>
      <c r="EO94" s="7">
        <f>VC_NEW!EJ88</f>
        <v>0</v>
      </c>
      <c r="EP94" s="7">
        <f>VC_NEW!EK88</f>
        <v>0</v>
      </c>
      <c r="EQ94" s="7">
        <v>0.5</v>
      </c>
      <c r="ER94" s="7">
        <f>VC_NEW!EM88</f>
        <v>0</v>
      </c>
      <c r="ES94" s="7">
        <v>0.5</v>
      </c>
      <c r="ET94" s="7">
        <v>0.25</v>
      </c>
      <c r="EU94" s="7">
        <v>1</v>
      </c>
      <c r="EV94" s="7">
        <f>VC_NEW!EQ88</f>
        <v>0</v>
      </c>
      <c r="EW94" s="7" t="s">
        <v>1326</v>
      </c>
      <c r="EX94" s="7">
        <f>VC_NEW!ES88</f>
        <v>0</v>
      </c>
      <c r="EY94" s="7">
        <f>VC_NEW!ET88</f>
        <v>0</v>
      </c>
      <c r="EZ94" s="7">
        <f>VC_NEW!EU88</f>
        <v>0</v>
      </c>
      <c r="FA94" s="7">
        <v>0.5</v>
      </c>
      <c r="FB94" s="7">
        <f>VC_NEW!EW88</f>
        <v>0</v>
      </c>
      <c r="FC94" s="7">
        <v>0.75</v>
      </c>
      <c r="FD94" s="7">
        <f>VC_NEW!EY88</f>
        <v>0</v>
      </c>
      <c r="FE94" s="7">
        <v>0.625</v>
      </c>
      <c r="FF94" s="7">
        <v>0</v>
      </c>
      <c r="FG94" s="7">
        <f>VC_NEW!FB88</f>
        <v>0</v>
      </c>
      <c r="FH94" s="7">
        <f>VC_NEW!FC88</f>
        <v>0</v>
      </c>
      <c r="FI94" s="7">
        <v>1.5</v>
      </c>
      <c r="FJ94" s="7">
        <v>0.5</v>
      </c>
      <c r="FK94" s="7">
        <v>0.5</v>
      </c>
      <c r="FL94" s="7">
        <v>0.75</v>
      </c>
      <c r="FM94" s="7">
        <f>VC_NEW!FH88</f>
        <v>0</v>
      </c>
      <c r="FN94" s="7">
        <f>VC_NEW!FI88</f>
        <v>0</v>
      </c>
      <c r="FO94" s="7">
        <f>VC_NEW!FJ88</f>
        <v>0</v>
      </c>
      <c r="FP94" s="7">
        <f>VC_NEW!FK88</f>
        <v>0</v>
      </c>
      <c r="FQ94" s="7">
        <v>0.25</v>
      </c>
      <c r="FR94" s="7">
        <v>0.5</v>
      </c>
      <c r="FS94" s="7">
        <f>VC_NEW!FN88</f>
        <v>0</v>
      </c>
      <c r="FT94" s="7">
        <f>VC_NEW!FO88</f>
        <v>0</v>
      </c>
      <c r="FU94" s="7">
        <v>0.5</v>
      </c>
      <c r="FV94" s="7">
        <f>VC_NEW!FQ88</f>
        <v>0</v>
      </c>
      <c r="FW94" s="7">
        <v>0.5</v>
      </c>
      <c r="FX94" s="7">
        <v>0.25</v>
      </c>
      <c r="FY94" s="7">
        <v>0.125</v>
      </c>
      <c r="FZ94" s="7">
        <f>VC_NEW!FU88</f>
        <v>0</v>
      </c>
      <c r="GA94" s="7">
        <v>2</v>
      </c>
      <c r="GB94" s="7">
        <v>1.25</v>
      </c>
      <c r="GC94" s="7">
        <f>VC_NEW!FX88</f>
        <v>0</v>
      </c>
      <c r="GD94" s="7">
        <f>VC_NEW!FY88</f>
        <v>0</v>
      </c>
      <c r="GE94" s="7">
        <f>VC_NEW!FZ88</f>
        <v>0</v>
      </c>
      <c r="GF94" s="7">
        <v>0.25</v>
      </c>
      <c r="GG94" s="7">
        <f>VC_NEW!GB88</f>
        <v>0</v>
      </c>
      <c r="GH94" s="7">
        <f>VC_NEW!GC88</f>
        <v>0</v>
      </c>
      <c r="GI94" s="7">
        <v>0.25</v>
      </c>
      <c r="GJ94" s="7">
        <f>VC_NEW!GE88</f>
        <v>0</v>
      </c>
      <c r="GK94" s="7">
        <f>VC_NEW!GF88</f>
        <v>0</v>
      </c>
      <c r="GL94" s="7">
        <f>VC_NEW!GG88</f>
        <v>0</v>
      </c>
      <c r="GM94" s="7">
        <f>VC_NEW!GH88</f>
        <v>0</v>
      </c>
      <c r="GN94" s="7">
        <v>0.5</v>
      </c>
      <c r="GO94" s="7">
        <v>0.75</v>
      </c>
      <c r="GP94" s="7">
        <f>VC_NEW!GK88</f>
        <v>0</v>
      </c>
      <c r="GQ94" s="7">
        <f>VC_NEW!GL88</f>
        <v>0</v>
      </c>
      <c r="GR94" s="7">
        <v>0.25</v>
      </c>
      <c r="GS94" s="7">
        <v>0.5</v>
      </c>
      <c r="GT94" s="7">
        <v>0.75</v>
      </c>
      <c r="GU94" s="7">
        <f>VC_NEW!GP88</f>
        <v>0</v>
      </c>
      <c r="GV94" s="7">
        <v>0.25</v>
      </c>
      <c r="GW94" s="7">
        <f>VC_NEW!GR88</f>
        <v>0</v>
      </c>
      <c r="GX94" s="7">
        <v>0.25</v>
      </c>
      <c r="GY94" s="7">
        <v>1</v>
      </c>
      <c r="GZ94" s="7">
        <f>VC_NEW!GU88</f>
        <v>0</v>
      </c>
      <c r="HA94" s="7">
        <f>VC_NEW!GV88</f>
        <v>0</v>
      </c>
      <c r="HB94" s="7">
        <v>1.5</v>
      </c>
      <c r="HC94" s="7">
        <v>0</v>
      </c>
      <c r="HD94" s="7"/>
      <c r="HE94" s="7"/>
      <c r="HF94" s="7"/>
      <c r="HG94" s="7"/>
      <c r="HH94" s="7"/>
      <c r="HI94" s="7"/>
      <c r="HJ94" s="7"/>
      <c r="HK94" s="7"/>
      <c r="HL94" s="7"/>
      <c r="HM94" s="7"/>
      <c r="HN94" s="7"/>
      <c r="HO94" s="7"/>
      <c r="HP94" s="7"/>
      <c r="HQ94" s="7"/>
      <c r="HR94" s="7"/>
      <c r="HS94" s="7"/>
      <c r="HT94" s="7"/>
      <c r="HU94" s="7"/>
      <c r="HV94" s="7"/>
      <c r="HW94" s="7"/>
      <c r="HX94" s="7"/>
      <c r="HY94" s="7"/>
      <c r="HZ94" s="7"/>
      <c r="IA94" s="7"/>
      <c r="IB94" s="7"/>
      <c r="IC94" s="7"/>
      <c r="ID94" s="7"/>
      <c r="IE94" s="7"/>
      <c r="IF94" s="7"/>
      <c r="IG94" s="7"/>
      <c r="IH94" s="7"/>
      <c r="II94" s="7"/>
      <c r="IJ94" s="7"/>
      <c r="IK94" s="7"/>
      <c r="IL94" s="7"/>
      <c r="IM94" s="7"/>
      <c r="IN94" s="7"/>
      <c r="IO94" s="7"/>
      <c r="IP94" s="7"/>
      <c r="IQ94" s="7"/>
      <c r="IR94" s="7"/>
      <c r="IS94" s="7"/>
      <c r="IT94" s="7"/>
      <c r="IU94" s="7"/>
      <c r="IV94" s="7"/>
      <c r="IW94" s="7"/>
      <c r="IX94" s="7"/>
      <c r="IY94" s="7"/>
      <c r="IZ94" s="7"/>
      <c r="JA94" s="7"/>
      <c r="JB94" s="7"/>
      <c r="JC94" s="7"/>
      <c r="JD94" s="7"/>
      <c r="JE94" s="7"/>
      <c r="JF94" s="7"/>
      <c r="JG94" s="7"/>
      <c r="JH94" s="7"/>
      <c r="JI94" s="7"/>
      <c r="JJ94" s="7"/>
      <c r="JK94" s="7"/>
      <c r="JL94" s="7"/>
      <c r="JM94" s="7"/>
      <c r="JN94" s="7"/>
      <c r="JO94" s="7"/>
      <c r="JP94" s="7"/>
      <c r="JQ94" s="7"/>
      <c r="JR94" s="7"/>
      <c r="JS94" s="7"/>
      <c r="JT94" s="7"/>
      <c r="JU94" s="7"/>
      <c r="JV94" s="7"/>
      <c r="JW94" s="7"/>
      <c r="JX94" s="7"/>
      <c r="JY94" s="7"/>
      <c r="JZ94" s="7"/>
      <c r="KA94" s="7"/>
      <c r="KB94" s="7"/>
      <c r="KC94" s="7"/>
      <c r="KD94" s="7"/>
      <c r="KE94" s="7"/>
      <c r="KF94" s="7"/>
      <c r="KG94" s="7"/>
      <c r="KH94" s="7"/>
      <c r="KI94" s="7"/>
      <c r="KJ94" s="7"/>
      <c r="KK94" s="7"/>
      <c r="KL94" s="7"/>
      <c r="KM94" s="7"/>
      <c r="KN94" s="7"/>
      <c r="KO94" s="7"/>
      <c r="KP94" s="7"/>
      <c r="KQ94" s="7"/>
      <c r="KR94" s="7"/>
      <c r="KS94" s="7"/>
      <c r="KT94" s="7"/>
      <c r="KU94" s="7"/>
      <c r="KV94" s="7"/>
      <c r="KW94" s="7"/>
      <c r="KX94" s="7"/>
      <c r="KY94" s="7"/>
      <c r="KZ94" s="7"/>
      <c r="LA94" s="7"/>
      <c r="LB94" s="7"/>
      <c r="LC94" s="7"/>
      <c r="LD94" s="7"/>
      <c r="LE94" s="7"/>
      <c r="LF94" s="7"/>
      <c r="LG94" s="7"/>
      <c r="LH94" s="7"/>
      <c r="LI94" s="7"/>
      <c r="LJ94" s="7"/>
      <c r="LK94" s="7"/>
      <c r="LL94" s="7"/>
      <c r="LM94" s="7"/>
      <c r="LN94" s="7"/>
      <c r="LO94" s="7"/>
      <c r="LP94" s="7"/>
      <c r="LQ94" s="7"/>
      <c r="LR94" s="7"/>
      <c r="LS94" s="7"/>
      <c r="LT94" s="7"/>
      <c r="LU94" s="7"/>
      <c r="LV94" s="7"/>
      <c r="LW94" s="7"/>
      <c r="LX94" s="7"/>
      <c r="LY94" s="7"/>
      <c r="LZ94" s="7"/>
      <c r="MA94" s="7"/>
      <c r="MB94" s="7"/>
      <c r="MC94" s="7"/>
      <c r="MD94" s="7"/>
      <c r="ME94" s="7"/>
      <c r="MF94" s="7"/>
      <c r="MG94" s="7"/>
      <c r="MH94" s="7"/>
      <c r="MI94" s="7"/>
      <c r="MJ94" s="7"/>
      <c r="MK94" s="7"/>
      <c r="ML94" s="7"/>
      <c r="MM94" s="7"/>
      <c r="MN94" s="7"/>
      <c r="MO94" s="7"/>
      <c r="MP94" s="7"/>
      <c r="MQ94" s="7"/>
      <c r="MR94" s="7"/>
      <c r="MS94" s="7"/>
      <c r="MT94" s="7"/>
      <c r="MU94" s="7"/>
      <c r="MV94" s="7"/>
      <c r="MW94" s="7"/>
      <c r="MX94" s="7"/>
      <c r="MY94" s="7"/>
      <c r="MZ94" s="7"/>
      <c r="NA94" s="7"/>
      <c r="NB94" s="7"/>
      <c r="NC94" s="7"/>
      <c r="ND94" s="7"/>
      <c r="NE94" s="7"/>
      <c r="NF94" s="7"/>
      <c r="NG94" s="7"/>
      <c r="NH94" s="7"/>
      <c r="NI94" s="7"/>
      <c r="NJ94" s="7"/>
      <c r="NK94" s="7"/>
      <c r="NL94" s="7"/>
      <c r="NM94" s="7"/>
      <c r="NN94" s="7"/>
      <c r="NO94" s="7"/>
      <c r="NP94" s="7"/>
      <c r="NQ94" s="7"/>
      <c r="NR94" s="7"/>
      <c r="NS94" s="7"/>
      <c r="NT94" s="7"/>
      <c r="NU94" s="7"/>
      <c r="NV94" s="7"/>
      <c r="NW94" s="7"/>
      <c r="NX94" s="7"/>
      <c r="NY94" s="7"/>
      <c r="NZ94" s="7"/>
      <c r="OA94" s="7"/>
      <c r="OB94" s="7"/>
      <c r="OC94" s="7"/>
      <c r="OD94" s="7"/>
      <c r="OE94" s="7"/>
      <c r="OF94" s="7"/>
      <c r="OG94" s="7"/>
      <c r="OH94" s="7"/>
      <c r="OI94" s="7"/>
      <c r="OJ94" s="7"/>
      <c r="OK94" s="7"/>
      <c r="OL94" s="7"/>
      <c r="OM94" s="7"/>
      <c r="ON94" s="7"/>
      <c r="OO94" s="7"/>
      <c r="OP94" s="7"/>
      <c r="OQ94" s="7"/>
      <c r="OR94" s="7"/>
      <c r="OS94" s="7"/>
      <c r="OT94" s="7"/>
      <c r="OU94" s="7"/>
      <c r="OV94" s="7"/>
      <c r="OW94" s="7"/>
      <c r="OX94" s="7"/>
      <c r="OY94" s="7"/>
      <c r="OZ94" s="7"/>
      <c r="PA94" s="7"/>
      <c r="PB94" s="7"/>
      <c r="PC94" s="7"/>
      <c r="PD94" s="7"/>
      <c r="PE94" s="7"/>
      <c r="PF94" s="7"/>
      <c r="PG94" s="7"/>
      <c r="PH94" s="7"/>
      <c r="PI94" s="7"/>
      <c r="PJ94" s="7"/>
      <c r="PK94" s="7"/>
      <c r="PL94" s="7"/>
      <c r="PM94" s="7"/>
      <c r="PN94" s="7"/>
      <c r="PO94" s="7"/>
      <c r="PP94" s="7"/>
      <c r="PQ94" s="7"/>
      <c r="PR94" s="7"/>
      <c r="PS94" s="7"/>
      <c r="PT94" s="7"/>
      <c r="PU94" s="7"/>
      <c r="PV94" s="7"/>
      <c r="PW94" s="7"/>
      <c r="PX94" s="7"/>
      <c r="PY94" s="7"/>
      <c r="PZ94" s="7"/>
      <c r="QA94" s="7"/>
    </row>
    <row r="95" spans="1:443" ht="15" customHeight="1" x14ac:dyDescent="0.25">
      <c r="C95" s="4" t="s">
        <v>2</v>
      </c>
      <c r="G95" t="s">
        <v>1045</v>
      </c>
      <c r="H95" s="1">
        <v>0.25</v>
      </c>
      <c r="I95" s="1">
        <v>0.375</v>
      </c>
      <c r="J95" s="1">
        <v>0</v>
      </c>
      <c r="K95" s="1">
        <v>0.5</v>
      </c>
      <c r="L95" s="1">
        <v>1.125</v>
      </c>
      <c r="M95" s="1">
        <v>0</v>
      </c>
      <c r="N95" s="1">
        <v>1.625</v>
      </c>
      <c r="O95" s="1">
        <f>VC_NEW!J89</f>
        <v>0</v>
      </c>
      <c r="P95" s="1">
        <v>0</v>
      </c>
      <c r="Q95" s="1">
        <v>0</v>
      </c>
      <c r="R95" s="1">
        <v>0.25</v>
      </c>
      <c r="S95" s="1">
        <f>VC_NEW!N89</f>
        <v>0</v>
      </c>
      <c r="T95" s="1">
        <f>VC_NEW!O89</f>
        <v>0</v>
      </c>
      <c r="U95" s="1">
        <v>0</v>
      </c>
      <c r="V95" s="1">
        <v>0.875</v>
      </c>
      <c r="W95" s="1">
        <f>VC_NEW!R89</f>
        <v>0</v>
      </c>
      <c r="X95" s="1">
        <f>VC_NEW!S89</f>
        <v>0</v>
      </c>
      <c r="Y95" s="1">
        <f>VC_NEW!T89</f>
        <v>0</v>
      </c>
      <c r="Z95" s="1">
        <v>0</v>
      </c>
      <c r="AA95" s="1">
        <v>0.25</v>
      </c>
      <c r="AB95" s="1">
        <v>0.25</v>
      </c>
      <c r="AC95" s="1">
        <v>0.75</v>
      </c>
      <c r="AD95" s="1">
        <v>0</v>
      </c>
      <c r="AE95" s="1">
        <v>0.75</v>
      </c>
      <c r="AF95" s="1">
        <v>0</v>
      </c>
      <c r="AG95" s="1">
        <v>0</v>
      </c>
      <c r="AH95" s="1">
        <v>0.375</v>
      </c>
      <c r="AI95" s="1">
        <f>VC_NEW!AD89</f>
        <v>0</v>
      </c>
      <c r="AJ95" s="1">
        <f>VC_NEW!AE89</f>
        <v>0</v>
      </c>
      <c r="AK95" s="1">
        <v>0.5</v>
      </c>
      <c r="AL95" s="1">
        <v>1</v>
      </c>
      <c r="AM95" s="1">
        <v>0.5</v>
      </c>
      <c r="AN95" s="1">
        <f>VC_NEW!AI89</f>
        <v>0</v>
      </c>
      <c r="AO95" s="1">
        <v>1</v>
      </c>
      <c r="AP95" s="1">
        <v>0</v>
      </c>
      <c r="AQ95" s="1">
        <v>0.5</v>
      </c>
      <c r="AR95" s="1">
        <v>0</v>
      </c>
      <c r="AS95" s="1">
        <v>0.5</v>
      </c>
      <c r="AT95" s="1">
        <v>0.625</v>
      </c>
      <c r="AU95" s="1">
        <v>0.25</v>
      </c>
      <c r="AV95" s="1">
        <v>0</v>
      </c>
      <c r="AW95" s="1">
        <v>0.25</v>
      </c>
      <c r="AX95" s="1">
        <v>0</v>
      </c>
      <c r="AY95" s="1">
        <v>0</v>
      </c>
      <c r="AZ95" s="1">
        <v>0</v>
      </c>
      <c r="BA95" s="1">
        <v>1.25</v>
      </c>
      <c r="BB95" s="1">
        <v>1</v>
      </c>
      <c r="BC95" s="1">
        <v>1.25</v>
      </c>
      <c r="BD95" s="1">
        <v>0</v>
      </c>
      <c r="BE95" s="1">
        <v>0.75</v>
      </c>
      <c r="BF95" s="1">
        <v>0</v>
      </c>
      <c r="BG95" s="1">
        <v>0.625</v>
      </c>
      <c r="BH95" s="1">
        <f>VC_NEW!BC89</f>
        <v>0</v>
      </c>
      <c r="BI95" s="1">
        <v>0.75</v>
      </c>
      <c r="BJ95" s="1">
        <v>1.25</v>
      </c>
      <c r="BK95" s="1">
        <v>0</v>
      </c>
      <c r="BL95" s="1">
        <v>0</v>
      </c>
      <c r="BM95" s="1">
        <v>0</v>
      </c>
      <c r="BN95" s="1">
        <v>1</v>
      </c>
      <c r="BO95" s="1">
        <v>0</v>
      </c>
      <c r="BP95" s="1">
        <v>0.25</v>
      </c>
      <c r="BQ95" s="1">
        <v>0</v>
      </c>
      <c r="BR95" s="1">
        <v>0.25</v>
      </c>
      <c r="BS95" s="1">
        <v>1.125</v>
      </c>
      <c r="BT95" s="1">
        <v>1.5</v>
      </c>
      <c r="BU95" s="1">
        <v>0</v>
      </c>
      <c r="BV95" s="1">
        <v>0.125</v>
      </c>
      <c r="BW95" s="1">
        <v>1</v>
      </c>
      <c r="BX95" s="1">
        <v>0.375</v>
      </c>
      <c r="BY95" s="1">
        <v>0</v>
      </c>
      <c r="BZ95" s="1">
        <v>0</v>
      </c>
      <c r="CA95" s="1">
        <v>0.625</v>
      </c>
      <c r="CB95" s="1">
        <v>0</v>
      </c>
      <c r="CC95" s="1">
        <v>0.25</v>
      </c>
      <c r="CD95" s="1">
        <v>1.25</v>
      </c>
      <c r="CE95" s="1">
        <v>0</v>
      </c>
      <c r="CF95" s="1">
        <v>0.75</v>
      </c>
      <c r="CG95" s="1">
        <v>0.25</v>
      </c>
      <c r="CH95" s="1">
        <v>0</v>
      </c>
      <c r="CI95" s="1">
        <v>0.25</v>
      </c>
      <c r="CJ95" s="1">
        <v>1.25</v>
      </c>
      <c r="CK95" s="1">
        <v>1.25</v>
      </c>
      <c r="CL95" s="1">
        <v>0.25</v>
      </c>
      <c r="CM95" s="1">
        <v>3</v>
      </c>
      <c r="CN95" s="1">
        <v>0</v>
      </c>
      <c r="CO95" s="1">
        <v>0.375</v>
      </c>
      <c r="CP95" s="1">
        <v>1.25</v>
      </c>
      <c r="CQ95" s="1">
        <v>1.375</v>
      </c>
      <c r="CR95" s="1">
        <v>0</v>
      </c>
      <c r="CS95" s="1">
        <v>0.625</v>
      </c>
      <c r="CT95" s="1">
        <v>0.125</v>
      </c>
      <c r="CU95" s="1">
        <v>0.375</v>
      </c>
      <c r="CV95" s="1">
        <v>0</v>
      </c>
      <c r="CW95" s="1">
        <v>0.5</v>
      </c>
      <c r="CX95" s="1">
        <v>0.25</v>
      </c>
      <c r="CY95" s="1">
        <v>0</v>
      </c>
      <c r="CZ95" s="1">
        <v>1.5</v>
      </c>
      <c r="DA95" s="1">
        <v>0.25</v>
      </c>
      <c r="DB95" s="1">
        <v>0.25</v>
      </c>
      <c r="DC95" s="1">
        <v>0</v>
      </c>
      <c r="DD95" s="1">
        <v>0.125</v>
      </c>
      <c r="DE95" s="1">
        <v>0</v>
      </c>
      <c r="DF95" s="1">
        <v>0.25</v>
      </c>
      <c r="DG95" s="1">
        <v>0</v>
      </c>
      <c r="DH95" s="1">
        <v>0.125</v>
      </c>
      <c r="DI95" s="1">
        <v>0.75</v>
      </c>
      <c r="DJ95" s="1">
        <v>1.25</v>
      </c>
      <c r="DK95" s="1">
        <v>2.625</v>
      </c>
      <c r="DL95" s="1">
        <v>0.375</v>
      </c>
      <c r="DM95" s="1">
        <v>0.5</v>
      </c>
      <c r="DN95" s="1">
        <v>0.5</v>
      </c>
      <c r="DO95" s="1">
        <v>0.125</v>
      </c>
      <c r="DP95" s="1">
        <v>0.5</v>
      </c>
      <c r="DQ95" s="1">
        <v>0</v>
      </c>
      <c r="DR95" s="1">
        <v>-0.25</v>
      </c>
      <c r="DS95" s="1">
        <v>0.125</v>
      </c>
      <c r="DT95" s="1">
        <v>0</v>
      </c>
      <c r="DU95" s="1">
        <v>0.125</v>
      </c>
      <c r="DV95" s="1">
        <v>0.5</v>
      </c>
      <c r="DW95" s="1">
        <v>1.125</v>
      </c>
      <c r="DX95" s="1">
        <v>0.25</v>
      </c>
      <c r="DY95" s="1">
        <v>0.25</v>
      </c>
      <c r="DZ95" s="1">
        <v>0.25</v>
      </c>
      <c r="EA95" s="1">
        <v>2.5</v>
      </c>
      <c r="EB95" s="1">
        <v>0.5</v>
      </c>
      <c r="EC95" s="1">
        <v>0.75</v>
      </c>
      <c r="ED95" s="1">
        <v>0.25</v>
      </c>
      <c r="EE95" s="1">
        <v>3.125</v>
      </c>
      <c r="EF95" s="1">
        <v>0.5</v>
      </c>
      <c r="EG95" s="1">
        <v>0.5</v>
      </c>
      <c r="EH95" s="1">
        <v>1.875</v>
      </c>
      <c r="EI95" s="1">
        <v>0.25</v>
      </c>
      <c r="EJ95" s="1">
        <v>1.25</v>
      </c>
      <c r="EK95" s="1">
        <v>1.125</v>
      </c>
      <c r="EL95" s="1">
        <v>0.75</v>
      </c>
      <c r="EM95" s="1">
        <v>0</v>
      </c>
      <c r="EN95" s="1">
        <v>0.25</v>
      </c>
      <c r="EO95" s="1">
        <v>0</v>
      </c>
      <c r="EP95" s="1">
        <v>0</v>
      </c>
      <c r="EQ95" s="1">
        <v>0.25</v>
      </c>
      <c r="ER95" s="1">
        <v>0.25</v>
      </c>
      <c r="ES95" s="1">
        <v>1.25</v>
      </c>
      <c r="ET95" s="1">
        <v>-0.125</v>
      </c>
      <c r="EU95" s="1">
        <v>1.25</v>
      </c>
      <c r="EV95" s="1">
        <f>VC_NEW!EQ89</f>
        <v>0</v>
      </c>
      <c r="EW95" s="1" t="s">
        <v>1151</v>
      </c>
      <c r="EX95" s="1">
        <v>0</v>
      </c>
      <c r="EY95" s="1">
        <v>0.25</v>
      </c>
      <c r="EZ95" s="1">
        <v>0.5</v>
      </c>
      <c r="FA95" s="1">
        <v>1.5</v>
      </c>
      <c r="FB95" s="1">
        <v>0.25</v>
      </c>
      <c r="FC95" s="1">
        <v>0.5</v>
      </c>
      <c r="FD95" s="1">
        <v>0</v>
      </c>
      <c r="FE95" s="1">
        <v>1.375</v>
      </c>
      <c r="FF95" s="1">
        <v>0</v>
      </c>
      <c r="FG95" s="1">
        <v>0</v>
      </c>
      <c r="FH95" s="1">
        <v>0.25</v>
      </c>
      <c r="FI95" s="1">
        <v>1.375</v>
      </c>
      <c r="FJ95" s="1">
        <v>0.5</v>
      </c>
      <c r="FK95" s="1">
        <v>0.625</v>
      </c>
      <c r="FL95" s="1">
        <v>0.375</v>
      </c>
      <c r="FM95" s="1">
        <v>0</v>
      </c>
      <c r="FN95" s="1">
        <v>0</v>
      </c>
      <c r="FO95" s="1">
        <v>0</v>
      </c>
      <c r="FP95" s="1">
        <v>0.5</v>
      </c>
      <c r="FQ95" s="1">
        <v>0.625</v>
      </c>
      <c r="FR95" s="1">
        <v>0.5</v>
      </c>
      <c r="FS95" s="1">
        <v>0.5</v>
      </c>
      <c r="FT95" s="1">
        <v>0</v>
      </c>
      <c r="FU95" s="1">
        <v>0.75</v>
      </c>
      <c r="FV95" s="1">
        <v>0</v>
      </c>
      <c r="FW95" s="1">
        <v>0.5</v>
      </c>
      <c r="FX95" s="1">
        <v>0.5</v>
      </c>
      <c r="FY95" s="1">
        <v>0</v>
      </c>
      <c r="FZ95" s="1">
        <v>0</v>
      </c>
      <c r="GA95" s="1">
        <v>3</v>
      </c>
      <c r="GB95" s="1">
        <v>1.25</v>
      </c>
      <c r="GC95" s="1">
        <v>0.25</v>
      </c>
      <c r="GD95" s="1">
        <v>-0.5</v>
      </c>
      <c r="GE95" s="1">
        <v>0.25</v>
      </c>
      <c r="GF95" s="1">
        <v>0.25</v>
      </c>
      <c r="GG95" s="1">
        <v>0</v>
      </c>
      <c r="GH95" s="1">
        <v>0.25</v>
      </c>
      <c r="GI95" s="1">
        <v>0.25</v>
      </c>
      <c r="GJ95" s="1">
        <v>0.25</v>
      </c>
      <c r="GK95" s="1">
        <v>0.25</v>
      </c>
      <c r="GL95" s="1">
        <v>0.25</v>
      </c>
      <c r="GM95" s="1">
        <v>0.5</v>
      </c>
      <c r="GN95" s="1">
        <v>1.125</v>
      </c>
      <c r="GO95" s="1">
        <v>0.375</v>
      </c>
      <c r="GP95" s="1">
        <v>0</v>
      </c>
      <c r="GQ95" s="1">
        <v>0</v>
      </c>
      <c r="GR95" s="1">
        <v>0.25</v>
      </c>
      <c r="GS95" s="1">
        <v>0.375</v>
      </c>
      <c r="GT95" s="1">
        <v>0.375</v>
      </c>
      <c r="GU95" s="1">
        <v>0.25</v>
      </c>
      <c r="GV95" s="1">
        <v>0.25</v>
      </c>
      <c r="GW95" s="1">
        <f>VC_NEW!GR89</f>
        <v>0</v>
      </c>
      <c r="GX95" s="1">
        <v>1</v>
      </c>
      <c r="GY95" s="1">
        <v>1.25</v>
      </c>
      <c r="GZ95" s="1">
        <v>0</v>
      </c>
      <c r="HA95" s="1">
        <v>0.25</v>
      </c>
      <c r="HB95" s="1">
        <v>1.75</v>
      </c>
      <c r="HC95" s="1">
        <v>0.5</v>
      </c>
    </row>
    <row r="96" spans="1:443" ht="15" hidden="1" customHeight="1" x14ac:dyDescent="0.25">
      <c r="C96" s="8" t="s">
        <v>4</v>
      </c>
      <c r="G96" s="7" t="s">
        <v>1047</v>
      </c>
      <c r="H96" s="7">
        <v>0.25</v>
      </c>
      <c r="I96" s="7">
        <v>0.125</v>
      </c>
      <c r="J96" s="7">
        <v>0</v>
      </c>
      <c r="K96" s="7">
        <v>2</v>
      </c>
      <c r="L96" s="7">
        <v>1.75</v>
      </c>
      <c r="M96" s="7">
        <f>VC_NEW!H90</f>
        <v>0</v>
      </c>
      <c r="N96" s="7">
        <v>3</v>
      </c>
      <c r="O96" s="7">
        <f>VC_NEW!J90</f>
        <v>0</v>
      </c>
      <c r="P96" s="7">
        <f>VC_NEW!K90</f>
        <v>0</v>
      </c>
      <c r="Q96" s="7">
        <f>VC_NEW!L90</f>
        <v>0</v>
      </c>
      <c r="R96" s="7">
        <v>0.25</v>
      </c>
      <c r="S96" s="7">
        <f>VC_NEW!N90</f>
        <v>0</v>
      </c>
      <c r="T96" s="7">
        <f>VC_NEW!O90</f>
        <v>0</v>
      </c>
      <c r="U96" s="7">
        <f>VC_NEW!P90</f>
        <v>0</v>
      </c>
      <c r="V96" s="7">
        <v>2</v>
      </c>
      <c r="W96" s="7">
        <f>VC_NEW!R90</f>
        <v>0</v>
      </c>
      <c r="X96" s="7">
        <f>VC_NEW!S90</f>
        <v>0</v>
      </c>
      <c r="Y96" s="7">
        <f>VC_NEW!T90</f>
        <v>0</v>
      </c>
      <c r="Z96" s="7">
        <v>0</v>
      </c>
      <c r="AA96" s="7">
        <f>VC_NEW!V90</f>
        <v>0</v>
      </c>
      <c r="AB96" s="7">
        <v>0.25</v>
      </c>
      <c r="AC96" s="7">
        <v>1.625</v>
      </c>
      <c r="AD96" s="7">
        <f>VC_NEW!Y90</f>
        <v>0</v>
      </c>
      <c r="AE96" s="7">
        <v>0.125</v>
      </c>
      <c r="AF96" s="7">
        <f>VC_NEW!AA90</f>
        <v>0</v>
      </c>
      <c r="AG96" s="7">
        <f>VC_NEW!AB90</f>
        <v>0</v>
      </c>
      <c r="AH96" s="7">
        <v>0.5</v>
      </c>
      <c r="AI96" s="7">
        <f>VC_NEW!AD90</f>
        <v>0</v>
      </c>
      <c r="AJ96" s="7">
        <v>0.5</v>
      </c>
      <c r="AK96" s="7">
        <v>1.25</v>
      </c>
      <c r="AL96" s="7">
        <v>0.25</v>
      </c>
      <c r="AM96" s="7">
        <f>VC_NEW!AH90</f>
        <v>0</v>
      </c>
      <c r="AN96" s="7">
        <f>VC_NEW!AI90</f>
        <v>0</v>
      </c>
      <c r="AO96" s="7">
        <v>0.625</v>
      </c>
      <c r="AP96" s="7">
        <f>VC_NEW!AK90</f>
        <v>0</v>
      </c>
      <c r="AQ96" s="7">
        <v>0.25</v>
      </c>
      <c r="AR96" s="7">
        <f>VC_NEW!AM90</f>
        <v>0</v>
      </c>
      <c r="AS96" s="7">
        <f>VC_NEW!AN90</f>
        <v>0</v>
      </c>
      <c r="AT96" s="7">
        <v>0</v>
      </c>
      <c r="AU96" s="7">
        <v>1</v>
      </c>
      <c r="AV96" s="7">
        <f>VC_NEW!AQ90</f>
        <v>0</v>
      </c>
      <c r="AW96" s="7">
        <v>0.5</v>
      </c>
      <c r="AX96" s="7">
        <f>VC_NEW!AS90</f>
        <v>0</v>
      </c>
      <c r="AY96" s="7">
        <f>VC_NEW!AT90</f>
        <v>0</v>
      </c>
      <c r="AZ96" s="7">
        <f>VC_NEW!AU90</f>
        <v>0</v>
      </c>
      <c r="BA96" s="7">
        <v>1.75</v>
      </c>
      <c r="BB96" s="7">
        <v>0.25</v>
      </c>
      <c r="BC96" s="7">
        <v>1.75</v>
      </c>
      <c r="BD96" s="7">
        <f>VC_NEW!AY90</f>
        <v>0</v>
      </c>
      <c r="BE96" s="7">
        <v>0.75</v>
      </c>
      <c r="BF96" s="7">
        <f>VC_NEW!BA90</f>
        <v>0</v>
      </c>
      <c r="BG96" s="7">
        <v>1.125</v>
      </c>
      <c r="BH96" s="7">
        <f>VC_NEW!BC90</f>
        <v>0</v>
      </c>
      <c r="BI96" s="7">
        <v>1.75</v>
      </c>
      <c r="BJ96" s="7">
        <v>1.625</v>
      </c>
      <c r="BK96" s="7">
        <v>1</v>
      </c>
      <c r="BL96" s="7">
        <f>VC_NEW!BG90</f>
        <v>0</v>
      </c>
      <c r="BM96" s="7">
        <f>VC_NEW!BH90</f>
        <v>0</v>
      </c>
      <c r="BN96" s="7">
        <v>1</v>
      </c>
      <c r="BO96" s="7">
        <v>-0.5</v>
      </c>
      <c r="BP96" s="7">
        <v>0</v>
      </c>
      <c r="BQ96" s="7">
        <v>0.25</v>
      </c>
      <c r="BR96" s="7">
        <v>1.5</v>
      </c>
      <c r="BS96" s="7">
        <v>1.75</v>
      </c>
      <c r="BT96" s="7">
        <v>1.625</v>
      </c>
      <c r="BU96" s="7">
        <v>0</v>
      </c>
      <c r="BV96" s="7">
        <f>VC_NEW!BQ90</f>
        <v>0</v>
      </c>
      <c r="BW96" s="7">
        <v>2.125</v>
      </c>
      <c r="BX96" s="7">
        <v>0.125</v>
      </c>
      <c r="BY96" s="7">
        <f>VC_NEW!BT90</f>
        <v>0</v>
      </c>
      <c r="BZ96" s="7">
        <f>VC_NEW!BU90</f>
        <v>0</v>
      </c>
      <c r="CA96" s="7">
        <v>0.5</v>
      </c>
      <c r="CB96" s="7">
        <f>VC_NEW!BW90</f>
        <v>0</v>
      </c>
      <c r="CC96" s="7">
        <v>0.5</v>
      </c>
      <c r="CD96" s="7">
        <v>1.75</v>
      </c>
      <c r="CE96" s="7">
        <f>VC_NEW!BZ90</f>
        <v>0</v>
      </c>
      <c r="CF96" s="7">
        <v>1.75</v>
      </c>
      <c r="CG96" s="7">
        <v>0.5</v>
      </c>
      <c r="CH96" s="7">
        <f>VC_NEW!CC90</f>
        <v>0</v>
      </c>
      <c r="CI96" s="7">
        <v>0.5</v>
      </c>
      <c r="CJ96" s="7">
        <v>1.75</v>
      </c>
      <c r="CK96" s="7">
        <v>1</v>
      </c>
      <c r="CL96" s="7">
        <f>VC_NEW!CG90</f>
        <v>0</v>
      </c>
      <c r="CM96" s="7">
        <v>1.625</v>
      </c>
      <c r="CN96" s="7">
        <f>VC_NEW!CI90</f>
        <v>0</v>
      </c>
      <c r="CO96" s="7">
        <v>0.5</v>
      </c>
      <c r="CP96" s="7">
        <v>1.75</v>
      </c>
      <c r="CQ96" s="7">
        <v>1.75</v>
      </c>
      <c r="CR96" s="7">
        <v>0</v>
      </c>
      <c r="CS96" s="7">
        <v>1.75</v>
      </c>
      <c r="CT96" s="7">
        <f>VC_NEW!CO90</f>
        <v>0</v>
      </c>
      <c r="CU96" s="7">
        <v>0.5</v>
      </c>
      <c r="CV96" s="7">
        <v>1</v>
      </c>
      <c r="CW96" s="7">
        <v>2</v>
      </c>
      <c r="CX96" s="7">
        <v>0.25</v>
      </c>
      <c r="CY96" s="7">
        <f>VC_NEW!CT90</f>
        <v>0</v>
      </c>
      <c r="CZ96" s="7">
        <v>2.25</v>
      </c>
      <c r="DA96" s="7">
        <v>0.5</v>
      </c>
      <c r="DB96" s="7">
        <v>0.125</v>
      </c>
      <c r="DC96" s="7">
        <f>VC_NEW!CX90</f>
        <v>0</v>
      </c>
      <c r="DD96" s="7">
        <f>VC_NEW!CY90</f>
        <v>0</v>
      </c>
      <c r="DE96" s="7">
        <f>VC_NEW!CZ90</f>
        <v>0</v>
      </c>
      <c r="DF96" s="7">
        <v>0.25</v>
      </c>
      <c r="DG96" s="7">
        <f>VC_NEW!DB90</f>
        <v>0</v>
      </c>
      <c r="DH96" s="7">
        <f>VC_NEW!DC90</f>
        <v>0</v>
      </c>
      <c r="DI96" s="7">
        <v>0.25</v>
      </c>
      <c r="DJ96" s="7">
        <v>2</v>
      </c>
      <c r="DK96" s="7">
        <v>1.5</v>
      </c>
      <c r="DL96" s="7">
        <v>1.625</v>
      </c>
      <c r="DM96" s="7">
        <v>0.25</v>
      </c>
      <c r="DN96" s="7">
        <v>0</v>
      </c>
      <c r="DO96" s="7">
        <v>1</v>
      </c>
      <c r="DP96" s="7">
        <v>1.75</v>
      </c>
      <c r="DQ96" s="7">
        <v>0.125</v>
      </c>
      <c r="DR96" s="7">
        <v>0.5</v>
      </c>
      <c r="DS96" s="7">
        <f>VC_NEW!DN90</f>
        <v>0</v>
      </c>
      <c r="DT96" s="7">
        <f>VC_NEW!DO90</f>
        <v>0</v>
      </c>
      <c r="DU96" s="7">
        <v>2</v>
      </c>
      <c r="DV96" s="7">
        <v>1.5</v>
      </c>
      <c r="DW96" s="7">
        <v>2.75</v>
      </c>
      <c r="DX96" s="7">
        <v>0.125</v>
      </c>
      <c r="DY96" s="7">
        <v>1.125</v>
      </c>
      <c r="DZ96" s="7">
        <v>0.5</v>
      </c>
      <c r="EA96" s="7">
        <v>1.25</v>
      </c>
      <c r="EB96" s="7">
        <v>0.5</v>
      </c>
      <c r="EC96" s="7">
        <v>0.625</v>
      </c>
      <c r="ED96" s="7">
        <v>0.875</v>
      </c>
      <c r="EE96" s="7">
        <v>1.75</v>
      </c>
      <c r="EF96" s="7">
        <f>VC_NEW!EA90</f>
        <v>0</v>
      </c>
      <c r="EG96" s="7">
        <v>0.75</v>
      </c>
      <c r="EH96" s="7">
        <v>2.75</v>
      </c>
      <c r="EI96" s="7">
        <v>0</v>
      </c>
      <c r="EJ96" s="7">
        <v>2</v>
      </c>
      <c r="EK96" s="7">
        <v>3</v>
      </c>
      <c r="EL96" s="7">
        <v>1.5</v>
      </c>
      <c r="EM96" s="7">
        <f>VC_NEW!EH90</f>
        <v>0</v>
      </c>
      <c r="EN96" s="7">
        <v>1</v>
      </c>
      <c r="EO96" s="7">
        <f>VC_NEW!EJ90</f>
        <v>0</v>
      </c>
      <c r="EP96" s="7">
        <f>VC_NEW!EK90</f>
        <v>0</v>
      </c>
      <c r="EQ96" s="7">
        <v>2.25</v>
      </c>
      <c r="ER96" s="7">
        <v>0.125</v>
      </c>
      <c r="ES96" s="7">
        <v>0.75</v>
      </c>
      <c r="ET96" s="7">
        <f>VC_NEW!EO90</f>
        <v>0</v>
      </c>
      <c r="EU96" s="7">
        <v>2.5</v>
      </c>
      <c r="EV96" s="7">
        <v>1</v>
      </c>
      <c r="EW96" s="7" t="s">
        <v>1151</v>
      </c>
      <c r="EX96" s="7">
        <f>VC_NEW!ES90</f>
        <v>0</v>
      </c>
      <c r="EY96" s="7">
        <f>VC_NEW!ET90</f>
        <v>0</v>
      </c>
      <c r="EZ96" s="7">
        <v>0.25</v>
      </c>
      <c r="FA96" s="7">
        <v>2.25</v>
      </c>
      <c r="FB96" s="7">
        <v>1.5</v>
      </c>
      <c r="FC96" s="7">
        <v>2.25</v>
      </c>
      <c r="FD96" s="7">
        <f>VC_NEW!EY90</f>
        <v>0</v>
      </c>
      <c r="FE96" s="7">
        <v>2.875</v>
      </c>
      <c r="FF96" s="7">
        <f>VC_NEW!FA90</f>
        <v>0</v>
      </c>
      <c r="FG96" s="7">
        <f>VC_NEW!FB90</f>
        <v>0</v>
      </c>
      <c r="FH96" s="7">
        <v>0.5</v>
      </c>
      <c r="FI96" s="7">
        <v>2.25</v>
      </c>
      <c r="FJ96" s="7">
        <f>VC_NEW!FE90</f>
        <v>0</v>
      </c>
      <c r="FK96" s="7">
        <f>VC_NEW!FF90</f>
        <v>0</v>
      </c>
      <c r="FL96" s="7">
        <v>1.625</v>
      </c>
      <c r="FM96" s="7">
        <f>VC_NEW!FH90</f>
        <v>0</v>
      </c>
      <c r="FN96" s="7">
        <f>VC_NEW!FI90</f>
        <v>0</v>
      </c>
      <c r="FO96" s="7">
        <f>VC_NEW!FJ90</f>
        <v>0</v>
      </c>
      <c r="FP96" s="7">
        <v>1</v>
      </c>
      <c r="FQ96" s="7">
        <v>1.75</v>
      </c>
      <c r="FR96" s="7">
        <v>1</v>
      </c>
      <c r="FS96" s="7">
        <v>0.25</v>
      </c>
      <c r="FT96" s="7">
        <v>0.5</v>
      </c>
      <c r="FU96" s="7">
        <v>1.125</v>
      </c>
      <c r="FV96" s="7">
        <f>VC_NEW!FQ90</f>
        <v>0</v>
      </c>
      <c r="FW96" s="7">
        <v>2</v>
      </c>
      <c r="FX96" s="7">
        <v>0.125</v>
      </c>
      <c r="FY96" s="7">
        <f>VC_NEW!FT90</f>
        <v>0</v>
      </c>
      <c r="FZ96" s="7">
        <f>VC_NEW!FU90</f>
        <v>0</v>
      </c>
      <c r="GA96" s="7">
        <v>1.75</v>
      </c>
      <c r="GB96" s="7">
        <v>3.5</v>
      </c>
      <c r="GC96" s="7">
        <v>1.125</v>
      </c>
      <c r="GD96" s="7">
        <v>-0.25</v>
      </c>
      <c r="GE96" s="7">
        <v>0.125</v>
      </c>
      <c r="GF96" s="7">
        <v>0.25</v>
      </c>
      <c r="GG96" s="7">
        <f>VC_NEW!GB90</f>
        <v>0</v>
      </c>
      <c r="GH96" s="7">
        <v>0.125</v>
      </c>
      <c r="GI96" s="7">
        <v>0.25</v>
      </c>
      <c r="GJ96" s="7">
        <v>0.125</v>
      </c>
      <c r="GK96" s="7">
        <v>0.125</v>
      </c>
      <c r="GL96" s="7">
        <v>1.125</v>
      </c>
      <c r="GM96" s="7">
        <v>1.75</v>
      </c>
      <c r="GN96" s="7">
        <v>0.875</v>
      </c>
      <c r="GO96" s="7">
        <v>0.25</v>
      </c>
      <c r="GP96" s="7">
        <v>0</v>
      </c>
      <c r="GQ96" s="7">
        <f>VC_NEW!GL90</f>
        <v>0</v>
      </c>
      <c r="GR96" s="7">
        <f>VC_NEW!GM90</f>
        <v>0</v>
      </c>
      <c r="GS96" s="7">
        <f>VC_NEW!GN90</f>
        <v>0</v>
      </c>
      <c r="GT96" s="7">
        <v>0.25</v>
      </c>
      <c r="GU96" s="7">
        <v>0.125</v>
      </c>
      <c r="GV96" s="7">
        <v>1.25</v>
      </c>
      <c r="GW96" s="7">
        <f>VC_NEW!GR90</f>
        <v>0</v>
      </c>
      <c r="GX96" s="7">
        <v>0.375</v>
      </c>
      <c r="GY96" s="7">
        <v>1.25</v>
      </c>
      <c r="GZ96" s="7">
        <f>VC_NEW!GU90</f>
        <v>0</v>
      </c>
      <c r="HA96" s="7">
        <v>1.5</v>
      </c>
      <c r="HB96" s="7">
        <v>2.25</v>
      </c>
      <c r="HC96" s="7">
        <v>0.625</v>
      </c>
      <c r="HD96" s="7"/>
      <c r="HE96" s="7"/>
      <c r="HF96" s="7"/>
      <c r="HG96" s="7"/>
      <c r="HH96" s="7"/>
      <c r="HI96" s="7"/>
      <c r="HJ96" s="7"/>
      <c r="HK96" s="7"/>
      <c r="HL96" s="7"/>
      <c r="HM96" s="7"/>
      <c r="HN96" s="7"/>
      <c r="HO96" s="7"/>
      <c r="HP96" s="7"/>
      <c r="HQ96" s="7"/>
      <c r="HR96" s="7"/>
      <c r="HS96" s="7"/>
      <c r="HT96" s="7"/>
      <c r="HU96" s="7"/>
      <c r="HV96" s="7"/>
      <c r="HW96" s="7"/>
      <c r="HX96" s="7"/>
      <c r="HY96" s="7"/>
      <c r="HZ96" s="7"/>
      <c r="IA96" s="7"/>
      <c r="IB96" s="7"/>
      <c r="IC96" s="7"/>
    </row>
    <row r="97" spans="3:211" ht="15" hidden="1" customHeight="1" x14ac:dyDescent="0.25">
      <c r="C97" s="4" t="s">
        <v>3</v>
      </c>
      <c r="G97" t="s">
        <v>1048</v>
      </c>
      <c r="H97" s="1">
        <v>0.125</v>
      </c>
      <c r="I97" s="1">
        <v>0.125</v>
      </c>
      <c r="J97" s="1">
        <v>0</v>
      </c>
      <c r="K97" s="1">
        <v>0.25</v>
      </c>
      <c r="L97" s="1">
        <v>0.125</v>
      </c>
      <c r="M97" s="1">
        <v>0</v>
      </c>
      <c r="N97" s="1">
        <v>0.125</v>
      </c>
      <c r="O97" s="1">
        <f>VC_NEW!J91</f>
        <v>0</v>
      </c>
      <c r="P97" s="1">
        <v>0</v>
      </c>
      <c r="Q97" s="1">
        <f>VC_NEW!L91</f>
        <v>0</v>
      </c>
      <c r="R97" s="1">
        <v>0.125</v>
      </c>
      <c r="S97" s="1">
        <f>VC_NEW!N91</f>
        <v>0</v>
      </c>
      <c r="T97" s="1">
        <f>VC_NEW!O91</f>
        <v>0</v>
      </c>
      <c r="U97" s="1">
        <v>0</v>
      </c>
      <c r="V97" s="1">
        <v>0.375</v>
      </c>
      <c r="W97" s="1">
        <f>VC_NEW!R91</f>
        <v>0</v>
      </c>
      <c r="X97" s="1">
        <f>VC_NEW!S91</f>
        <v>0</v>
      </c>
      <c r="Y97" s="1">
        <f>VC_NEW!T91</f>
        <v>0</v>
      </c>
      <c r="Z97" s="1">
        <f>VC_NEW!U91</f>
        <v>0</v>
      </c>
      <c r="AA97" s="1">
        <f>VC_NEW!V91</f>
        <v>0</v>
      </c>
      <c r="AB97" s="1">
        <v>0.125</v>
      </c>
      <c r="AC97" s="1">
        <v>0.25</v>
      </c>
      <c r="AD97" s="1">
        <f>VC_NEW!Y91</f>
        <v>0</v>
      </c>
      <c r="AE97" s="1">
        <f>VC_NEW!Z91</f>
        <v>0</v>
      </c>
      <c r="AF97" s="1">
        <f>VC_NEW!AA91</f>
        <v>0</v>
      </c>
      <c r="AG97" s="1">
        <f>VC_NEW!AB91</f>
        <v>0</v>
      </c>
      <c r="AH97" s="1">
        <v>0.125</v>
      </c>
      <c r="AI97" s="1">
        <f>VC_NEW!AD91</f>
        <v>0</v>
      </c>
      <c r="AJ97" s="1">
        <f>VC_NEW!AE91</f>
        <v>0</v>
      </c>
      <c r="AK97" s="1">
        <v>0.125</v>
      </c>
      <c r="AL97" s="1">
        <f>VC_NEW!AG91</f>
        <v>0</v>
      </c>
      <c r="AM97" s="1">
        <f>VC_NEW!AH91</f>
        <v>0</v>
      </c>
      <c r="AN97" s="1">
        <f>VC_NEW!AI91</f>
        <v>0</v>
      </c>
      <c r="AO97" s="1">
        <v>0.5</v>
      </c>
      <c r="AP97" s="1">
        <f>VC_NEW!AK91</f>
        <v>0</v>
      </c>
      <c r="AQ97" s="1">
        <f>VC_NEW!AL91</f>
        <v>0</v>
      </c>
      <c r="AR97" s="1">
        <f>VC_NEW!AM91</f>
        <v>0</v>
      </c>
      <c r="AS97" s="1">
        <f>VC_NEW!AN91</f>
        <v>0</v>
      </c>
      <c r="AT97" s="1">
        <v>0.125</v>
      </c>
      <c r="AU97" s="1">
        <v>0.25</v>
      </c>
      <c r="AV97" s="1">
        <f>VC_NEW!AQ91</f>
        <v>0</v>
      </c>
      <c r="AW97" s="1">
        <f>VC_NEW!AR91</f>
        <v>0</v>
      </c>
      <c r="AX97" s="1">
        <f>VC_NEW!AS91</f>
        <v>0</v>
      </c>
      <c r="AY97" s="1">
        <f>VC_NEW!AT91</f>
        <v>0</v>
      </c>
      <c r="AZ97" s="1">
        <v>0</v>
      </c>
      <c r="BA97" s="1">
        <v>0.25</v>
      </c>
      <c r="BB97" s="1">
        <v>0.375</v>
      </c>
      <c r="BC97" s="1">
        <v>0.25</v>
      </c>
      <c r="BD97" s="1">
        <f>VC_NEW!AY91</f>
        <v>0</v>
      </c>
      <c r="BE97" s="1">
        <f>VC_NEW!AZ91</f>
        <v>0</v>
      </c>
      <c r="BF97" s="1">
        <f>VC_NEW!BA91</f>
        <v>0</v>
      </c>
      <c r="BG97" s="1">
        <v>0.125</v>
      </c>
      <c r="BH97" s="1">
        <f>VC_NEW!BC91</f>
        <v>0</v>
      </c>
      <c r="BI97" s="1">
        <v>1</v>
      </c>
      <c r="BJ97" s="1">
        <v>2.25</v>
      </c>
      <c r="BK97" s="1">
        <f>VC_NEW!BF91</f>
        <v>0</v>
      </c>
      <c r="BL97" s="1">
        <f>VC_NEW!BG91</f>
        <v>0</v>
      </c>
      <c r="BM97" s="1">
        <f>VC_NEW!BH91</f>
        <v>0</v>
      </c>
      <c r="BN97" s="1">
        <v>0.5</v>
      </c>
      <c r="BO97" s="1">
        <v>-0.25</v>
      </c>
      <c r="BP97" s="1">
        <v>0.25</v>
      </c>
      <c r="BQ97" s="1">
        <v>-0.25</v>
      </c>
      <c r="BR97" s="1">
        <v>0.25</v>
      </c>
      <c r="BS97" s="1">
        <v>0.125</v>
      </c>
      <c r="BT97" s="1">
        <v>0.375</v>
      </c>
      <c r="BU97" s="1">
        <f>VC_NEW!BP91</f>
        <v>0</v>
      </c>
      <c r="BV97" s="1">
        <v>0.125</v>
      </c>
      <c r="BW97" s="1">
        <v>0.25</v>
      </c>
      <c r="BX97" s="1">
        <v>0.125</v>
      </c>
      <c r="BY97" s="1">
        <f>VC_NEW!BT91</f>
        <v>0</v>
      </c>
      <c r="BZ97" s="1">
        <f>VC_NEW!BU91</f>
        <v>0</v>
      </c>
      <c r="CA97" s="1">
        <v>0.375</v>
      </c>
      <c r="CB97" s="1">
        <f>VC_NEW!BW91</f>
        <v>0</v>
      </c>
      <c r="CC97" s="1">
        <f>VC_NEW!BX91</f>
        <v>0</v>
      </c>
      <c r="CD97" s="1">
        <v>0.25</v>
      </c>
      <c r="CE97" s="1">
        <f>VC_NEW!BZ91</f>
        <v>0</v>
      </c>
      <c r="CF97" s="1">
        <v>0.375</v>
      </c>
      <c r="CG97" s="1">
        <f>VC_NEW!CB91</f>
        <v>0</v>
      </c>
      <c r="CH97" s="1">
        <f>VC_NEW!CC91</f>
        <v>0</v>
      </c>
      <c r="CI97" s="1">
        <f>VC_NEW!CD91</f>
        <v>0</v>
      </c>
      <c r="CJ97" s="1">
        <v>0.25</v>
      </c>
      <c r="CK97" s="1">
        <v>0.5</v>
      </c>
      <c r="CL97" s="1">
        <f>VC_NEW!CG91</f>
        <v>0</v>
      </c>
      <c r="CM97" s="1">
        <v>2</v>
      </c>
      <c r="CN97" s="1">
        <f>VC_NEW!CI91</f>
        <v>0</v>
      </c>
      <c r="CO97" s="1">
        <v>0.125</v>
      </c>
      <c r="CP97" s="1">
        <v>0.25</v>
      </c>
      <c r="CQ97" s="1">
        <v>0.375</v>
      </c>
      <c r="CR97" s="1">
        <f>VC_NEW!CM91</f>
        <v>0</v>
      </c>
      <c r="CS97" s="1">
        <v>0.25</v>
      </c>
      <c r="CT97" s="1">
        <v>0.125</v>
      </c>
      <c r="CU97" s="1">
        <v>0.125</v>
      </c>
      <c r="CV97" s="1">
        <f>VC_NEW!CQ91</f>
        <v>0</v>
      </c>
      <c r="CW97" s="1">
        <v>0.25</v>
      </c>
      <c r="CX97" s="1">
        <v>0.125</v>
      </c>
      <c r="CY97" s="1">
        <f>VC_NEW!CT91</f>
        <v>0</v>
      </c>
      <c r="CZ97" s="1">
        <v>0.75</v>
      </c>
      <c r="DA97" s="1">
        <f>VC_NEW!CV91</f>
        <v>0</v>
      </c>
      <c r="DB97" s="1">
        <f>VC_NEW!CW91</f>
        <v>0</v>
      </c>
      <c r="DC97" s="1">
        <f>VC_NEW!CX91</f>
        <v>0</v>
      </c>
      <c r="DD97" s="1">
        <v>0.125</v>
      </c>
      <c r="DE97" s="1">
        <f>VC_NEW!CZ91</f>
        <v>0</v>
      </c>
      <c r="DF97" s="1">
        <v>0.125</v>
      </c>
      <c r="DG97" s="1">
        <f>VC_NEW!DB91</f>
        <v>0</v>
      </c>
      <c r="DH97" s="1">
        <v>0.125</v>
      </c>
      <c r="DI97" s="1">
        <v>0.625</v>
      </c>
      <c r="DJ97" s="1">
        <v>0.5</v>
      </c>
      <c r="DK97" s="1">
        <v>2.375</v>
      </c>
      <c r="DL97" s="1">
        <v>0.125</v>
      </c>
      <c r="DM97" s="1">
        <v>0</v>
      </c>
      <c r="DN97" s="1">
        <v>0.5</v>
      </c>
      <c r="DO97" s="1">
        <v>0.125</v>
      </c>
      <c r="DP97" s="1">
        <v>0.125</v>
      </c>
      <c r="DQ97" s="1">
        <f>VC_NEW!DL91</f>
        <v>0</v>
      </c>
      <c r="DR97" s="1">
        <v>0</v>
      </c>
      <c r="DS97" s="1">
        <v>0.125</v>
      </c>
      <c r="DT97" s="1">
        <f>VC_NEW!DO91</f>
        <v>0</v>
      </c>
      <c r="DU97" s="1">
        <v>-0.125</v>
      </c>
      <c r="DV97" s="1">
        <f>VC_NEW!DQ91</f>
        <v>0</v>
      </c>
      <c r="DW97" s="1">
        <v>0.125</v>
      </c>
      <c r="DX97" s="1">
        <f>VC_NEW!DS91</f>
        <v>0</v>
      </c>
      <c r="DY97" s="1">
        <f>VC_NEW!DT91</f>
        <v>0</v>
      </c>
      <c r="DZ97" s="1">
        <f>VC_NEW!DU91</f>
        <v>0</v>
      </c>
      <c r="EA97" s="1">
        <v>1.75</v>
      </c>
      <c r="EB97" s="1">
        <v>0.25</v>
      </c>
      <c r="EC97" s="1">
        <v>0.5</v>
      </c>
      <c r="ED97" s="1">
        <v>-0.25</v>
      </c>
      <c r="EE97" s="1">
        <v>2.125</v>
      </c>
      <c r="EF97" s="1">
        <v>0.5</v>
      </c>
      <c r="EG97" s="1">
        <f>VC_NEW!EB91</f>
        <v>0</v>
      </c>
      <c r="EH97" s="1">
        <v>0.5</v>
      </c>
      <c r="EI97" s="1">
        <f>VC_NEW!ED91</f>
        <v>0</v>
      </c>
      <c r="EJ97" s="1">
        <v>0.25</v>
      </c>
      <c r="EK97" s="1">
        <v>0.375</v>
      </c>
      <c r="EL97" s="1">
        <v>1.25</v>
      </c>
      <c r="EM97" s="1">
        <f>VC_NEW!EH91</f>
        <v>0</v>
      </c>
      <c r="EN97" s="1">
        <v>0.25</v>
      </c>
      <c r="EO97" s="1">
        <f>VC_NEW!EJ91</f>
        <v>0</v>
      </c>
      <c r="EP97" s="1">
        <f>VC_NEW!EK91</f>
        <v>0</v>
      </c>
      <c r="EQ97" s="1">
        <v>0.25</v>
      </c>
      <c r="ER97" s="1">
        <f>VC_NEW!EM91</f>
        <v>0</v>
      </c>
      <c r="ES97" s="1">
        <v>0.5</v>
      </c>
      <c r="ET97" s="1">
        <v>0.625</v>
      </c>
      <c r="EU97" s="1">
        <v>0.5</v>
      </c>
      <c r="EV97" s="1">
        <f>VC_NEW!EQ91</f>
        <v>0</v>
      </c>
      <c r="EW97" s="1" t="s">
        <v>1151</v>
      </c>
      <c r="EX97" s="1">
        <f>VC_NEW!ES91</f>
        <v>0</v>
      </c>
      <c r="EY97" s="1">
        <f>VC_NEW!ET91</f>
        <v>0</v>
      </c>
      <c r="EZ97" s="1">
        <f>VC_NEW!EU91</f>
        <v>0</v>
      </c>
      <c r="FA97" s="1">
        <v>0.25</v>
      </c>
      <c r="FB97" s="1">
        <f>VC_NEW!EW91</f>
        <v>0</v>
      </c>
      <c r="FC97" s="1">
        <v>0.375</v>
      </c>
      <c r="FD97" s="1">
        <f>VC_NEW!EY91</f>
        <v>0</v>
      </c>
      <c r="FE97" s="1">
        <v>0.125</v>
      </c>
      <c r="FF97" s="1">
        <v>0</v>
      </c>
      <c r="FG97" s="1">
        <f>VC_NEW!FB91</f>
        <v>0</v>
      </c>
      <c r="FH97" s="1">
        <f>VC_NEW!FC91</f>
        <v>0</v>
      </c>
      <c r="FI97" s="1">
        <v>0.625</v>
      </c>
      <c r="FJ97" s="1">
        <v>0.5</v>
      </c>
      <c r="FK97" s="1">
        <v>0.125</v>
      </c>
      <c r="FL97" s="1">
        <v>0.125</v>
      </c>
      <c r="FM97" s="1">
        <f>VC_NEW!FH91</f>
        <v>0</v>
      </c>
      <c r="FN97" s="1">
        <f>VC_NEW!FI91</f>
        <v>0</v>
      </c>
      <c r="FO97" s="1">
        <f>VC_NEW!FJ91</f>
        <v>0</v>
      </c>
      <c r="FP97" s="1">
        <f>VC_NEW!FK91</f>
        <v>0</v>
      </c>
      <c r="FQ97" s="1">
        <v>0.125</v>
      </c>
      <c r="FR97" s="1">
        <v>0.25</v>
      </c>
      <c r="FS97" s="1">
        <f>VC_NEW!FN91</f>
        <v>0</v>
      </c>
      <c r="FT97" s="1">
        <f>VC_NEW!FO91</f>
        <v>0</v>
      </c>
      <c r="FU97" s="1">
        <v>0.5</v>
      </c>
      <c r="FV97" s="1">
        <f>VC_NEW!FQ91</f>
        <v>0</v>
      </c>
      <c r="FW97" s="1">
        <v>0.25</v>
      </c>
      <c r="FX97" s="1">
        <v>0.25</v>
      </c>
      <c r="FY97" s="1">
        <f>VC_NEW!FT91</f>
        <v>0</v>
      </c>
      <c r="FZ97" s="1">
        <f>VC_NEW!FU91</f>
        <v>0</v>
      </c>
      <c r="GA97" s="1">
        <v>2</v>
      </c>
      <c r="GB97" s="1">
        <v>0.75</v>
      </c>
      <c r="GC97" s="1">
        <f>VC_NEW!FX91</f>
        <v>0</v>
      </c>
      <c r="GD97" s="1">
        <f>VC_NEW!FY91</f>
        <v>0</v>
      </c>
      <c r="GE97" s="1">
        <f>VC_NEW!FZ91</f>
        <v>0</v>
      </c>
      <c r="GF97" s="1">
        <v>0.125</v>
      </c>
      <c r="GG97" s="1">
        <f>VC_NEW!GB91</f>
        <v>0</v>
      </c>
      <c r="GH97" s="1">
        <f>VC_NEW!GC91</f>
        <v>0</v>
      </c>
      <c r="GI97" s="1">
        <v>0.125</v>
      </c>
      <c r="GJ97" s="1">
        <f>VC_NEW!GE91</f>
        <v>0</v>
      </c>
      <c r="GK97" s="1">
        <f>VC_NEW!GF91</f>
        <v>0</v>
      </c>
      <c r="GL97" s="1">
        <f>VC_NEW!GG91</f>
        <v>0</v>
      </c>
      <c r="GM97" s="1">
        <f>VC_NEW!GH91</f>
        <v>0</v>
      </c>
      <c r="GN97" s="1">
        <v>0.125</v>
      </c>
      <c r="GO97" s="1">
        <v>0.25</v>
      </c>
      <c r="GP97" s="1">
        <f>VC_NEW!GK91</f>
        <v>0</v>
      </c>
      <c r="GQ97" s="1">
        <f>VC_NEW!GL91</f>
        <v>0</v>
      </c>
      <c r="GR97" s="1">
        <v>0.25</v>
      </c>
      <c r="GS97" s="1">
        <v>0.125</v>
      </c>
      <c r="GT97" s="1">
        <v>0.25</v>
      </c>
      <c r="GU97" s="1">
        <f>VC_NEW!GP91</f>
        <v>0</v>
      </c>
      <c r="GV97" s="1">
        <v>0.125</v>
      </c>
      <c r="GW97" s="1">
        <f>VC_NEW!GR91</f>
        <v>0</v>
      </c>
      <c r="GX97" s="1">
        <v>0.25</v>
      </c>
      <c r="GY97" s="1">
        <v>0.25</v>
      </c>
      <c r="GZ97" s="1">
        <f>VC_NEW!GU91</f>
        <v>0</v>
      </c>
      <c r="HA97" s="1">
        <f>VC_NEW!GV91</f>
        <v>0</v>
      </c>
      <c r="HB97" s="1">
        <v>0.5</v>
      </c>
      <c r="HC97" s="1">
        <f>VC_NEW!GX91</f>
        <v>0</v>
      </c>
    </row>
    <row r="111" spans="3:211" x14ac:dyDescent="0.25">
      <c r="FC111" s="7"/>
    </row>
  </sheetData>
  <autoFilter ref="A1:HC97">
    <filterColumn colId="2">
      <filters>
        <filter val="MER"/>
      </filters>
    </filterColumn>
  </autoFilter>
  <mergeCells count="2">
    <mergeCell ref="G51:G53"/>
    <mergeCell ref="G83:G8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X56"/>
  <sheetViews>
    <sheetView tabSelected="1" topLeftCell="A9" workbookViewId="0">
      <selection sqref="A1:B56"/>
    </sheetView>
  </sheetViews>
  <sheetFormatPr baseColWidth="10" defaultRowHeight="12.75" x14ac:dyDescent="0.2"/>
  <cols>
    <col min="1" max="16384" width="11.42578125" style="103"/>
  </cols>
  <sheetData>
    <row r="1" spans="1:206" x14ac:dyDescent="0.2">
      <c r="A1" s="102" t="s">
        <v>132</v>
      </c>
      <c r="B1" s="102" t="s">
        <v>39</v>
      </c>
      <c r="C1" s="108" t="s">
        <v>163</v>
      </c>
      <c r="D1" s="108" t="s">
        <v>164</v>
      </c>
      <c r="E1" s="109" t="s">
        <v>165</v>
      </c>
      <c r="F1" s="108" t="s">
        <v>1153</v>
      </c>
      <c r="G1" s="109" t="s">
        <v>166</v>
      </c>
      <c r="H1" s="109" t="s">
        <v>167</v>
      </c>
      <c r="I1" s="109" t="s">
        <v>168</v>
      </c>
      <c r="J1" s="109" t="s">
        <v>169</v>
      </c>
      <c r="K1" s="109" t="s">
        <v>170</v>
      </c>
      <c r="L1" s="109" t="s">
        <v>171</v>
      </c>
      <c r="M1" s="109" t="s">
        <v>172</v>
      </c>
      <c r="N1" s="104" t="s">
        <v>173</v>
      </c>
      <c r="O1" s="109" t="s">
        <v>174</v>
      </c>
      <c r="P1" s="109" t="s">
        <v>175</v>
      </c>
      <c r="Q1" s="109" t="s">
        <v>176</v>
      </c>
      <c r="R1" s="109" t="s">
        <v>177</v>
      </c>
      <c r="S1" s="109" t="s">
        <v>178</v>
      </c>
      <c r="T1" s="109" t="s">
        <v>179</v>
      </c>
      <c r="U1" s="109" t="s">
        <v>180</v>
      </c>
      <c r="V1" s="109" t="s">
        <v>181</v>
      </c>
      <c r="W1" s="109" t="s">
        <v>182</v>
      </c>
      <c r="X1" s="109" t="s">
        <v>183</v>
      </c>
      <c r="Y1" s="109" t="s">
        <v>184</v>
      </c>
      <c r="Z1" s="109" t="s">
        <v>185</v>
      </c>
      <c r="AA1" s="109" t="s">
        <v>186</v>
      </c>
      <c r="AB1" s="104" t="s">
        <v>187</v>
      </c>
      <c r="AC1" s="109" t="s">
        <v>188</v>
      </c>
      <c r="AD1" s="109" t="s">
        <v>189</v>
      </c>
      <c r="AE1" s="109" t="s">
        <v>190</v>
      </c>
      <c r="AF1" s="109" t="s">
        <v>191</v>
      </c>
      <c r="AG1" s="109" t="s">
        <v>192</v>
      </c>
      <c r="AH1" s="109" t="s">
        <v>193</v>
      </c>
      <c r="AI1" s="109" t="s">
        <v>194</v>
      </c>
      <c r="AJ1" s="109" t="s">
        <v>195</v>
      </c>
      <c r="AK1" s="109" t="s">
        <v>196</v>
      </c>
      <c r="AL1" s="109" t="s">
        <v>197</v>
      </c>
      <c r="AM1" s="109" t="s">
        <v>198</v>
      </c>
      <c r="AN1" s="109" t="s">
        <v>199</v>
      </c>
      <c r="AO1" s="109" t="s">
        <v>200</v>
      </c>
      <c r="AP1" s="109" t="s">
        <v>201</v>
      </c>
      <c r="AQ1" s="109" t="s">
        <v>202</v>
      </c>
      <c r="AR1" s="109" t="s">
        <v>203</v>
      </c>
      <c r="AS1" s="109" t="s">
        <v>204</v>
      </c>
      <c r="AT1" s="109" t="s">
        <v>205</v>
      </c>
      <c r="AU1" s="109" t="s">
        <v>206</v>
      </c>
      <c r="AV1" s="109" t="s">
        <v>207</v>
      </c>
      <c r="AW1" s="109" t="s">
        <v>208</v>
      </c>
      <c r="AX1" s="109" t="s">
        <v>209</v>
      </c>
      <c r="AY1" s="109" t="s">
        <v>210</v>
      </c>
      <c r="AZ1" s="109" t="s">
        <v>211</v>
      </c>
      <c r="BA1" s="109" t="s">
        <v>212</v>
      </c>
      <c r="BB1" s="109" t="s">
        <v>213</v>
      </c>
      <c r="BC1" s="109" t="s">
        <v>214</v>
      </c>
      <c r="BD1" s="109" t="s">
        <v>215</v>
      </c>
      <c r="BE1" s="109" t="s">
        <v>216</v>
      </c>
      <c r="BF1" s="109" t="s">
        <v>217</v>
      </c>
      <c r="BG1" s="109" t="s">
        <v>218</v>
      </c>
      <c r="BH1" s="109" t="s">
        <v>219</v>
      </c>
      <c r="BI1" s="109" t="s">
        <v>220</v>
      </c>
      <c r="BJ1" s="109" t="s">
        <v>221</v>
      </c>
      <c r="BK1" s="109" t="s">
        <v>222</v>
      </c>
      <c r="BL1" s="109" t="s">
        <v>223</v>
      </c>
      <c r="BM1" s="109" t="s">
        <v>224</v>
      </c>
      <c r="BN1" s="109" t="s">
        <v>225</v>
      </c>
      <c r="BO1" s="109" t="s">
        <v>226</v>
      </c>
      <c r="BP1" s="109" t="s">
        <v>227</v>
      </c>
      <c r="BQ1" s="109" t="s">
        <v>228</v>
      </c>
      <c r="BR1" s="109" t="s">
        <v>229</v>
      </c>
      <c r="BS1" s="109" t="s">
        <v>230</v>
      </c>
      <c r="BT1" s="109" t="s">
        <v>231</v>
      </c>
      <c r="BU1" s="109" t="s">
        <v>232</v>
      </c>
      <c r="BV1" s="109" t="s">
        <v>233</v>
      </c>
      <c r="BW1" s="109" t="s">
        <v>234</v>
      </c>
      <c r="BX1" s="109" t="s">
        <v>235</v>
      </c>
      <c r="BY1" s="109" t="s">
        <v>236</v>
      </c>
      <c r="BZ1" s="109" t="s">
        <v>237</v>
      </c>
      <c r="CA1" s="109" t="s">
        <v>238</v>
      </c>
      <c r="CB1" s="104" t="s">
        <v>239</v>
      </c>
      <c r="CC1" s="109" t="s">
        <v>240</v>
      </c>
      <c r="CD1" s="104" t="s">
        <v>241</v>
      </c>
      <c r="CE1" s="109" t="s">
        <v>242</v>
      </c>
      <c r="CF1" s="109" t="s">
        <v>243</v>
      </c>
      <c r="CG1" s="109" t="s">
        <v>244</v>
      </c>
      <c r="CH1" s="109" t="s">
        <v>245</v>
      </c>
      <c r="CI1" s="109" t="s">
        <v>246</v>
      </c>
      <c r="CJ1" s="109" t="s">
        <v>247</v>
      </c>
      <c r="CK1" s="109" t="s">
        <v>248</v>
      </c>
      <c r="CL1" s="109" t="s">
        <v>249</v>
      </c>
      <c r="CM1" s="109" t="s">
        <v>250</v>
      </c>
      <c r="CN1" s="109" t="s">
        <v>251</v>
      </c>
      <c r="CO1" s="109" t="s">
        <v>252</v>
      </c>
      <c r="CP1" s="109" t="s">
        <v>253</v>
      </c>
      <c r="CQ1" s="109" t="s">
        <v>254</v>
      </c>
      <c r="CR1" s="109" t="s">
        <v>255</v>
      </c>
      <c r="CS1" s="109" t="s">
        <v>256</v>
      </c>
      <c r="CT1" s="109" t="s">
        <v>257</v>
      </c>
      <c r="CU1" s="109" t="s">
        <v>258</v>
      </c>
      <c r="CV1" s="109" t="s">
        <v>259</v>
      </c>
      <c r="CW1" s="109" t="s">
        <v>260</v>
      </c>
      <c r="CX1" s="109" t="s">
        <v>261</v>
      </c>
      <c r="CY1" s="109" t="s">
        <v>262</v>
      </c>
      <c r="CZ1" s="109" t="s">
        <v>263</v>
      </c>
      <c r="DA1" s="109" t="s">
        <v>264</v>
      </c>
      <c r="DB1" s="109" t="s">
        <v>265</v>
      </c>
      <c r="DC1" s="109" t="s">
        <v>266</v>
      </c>
      <c r="DD1" s="109" t="s">
        <v>267</v>
      </c>
      <c r="DE1" s="109" t="s">
        <v>268</v>
      </c>
      <c r="DF1" s="109" t="s">
        <v>269</v>
      </c>
      <c r="DG1" s="109" t="s">
        <v>270</v>
      </c>
      <c r="DH1" s="109" t="s">
        <v>271</v>
      </c>
      <c r="DI1" s="109" t="s">
        <v>272</v>
      </c>
      <c r="DJ1" s="109" t="s">
        <v>273</v>
      </c>
      <c r="DK1" s="109" t="s">
        <v>274</v>
      </c>
      <c r="DL1" s="109" t="s">
        <v>275</v>
      </c>
      <c r="DM1" s="109" t="s">
        <v>276</v>
      </c>
      <c r="DN1" s="109" t="s">
        <v>277</v>
      </c>
      <c r="DO1" s="109" t="s">
        <v>278</v>
      </c>
      <c r="DP1" s="109" t="s">
        <v>279</v>
      </c>
      <c r="DQ1" s="109" t="s">
        <v>280</v>
      </c>
      <c r="DR1" s="109" t="s">
        <v>281</v>
      </c>
      <c r="DS1" s="109" t="s">
        <v>282</v>
      </c>
      <c r="DT1" s="109" t="s">
        <v>283</v>
      </c>
      <c r="DU1" s="109" t="s">
        <v>284</v>
      </c>
      <c r="DV1" s="109" t="s">
        <v>285</v>
      </c>
      <c r="DW1" s="109" t="s">
        <v>286</v>
      </c>
      <c r="DX1" s="109" t="s">
        <v>287</v>
      </c>
      <c r="DY1" s="109" t="s">
        <v>288</v>
      </c>
      <c r="DZ1" s="109" t="s">
        <v>289</v>
      </c>
      <c r="EA1" s="109" t="s">
        <v>290</v>
      </c>
      <c r="EB1" s="109" t="s">
        <v>291</v>
      </c>
      <c r="EC1" s="109" t="s">
        <v>292</v>
      </c>
      <c r="ED1" s="109" t="s">
        <v>293</v>
      </c>
      <c r="EE1" s="109" t="s">
        <v>294</v>
      </c>
      <c r="EF1" s="109" t="s">
        <v>295</v>
      </c>
      <c r="EG1" s="109" t="s">
        <v>296</v>
      </c>
      <c r="EH1" s="109" t="s">
        <v>297</v>
      </c>
      <c r="EI1" s="109" t="s">
        <v>298</v>
      </c>
      <c r="EJ1" s="109" t="s">
        <v>299</v>
      </c>
      <c r="EK1" s="109" t="s">
        <v>300</v>
      </c>
      <c r="EL1" s="109" t="s">
        <v>301</v>
      </c>
      <c r="EM1" s="109" t="s">
        <v>302</v>
      </c>
      <c r="EN1" s="109" t="s">
        <v>303</v>
      </c>
      <c r="EO1" s="109" t="s">
        <v>304</v>
      </c>
      <c r="EP1" s="109" t="s">
        <v>305</v>
      </c>
      <c r="EQ1" s="109" t="s">
        <v>306</v>
      </c>
      <c r="ER1" s="109" t="s">
        <v>307</v>
      </c>
      <c r="ES1" s="109" t="s">
        <v>308</v>
      </c>
      <c r="ET1" s="109" t="s">
        <v>309</v>
      </c>
      <c r="EU1" s="109" t="s">
        <v>310</v>
      </c>
      <c r="EV1" s="109" t="s">
        <v>311</v>
      </c>
      <c r="EW1" s="109" t="s">
        <v>312</v>
      </c>
      <c r="EX1" s="109" t="s">
        <v>313</v>
      </c>
      <c r="EY1" s="109" t="s">
        <v>314</v>
      </c>
      <c r="EZ1" s="109" t="s">
        <v>315</v>
      </c>
      <c r="FA1" s="109" t="s">
        <v>316</v>
      </c>
      <c r="FB1" s="109" t="s">
        <v>317</v>
      </c>
      <c r="FC1" s="109" t="s">
        <v>318</v>
      </c>
      <c r="FD1" s="109" t="s">
        <v>319</v>
      </c>
      <c r="FE1" s="109" t="s">
        <v>320</v>
      </c>
      <c r="FF1" s="109" t="s">
        <v>321</v>
      </c>
      <c r="FG1" s="109" t="s">
        <v>322</v>
      </c>
      <c r="FH1" s="109" t="s">
        <v>323</v>
      </c>
      <c r="FI1" s="109" t="s">
        <v>324</v>
      </c>
      <c r="FJ1" s="109" t="s">
        <v>325</v>
      </c>
      <c r="FK1" s="104" t="s">
        <v>326</v>
      </c>
      <c r="FL1" s="109" t="s">
        <v>327</v>
      </c>
      <c r="FM1" s="109" t="s">
        <v>328</v>
      </c>
      <c r="FN1" s="109" t="s">
        <v>329</v>
      </c>
      <c r="FO1" s="104" t="s">
        <v>330</v>
      </c>
      <c r="FP1" s="109" t="s">
        <v>331</v>
      </c>
      <c r="FQ1" s="109" t="s">
        <v>332</v>
      </c>
      <c r="FR1" s="109" t="s">
        <v>333</v>
      </c>
      <c r="FS1" s="109" t="s">
        <v>334</v>
      </c>
      <c r="FT1" s="109" t="s">
        <v>335</v>
      </c>
      <c r="FU1" s="109" t="s">
        <v>336</v>
      </c>
      <c r="FV1" s="109" t="s">
        <v>337</v>
      </c>
      <c r="FW1" s="109" t="s">
        <v>338</v>
      </c>
      <c r="FX1" s="109" t="s">
        <v>339</v>
      </c>
      <c r="FY1" s="109" t="s">
        <v>340</v>
      </c>
      <c r="FZ1" s="109" t="s">
        <v>341</v>
      </c>
      <c r="GA1" s="109" t="s">
        <v>342</v>
      </c>
      <c r="GB1" s="104" t="s">
        <v>343</v>
      </c>
      <c r="GC1" s="109" t="s">
        <v>344</v>
      </c>
      <c r="GD1" s="109" t="s">
        <v>345</v>
      </c>
      <c r="GE1" s="109" t="s">
        <v>346</v>
      </c>
      <c r="GF1" s="109" t="s">
        <v>347</v>
      </c>
      <c r="GG1" s="109" t="s">
        <v>348</v>
      </c>
      <c r="GH1" s="109" t="s">
        <v>349</v>
      </c>
      <c r="GI1" s="109" t="s">
        <v>350</v>
      </c>
      <c r="GJ1" s="109" t="s">
        <v>351</v>
      </c>
      <c r="GK1" s="109" t="s">
        <v>352</v>
      </c>
      <c r="GL1" s="109" t="s">
        <v>353</v>
      </c>
      <c r="GM1" s="109" t="s">
        <v>354</v>
      </c>
      <c r="GN1" s="109" t="s">
        <v>355</v>
      </c>
      <c r="GO1" s="109" t="s">
        <v>356</v>
      </c>
      <c r="GP1" s="109" t="s">
        <v>357</v>
      </c>
      <c r="GQ1" s="109" t="s">
        <v>358</v>
      </c>
      <c r="GR1" s="109" t="s">
        <v>359</v>
      </c>
      <c r="GS1" s="109" t="s">
        <v>360</v>
      </c>
      <c r="GT1" s="109" t="s">
        <v>361</v>
      </c>
      <c r="GU1" s="109" t="s">
        <v>362</v>
      </c>
      <c r="GV1" s="109" t="s">
        <v>363</v>
      </c>
      <c r="GW1" s="109" t="s">
        <v>364</v>
      </c>
      <c r="GX1" s="109" t="s">
        <v>365</v>
      </c>
    </row>
    <row r="2" spans="1:206" x14ac:dyDescent="0.2">
      <c r="A2" s="104" t="s">
        <v>62</v>
      </c>
      <c r="B2" s="104" t="s">
        <v>63</v>
      </c>
      <c r="C2" s="101"/>
      <c r="D2" s="101"/>
      <c r="E2" s="101"/>
      <c r="F2" s="101"/>
      <c r="G2" s="101"/>
      <c r="H2" s="101"/>
      <c r="I2" s="101" t="s">
        <v>366</v>
      </c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 t="s">
        <v>1158</v>
      </c>
      <c r="W2" s="101"/>
      <c r="X2" s="101"/>
      <c r="Y2" s="101"/>
      <c r="Z2" s="101"/>
      <c r="AA2" s="101"/>
      <c r="AB2" s="101"/>
      <c r="AC2" s="101"/>
      <c r="AD2" s="101"/>
      <c r="AE2" s="101"/>
      <c r="AF2" s="101" t="s">
        <v>367</v>
      </c>
      <c r="AG2" s="101"/>
      <c r="AH2" s="101"/>
      <c r="AI2" s="101"/>
      <c r="AJ2" s="101"/>
      <c r="AK2" s="101"/>
      <c r="AL2" s="101"/>
      <c r="AM2" s="101"/>
      <c r="AN2" s="101"/>
      <c r="AO2" s="101"/>
      <c r="AP2" s="101"/>
      <c r="AQ2" s="101"/>
      <c r="AR2" s="101"/>
      <c r="AS2" s="101"/>
      <c r="AT2" s="101"/>
      <c r="AU2" s="101"/>
      <c r="AV2" s="101"/>
      <c r="AW2" s="101"/>
      <c r="AX2" s="101"/>
      <c r="AY2" s="101"/>
      <c r="AZ2" s="101"/>
      <c r="BA2" s="101"/>
      <c r="BB2" s="101"/>
      <c r="BC2" s="101"/>
      <c r="BD2" s="101"/>
      <c r="BE2" s="101" t="s">
        <v>368</v>
      </c>
      <c r="BF2" s="101"/>
      <c r="BG2" s="101"/>
      <c r="BH2" s="101"/>
      <c r="BI2" s="101"/>
      <c r="BJ2" s="101"/>
      <c r="BK2" s="101"/>
      <c r="BL2" s="101"/>
      <c r="BM2" s="101"/>
      <c r="BN2" s="101"/>
      <c r="BO2" s="101"/>
      <c r="BP2" s="101"/>
      <c r="BQ2" s="101"/>
      <c r="BR2" s="101"/>
      <c r="BS2" s="101"/>
      <c r="BT2" s="101"/>
      <c r="BU2" s="101"/>
      <c r="BV2" s="101"/>
      <c r="BW2" s="101"/>
      <c r="BX2" s="101"/>
      <c r="BY2" s="101"/>
      <c r="BZ2" s="101"/>
      <c r="CA2" s="101"/>
      <c r="CB2" s="101"/>
      <c r="CC2" s="101"/>
      <c r="CD2" s="101"/>
      <c r="CE2" s="101"/>
      <c r="CF2" s="101"/>
      <c r="CG2" s="101"/>
      <c r="CH2" s="101"/>
      <c r="CI2" s="101"/>
      <c r="CJ2" s="101"/>
      <c r="CK2" s="101"/>
      <c r="CL2" s="101"/>
      <c r="CM2" s="101"/>
      <c r="CN2" s="101" t="s">
        <v>366</v>
      </c>
      <c r="CO2" s="101"/>
      <c r="CP2" s="101"/>
      <c r="CQ2" s="101"/>
      <c r="CR2" s="101"/>
      <c r="CS2" s="101"/>
      <c r="CT2" s="101"/>
      <c r="CU2" s="101"/>
      <c r="CV2" s="101"/>
      <c r="CW2" s="101"/>
      <c r="CX2" s="101"/>
      <c r="CY2" s="101"/>
      <c r="CZ2" s="101"/>
      <c r="DA2" s="101"/>
      <c r="DB2" s="101"/>
      <c r="DC2" s="101"/>
      <c r="DD2" s="101"/>
      <c r="DE2" s="101"/>
      <c r="DF2" s="101"/>
      <c r="DG2" s="101"/>
      <c r="DH2" s="101"/>
      <c r="DI2" s="101"/>
      <c r="DJ2" s="101"/>
      <c r="DK2" s="101"/>
      <c r="DL2" s="101"/>
      <c r="DM2" s="101" t="s">
        <v>368</v>
      </c>
      <c r="DN2" s="101"/>
      <c r="DO2" s="101"/>
      <c r="DP2" s="101" t="s">
        <v>366</v>
      </c>
      <c r="DQ2" s="101"/>
      <c r="DR2" s="101" t="s">
        <v>366</v>
      </c>
      <c r="DS2" s="101"/>
      <c r="DT2" s="101"/>
      <c r="DU2" s="101"/>
      <c r="DV2" s="101"/>
      <c r="DW2" s="101"/>
      <c r="DX2" s="101"/>
      <c r="DY2" s="101" t="s">
        <v>367</v>
      </c>
      <c r="DZ2" s="101"/>
      <c r="EA2" s="101"/>
      <c r="EB2" s="101"/>
      <c r="EC2" s="101"/>
      <c r="ED2" s="101"/>
      <c r="EE2" s="101"/>
      <c r="EF2" s="101"/>
      <c r="EG2" s="101" t="s">
        <v>368</v>
      </c>
      <c r="EH2" s="101"/>
      <c r="EI2" s="101"/>
      <c r="EJ2" s="101"/>
      <c r="EK2" s="101"/>
      <c r="EL2" s="101"/>
      <c r="EM2" s="101"/>
      <c r="EN2" s="101"/>
      <c r="EO2" s="101" t="s">
        <v>1159</v>
      </c>
      <c r="EP2" s="101"/>
      <c r="EQ2" s="101"/>
      <c r="ER2" s="101" t="s">
        <v>1160</v>
      </c>
      <c r="ES2" s="101"/>
      <c r="ET2" s="101"/>
      <c r="EU2" s="101"/>
      <c r="EV2" s="101"/>
      <c r="EW2" s="101" t="s">
        <v>367</v>
      </c>
      <c r="EX2" s="101"/>
      <c r="EY2" s="101"/>
      <c r="EZ2" s="101" t="s">
        <v>366</v>
      </c>
      <c r="FA2" s="101"/>
      <c r="FB2" s="101"/>
      <c r="FC2" s="101"/>
      <c r="FD2" s="101"/>
      <c r="FE2" s="101"/>
      <c r="FF2" s="101"/>
      <c r="FG2" s="101"/>
      <c r="FH2" s="101"/>
      <c r="FI2" s="101"/>
      <c r="FJ2" s="101"/>
      <c r="FK2" s="101"/>
      <c r="FL2" s="101"/>
      <c r="FM2" s="101"/>
      <c r="FN2" s="101"/>
      <c r="FO2" s="101"/>
      <c r="FP2" s="101" t="s">
        <v>366</v>
      </c>
      <c r="FQ2" s="101"/>
      <c r="FR2" s="101" t="s">
        <v>1161</v>
      </c>
      <c r="FS2" s="101"/>
      <c r="FT2" s="101"/>
      <c r="FU2" s="101"/>
      <c r="FV2" s="101"/>
      <c r="FW2" s="101" t="s">
        <v>366</v>
      </c>
      <c r="FX2" s="101"/>
      <c r="FY2" s="101"/>
      <c r="FZ2" s="101"/>
      <c r="GA2" s="101"/>
      <c r="GB2" s="101"/>
      <c r="GC2" s="101"/>
      <c r="GD2" s="101"/>
      <c r="GE2" s="101"/>
      <c r="GF2" s="101"/>
      <c r="GG2" s="101" t="s">
        <v>367</v>
      </c>
      <c r="GH2" s="101"/>
      <c r="GI2" s="101"/>
      <c r="GJ2" s="101"/>
      <c r="GK2" s="101"/>
      <c r="GL2" s="101"/>
      <c r="GM2" s="101"/>
      <c r="GN2" s="101"/>
      <c r="GO2" s="101"/>
      <c r="GP2" s="101"/>
      <c r="GQ2" s="101"/>
      <c r="GR2" s="101"/>
      <c r="GS2" s="101" t="s">
        <v>1162</v>
      </c>
      <c r="GT2" s="101"/>
      <c r="GU2" s="101"/>
      <c r="GV2" s="101"/>
      <c r="GW2" s="101"/>
      <c r="GX2" s="101"/>
    </row>
    <row r="3" spans="1:206" x14ac:dyDescent="0.2">
      <c r="A3" s="104" t="s">
        <v>5</v>
      </c>
      <c r="B3" s="104" t="s">
        <v>6</v>
      </c>
      <c r="C3" s="101"/>
      <c r="D3" s="101"/>
      <c r="E3" s="101"/>
      <c r="F3" s="101"/>
      <c r="G3" s="101"/>
      <c r="H3" s="101"/>
      <c r="I3" s="101"/>
      <c r="J3" s="101"/>
      <c r="K3" s="101"/>
      <c r="L3" s="101"/>
      <c r="M3" s="101"/>
      <c r="N3" s="101"/>
      <c r="O3" s="101"/>
      <c r="P3" s="101"/>
      <c r="Q3" s="101"/>
      <c r="R3" s="101"/>
      <c r="S3" s="101"/>
      <c r="T3" s="101"/>
      <c r="U3" s="101"/>
      <c r="V3" s="101"/>
      <c r="W3" s="101" t="s">
        <v>1163</v>
      </c>
      <c r="X3" s="101" t="s">
        <v>990</v>
      </c>
      <c r="Y3" s="101"/>
      <c r="Z3" s="101"/>
      <c r="AA3" s="101"/>
      <c r="AB3" s="101"/>
      <c r="AC3" s="101"/>
      <c r="AD3" s="101"/>
      <c r="AE3" s="101"/>
      <c r="AF3" s="101" t="s">
        <v>1164</v>
      </c>
      <c r="AG3" s="101"/>
      <c r="AH3" s="101"/>
      <c r="AI3" s="101"/>
      <c r="AJ3" s="101" t="s">
        <v>991</v>
      </c>
      <c r="AK3" s="101"/>
      <c r="AL3" s="101"/>
      <c r="AM3" s="101"/>
      <c r="AN3" s="101"/>
      <c r="AO3" s="101"/>
      <c r="AP3" s="101"/>
      <c r="AQ3" s="101"/>
      <c r="AR3" s="101"/>
      <c r="AS3" s="101"/>
      <c r="AT3" s="101"/>
      <c r="AU3" s="101"/>
      <c r="AV3" s="101"/>
      <c r="AW3" s="101" t="s">
        <v>1165</v>
      </c>
      <c r="AX3" s="101"/>
      <c r="AY3" s="101"/>
      <c r="AZ3" s="101"/>
      <c r="BA3" s="101"/>
      <c r="BB3" s="101"/>
      <c r="BC3" s="101"/>
      <c r="BD3" s="101"/>
      <c r="BE3" s="101"/>
      <c r="BF3" s="101"/>
      <c r="BG3" s="101"/>
      <c r="BH3" s="101"/>
      <c r="BI3" s="101" t="s">
        <v>373</v>
      </c>
      <c r="BJ3" s="101"/>
      <c r="BK3" s="101"/>
      <c r="BL3" s="101"/>
      <c r="BM3" s="101"/>
      <c r="BN3" s="101"/>
      <c r="BO3" s="101"/>
      <c r="BP3" s="101"/>
      <c r="BQ3" s="101"/>
      <c r="BR3" s="101"/>
      <c r="BS3" s="101"/>
      <c r="BT3" s="101"/>
      <c r="BU3" s="101"/>
      <c r="BV3" s="101" t="s">
        <v>374</v>
      </c>
      <c r="BW3" s="101"/>
      <c r="BX3" s="101"/>
      <c r="BY3" s="101"/>
      <c r="BZ3" s="101"/>
      <c r="CA3" s="101" t="s">
        <v>1166</v>
      </c>
      <c r="CB3" s="101"/>
      <c r="CC3" s="101"/>
      <c r="CD3" s="101"/>
      <c r="CE3" s="101"/>
      <c r="CF3" s="101"/>
      <c r="CG3" s="101"/>
      <c r="CH3" s="101"/>
      <c r="CI3" s="101"/>
      <c r="CJ3" s="101"/>
      <c r="CK3" s="101"/>
      <c r="CL3" s="101"/>
      <c r="CM3" s="101"/>
      <c r="CN3" s="101" t="s">
        <v>372</v>
      </c>
      <c r="CO3" s="101"/>
      <c r="CP3" s="101"/>
      <c r="CQ3" s="101"/>
      <c r="CR3" s="101" t="s">
        <v>376</v>
      </c>
      <c r="CS3" s="101"/>
      <c r="CT3" s="101"/>
      <c r="CU3" s="101"/>
      <c r="CV3" s="101"/>
      <c r="CW3" s="101"/>
      <c r="CX3" s="101"/>
      <c r="CY3" s="101"/>
      <c r="CZ3" s="101"/>
      <c r="DA3" s="101" t="s">
        <v>377</v>
      </c>
      <c r="DB3" s="101"/>
      <c r="DC3" s="101"/>
      <c r="DD3" s="101"/>
      <c r="DE3" s="101"/>
      <c r="DF3" s="101"/>
      <c r="DG3" s="101"/>
      <c r="DH3" s="101"/>
      <c r="DI3" s="101"/>
      <c r="DJ3" s="101"/>
      <c r="DK3" s="101"/>
      <c r="DL3" s="101"/>
      <c r="DM3" s="101"/>
      <c r="DN3" s="101"/>
      <c r="DO3" s="101"/>
      <c r="DP3" s="101"/>
      <c r="DQ3" s="101"/>
      <c r="DR3" s="101"/>
      <c r="DS3" s="101"/>
      <c r="DT3" s="101"/>
      <c r="DU3" s="101"/>
      <c r="DV3" s="101"/>
      <c r="DW3" s="101"/>
      <c r="DX3" s="101"/>
      <c r="DY3" s="101"/>
      <c r="DZ3" s="101"/>
      <c r="EA3" s="101"/>
      <c r="EB3" s="101"/>
      <c r="EC3" s="101"/>
      <c r="ED3" s="101"/>
      <c r="EE3" s="101"/>
      <c r="EF3" s="101" t="s">
        <v>378</v>
      </c>
      <c r="EG3" s="101"/>
      <c r="EH3" s="101"/>
      <c r="EI3" s="101"/>
      <c r="EJ3" s="101"/>
      <c r="EK3" s="101"/>
      <c r="EL3" s="101"/>
      <c r="EM3" s="101"/>
      <c r="EN3" s="101"/>
      <c r="EO3" s="101"/>
      <c r="EP3" s="101"/>
      <c r="EQ3" s="101"/>
      <c r="ER3" s="101" t="s">
        <v>1167</v>
      </c>
      <c r="ES3" s="101"/>
      <c r="ET3" s="101"/>
      <c r="EU3" s="101"/>
      <c r="EV3" s="101"/>
      <c r="EW3" s="101"/>
      <c r="EX3" s="101"/>
      <c r="EY3" s="101"/>
      <c r="EZ3" s="101"/>
      <c r="FA3" s="101"/>
      <c r="FB3" s="101"/>
      <c r="FC3" s="101"/>
      <c r="FD3" s="101"/>
      <c r="FE3" s="101"/>
      <c r="FF3" s="101"/>
      <c r="FG3" s="101"/>
      <c r="FH3" s="101"/>
      <c r="FI3" s="101"/>
      <c r="FJ3" s="101"/>
      <c r="FK3" s="101"/>
      <c r="FL3" s="101"/>
      <c r="FM3" s="101" t="s">
        <v>380</v>
      </c>
      <c r="FN3" s="101"/>
      <c r="FO3" s="101"/>
      <c r="FP3" s="101"/>
      <c r="FQ3" s="101"/>
      <c r="FR3" s="101" t="s">
        <v>992</v>
      </c>
      <c r="FS3" s="101"/>
      <c r="FT3" s="101"/>
      <c r="FU3" s="101"/>
      <c r="FV3" s="101"/>
      <c r="FW3" s="101"/>
      <c r="FX3" s="101"/>
      <c r="FY3" s="101"/>
      <c r="FZ3" s="101"/>
      <c r="GA3" s="101"/>
      <c r="GB3" s="101"/>
      <c r="GC3" s="101"/>
      <c r="GD3" s="101"/>
      <c r="GE3" s="101"/>
      <c r="GF3" s="101"/>
      <c r="GG3" s="101"/>
      <c r="GH3" s="101"/>
      <c r="GI3" s="101"/>
      <c r="GJ3" s="101"/>
      <c r="GK3" s="101"/>
      <c r="GL3" s="101"/>
      <c r="GM3" s="101"/>
      <c r="GN3" s="101"/>
      <c r="GO3" s="101"/>
      <c r="GP3" s="101"/>
      <c r="GQ3" s="101"/>
      <c r="GR3" s="101"/>
      <c r="GS3" s="101"/>
      <c r="GT3" s="101"/>
      <c r="GU3" s="101"/>
      <c r="GV3" s="101"/>
      <c r="GW3" s="101" t="s">
        <v>381</v>
      </c>
      <c r="GX3" s="101"/>
    </row>
    <row r="4" spans="1:206" x14ac:dyDescent="0.2">
      <c r="A4" s="104" t="s">
        <v>7</v>
      </c>
      <c r="B4" s="104" t="s">
        <v>8</v>
      </c>
      <c r="C4" s="101"/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  <c r="AA4" s="101"/>
      <c r="AB4" s="101"/>
      <c r="AC4" s="101"/>
      <c r="AD4" s="101"/>
      <c r="AE4" s="101"/>
      <c r="AF4" s="101"/>
      <c r="AG4" s="101"/>
      <c r="AH4" s="101"/>
      <c r="AI4" s="101"/>
      <c r="AJ4" s="101"/>
      <c r="AK4" s="101"/>
      <c r="AL4" s="101"/>
      <c r="AM4" s="101"/>
      <c r="AN4" s="101"/>
      <c r="AO4" s="101"/>
      <c r="AP4" s="101"/>
      <c r="AQ4" s="101"/>
      <c r="AR4" s="101"/>
      <c r="AS4" s="101" t="s">
        <v>383</v>
      </c>
      <c r="AT4" s="101"/>
      <c r="AU4" s="101"/>
      <c r="AV4" s="101"/>
      <c r="AW4" s="101"/>
      <c r="AX4" s="101"/>
      <c r="AY4" s="101"/>
      <c r="AZ4" s="101"/>
      <c r="BA4" s="101"/>
      <c r="BB4" s="101"/>
      <c r="BC4" s="101"/>
      <c r="BD4" s="101"/>
      <c r="BE4" s="101"/>
      <c r="BF4" s="101"/>
      <c r="BG4" s="101"/>
      <c r="BH4" s="101" t="s">
        <v>384</v>
      </c>
      <c r="BI4" s="101"/>
      <c r="BJ4" s="101"/>
      <c r="BK4" s="101"/>
      <c r="BL4" s="101"/>
      <c r="BM4" s="101"/>
      <c r="BN4" s="101"/>
      <c r="BO4" s="101"/>
      <c r="BP4" s="101"/>
      <c r="BQ4" s="101"/>
      <c r="BR4" s="101"/>
      <c r="BS4" s="101"/>
      <c r="BT4" s="101"/>
      <c r="BU4" s="101"/>
      <c r="BV4" s="101"/>
      <c r="BW4" s="101"/>
      <c r="BX4" s="101"/>
      <c r="BY4" s="101"/>
      <c r="BZ4" s="101"/>
      <c r="CA4" s="101"/>
      <c r="CB4" s="101"/>
      <c r="CC4" s="101"/>
      <c r="CD4" s="101"/>
      <c r="CE4" s="101"/>
      <c r="CF4" s="101"/>
      <c r="CG4" s="101"/>
      <c r="CH4" s="101"/>
      <c r="CI4" s="101" t="s">
        <v>385</v>
      </c>
      <c r="CJ4" s="101" t="s">
        <v>386</v>
      </c>
      <c r="CK4" s="101"/>
      <c r="CL4" s="101"/>
      <c r="CM4" s="101"/>
      <c r="CN4" s="101"/>
      <c r="CO4" s="101"/>
      <c r="CP4" s="101"/>
      <c r="CQ4" s="101"/>
      <c r="CR4" s="101"/>
      <c r="CS4" s="101" t="s">
        <v>387</v>
      </c>
      <c r="CT4" s="101"/>
      <c r="CU4" s="101"/>
      <c r="CV4" s="101"/>
      <c r="CW4" s="101"/>
      <c r="CX4" s="101"/>
      <c r="CY4" s="101"/>
      <c r="CZ4" s="101"/>
      <c r="DA4" s="101"/>
      <c r="DB4" s="101"/>
      <c r="DC4" s="101"/>
      <c r="DD4" s="101"/>
      <c r="DE4" s="101"/>
      <c r="DF4" s="101" t="s">
        <v>384</v>
      </c>
      <c r="DG4" s="101"/>
      <c r="DH4" s="101"/>
      <c r="DI4" s="101"/>
      <c r="DJ4" s="101"/>
      <c r="DK4" s="101"/>
      <c r="DL4" s="101" t="s">
        <v>388</v>
      </c>
      <c r="DM4" s="101"/>
      <c r="DN4" s="101"/>
      <c r="DO4" s="101"/>
      <c r="DP4" s="101" t="s">
        <v>389</v>
      </c>
      <c r="DQ4" s="101"/>
      <c r="DR4" s="101"/>
      <c r="DS4" s="101"/>
      <c r="DT4" s="101"/>
      <c r="DU4" s="101"/>
      <c r="DV4" s="101"/>
      <c r="DW4" s="101"/>
      <c r="DX4" s="101"/>
      <c r="DY4" s="101" t="s">
        <v>390</v>
      </c>
      <c r="DZ4" s="101"/>
      <c r="EA4" s="101" t="s">
        <v>391</v>
      </c>
      <c r="EB4" s="101" t="s">
        <v>392</v>
      </c>
      <c r="EC4" s="101"/>
      <c r="ED4" s="101"/>
      <c r="EE4" s="101"/>
      <c r="EF4" s="101"/>
      <c r="EG4" s="101"/>
      <c r="EH4" s="101"/>
      <c r="EI4" s="101"/>
      <c r="EJ4" s="101"/>
      <c r="EK4" s="101"/>
      <c r="EL4" s="101"/>
      <c r="EM4" s="101" t="s">
        <v>393</v>
      </c>
      <c r="EN4" s="101"/>
      <c r="EO4" s="101"/>
      <c r="EP4" s="101"/>
      <c r="EQ4" s="101" t="s">
        <v>384</v>
      </c>
      <c r="ER4" s="101"/>
      <c r="ES4" s="101"/>
      <c r="ET4" s="101"/>
      <c r="EU4" s="101"/>
      <c r="EV4" s="101"/>
      <c r="EW4" s="101"/>
      <c r="EX4" s="101"/>
      <c r="EY4" s="101"/>
      <c r="EZ4" s="101"/>
      <c r="FA4" s="101"/>
      <c r="FB4" s="101"/>
      <c r="FC4" s="101"/>
      <c r="FD4" s="101"/>
      <c r="FE4" s="101"/>
      <c r="FF4" s="101"/>
      <c r="FG4" s="101"/>
      <c r="FH4" s="101"/>
      <c r="FI4" s="101"/>
      <c r="FJ4" s="101"/>
      <c r="FK4" s="101"/>
      <c r="FL4" s="101"/>
      <c r="FM4" s="101"/>
      <c r="FN4" s="101"/>
      <c r="FO4" s="101"/>
      <c r="FP4" s="101"/>
      <c r="FQ4" s="101"/>
      <c r="FR4" s="101"/>
      <c r="FS4" s="101"/>
      <c r="FT4" s="101"/>
      <c r="FU4" s="101"/>
      <c r="FV4" s="101"/>
      <c r="FW4" s="101"/>
      <c r="FX4" s="101"/>
      <c r="FY4" s="101"/>
      <c r="FZ4" s="101"/>
      <c r="GA4" s="101"/>
      <c r="GB4" s="101"/>
      <c r="GC4" s="101"/>
      <c r="GD4" s="101"/>
      <c r="GE4" s="101"/>
      <c r="GF4" s="101"/>
      <c r="GG4" s="101"/>
      <c r="GH4" s="101"/>
      <c r="GI4" s="101"/>
      <c r="GJ4" s="101"/>
      <c r="GK4" s="101"/>
      <c r="GL4" s="101"/>
      <c r="GM4" s="101"/>
      <c r="GN4" s="101"/>
      <c r="GO4" s="101"/>
      <c r="GP4" s="101" t="s">
        <v>386</v>
      </c>
      <c r="GQ4" s="101"/>
      <c r="GR4" s="101"/>
      <c r="GS4" s="101"/>
      <c r="GT4" s="101"/>
      <c r="GU4" s="101"/>
      <c r="GV4" s="101"/>
      <c r="GW4" s="101"/>
      <c r="GX4" s="101"/>
    </row>
    <row r="5" spans="1:206" x14ac:dyDescent="0.2">
      <c r="A5" s="104" t="s">
        <v>9</v>
      </c>
      <c r="B5" s="104" t="s">
        <v>10</v>
      </c>
      <c r="C5" s="101"/>
      <c r="D5" s="101"/>
      <c r="E5" s="101"/>
      <c r="F5" s="101"/>
      <c r="G5" s="101"/>
      <c r="H5" s="101"/>
      <c r="I5" s="101"/>
      <c r="J5" s="101"/>
      <c r="K5" s="101"/>
      <c r="L5" s="101"/>
      <c r="M5" s="101"/>
      <c r="N5" s="101"/>
      <c r="O5" s="101"/>
      <c r="P5" s="101"/>
      <c r="Q5" s="101"/>
      <c r="R5" s="101"/>
      <c r="S5" s="101"/>
      <c r="T5" s="101"/>
      <c r="U5" s="101"/>
      <c r="V5" s="101"/>
      <c r="W5" s="101"/>
      <c r="X5" s="101"/>
      <c r="Y5" s="101"/>
      <c r="Z5" s="101"/>
      <c r="AA5" s="101"/>
      <c r="AB5" s="101"/>
      <c r="AC5" s="101"/>
      <c r="AD5" s="101"/>
      <c r="AE5" s="101"/>
      <c r="AF5" s="101"/>
      <c r="AG5" s="101"/>
      <c r="AH5" s="101" t="s">
        <v>1061</v>
      </c>
      <c r="AI5" s="101"/>
      <c r="AJ5" s="101"/>
      <c r="AK5" s="101"/>
      <c r="AL5" s="101"/>
      <c r="AM5" s="101"/>
      <c r="AN5" s="101"/>
      <c r="AO5" s="101"/>
      <c r="AP5" s="101"/>
      <c r="AQ5" s="101"/>
      <c r="AR5" s="101"/>
      <c r="AS5" s="101"/>
      <c r="AT5" s="101"/>
      <c r="AU5" s="101"/>
      <c r="AV5" s="101"/>
      <c r="AW5" s="101"/>
      <c r="AX5" s="101"/>
      <c r="AY5" s="101"/>
      <c r="AZ5" s="101"/>
      <c r="BA5" s="101"/>
      <c r="BB5" s="101"/>
      <c r="BC5" s="101"/>
      <c r="BD5" s="101"/>
      <c r="BE5" s="101"/>
      <c r="BF5" s="101"/>
      <c r="BG5" s="101"/>
      <c r="BH5" s="101"/>
      <c r="BI5" s="101"/>
      <c r="BJ5" s="101" t="s">
        <v>396</v>
      </c>
      <c r="BK5" s="101"/>
      <c r="BL5" s="101" t="s">
        <v>397</v>
      </c>
      <c r="BM5" s="101"/>
      <c r="BN5" s="101"/>
      <c r="BO5" s="101"/>
      <c r="BP5" s="101"/>
      <c r="BQ5" s="101"/>
      <c r="BR5" s="101"/>
      <c r="BS5" s="101"/>
      <c r="BT5" s="101"/>
      <c r="BU5" s="101"/>
      <c r="BV5" s="101"/>
      <c r="BW5" s="101"/>
      <c r="BX5" s="101"/>
      <c r="BY5" s="101"/>
      <c r="BZ5" s="101"/>
      <c r="CA5" s="101"/>
      <c r="CB5" s="101"/>
      <c r="CC5" s="101"/>
      <c r="CD5" s="101"/>
      <c r="CE5" s="101"/>
      <c r="CF5" s="101" t="s">
        <v>993</v>
      </c>
      <c r="CG5" s="101"/>
      <c r="CH5" s="101"/>
      <c r="CI5" s="101"/>
      <c r="CJ5" s="101"/>
      <c r="CK5" s="101"/>
      <c r="CL5" s="101" t="s">
        <v>398</v>
      </c>
      <c r="CM5" s="101"/>
      <c r="CN5" s="101"/>
      <c r="CO5" s="101"/>
      <c r="CP5" s="101"/>
      <c r="CQ5" s="101"/>
      <c r="CR5" s="101"/>
      <c r="CS5" s="101"/>
      <c r="CT5" s="101"/>
      <c r="CU5" s="101"/>
      <c r="CV5" s="101"/>
      <c r="CW5" s="101"/>
      <c r="CX5" s="101"/>
      <c r="CY5" s="101"/>
      <c r="CZ5" s="101"/>
      <c r="DA5" s="101"/>
      <c r="DB5" s="101"/>
      <c r="DC5" s="101"/>
      <c r="DD5" s="101"/>
      <c r="DE5" s="101"/>
      <c r="DF5" s="101"/>
      <c r="DG5" s="101"/>
      <c r="DH5" s="101"/>
      <c r="DI5" s="101"/>
      <c r="DJ5" s="101"/>
      <c r="DK5" s="101"/>
      <c r="DL5" s="101"/>
      <c r="DM5" s="101"/>
      <c r="DN5" s="101"/>
      <c r="DO5" s="101"/>
      <c r="DP5" s="101"/>
      <c r="DQ5" s="101"/>
      <c r="DR5" s="101"/>
      <c r="DS5" s="101"/>
      <c r="DT5" s="101"/>
      <c r="DU5" s="101"/>
      <c r="DV5" s="101" t="s">
        <v>399</v>
      </c>
      <c r="DW5" s="101"/>
      <c r="DX5" s="101"/>
      <c r="DY5" s="101"/>
      <c r="DZ5" s="101"/>
      <c r="EA5" s="101"/>
      <c r="EB5" s="101" t="s">
        <v>994</v>
      </c>
      <c r="EC5" s="101"/>
      <c r="ED5" s="101"/>
      <c r="EE5" s="101"/>
      <c r="EF5" s="101"/>
      <c r="EG5" s="101"/>
      <c r="EH5" s="101"/>
      <c r="EI5" s="101"/>
      <c r="EJ5" s="101"/>
      <c r="EK5" s="101"/>
      <c r="EL5" s="101"/>
      <c r="EM5" s="101"/>
      <c r="EN5" s="101"/>
      <c r="EO5" s="101" t="s">
        <v>995</v>
      </c>
      <c r="EP5" s="101"/>
      <c r="EQ5" s="101"/>
      <c r="ER5" s="101" t="s">
        <v>1403</v>
      </c>
      <c r="ES5" s="101"/>
      <c r="ET5" s="101" t="s">
        <v>401</v>
      </c>
      <c r="EU5" s="101"/>
      <c r="EV5" s="101"/>
      <c r="EW5" s="101" t="s">
        <v>402</v>
      </c>
      <c r="EX5" s="101"/>
      <c r="EY5" s="101"/>
      <c r="EZ5" s="101"/>
      <c r="FA5" s="101"/>
      <c r="FB5" s="101"/>
      <c r="FC5" s="101"/>
      <c r="FD5" s="101"/>
      <c r="FE5" s="101"/>
      <c r="FF5" s="101"/>
      <c r="FG5" s="101"/>
      <c r="FH5" s="101"/>
      <c r="FI5" s="101"/>
      <c r="FJ5" s="101"/>
      <c r="FK5" s="101"/>
      <c r="FL5" s="101"/>
      <c r="FM5" s="101"/>
      <c r="FN5" s="101"/>
      <c r="FO5" s="101"/>
      <c r="FP5" s="101"/>
      <c r="FQ5" s="101"/>
      <c r="FR5" s="101"/>
      <c r="FS5" s="101"/>
      <c r="FT5" s="101"/>
      <c r="FU5" s="101"/>
      <c r="FV5" s="101"/>
      <c r="FW5" s="101"/>
      <c r="FX5" s="101"/>
      <c r="FY5" s="101"/>
      <c r="FZ5" s="101"/>
      <c r="GA5" s="101"/>
      <c r="GB5" s="101"/>
      <c r="GC5" s="101"/>
      <c r="GD5" s="101"/>
      <c r="GE5" s="101"/>
      <c r="GF5" s="101"/>
      <c r="GG5" s="101"/>
      <c r="GH5" s="101"/>
      <c r="GI5" s="101"/>
      <c r="GJ5" s="101"/>
      <c r="GK5" s="101"/>
      <c r="GL5" s="101" t="s">
        <v>403</v>
      </c>
      <c r="GM5" s="101"/>
      <c r="GN5" s="101"/>
      <c r="GO5" s="101"/>
      <c r="GP5" s="101"/>
      <c r="GQ5" s="101"/>
      <c r="GR5" s="101"/>
      <c r="GS5" s="101" t="s">
        <v>404</v>
      </c>
      <c r="GT5" s="101"/>
      <c r="GU5" s="101"/>
      <c r="GV5" s="101"/>
      <c r="GW5" s="101"/>
      <c r="GX5" s="101"/>
    </row>
    <row r="6" spans="1:206" x14ac:dyDescent="0.2">
      <c r="A6" s="104" t="s">
        <v>11</v>
      </c>
      <c r="B6" s="104" t="s">
        <v>12</v>
      </c>
      <c r="C6" s="101"/>
      <c r="D6" s="101"/>
      <c r="E6" s="101"/>
      <c r="F6" s="101"/>
      <c r="G6" s="101"/>
      <c r="H6" s="101"/>
      <c r="I6" s="101"/>
      <c r="J6" s="101"/>
      <c r="K6" s="101"/>
      <c r="L6" s="101"/>
      <c r="M6" s="101"/>
      <c r="N6" s="101"/>
      <c r="O6" s="101"/>
      <c r="P6" s="101"/>
      <c r="Q6" s="101"/>
      <c r="R6" s="101"/>
      <c r="S6" s="101"/>
      <c r="T6" s="101"/>
      <c r="U6" s="101"/>
      <c r="V6" s="101"/>
      <c r="W6" s="101"/>
      <c r="X6" s="101"/>
      <c r="Y6" s="101"/>
      <c r="Z6" s="101"/>
      <c r="AA6" s="101"/>
      <c r="AB6" s="101"/>
      <c r="AC6" s="101"/>
      <c r="AD6" s="101"/>
      <c r="AE6" s="101"/>
      <c r="AF6" s="101"/>
      <c r="AG6" s="101"/>
      <c r="AH6" s="101"/>
      <c r="AI6" s="101"/>
      <c r="AJ6" s="101"/>
      <c r="AK6" s="101"/>
      <c r="AL6" s="101"/>
      <c r="AM6" s="101"/>
      <c r="AN6" s="101"/>
      <c r="AO6" s="101"/>
      <c r="AP6" s="101"/>
      <c r="AQ6" s="101"/>
      <c r="AR6" s="101"/>
      <c r="AS6" s="101"/>
      <c r="AT6" s="101"/>
      <c r="AU6" s="101"/>
      <c r="AV6" s="101"/>
      <c r="AW6" s="101"/>
      <c r="AX6" s="101"/>
      <c r="AY6" s="101"/>
      <c r="AZ6" s="101"/>
      <c r="BA6" s="101"/>
      <c r="BB6" s="101"/>
      <c r="BC6" s="101"/>
      <c r="BD6" s="101"/>
      <c r="BE6" s="101"/>
      <c r="BF6" s="101"/>
      <c r="BG6" s="101"/>
      <c r="BH6" s="101"/>
      <c r="BI6" s="101" t="s">
        <v>405</v>
      </c>
      <c r="BJ6" s="101"/>
      <c r="BK6" s="101"/>
      <c r="BL6" s="101"/>
      <c r="BM6" s="101"/>
      <c r="BN6" s="101"/>
      <c r="BO6" s="101"/>
      <c r="BP6" s="101"/>
      <c r="BQ6" s="101"/>
      <c r="BR6" s="101"/>
      <c r="BS6" s="101"/>
      <c r="BT6" s="101"/>
      <c r="BU6" s="101"/>
      <c r="BV6" s="101"/>
      <c r="BW6" s="101"/>
      <c r="BX6" s="101"/>
      <c r="BY6" s="101"/>
      <c r="BZ6" s="101"/>
      <c r="CA6" s="101"/>
      <c r="CB6" s="101"/>
      <c r="CC6" s="101"/>
      <c r="CD6" s="101"/>
      <c r="CE6" s="101"/>
      <c r="CF6" s="101"/>
      <c r="CG6" s="101"/>
      <c r="CH6" s="101"/>
      <c r="CI6" s="101"/>
      <c r="CJ6" s="101"/>
      <c r="CK6" s="101" t="s">
        <v>406</v>
      </c>
      <c r="CL6" s="101"/>
      <c r="CM6" s="101"/>
      <c r="CN6" s="101"/>
      <c r="CO6" s="101"/>
      <c r="CP6" s="101"/>
      <c r="CQ6" s="101" t="s">
        <v>407</v>
      </c>
      <c r="CR6" s="101"/>
      <c r="CS6" s="101"/>
      <c r="CT6" s="101"/>
      <c r="CU6" s="101"/>
      <c r="CV6" s="101"/>
      <c r="CW6" s="101"/>
      <c r="CX6" s="101"/>
      <c r="CY6" s="101"/>
      <c r="CZ6" s="101"/>
      <c r="DA6" s="101"/>
      <c r="DB6" s="101"/>
      <c r="DC6" s="101"/>
      <c r="DD6" s="101"/>
      <c r="DE6" s="101"/>
      <c r="DF6" s="101"/>
      <c r="DG6" s="101"/>
      <c r="DH6" s="101"/>
      <c r="DI6" s="101"/>
      <c r="DJ6" s="101"/>
      <c r="DK6" s="101"/>
      <c r="DL6" s="101"/>
      <c r="DM6" s="101" t="s">
        <v>996</v>
      </c>
      <c r="DN6" s="101"/>
      <c r="DO6" s="101"/>
      <c r="DP6" s="101"/>
      <c r="DQ6" s="101"/>
      <c r="DR6" s="101"/>
      <c r="DS6" s="101"/>
      <c r="DT6" s="101"/>
      <c r="DU6" s="101"/>
      <c r="DV6" s="101"/>
      <c r="DW6" s="101"/>
      <c r="DX6" s="101"/>
      <c r="DY6" s="101"/>
      <c r="DZ6" s="101"/>
      <c r="EA6" s="101"/>
      <c r="EB6" s="101"/>
      <c r="EC6" s="101"/>
      <c r="ED6" s="101"/>
      <c r="EE6" s="101"/>
      <c r="EF6" s="101"/>
      <c r="EG6" s="101"/>
      <c r="EH6" s="101"/>
      <c r="EI6" s="101"/>
      <c r="EJ6" s="101"/>
      <c r="EK6" s="101"/>
      <c r="EL6" s="101"/>
      <c r="EM6" s="101"/>
      <c r="EN6" s="101"/>
      <c r="EO6" s="101"/>
      <c r="EP6" s="101"/>
      <c r="EQ6" s="101"/>
      <c r="ER6" s="101" t="s">
        <v>408</v>
      </c>
      <c r="ES6" s="101"/>
      <c r="ET6" s="101"/>
      <c r="EU6" s="101"/>
      <c r="EV6" s="101"/>
      <c r="EW6" s="101"/>
      <c r="EX6" s="101"/>
      <c r="EY6" s="101"/>
      <c r="EZ6" s="101"/>
      <c r="FA6" s="101"/>
      <c r="FB6" s="101"/>
      <c r="FC6" s="101"/>
      <c r="FD6" s="101"/>
      <c r="FE6" s="101"/>
      <c r="FF6" s="101"/>
      <c r="FG6" s="101"/>
      <c r="FH6" s="101"/>
      <c r="FI6" s="101"/>
      <c r="FJ6" s="101"/>
      <c r="FK6" s="101"/>
      <c r="FL6" s="101"/>
      <c r="FM6" s="101"/>
      <c r="FN6" s="101"/>
      <c r="FO6" s="101"/>
      <c r="FP6" s="101"/>
      <c r="FQ6" s="101"/>
      <c r="FR6" s="101"/>
      <c r="FS6" s="101"/>
      <c r="FT6" s="101"/>
      <c r="FU6" s="101"/>
      <c r="FV6" s="101"/>
      <c r="FW6" s="101"/>
      <c r="FX6" s="101"/>
      <c r="FY6" s="101"/>
      <c r="FZ6" s="101"/>
      <c r="GA6" s="101"/>
      <c r="GB6" s="101"/>
      <c r="GC6" s="101"/>
      <c r="GD6" s="101"/>
      <c r="GE6" s="101"/>
      <c r="GF6" s="101"/>
      <c r="GG6" s="101"/>
      <c r="GH6" s="101"/>
      <c r="GI6" s="101"/>
      <c r="GJ6" s="101"/>
      <c r="GK6" s="101"/>
      <c r="GL6" s="101"/>
      <c r="GM6" s="101"/>
      <c r="GN6" s="101"/>
      <c r="GO6" s="101"/>
      <c r="GP6" s="101"/>
      <c r="GQ6" s="101"/>
      <c r="GR6" s="101"/>
      <c r="GS6" s="101"/>
      <c r="GT6" s="101"/>
      <c r="GU6" s="101"/>
      <c r="GV6" s="101"/>
      <c r="GW6" s="101"/>
      <c r="GX6" s="101"/>
    </row>
    <row r="7" spans="1:206" x14ac:dyDescent="0.2">
      <c r="A7" s="104" t="s">
        <v>13</v>
      </c>
      <c r="B7" s="104" t="s">
        <v>14</v>
      </c>
      <c r="C7" s="101"/>
      <c r="D7" s="101"/>
      <c r="E7" s="101"/>
      <c r="F7" s="101"/>
      <c r="G7" s="101"/>
      <c r="H7" s="101"/>
      <c r="I7" s="101"/>
      <c r="J7" s="101"/>
      <c r="K7" s="101"/>
      <c r="L7" s="101"/>
      <c r="M7" s="101"/>
      <c r="N7" s="101"/>
      <c r="O7" s="101"/>
      <c r="P7" s="101"/>
      <c r="Q7" s="101"/>
      <c r="R7" s="101"/>
      <c r="S7" s="101"/>
      <c r="T7" s="101"/>
      <c r="U7" s="101"/>
      <c r="V7" s="101"/>
      <c r="W7" s="101"/>
      <c r="X7" s="101"/>
      <c r="Y7" s="101"/>
      <c r="Z7" s="101"/>
      <c r="AA7" s="101"/>
      <c r="AB7" s="101"/>
      <c r="AC7" s="101"/>
      <c r="AD7" s="101"/>
      <c r="AE7" s="101"/>
      <c r="AF7" s="101"/>
      <c r="AG7" s="101"/>
      <c r="AH7" s="101"/>
      <c r="AI7" s="101"/>
      <c r="AJ7" s="101"/>
      <c r="AK7" s="101"/>
      <c r="AL7" s="101"/>
      <c r="AM7" s="101"/>
      <c r="AN7" s="101"/>
      <c r="AO7" s="101"/>
      <c r="AP7" s="101"/>
      <c r="AQ7" s="101"/>
      <c r="AR7" s="101"/>
      <c r="AS7" s="101"/>
      <c r="AT7" s="101"/>
      <c r="AU7" s="101"/>
      <c r="AV7" s="101"/>
      <c r="AW7" s="101"/>
      <c r="AX7" s="101"/>
      <c r="AY7" s="101"/>
      <c r="AZ7" s="101"/>
      <c r="BA7" s="101"/>
      <c r="BB7" s="101" t="s">
        <v>1168</v>
      </c>
      <c r="BC7" s="101"/>
      <c r="BD7" s="101"/>
      <c r="BE7" s="101"/>
      <c r="BF7" s="101"/>
      <c r="BG7" s="101"/>
      <c r="BH7" s="101"/>
      <c r="BI7" s="101"/>
      <c r="BJ7" s="101"/>
      <c r="BK7" s="101"/>
      <c r="BL7" s="101"/>
      <c r="BM7" s="101"/>
      <c r="BN7" s="101"/>
      <c r="BO7" s="101"/>
      <c r="BP7" s="101"/>
      <c r="BQ7" s="101"/>
      <c r="BR7" s="101"/>
      <c r="BS7" s="101"/>
      <c r="BT7" s="101"/>
      <c r="BU7" s="101"/>
      <c r="BV7" s="101"/>
      <c r="BW7" s="101"/>
      <c r="BX7" s="101"/>
      <c r="BY7" s="101"/>
      <c r="BZ7" s="101"/>
      <c r="CA7" s="101"/>
      <c r="CB7" s="101"/>
      <c r="CC7" s="101"/>
      <c r="CD7" s="101"/>
      <c r="CE7" s="101"/>
      <c r="CF7" s="101"/>
      <c r="CG7" s="101"/>
      <c r="CH7" s="101"/>
      <c r="CI7" s="101"/>
      <c r="CJ7" s="101"/>
      <c r="CK7" s="101"/>
      <c r="CL7" s="101"/>
      <c r="CM7" s="101"/>
      <c r="CN7" s="101"/>
      <c r="CO7" s="101"/>
      <c r="CP7" s="101"/>
      <c r="CQ7" s="101"/>
      <c r="CR7" s="101"/>
      <c r="CS7" s="101"/>
      <c r="CT7" s="101"/>
      <c r="CU7" s="101"/>
      <c r="CV7" s="101"/>
      <c r="CW7" s="101"/>
      <c r="CX7" s="101"/>
      <c r="CY7" s="101"/>
      <c r="CZ7" s="101"/>
      <c r="DA7" s="101"/>
      <c r="DB7" s="101"/>
      <c r="DC7" s="101"/>
      <c r="DD7" s="101"/>
      <c r="DE7" s="101"/>
      <c r="DF7" s="101"/>
      <c r="DG7" s="101"/>
      <c r="DH7" s="101"/>
      <c r="DI7" s="101"/>
      <c r="DJ7" s="101"/>
      <c r="DK7" s="101"/>
      <c r="DL7" s="101"/>
      <c r="DM7" s="101"/>
      <c r="DN7" s="101"/>
      <c r="DO7" s="101"/>
      <c r="DP7" s="101" t="s">
        <v>413</v>
      </c>
      <c r="DQ7" s="101"/>
      <c r="DR7" s="101" t="s">
        <v>413</v>
      </c>
      <c r="DS7" s="101"/>
      <c r="DT7" s="101"/>
      <c r="DU7" s="101"/>
      <c r="DV7" s="101"/>
      <c r="DW7" s="101"/>
      <c r="DX7" s="101"/>
      <c r="DY7" s="101"/>
      <c r="DZ7" s="101"/>
      <c r="EA7" s="101"/>
      <c r="EB7" s="101"/>
      <c r="EC7" s="101"/>
      <c r="ED7" s="101" t="s">
        <v>414</v>
      </c>
      <c r="EE7" s="101"/>
      <c r="EF7" s="101"/>
      <c r="EG7" s="101"/>
      <c r="EH7" s="101"/>
      <c r="EI7" s="101"/>
      <c r="EJ7" s="101"/>
      <c r="EK7" s="101"/>
      <c r="EL7" s="101"/>
      <c r="EM7" s="101"/>
      <c r="EN7" s="101"/>
      <c r="EO7" s="101"/>
      <c r="EP7" s="101"/>
      <c r="EQ7" s="101"/>
      <c r="ER7" s="101"/>
      <c r="ES7" s="101"/>
      <c r="ET7" s="101"/>
      <c r="EU7" s="101"/>
      <c r="EV7" s="101"/>
      <c r="EW7" s="101"/>
      <c r="EX7" s="101"/>
      <c r="EY7" s="101"/>
      <c r="EZ7" s="101" t="s">
        <v>415</v>
      </c>
      <c r="FA7" s="101"/>
      <c r="FB7" s="101"/>
      <c r="FC7" s="101"/>
      <c r="FD7" s="101"/>
      <c r="FE7" s="101"/>
      <c r="FF7" s="101"/>
      <c r="FG7" s="101"/>
      <c r="FH7" s="101"/>
      <c r="FI7" s="101"/>
      <c r="FJ7" s="101"/>
      <c r="FK7" s="101"/>
      <c r="FL7" s="101"/>
      <c r="FM7" s="101"/>
      <c r="FN7" s="101"/>
      <c r="FO7" s="101"/>
      <c r="FP7" s="101"/>
      <c r="FQ7" s="101"/>
      <c r="FR7" s="101"/>
      <c r="FS7" s="101"/>
      <c r="FT7" s="101"/>
      <c r="FU7" s="101"/>
      <c r="FV7" s="101"/>
      <c r="FW7" s="101"/>
      <c r="FX7" s="101"/>
      <c r="FY7" s="101"/>
      <c r="FZ7" s="101"/>
      <c r="GA7" s="101"/>
      <c r="GB7" s="101"/>
      <c r="GC7" s="101"/>
      <c r="GD7" s="101"/>
      <c r="GE7" s="101"/>
      <c r="GF7" s="101"/>
      <c r="GG7" s="101"/>
      <c r="GH7" s="101"/>
      <c r="GI7" s="101"/>
      <c r="GJ7" s="101"/>
      <c r="GK7" s="101"/>
      <c r="GL7" s="101"/>
      <c r="GM7" s="101"/>
      <c r="GN7" s="101"/>
      <c r="GO7" s="101"/>
      <c r="GP7" s="101"/>
      <c r="GQ7" s="101"/>
      <c r="GR7" s="101"/>
      <c r="GS7" s="101"/>
      <c r="GT7" s="101"/>
      <c r="GU7" s="101"/>
      <c r="GV7" s="101"/>
      <c r="GW7" s="101"/>
      <c r="GX7" s="101"/>
    </row>
    <row r="8" spans="1:206" x14ac:dyDescent="0.2">
      <c r="A8" s="104" t="s">
        <v>15</v>
      </c>
      <c r="B8" s="104" t="s">
        <v>106</v>
      </c>
      <c r="C8" s="101"/>
      <c r="D8" s="101" t="s">
        <v>416</v>
      </c>
      <c r="E8" s="101"/>
      <c r="F8" s="100" t="s">
        <v>427</v>
      </c>
      <c r="G8" s="101"/>
      <c r="H8" s="101" t="s">
        <v>417</v>
      </c>
      <c r="I8" s="101"/>
      <c r="J8" s="101"/>
      <c r="K8" s="101"/>
      <c r="L8" s="101"/>
      <c r="M8" s="101" t="s">
        <v>1169</v>
      </c>
      <c r="N8" s="101"/>
      <c r="O8" s="101"/>
      <c r="P8" s="101"/>
      <c r="Q8" s="101"/>
      <c r="R8" s="101"/>
      <c r="S8" s="101"/>
      <c r="T8" s="101"/>
      <c r="U8" s="101"/>
      <c r="V8" s="101"/>
      <c r="W8" s="101"/>
      <c r="X8" s="101"/>
      <c r="Y8" s="101"/>
      <c r="Z8" s="101"/>
      <c r="AA8" s="101"/>
      <c r="AB8" s="101"/>
      <c r="AC8" s="101"/>
      <c r="AD8" s="101"/>
      <c r="AE8" s="101"/>
      <c r="AF8" s="101"/>
      <c r="AG8" s="101"/>
      <c r="AH8" s="101"/>
      <c r="AI8" s="101"/>
      <c r="AJ8" s="101"/>
      <c r="AK8" s="101"/>
      <c r="AL8" s="101"/>
      <c r="AM8" s="101"/>
      <c r="AN8" s="101"/>
      <c r="AO8" s="101"/>
      <c r="AP8" s="101"/>
      <c r="AQ8" s="101"/>
      <c r="AR8" s="101"/>
      <c r="AS8" s="101" t="s">
        <v>419</v>
      </c>
      <c r="AT8" s="101"/>
      <c r="AU8" s="101"/>
      <c r="AV8" s="101"/>
      <c r="AW8" s="101"/>
      <c r="AX8" s="101"/>
      <c r="AY8" s="101"/>
      <c r="AZ8" s="101"/>
      <c r="BA8" s="101"/>
      <c r="BB8" s="101"/>
      <c r="BC8" s="101"/>
      <c r="BD8" s="101"/>
      <c r="BE8" s="101"/>
      <c r="BF8" s="101"/>
      <c r="BG8" s="101"/>
      <c r="BH8" s="101"/>
      <c r="BI8" s="101" t="s">
        <v>420</v>
      </c>
      <c r="BJ8" s="101"/>
      <c r="BK8" s="101"/>
      <c r="BL8" s="101" t="s">
        <v>421</v>
      </c>
      <c r="BM8" s="101"/>
      <c r="BN8" s="101"/>
      <c r="BO8" s="101"/>
      <c r="BP8" s="101"/>
      <c r="BQ8" s="101"/>
      <c r="BR8" s="101"/>
      <c r="BS8" s="101"/>
      <c r="BT8" s="101"/>
      <c r="BU8" s="101"/>
      <c r="BV8" s="101"/>
      <c r="BW8" s="101"/>
      <c r="BX8" s="101"/>
      <c r="BY8" s="101"/>
      <c r="BZ8" s="101"/>
      <c r="CA8" s="101"/>
      <c r="CB8" s="101"/>
      <c r="CC8" s="101"/>
      <c r="CD8" s="101"/>
      <c r="CE8" s="101"/>
      <c r="CF8" s="101"/>
      <c r="CG8" s="101"/>
      <c r="CH8" s="101"/>
      <c r="CI8" s="101"/>
      <c r="CJ8" s="101"/>
      <c r="CK8" s="101"/>
      <c r="CL8" s="101"/>
      <c r="CM8" s="101"/>
      <c r="CN8" s="101"/>
      <c r="CO8" s="101"/>
      <c r="CP8" s="101"/>
      <c r="CQ8" s="101"/>
      <c r="CR8" s="101"/>
      <c r="CS8" s="101" t="s">
        <v>1355</v>
      </c>
      <c r="CT8" s="101"/>
      <c r="CU8" s="101"/>
      <c r="CV8" s="101"/>
      <c r="CW8" s="101" t="s">
        <v>423</v>
      </c>
      <c r="CX8" s="101"/>
      <c r="CY8" s="101"/>
      <c r="CZ8" s="101"/>
      <c r="DA8" s="101"/>
      <c r="DB8" s="101"/>
      <c r="DC8" s="101"/>
      <c r="DD8" s="101"/>
      <c r="DE8" s="101"/>
      <c r="DF8" s="101"/>
      <c r="DG8" s="101"/>
      <c r="DH8" s="101"/>
      <c r="DI8" s="101"/>
      <c r="DJ8" s="101"/>
      <c r="DK8" s="101"/>
      <c r="DL8" s="101"/>
      <c r="DM8" s="101"/>
      <c r="DN8" s="101"/>
      <c r="DO8" s="101"/>
      <c r="DP8" s="101"/>
      <c r="DQ8" s="101"/>
      <c r="DR8" s="101"/>
      <c r="DS8" s="101"/>
      <c r="DT8" s="101"/>
      <c r="DU8" s="101"/>
      <c r="DV8" s="101"/>
      <c r="DW8" s="101"/>
      <c r="DX8" s="101"/>
      <c r="DY8" s="101"/>
      <c r="DZ8" s="101"/>
      <c r="EA8" s="101"/>
      <c r="EB8" s="101"/>
      <c r="EC8" s="101"/>
      <c r="ED8" s="101"/>
      <c r="EE8" s="101"/>
      <c r="EF8" s="101"/>
      <c r="EG8" s="101"/>
      <c r="EH8" s="101"/>
      <c r="EI8" s="101"/>
      <c r="EJ8" s="101"/>
      <c r="EK8" s="101"/>
      <c r="EL8" s="101"/>
      <c r="EM8" s="101"/>
      <c r="EN8" s="101"/>
      <c r="EO8" s="101"/>
      <c r="EP8" s="101"/>
      <c r="EQ8" s="101"/>
      <c r="ER8" s="101" t="s">
        <v>424</v>
      </c>
      <c r="ES8" s="101"/>
      <c r="ET8" s="101"/>
      <c r="EU8" s="101"/>
      <c r="EV8" s="101"/>
      <c r="EW8" s="101"/>
      <c r="EX8" s="101"/>
      <c r="EY8" s="101"/>
      <c r="EZ8" s="101"/>
      <c r="FA8" s="101"/>
      <c r="FB8" s="101"/>
      <c r="FC8" s="101"/>
      <c r="FD8" s="101"/>
      <c r="FE8" s="101"/>
      <c r="FF8" s="101" t="s">
        <v>425</v>
      </c>
      <c r="FG8" s="101"/>
      <c r="FH8" s="101"/>
      <c r="FI8" s="101"/>
      <c r="FJ8" s="101"/>
      <c r="FK8" s="101"/>
      <c r="FL8" s="101"/>
      <c r="FM8" s="101"/>
      <c r="FN8" s="101"/>
      <c r="FO8" s="101"/>
      <c r="FP8" s="101"/>
      <c r="FQ8" s="101"/>
      <c r="FR8" s="101"/>
      <c r="FS8" s="101"/>
      <c r="FT8" s="101"/>
      <c r="FU8" s="101"/>
      <c r="FV8" s="101"/>
      <c r="FW8" s="101"/>
      <c r="FX8" s="101"/>
      <c r="FY8" s="101"/>
      <c r="FZ8" s="101"/>
      <c r="GA8" s="101"/>
      <c r="GB8" s="101"/>
      <c r="GC8" s="101"/>
      <c r="GD8" s="101"/>
      <c r="GE8" s="101"/>
      <c r="GF8" s="101"/>
      <c r="GG8" s="101"/>
      <c r="GH8" s="101"/>
      <c r="GI8" s="101"/>
      <c r="GJ8" s="101"/>
      <c r="GK8" s="101"/>
      <c r="GL8" s="101"/>
      <c r="GM8" s="101"/>
      <c r="GN8" s="101" t="s">
        <v>426</v>
      </c>
      <c r="GO8" s="101"/>
      <c r="GP8" s="101"/>
      <c r="GQ8" s="101" t="s">
        <v>427</v>
      </c>
      <c r="GR8" s="101"/>
      <c r="GS8" s="101" t="s">
        <v>417</v>
      </c>
      <c r="GT8" s="101"/>
      <c r="GU8" s="101"/>
      <c r="GV8" s="101"/>
      <c r="GW8" s="101"/>
      <c r="GX8" s="101"/>
    </row>
    <row r="9" spans="1:206" x14ac:dyDescent="0.2">
      <c r="A9" s="104" t="s">
        <v>41</v>
      </c>
      <c r="B9" s="104" t="s">
        <v>42</v>
      </c>
      <c r="C9" s="101"/>
      <c r="D9" s="101"/>
      <c r="E9" s="101"/>
      <c r="F9" s="101"/>
      <c r="G9" s="101" t="s">
        <v>429</v>
      </c>
      <c r="H9" s="101"/>
      <c r="I9" s="101" t="s">
        <v>430</v>
      </c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 t="s">
        <v>432</v>
      </c>
      <c r="AA9" s="101"/>
      <c r="AB9" s="101"/>
      <c r="AC9" s="101"/>
      <c r="AD9" s="101"/>
      <c r="AE9" s="101"/>
      <c r="AF9" s="101"/>
      <c r="AG9" s="101" t="s">
        <v>433</v>
      </c>
      <c r="AH9" s="101" t="s">
        <v>434</v>
      </c>
      <c r="AI9" s="101"/>
      <c r="AJ9" s="101"/>
      <c r="AK9" s="101"/>
      <c r="AL9" s="101"/>
      <c r="AM9" s="101"/>
      <c r="AN9" s="101" t="s">
        <v>433</v>
      </c>
      <c r="AO9" s="101" t="s">
        <v>435</v>
      </c>
      <c r="AP9" s="101"/>
      <c r="AQ9" s="101"/>
      <c r="AR9" s="101"/>
      <c r="AS9" s="101"/>
      <c r="AT9" s="101"/>
      <c r="AU9" s="101"/>
      <c r="AV9" s="101" t="s">
        <v>437</v>
      </c>
      <c r="AW9" s="101" t="s">
        <v>433</v>
      </c>
      <c r="AX9" s="101" t="s">
        <v>437</v>
      </c>
      <c r="AY9" s="101"/>
      <c r="AZ9" s="101"/>
      <c r="BA9" s="101"/>
      <c r="BB9" s="101"/>
      <c r="BC9" s="101"/>
      <c r="BD9" s="101"/>
      <c r="BE9" s="101"/>
      <c r="BF9" s="101"/>
      <c r="BG9" s="101"/>
      <c r="BH9" s="101"/>
      <c r="BI9" s="101" t="s">
        <v>438</v>
      </c>
      <c r="BJ9" s="101" t="s">
        <v>439</v>
      </c>
      <c r="BK9" s="101"/>
      <c r="BL9" s="101"/>
      <c r="BM9" s="101"/>
      <c r="BN9" s="101" t="s">
        <v>441</v>
      </c>
      <c r="BO9" s="101"/>
      <c r="BP9" s="101"/>
      <c r="BQ9" s="101"/>
      <c r="BR9" s="101"/>
      <c r="BS9" s="101"/>
      <c r="BT9" s="101"/>
      <c r="BU9" s="101"/>
      <c r="BV9" s="101"/>
      <c r="BW9" s="101"/>
      <c r="BX9" s="101"/>
      <c r="BY9" s="101" t="s">
        <v>437</v>
      </c>
      <c r="BZ9" s="101"/>
      <c r="CA9" s="101"/>
      <c r="CB9" s="101"/>
      <c r="CC9" s="101"/>
      <c r="CD9" s="101"/>
      <c r="CE9" s="101" t="s">
        <v>437</v>
      </c>
      <c r="CF9" s="101" t="s">
        <v>437</v>
      </c>
      <c r="CG9" s="101"/>
      <c r="CH9" s="101" t="s">
        <v>442</v>
      </c>
      <c r="CI9" s="101"/>
      <c r="CJ9" s="101"/>
      <c r="CK9" s="101" t="s">
        <v>437</v>
      </c>
      <c r="CL9" s="101" t="s">
        <v>437</v>
      </c>
      <c r="CM9" s="101"/>
      <c r="CN9" s="101"/>
      <c r="CO9" s="101"/>
      <c r="CP9" s="101"/>
      <c r="CQ9" s="101"/>
      <c r="CR9" s="101"/>
      <c r="CS9" s="101"/>
      <c r="CT9" s="101"/>
      <c r="CU9" s="101"/>
      <c r="CV9" s="101"/>
      <c r="CW9" s="101"/>
      <c r="CX9" s="101"/>
      <c r="CY9" s="101"/>
      <c r="CZ9" s="101"/>
      <c r="DA9" s="101"/>
      <c r="DB9" s="101"/>
      <c r="DC9" s="101"/>
      <c r="DD9" s="101"/>
      <c r="DE9" s="101" t="s">
        <v>443</v>
      </c>
      <c r="DF9" s="101"/>
      <c r="DG9" s="101"/>
      <c r="DH9" s="101"/>
      <c r="DI9" s="101"/>
      <c r="DJ9" s="101"/>
      <c r="DK9" s="101"/>
      <c r="DL9" s="101"/>
      <c r="DM9" s="101"/>
      <c r="DN9" s="101"/>
      <c r="DO9" s="101"/>
      <c r="DP9" s="101" t="s">
        <v>444</v>
      </c>
      <c r="DQ9" s="101"/>
      <c r="DR9" s="101" t="s">
        <v>444</v>
      </c>
      <c r="DS9" s="101"/>
      <c r="DT9" s="101"/>
      <c r="DU9" s="101"/>
      <c r="DV9" s="101" t="s">
        <v>446</v>
      </c>
      <c r="DW9" s="101"/>
      <c r="DX9" s="101"/>
      <c r="DY9" s="101"/>
      <c r="DZ9" s="101" t="s">
        <v>446</v>
      </c>
      <c r="EA9" s="101"/>
      <c r="EB9" s="101"/>
      <c r="EC9" s="101" t="s">
        <v>433</v>
      </c>
      <c r="ED9" s="101"/>
      <c r="EE9" s="101" t="s">
        <v>448</v>
      </c>
      <c r="EF9" s="101"/>
      <c r="EG9" s="101"/>
      <c r="EH9" s="101"/>
      <c r="EI9" s="101"/>
      <c r="EJ9" s="101"/>
      <c r="EK9" s="101"/>
      <c r="EL9" s="101"/>
      <c r="EM9" s="101"/>
      <c r="EN9" s="101"/>
      <c r="EO9" s="101"/>
      <c r="EP9" s="101"/>
      <c r="EQ9" s="101"/>
      <c r="ER9" s="101"/>
      <c r="ES9" s="101"/>
      <c r="ET9" s="101"/>
      <c r="EU9" s="101"/>
      <c r="EV9" s="101" t="s">
        <v>451</v>
      </c>
      <c r="EW9" s="101"/>
      <c r="EX9" s="101"/>
      <c r="EY9" s="101"/>
      <c r="EZ9" s="101" t="s">
        <v>452</v>
      </c>
      <c r="FA9" s="101"/>
      <c r="FB9" s="101"/>
      <c r="FC9" s="101"/>
      <c r="FD9" s="101"/>
      <c r="FE9" s="101"/>
      <c r="FF9" s="101" t="s">
        <v>453</v>
      </c>
      <c r="FG9" s="101"/>
      <c r="FH9" s="101"/>
      <c r="FI9" s="101"/>
      <c r="FJ9" s="101"/>
      <c r="FK9" s="101"/>
      <c r="FL9" s="101"/>
      <c r="FM9" s="101"/>
      <c r="FN9" s="101"/>
      <c r="FO9" s="101"/>
      <c r="FP9" s="101"/>
      <c r="FQ9" s="101"/>
      <c r="FR9" s="101"/>
      <c r="FS9" s="101"/>
      <c r="FT9" s="101"/>
      <c r="FU9" s="101"/>
      <c r="FV9" s="101" t="s">
        <v>442</v>
      </c>
      <c r="FW9" s="101"/>
      <c r="FX9" s="101"/>
      <c r="FY9" s="101"/>
      <c r="FZ9" s="101"/>
      <c r="GA9" s="101"/>
      <c r="GB9" s="101"/>
      <c r="GC9" s="101"/>
      <c r="GD9" s="101"/>
      <c r="GE9" s="101"/>
      <c r="GF9" s="101"/>
      <c r="GG9" s="101"/>
      <c r="GH9" s="101"/>
      <c r="GI9" s="101"/>
      <c r="GJ9" s="101"/>
      <c r="GK9" s="101"/>
      <c r="GL9" s="101"/>
      <c r="GM9" s="101"/>
      <c r="GN9" s="101"/>
      <c r="GO9" s="101"/>
      <c r="GP9" s="101"/>
      <c r="GQ9" s="101"/>
      <c r="GR9" s="101"/>
      <c r="GS9" s="101" t="s">
        <v>456</v>
      </c>
      <c r="GT9" s="101" t="s">
        <v>457</v>
      </c>
      <c r="GU9" s="101"/>
      <c r="GV9" s="101"/>
      <c r="GW9" s="101" t="s">
        <v>437</v>
      </c>
      <c r="GX9" s="101"/>
    </row>
    <row r="10" spans="1:206" x14ac:dyDescent="0.2">
      <c r="A10" s="104" t="s">
        <v>108</v>
      </c>
      <c r="B10" s="104" t="s">
        <v>109</v>
      </c>
      <c r="C10" s="101"/>
      <c r="D10" s="101"/>
      <c r="E10" s="101"/>
      <c r="F10" s="101"/>
      <c r="G10" s="101"/>
      <c r="H10" s="101"/>
      <c r="I10" s="101"/>
      <c r="J10" s="101"/>
      <c r="K10" s="101"/>
      <c r="L10" s="101"/>
      <c r="M10" s="101"/>
      <c r="N10" s="101"/>
      <c r="O10" s="101"/>
      <c r="P10" s="101"/>
      <c r="Q10" s="101"/>
      <c r="R10" s="101"/>
      <c r="S10" s="101"/>
      <c r="T10" s="101"/>
      <c r="U10" s="101"/>
      <c r="V10" s="101"/>
      <c r="W10" s="101"/>
      <c r="X10" s="101"/>
      <c r="Y10" s="101"/>
      <c r="Z10" s="101"/>
      <c r="AA10" s="101"/>
      <c r="AB10" s="101"/>
      <c r="AC10" s="101"/>
      <c r="AD10" s="101"/>
      <c r="AE10" s="101"/>
      <c r="AF10" s="101"/>
      <c r="AG10" s="101"/>
      <c r="AH10" s="101"/>
      <c r="AI10" s="101"/>
      <c r="AJ10" s="101"/>
      <c r="AK10" s="101"/>
      <c r="AL10" s="101"/>
      <c r="AM10" s="101"/>
      <c r="AN10" s="101"/>
      <c r="AO10" s="101"/>
      <c r="AP10" s="101"/>
      <c r="AQ10" s="101"/>
      <c r="AR10" s="101"/>
      <c r="AS10" s="101"/>
      <c r="AT10" s="101"/>
      <c r="AU10" s="101"/>
      <c r="AV10" s="101"/>
      <c r="AW10" s="101"/>
      <c r="AX10" s="101"/>
      <c r="AY10" s="101"/>
      <c r="AZ10" s="101"/>
      <c r="BA10" s="101"/>
      <c r="BB10" s="101"/>
      <c r="BC10" s="101"/>
      <c r="BD10" s="101"/>
      <c r="BE10" s="101"/>
      <c r="BF10" s="101"/>
      <c r="BG10" s="101"/>
      <c r="BH10" s="101"/>
      <c r="BI10" s="101"/>
      <c r="BJ10" s="101"/>
      <c r="BK10" s="101" t="s">
        <v>458</v>
      </c>
      <c r="BL10" s="101"/>
      <c r="BM10" s="101"/>
      <c r="BN10" s="101"/>
      <c r="BO10" s="101"/>
      <c r="BP10" s="101"/>
      <c r="BQ10" s="101"/>
      <c r="BR10" s="101"/>
      <c r="BS10" s="101"/>
      <c r="BT10" s="101"/>
      <c r="BU10" s="101"/>
      <c r="BV10" s="101"/>
      <c r="BW10" s="101"/>
      <c r="BX10" s="101"/>
      <c r="BY10" s="101"/>
      <c r="BZ10" s="101"/>
      <c r="CA10" s="101"/>
      <c r="CB10" s="101"/>
      <c r="CC10" s="101"/>
      <c r="CD10" s="101"/>
      <c r="CE10" s="101"/>
      <c r="CF10" s="101"/>
      <c r="CG10" s="101"/>
      <c r="CH10" s="101"/>
      <c r="CI10" s="101"/>
      <c r="CJ10" s="101"/>
      <c r="CK10" s="101"/>
      <c r="CL10" s="101"/>
      <c r="CM10" s="101"/>
      <c r="CN10" s="101"/>
      <c r="CO10" s="101"/>
      <c r="CP10" s="101"/>
      <c r="CQ10" s="101"/>
      <c r="CR10" s="101"/>
      <c r="CS10" s="101"/>
      <c r="CT10" s="101"/>
      <c r="CU10" s="101"/>
      <c r="CV10" s="101"/>
      <c r="CW10" s="101"/>
      <c r="CX10" s="101"/>
      <c r="CY10" s="101"/>
      <c r="CZ10" s="101"/>
      <c r="DA10" s="101"/>
      <c r="DB10" s="101"/>
      <c r="DC10" s="101"/>
      <c r="DD10" s="101"/>
      <c r="DE10" s="101"/>
      <c r="DF10" s="101"/>
      <c r="DG10" s="101"/>
      <c r="DH10" s="101"/>
      <c r="DI10" s="101"/>
      <c r="DJ10" s="101"/>
      <c r="DK10" s="101"/>
      <c r="DL10" s="101"/>
      <c r="DM10" s="101"/>
      <c r="DN10" s="101"/>
      <c r="DO10" s="101"/>
      <c r="DP10" s="101"/>
      <c r="DQ10" s="101"/>
      <c r="DR10" s="101"/>
      <c r="DS10" s="101"/>
      <c r="DT10" s="101"/>
      <c r="DU10" s="101"/>
      <c r="DV10" s="101"/>
      <c r="DW10" s="101"/>
      <c r="DX10" s="101"/>
      <c r="DY10" s="101"/>
      <c r="DZ10" s="101"/>
      <c r="EA10" s="101"/>
      <c r="EB10" s="101"/>
      <c r="EC10" s="101"/>
      <c r="ED10" s="101"/>
      <c r="EE10" s="101"/>
      <c r="EF10" s="101"/>
      <c r="EG10" s="101"/>
      <c r="EH10" s="101"/>
      <c r="EI10" s="101"/>
      <c r="EJ10" s="101"/>
      <c r="EK10" s="101"/>
      <c r="EL10" s="101"/>
      <c r="EM10" s="101"/>
      <c r="EN10" s="101" t="s">
        <v>459</v>
      </c>
      <c r="EO10" s="101"/>
      <c r="EP10" s="101"/>
      <c r="EQ10" s="101"/>
      <c r="ER10" s="101"/>
      <c r="ES10" s="101"/>
      <c r="ET10" s="101"/>
      <c r="EU10" s="101"/>
      <c r="EV10" s="101"/>
      <c r="EW10" s="101"/>
      <c r="EX10" s="101"/>
      <c r="EY10" s="101"/>
      <c r="EZ10" s="101"/>
      <c r="FA10" s="101"/>
      <c r="FB10" s="101"/>
      <c r="FC10" s="101"/>
      <c r="FD10" s="101"/>
      <c r="FE10" s="101"/>
      <c r="FF10" s="101"/>
      <c r="FG10" s="101"/>
      <c r="FH10" s="101"/>
      <c r="FI10" s="101"/>
      <c r="FJ10" s="101"/>
      <c r="FK10" s="101"/>
      <c r="FL10" s="101"/>
      <c r="FM10" s="101"/>
      <c r="FN10" s="101"/>
      <c r="FO10" s="101"/>
      <c r="FP10" s="101"/>
      <c r="FQ10" s="101"/>
      <c r="FR10" s="101"/>
      <c r="FS10" s="101"/>
      <c r="FT10" s="101"/>
      <c r="FU10" s="101"/>
      <c r="FV10" s="101"/>
      <c r="FW10" s="101"/>
      <c r="FX10" s="101"/>
      <c r="FY10" s="101"/>
      <c r="FZ10" s="101"/>
      <c r="GA10" s="101"/>
      <c r="GB10" s="101"/>
      <c r="GC10" s="101"/>
      <c r="GD10" s="101"/>
      <c r="GE10" s="101"/>
      <c r="GF10" s="101"/>
      <c r="GG10" s="101"/>
      <c r="GH10" s="101"/>
      <c r="GI10" s="101"/>
      <c r="GJ10" s="101"/>
      <c r="GK10" s="101"/>
      <c r="GL10" s="101"/>
      <c r="GM10" s="101"/>
      <c r="GN10" s="101"/>
      <c r="GO10" s="101"/>
      <c r="GP10" s="101"/>
      <c r="GQ10" s="101"/>
      <c r="GR10" s="101"/>
      <c r="GS10" s="101"/>
      <c r="GT10" s="101"/>
      <c r="GU10" s="101"/>
      <c r="GV10" s="101"/>
      <c r="GW10" s="101"/>
      <c r="GX10" s="101"/>
    </row>
    <row r="11" spans="1:206" x14ac:dyDescent="0.2">
      <c r="A11" s="104" t="s">
        <v>110</v>
      </c>
      <c r="B11" s="104" t="s">
        <v>111</v>
      </c>
      <c r="C11" s="101"/>
      <c r="D11" s="101"/>
      <c r="E11" s="101"/>
      <c r="F11" s="101"/>
      <c r="G11" s="101"/>
      <c r="H11" s="101"/>
      <c r="I11" s="101"/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 t="s">
        <v>460</v>
      </c>
      <c r="AZ11" s="101"/>
      <c r="BA11" s="101"/>
      <c r="BB11" s="101"/>
      <c r="BC11" s="101"/>
      <c r="BD11" s="101"/>
      <c r="BE11" s="101"/>
      <c r="BF11" s="101"/>
      <c r="BG11" s="101"/>
      <c r="BH11" s="101"/>
      <c r="BI11" s="101"/>
      <c r="BJ11" s="101"/>
      <c r="BK11" s="101" t="s">
        <v>461</v>
      </c>
      <c r="BL11" s="101"/>
      <c r="BM11" s="101"/>
      <c r="BN11" s="101"/>
      <c r="BO11" s="101"/>
      <c r="BP11" s="101"/>
      <c r="BQ11" s="101"/>
      <c r="BR11" s="101"/>
      <c r="BS11" s="101"/>
      <c r="BT11" s="101"/>
      <c r="BU11" s="101"/>
      <c r="BV11" s="101"/>
      <c r="BW11" s="101"/>
      <c r="BX11" s="101" t="s">
        <v>461</v>
      </c>
      <c r="BY11" s="101"/>
      <c r="BZ11" s="101"/>
      <c r="CA11" s="101"/>
      <c r="CB11" s="101"/>
      <c r="CC11" s="101"/>
      <c r="CD11" s="101"/>
      <c r="CE11" s="101"/>
      <c r="CF11" s="101"/>
      <c r="CG11" s="101"/>
      <c r="CH11" s="101"/>
      <c r="CI11" s="101"/>
      <c r="CJ11" s="101"/>
      <c r="CK11" s="101"/>
      <c r="CL11" s="101"/>
      <c r="CM11" s="101"/>
      <c r="CN11" s="101" t="s">
        <v>462</v>
      </c>
      <c r="CO11" s="101"/>
      <c r="CP11" s="101" t="s">
        <v>463</v>
      </c>
      <c r="CQ11" s="101"/>
      <c r="CR11" s="101"/>
      <c r="CS11" s="101"/>
      <c r="CT11" s="101" t="s">
        <v>461</v>
      </c>
      <c r="CU11" s="101"/>
      <c r="CV11" s="101"/>
      <c r="CW11" s="101"/>
      <c r="CX11" s="101"/>
      <c r="CY11" s="101"/>
      <c r="CZ11" s="101"/>
      <c r="DA11" s="101"/>
      <c r="DB11" s="101"/>
      <c r="DC11" s="101"/>
      <c r="DD11" s="101"/>
      <c r="DE11" s="101"/>
      <c r="DF11" s="101"/>
      <c r="DG11" s="101"/>
      <c r="DH11" s="101"/>
      <c r="DI11" s="101"/>
      <c r="DJ11" s="101"/>
      <c r="DK11" s="101"/>
      <c r="DL11" s="101"/>
      <c r="DM11" s="101"/>
      <c r="DN11" s="101"/>
      <c r="DO11" s="101"/>
      <c r="DP11" s="101"/>
      <c r="DQ11" s="101"/>
      <c r="DR11" s="101"/>
      <c r="DS11" s="101"/>
      <c r="DT11" s="101"/>
      <c r="DU11" s="101"/>
      <c r="DV11" s="101"/>
      <c r="DW11" s="101"/>
      <c r="DX11" s="101"/>
      <c r="DY11" s="101" t="s">
        <v>464</v>
      </c>
      <c r="DZ11" s="101"/>
      <c r="EA11" s="101"/>
      <c r="EB11" s="101"/>
      <c r="EC11" s="101"/>
      <c r="ED11" s="101"/>
      <c r="EE11" s="101"/>
      <c r="EF11" s="101"/>
      <c r="EG11" s="101"/>
      <c r="EH11" s="101" t="s">
        <v>461</v>
      </c>
      <c r="EI11" s="101"/>
      <c r="EJ11" s="101"/>
      <c r="EK11" s="101"/>
      <c r="EL11" s="101"/>
      <c r="EM11" s="101"/>
      <c r="EN11" s="101"/>
      <c r="EO11" s="101"/>
      <c r="EP11" s="101"/>
      <c r="EQ11" s="101"/>
      <c r="ER11" s="101" t="s">
        <v>1402</v>
      </c>
      <c r="ES11" s="101"/>
      <c r="ET11" s="101"/>
      <c r="EU11" s="101"/>
      <c r="EV11" s="101"/>
      <c r="EW11" s="101" t="s">
        <v>461</v>
      </c>
      <c r="EX11" s="101" t="s">
        <v>467</v>
      </c>
      <c r="EY11" s="101"/>
      <c r="EZ11" s="101"/>
      <c r="FA11" s="101"/>
      <c r="FB11" s="101"/>
      <c r="FC11" s="101"/>
      <c r="FD11" s="101"/>
      <c r="FE11" s="101"/>
      <c r="FF11" s="101"/>
      <c r="FG11" s="101"/>
      <c r="FH11" s="101"/>
      <c r="FI11" s="101"/>
      <c r="FJ11" s="101"/>
      <c r="FK11" s="101"/>
      <c r="FL11" s="101"/>
      <c r="FM11" s="101"/>
      <c r="FN11" s="101"/>
      <c r="FO11" s="101"/>
      <c r="FP11" s="101"/>
      <c r="FQ11" s="101"/>
      <c r="FR11" s="101"/>
      <c r="FS11" s="101"/>
      <c r="FT11" s="101"/>
      <c r="FU11" s="101"/>
      <c r="FV11" s="101"/>
      <c r="FW11" s="101"/>
      <c r="FX11" s="101"/>
      <c r="FY11" s="101"/>
      <c r="FZ11" s="101"/>
      <c r="GA11" s="101"/>
      <c r="GB11" s="101"/>
      <c r="GC11" s="101"/>
      <c r="GD11" s="101"/>
      <c r="GE11" s="101"/>
      <c r="GF11" s="101"/>
      <c r="GG11" s="101"/>
      <c r="GH11" s="101"/>
      <c r="GI11" s="101"/>
      <c r="GJ11" s="101"/>
      <c r="GK11" s="101"/>
      <c r="GL11" s="101"/>
      <c r="GM11" s="101"/>
      <c r="GN11" s="101"/>
      <c r="GO11" s="101"/>
      <c r="GP11" s="101"/>
      <c r="GQ11" s="101"/>
      <c r="GR11" s="101"/>
      <c r="GS11" s="101"/>
      <c r="GT11" s="101"/>
      <c r="GU11" s="101"/>
      <c r="GV11" s="101"/>
      <c r="GW11" s="101"/>
      <c r="GX11" s="101"/>
    </row>
    <row r="12" spans="1:206" x14ac:dyDescent="0.2">
      <c r="A12" s="104" t="s">
        <v>45</v>
      </c>
      <c r="B12" s="104" t="s">
        <v>46</v>
      </c>
      <c r="C12" s="101"/>
      <c r="D12" s="101" t="s">
        <v>470</v>
      </c>
      <c r="E12" s="101"/>
      <c r="F12" s="100"/>
      <c r="G12" s="101"/>
      <c r="H12" s="101"/>
      <c r="I12" s="101" t="s">
        <v>1170</v>
      </c>
      <c r="J12" s="101"/>
      <c r="K12" s="101"/>
      <c r="L12" s="101"/>
      <c r="M12" s="101"/>
      <c r="N12" s="101"/>
      <c r="O12" s="101"/>
      <c r="P12" s="101"/>
      <c r="Q12" s="101"/>
      <c r="R12" s="101"/>
      <c r="S12" s="101"/>
      <c r="T12" s="101"/>
      <c r="U12" s="101"/>
      <c r="V12" s="101"/>
      <c r="W12" s="101"/>
      <c r="X12" s="101"/>
      <c r="Y12" s="101"/>
      <c r="Z12" s="101" t="s">
        <v>474</v>
      </c>
      <c r="AA12" s="101"/>
      <c r="AB12" s="101"/>
      <c r="AC12" s="101"/>
      <c r="AD12" s="101"/>
      <c r="AE12" s="101"/>
      <c r="AF12" s="101"/>
      <c r="AG12" s="101"/>
      <c r="AH12" s="101"/>
      <c r="AI12" s="101"/>
      <c r="AJ12" s="101" t="s">
        <v>1171</v>
      </c>
      <c r="AK12" s="101"/>
      <c r="AL12" s="101"/>
      <c r="AM12" s="101"/>
      <c r="AN12" s="101"/>
      <c r="AO12" s="101"/>
      <c r="AP12" s="101"/>
      <c r="AQ12" s="101"/>
      <c r="AR12" s="101"/>
      <c r="AS12" s="101"/>
      <c r="AT12" s="101"/>
      <c r="AU12" s="101"/>
      <c r="AV12" s="101"/>
      <c r="AW12" s="101"/>
      <c r="AX12" s="101"/>
      <c r="AY12" s="101"/>
      <c r="AZ12" s="101"/>
      <c r="BA12" s="101"/>
      <c r="BB12" s="101"/>
      <c r="BC12" s="101"/>
      <c r="BD12" s="101"/>
      <c r="BE12" s="101" t="s">
        <v>477</v>
      </c>
      <c r="BF12" s="101"/>
      <c r="BG12" s="101"/>
      <c r="BH12" s="101"/>
      <c r="BI12" s="101"/>
      <c r="BJ12" s="101"/>
      <c r="BK12" s="101" t="s">
        <v>478</v>
      </c>
      <c r="BL12" s="101"/>
      <c r="BM12" s="101" t="s">
        <v>1172</v>
      </c>
      <c r="BN12" s="101"/>
      <c r="BO12" s="101"/>
      <c r="BP12" s="101"/>
      <c r="BQ12" s="101"/>
      <c r="BR12" s="101"/>
      <c r="BS12" s="101" t="s">
        <v>480</v>
      </c>
      <c r="BT12" s="101"/>
      <c r="BU12" s="101"/>
      <c r="BV12" s="101"/>
      <c r="BW12" s="101"/>
      <c r="BX12" s="101"/>
      <c r="BY12" s="101"/>
      <c r="BZ12" s="101"/>
      <c r="CA12" s="101"/>
      <c r="CB12" s="101"/>
      <c r="CC12" s="101"/>
      <c r="CD12" s="101"/>
      <c r="CE12" s="101"/>
      <c r="CF12" s="101"/>
      <c r="CG12" s="101"/>
      <c r="CH12" s="101"/>
      <c r="CI12" s="101"/>
      <c r="CJ12" s="101"/>
      <c r="CK12" s="101"/>
      <c r="CL12" s="101"/>
      <c r="CM12" s="101"/>
      <c r="CN12" s="101"/>
      <c r="CO12" s="101"/>
      <c r="CP12" s="101"/>
      <c r="CQ12" s="101"/>
      <c r="CR12" s="101"/>
      <c r="CS12" s="101"/>
      <c r="CT12" s="101"/>
      <c r="CU12" s="101"/>
      <c r="CV12" s="101"/>
      <c r="CW12" s="101"/>
      <c r="CX12" s="101"/>
      <c r="CY12" s="101"/>
      <c r="CZ12" s="101"/>
      <c r="DA12" s="101"/>
      <c r="DB12" s="101"/>
      <c r="DC12" s="101"/>
      <c r="DD12" s="101"/>
      <c r="DE12" s="101"/>
      <c r="DF12" s="101"/>
      <c r="DG12" s="101"/>
      <c r="DH12" s="101"/>
      <c r="DI12" s="101"/>
      <c r="DJ12" s="101"/>
      <c r="DK12" s="101"/>
      <c r="DL12" s="101"/>
      <c r="DM12" s="101"/>
      <c r="DN12" s="101"/>
      <c r="DO12" s="101"/>
      <c r="DP12" s="101"/>
      <c r="DQ12" s="101"/>
      <c r="DR12" s="101"/>
      <c r="DS12" s="101" t="s">
        <v>470</v>
      </c>
      <c r="DT12" s="101" t="s">
        <v>481</v>
      </c>
      <c r="DU12" s="101"/>
      <c r="DV12" s="101"/>
      <c r="DW12" s="101"/>
      <c r="DX12" s="101"/>
      <c r="DY12" s="101" t="s">
        <v>482</v>
      </c>
      <c r="DZ12" s="101"/>
      <c r="EA12" s="101"/>
      <c r="EB12" s="101"/>
      <c r="EC12" s="101"/>
      <c r="ED12" s="101"/>
      <c r="EE12" s="101"/>
      <c r="EF12" s="101"/>
      <c r="EG12" s="101"/>
      <c r="EH12" s="101"/>
      <c r="EI12" s="101"/>
      <c r="EJ12" s="101"/>
      <c r="EK12" s="101"/>
      <c r="EL12" s="101"/>
      <c r="EM12" s="101" t="s">
        <v>1144</v>
      </c>
      <c r="EN12" s="101"/>
      <c r="EO12" s="101"/>
      <c r="EP12" s="101"/>
      <c r="EQ12" s="101"/>
      <c r="ER12" s="101"/>
      <c r="ES12" s="101"/>
      <c r="ET12" s="101"/>
      <c r="EU12" s="101"/>
      <c r="EV12" s="101"/>
      <c r="EW12" s="101"/>
      <c r="EX12" s="101"/>
      <c r="EY12" s="101"/>
      <c r="EZ12" s="101" t="s">
        <v>485</v>
      </c>
      <c r="FA12" s="101"/>
      <c r="FB12" s="101"/>
      <c r="FC12" s="101"/>
      <c r="FD12" s="101" t="s">
        <v>486</v>
      </c>
      <c r="FE12" s="101"/>
      <c r="FF12" s="101"/>
      <c r="FG12" s="101" t="s">
        <v>487</v>
      </c>
      <c r="FH12" s="101"/>
      <c r="FI12" s="101"/>
      <c r="FJ12" s="101"/>
      <c r="FK12" s="101"/>
      <c r="FL12" s="101"/>
      <c r="FM12" s="101"/>
      <c r="FN12" s="101"/>
      <c r="FO12" s="101"/>
      <c r="FP12" s="101"/>
      <c r="FQ12" s="101"/>
      <c r="FR12" s="101"/>
      <c r="FS12" s="101" t="s">
        <v>488</v>
      </c>
      <c r="FT12" s="101"/>
      <c r="FU12" s="101"/>
      <c r="FV12" s="101"/>
      <c r="FW12" s="101"/>
      <c r="FX12" s="101" t="s">
        <v>489</v>
      </c>
      <c r="FY12" s="101"/>
      <c r="FZ12" s="101" t="s">
        <v>470</v>
      </c>
      <c r="GA12" s="101"/>
      <c r="GB12" s="101"/>
      <c r="GC12" s="101" t="s">
        <v>490</v>
      </c>
      <c r="GD12" s="101"/>
      <c r="GE12" s="101" t="s">
        <v>1173</v>
      </c>
      <c r="GF12" s="101" t="s">
        <v>492</v>
      </c>
      <c r="GG12" s="101"/>
      <c r="GH12" s="101"/>
      <c r="GI12" s="101"/>
      <c r="GJ12" s="101"/>
      <c r="GK12" s="101"/>
      <c r="GL12" s="101"/>
      <c r="GM12" s="101"/>
      <c r="GN12" s="101"/>
      <c r="GO12" s="101"/>
      <c r="GP12" s="101" t="s">
        <v>493</v>
      </c>
      <c r="GQ12" s="101"/>
      <c r="GR12" s="101"/>
      <c r="GS12" s="101"/>
      <c r="GT12" s="101" t="s">
        <v>494</v>
      </c>
      <c r="GU12" s="101"/>
      <c r="GV12" s="101"/>
      <c r="GW12" s="101"/>
      <c r="GX12" s="101"/>
    </row>
    <row r="13" spans="1:206" x14ac:dyDescent="0.2">
      <c r="A13" s="104" t="s">
        <v>47</v>
      </c>
      <c r="B13" s="104" t="s">
        <v>48</v>
      </c>
      <c r="C13" s="101"/>
      <c r="D13" s="101"/>
      <c r="E13" s="101"/>
      <c r="F13" s="101"/>
      <c r="G13" s="101"/>
      <c r="H13" s="101"/>
      <c r="I13" s="101"/>
      <c r="J13" s="101"/>
      <c r="K13" s="101"/>
      <c r="L13" s="101"/>
      <c r="M13" s="101"/>
      <c r="N13" s="101"/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1"/>
      <c r="AQ13" s="101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1"/>
      <c r="BF13" s="101"/>
      <c r="BG13" s="101"/>
      <c r="BH13" s="101"/>
      <c r="BI13" s="101"/>
      <c r="BJ13" s="101"/>
      <c r="BK13" s="101"/>
      <c r="BL13" s="101"/>
      <c r="BM13" s="101"/>
      <c r="BN13" s="101"/>
      <c r="BO13" s="101" t="s">
        <v>495</v>
      </c>
      <c r="BP13" s="101"/>
      <c r="BQ13" s="101"/>
      <c r="BR13" s="101"/>
      <c r="BS13" s="101"/>
      <c r="BT13" s="101"/>
      <c r="BU13" s="101"/>
      <c r="BV13" s="101"/>
      <c r="BW13" s="101"/>
      <c r="BX13" s="101"/>
      <c r="BY13" s="101"/>
      <c r="BZ13" s="101"/>
      <c r="CA13" s="101"/>
      <c r="CB13" s="101"/>
      <c r="CC13" s="101"/>
      <c r="CD13" s="101"/>
      <c r="CE13" s="101"/>
      <c r="CF13" s="101"/>
      <c r="CG13" s="101"/>
      <c r="CH13" s="101"/>
      <c r="CI13" s="101"/>
      <c r="CJ13" s="101"/>
      <c r="CK13" s="101"/>
      <c r="CL13" s="101"/>
      <c r="CM13" s="101"/>
      <c r="CN13" s="101"/>
      <c r="CO13" s="101"/>
      <c r="CP13" s="101"/>
      <c r="CQ13" s="101"/>
      <c r="CR13" s="101"/>
      <c r="CS13" s="101"/>
      <c r="CT13" s="101"/>
      <c r="CU13" s="101"/>
      <c r="CV13" s="101"/>
      <c r="CW13" s="101"/>
      <c r="CX13" s="101"/>
      <c r="CY13" s="101"/>
      <c r="CZ13" s="101"/>
      <c r="DA13" s="101"/>
      <c r="DB13" s="101"/>
      <c r="DC13" s="101"/>
      <c r="DD13" s="101"/>
      <c r="DE13" s="101"/>
      <c r="DF13" s="101"/>
      <c r="DG13" s="101"/>
      <c r="DH13" s="101"/>
      <c r="DI13" s="101"/>
      <c r="DJ13" s="101" t="s">
        <v>999</v>
      </c>
      <c r="DK13" s="101"/>
      <c r="DL13" s="101"/>
      <c r="DM13" s="101"/>
      <c r="DN13" s="101"/>
      <c r="DO13" s="101"/>
      <c r="DP13" s="101"/>
      <c r="DQ13" s="101"/>
      <c r="DR13" s="101"/>
      <c r="DS13" s="101"/>
      <c r="DT13" s="101"/>
      <c r="DU13" s="101"/>
      <c r="DV13" s="101"/>
      <c r="DW13" s="101"/>
      <c r="DX13" s="101"/>
      <c r="DY13" s="101"/>
      <c r="DZ13" s="101"/>
      <c r="EA13" s="101"/>
      <c r="EB13" s="101"/>
      <c r="EC13" s="101"/>
      <c r="ED13" s="101"/>
      <c r="EE13" s="101"/>
      <c r="EF13" s="101"/>
      <c r="EG13" s="101"/>
      <c r="EH13" s="101"/>
      <c r="EI13" s="101"/>
      <c r="EJ13" s="101"/>
      <c r="EK13" s="101"/>
      <c r="EL13" s="101"/>
      <c r="EM13" s="101"/>
      <c r="EN13" s="101"/>
      <c r="EO13" s="101"/>
      <c r="EP13" s="101"/>
      <c r="EQ13" s="101"/>
      <c r="ER13" s="101"/>
      <c r="ES13" s="101"/>
      <c r="ET13" s="101"/>
      <c r="EU13" s="101"/>
      <c r="EV13" s="101"/>
      <c r="EW13" s="101"/>
      <c r="EX13" s="101"/>
      <c r="EY13" s="101"/>
      <c r="EZ13" s="101"/>
      <c r="FA13" s="101"/>
      <c r="FB13" s="101"/>
      <c r="FC13" s="101"/>
      <c r="FD13" s="101"/>
      <c r="FE13" s="101"/>
      <c r="FF13" s="101"/>
      <c r="FG13" s="101"/>
      <c r="FH13" s="101"/>
      <c r="FI13" s="101"/>
      <c r="FJ13" s="101"/>
      <c r="FK13" s="101"/>
      <c r="FL13" s="101"/>
      <c r="FM13" s="101"/>
      <c r="FN13" s="101" t="s">
        <v>496</v>
      </c>
      <c r="FO13" s="101"/>
      <c r="FP13" s="101"/>
      <c r="FQ13" s="101"/>
      <c r="FR13" s="101"/>
      <c r="FS13" s="101"/>
      <c r="FT13" s="101"/>
      <c r="FU13" s="101"/>
      <c r="FV13" s="101"/>
      <c r="FW13" s="101"/>
      <c r="FX13" s="101"/>
      <c r="FY13" s="101"/>
      <c r="FZ13" s="101"/>
      <c r="GA13" s="101"/>
      <c r="GB13" s="101"/>
      <c r="GC13" s="101"/>
      <c r="GD13" s="101"/>
      <c r="GE13" s="101"/>
      <c r="GF13" s="101"/>
      <c r="GG13" s="101"/>
      <c r="GH13" s="101"/>
      <c r="GI13" s="101" t="s">
        <v>1419</v>
      </c>
      <c r="GJ13" s="101"/>
      <c r="GK13" s="101"/>
      <c r="GL13" s="101"/>
      <c r="GM13" s="101"/>
      <c r="GN13" s="101"/>
      <c r="GO13" s="101"/>
      <c r="GP13" s="101"/>
      <c r="GQ13" s="101"/>
      <c r="GR13" s="101"/>
      <c r="GS13" s="101"/>
      <c r="GT13" s="101"/>
      <c r="GU13" s="101"/>
      <c r="GV13" s="101"/>
      <c r="GW13" s="101"/>
      <c r="GX13" s="101" t="s">
        <v>498</v>
      </c>
    </row>
    <row r="14" spans="1:206" x14ac:dyDescent="0.2">
      <c r="A14" s="104" t="s">
        <v>49</v>
      </c>
      <c r="B14" s="104" t="s">
        <v>50</v>
      </c>
      <c r="C14" s="101"/>
      <c r="D14" s="101"/>
      <c r="E14" s="101" t="s">
        <v>1174</v>
      </c>
      <c r="F14" s="100"/>
      <c r="G14" s="101" t="s">
        <v>1175</v>
      </c>
      <c r="H14" s="101" t="s">
        <v>1176</v>
      </c>
      <c r="I14" s="101"/>
      <c r="J14" s="101"/>
      <c r="K14" s="101"/>
      <c r="L14" s="101"/>
      <c r="M14" s="101"/>
      <c r="N14" s="101"/>
      <c r="O14" s="101" t="s">
        <v>1177</v>
      </c>
      <c r="P14" s="101"/>
      <c r="Q14" s="101"/>
      <c r="R14" s="101"/>
      <c r="S14" s="101"/>
      <c r="T14" s="101"/>
      <c r="U14" s="101" t="s">
        <v>1178</v>
      </c>
      <c r="V14" s="101"/>
      <c r="W14" s="101"/>
      <c r="X14" s="101"/>
      <c r="Y14" s="101"/>
      <c r="Z14" s="101" t="s">
        <v>1179</v>
      </c>
      <c r="AA14" s="101"/>
      <c r="AB14" s="101"/>
      <c r="AC14" s="101" t="s">
        <v>1180</v>
      </c>
      <c r="AD14" s="101"/>
      <c r="AE14" s="101"/>
      <c r="AF14" s="101"/>
      <c r="AG14" s="101"/>
      <c r="AH14" s="101" t="s">
        <v>1181</v>
      </c>
      <c r="AI14" s="101"/>
      <c r="AJ14" s="101"/>
      <c r="AK14" s="101"/>
      <c r="AL14" s="101"/>
      <c r="AM14" s="101"/>
      <c r="AN14" s="101"/>
      <c r="AO14" s="101"/>
      <c r="AP14" s="101"/>
      <c r="AQ14" s="101"/>
      <c r="AR14" s="101"/>
      <c r="AS14" s="101" t="s">
        <v>1182</v>
      </c>
      <c r="AT14" s="101"/>
      <c r="AU14" s="101"/>
      <c r="AV14" s="101"/>
      <c r="AW14" s="101"/>
      <c r="AX14" s="101"/>
      <c r="AY14" s="101"/>
      <c r="AZ14" s="101"/>
      <c r="BA14" s="101"/>
      <c r="BB14" s="101" t="s">
        <v>1183</v>
      </c>
      <c r="BC14" s="101"/>
      <c r="BD14" s="101"/>
      <c r="BE14" s="101"/>
      <c r="BF14" s="101"/>
      <c r="BG14" s="101"/>
      <c r="BH14" s="101"/>
      <c r="BI14" s="101"/>
      <c r="BJ14" s="101"/>
      <c r="BK14" s="101"/>
      <c r="BL14" s="101" t="s">
        <v>512</v>
      </c>
      <c r="BM14" s="101" t="s">
        <v>512</v>
      </c>
      <c r="BN14" s="101"/>
      <c r="BO14" s="101"/>
      <c r="BP14" s="101"/>
      <c r="BQ14" s="101"/>
      <c r="BR14" s="101"/>
      <c r="BS14" s="101"/>
      <c r="BT14" s="101"/>
      <c r="BU14" s="101"/>
      <c r="BV14" s="101"/>
      <c r="BW14" s="101"/>
      <c r="BX14" s="101"/>
      <c r="BY14" s="101"/>
      <c r="BZ14" s="101"/>
      <c r="CA14" s="101"/>
      <c r="CB14" s="101"/>
      <c r="CC14" s="101"/>
      <c r="CD14" s="101"/>
      <c r="CE14" s="101"/>
      <c r="CF14" s="101"/>
      <c r="CG14" s="101"/>
      <c r="CH14" s="101"/>
      <c r="CI14" s="101"/>
      <c r="CJ14" s="101"/>
      <c r="CK14" s="101"/>
      <c r="CL14" s="101"/>
      <c r="CM14" s="101"/>
      <c r="CN14" s="101"/>
      <c r="CO14" s="101"/>
      <c r="CP14" s="101"/>
      <c r="CQ14" s="101"/>
      <c r="CR14" s="101"/>
      <c r="CS14" s="101"/>
      <c r="CT14" s="101"/>
      <c r="CU14" s="101"/>
      <c r="CV14" s="101"/>
      <c r="CW14" s="101"/>
      <c r="CX14" s="101"/>
      <c r="CY14" s="101" t="s">
        <v>1184</v>
      </c>
      <c r="CZ14" s="101"/>
      <c r="DA14" s="101"/>
      <c r="DB14" s="101"/>
      <c r="DC14" s="101"/>
      <c r="DD14" s="101"/>
      <c r="DE14" s="101"/>
      <c r="DF14" s="101"/>
      <c r="DG14" s="101"/>
      <c r="DH14" s="101"/>
      <c r="DI14" s="101" t="s">
        <v>514</v>
      </c>
      <c r="DJ14" s="101"/>
      <c r="DK14" s="101"/>
      <c r="DL14" s="101"/>
      <c r="DM14" s="101"/>
      <c r="DN14" s="101" t="s">
        <v>515</v>
      </c>
      <c r="DO14" s="101"/>
      <c r="DP14" s="101"/>
      <c r="DQ14" s="101"/>
      <c r="DR14" s="101"/>
      <c r="DS14" s="101"/>
      <c r="DT14" s="101"/>
      <c r="DU14" s="101" t="s">
        <v>516</v>
      </c>
      <c r="DV14" s="101"/>
      <c r="DW14" s="101" t="s">
        <v>1181</v>
      </c>
      <c r="DX14" s="101"/>
      <c r="DY14" s="101" t="s">
        <v>1185</v>
      </c>
      <c r="DZ14" s="101"/>
      <c r="EA14" s="101"/>
      <c r="EB14" s="101"/>
      <c r="EC14" s="101"/>
      <c r="ED14" s="101" t="s">
        <v>1186</v>
      </c>
      <c r="EE14" s="101"/>
      <c r="EF14" s="101"/>
      <c r="EG14" s="101" t="s">
        <v>519</v>
      </c>
      <c r="EH14" s="101"/>
      <c r="EI14" s="101"/>
      <c r="EJ14" s="101"/>
      <c r="EK14" s="101"/>
      <c r="EL14" s="101"/>
      <c r="EM14" s="101"/>
      <c r="EN14" s="101"/>
      <c r="EO14" s="101"/>
      <c r="EP14" s="101"/>
      <c r="EQ14" s="101"/>
      <c r="ER14" s="101" t="s">
        <v>1401</v>
      </c>
      <c r="ES14" s="101"/>
      <c r="ET14" s="101"/>
      <c r="EU14" s="101"/>
      <c r="EV14" s="101"/>
      <c r="EW14" s="101"/>
      <c r="EX14" s="101"/>
      <c r="EY14" s="101"/>
      <c r="EZ14" s="101"/>
      <c r="FA14" s="101"/>
      <c r="FB14" s="101"/>
      <c r="FC14" s="101"/>
      <c r="FD14" s="101"/>
      <c r="FE14" s="101"/>
      <c r="FF14" s="101" t="s">
        <v>1182</v>
      </c>
      <c r="FG14" s="101"/>
      <c r="FH14" s="101"/>
      <c r="FI14" s="101" t="s">
        <v>1181</v>
      </c>
      <c r="FJ14" s="101" t="s">
        <v>1175</v>
      </c>
      <c r="FK14" s="101"/>
      <c r="FL14" s="101"/>
      <c r="FM14" s="101"/>
      <c r="FN14" s="101" t="s">
        <v>1187</v>
      </c>
      <c r="FO14" s="101"/>
      <c r="FP14" s="101"/>
      <c r="FQ14" s="101"/>
      <c r="FR14" s="101" t="s">
        <v>1182</v>
      </c>
      <c r="FS14" s="101"/>
      <c r="FT14" s="101"/>
      <c r="FU14" s="101"/>
      <c r="FV14" s="101"/>
      <c r="FW14" s="101"/>
      <c r="FX14" s="101"/>
      <c r="FY14" s="101"/>
      <c r="FZ14" s="101"/>
      <c r="GA14" s="101"/>
      <c r="GB14" s="101"/>
      <c r="GC14" s="101"/>
      <c r="GD14" s="101"/>
      <c r="GE14" s="101"/>
      <c r="GF14" s="101" t="s">
        <v>1188</v>
      </c>
      <c r="GG14" s="101"/>
      <c r="GH14" s="101"/>
      <c r="GI14" s="101" t="s">
        <v>523</v>
      </c>
      <c r="GJ14" s="101"/>
      <c r="GK14" s="101"/>
      <c r="GL14" s="101" t="s">
        <v>524</v>
      </c>
      <c r="GM14" s="101"/>
      <c r="GN14" s="101"/>
      <c r="GO14" s="101" t="s">
        <v>1425</v>
      </c>
      <c r="GP14" s="101"/>
      <c r="GQ14" s="101"/>
      <c r="GR14" s="101"/>
      <c r="GS14" s="101"/>
      <c r="GT14" s="101" t="s">
        <v>512</v>
      </c>
      <c r="GU14" s="101"/>
      <c r="GV14" s="101" t="s">
        <v>512</v>
      </c>
      <c r="GW14" s="101"/>
      <c r="GX14" s="101"/>
    </row>
    <row r="15" spans="1:206" x14ac:dyDescent="0.2">
      <c r="A15" s="104" t="s">
        <v>51</v>
      </c>
      <c r="B15" s="104" t="s">
        <v>52</v>
      </c>
      <c r="C15" s="101"/>
      <c r="D15" s="101"/>
      <c r="E15" s="101"/>
      <c r="F15" s="100"/>
      <c r="G15" s="101"/>
      <c r="H15" s="101"/>
      <c r="I15" s="101"/>
      <c r="J15" s="101"/>
      <c r="K15" s="101" t="s">
        <v>1189</v>
      </c>
      <c r="L15" s="101"/>
      <c r="M15" s="101" t="s">
        <v>1190</v>
      </c>
      <c r="N15" s="101"/>
      <c r="O15" s="101"/>
      <c r="P15" s="101" t="s">
        <v>528</v>
      </c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 t="s">
        <v>1191</v>
      </c>
      <c r="BC15" s="101"/>
      <c r="BD15" s="101"/>
      <c r="BE15" s="101" t="s">
        <v>1192</v>
      </c>
      <c r="BF15" s="101"/>
      <c r="BG15" s="101"/>
      <c r="BH15" s="101"/>
      <c r="BI15" s="101"/>
      <c r="BJ15" s="101"/>
      <c r="BK15" s="101"/>
      <c r="BL15" s="101"/>
      <c r="BM15" s="101"/>
      <c r="BN15" s="101"/>
      <c r="BO15" s="101"/>
      <c r="BP15" s="101"/>
      <c r="BQ15" s="101"/>
      <c r="BR15" s="101"/>
      <c r="BS15" s="101"/>
      <c r="BT15" s="101"/>
      <c r="BU15" s="101"/>
      <c r="BV15" s="101"/>
      <c r="BW15" s="101"/>
      <c r="BX15" s="101"/>
      <c r="BY15" s="101"/>
      <c r="BZ15" s="101"/>
      <c r="CA15" s="101"/>
      <c r="CB15" s="101"/>
      <c r="CC15" s="101"/>
      <c r="CD15" s="101"/>
      <c r="CE15" s="101"/>
      <c r="CF15" s="101"/>
      <c r="CG15" s="101"/>
      <c r="CH15" s="101"/>
      <c r="CI15" s="101"/>
      <c r="CJ15" s="101" t="s">
        <v>533</v>
      </c>
      <c r="CK15" s="101"/>
      <c r="CL15" s="101"/>
      <c r="CM15" s="101"/>
      <c r="CN15" s="101"/>
      <c r="CO15" s="101"/>
      <c r="CP15" s="101"/>
      <c r="CQ15" s="101"/>
      <c r="CR15" s="101"/>
      <c r="CS15" s="101"/>
      <c r="CT15" s="101"/>
      <c r="CU15" s="101"/>
      <c r="CV15" s="101"/>
      <c r="CW15" s="101"/>
      <c r="CX15" s="101"/>
      <c r="CY15" s="101"/>
      <c r="CZ15" s="101"/>
      <c r="DA15" s="101"/>
      <c r="DB15" s="101"/>
      <c r="DC15" s="101"/>
      <c r="DD15" s="101"/>
      <c r="DE15" s="101"/>
      <c r="DF15" s="101"/>
      <c r="DG15" s="101"/>
      <c r="DH15" s="101"/>
      <c r="DI15" s="101" t="s">
        <v>514</v>
      </c>
      <c r="DJ15" s="101"/>
      <c r="DK15" s="101"/>
      <c r="DL15" s="101"/>
      <c r="DM15" s="101"/>
      <c r="DN15" s="101"/>
      <c r="DO15" s="101"/>
      <c r="DP15" s="101"/>
      <c r="DQ15" s="101"/>
      <c r="DR15" s="101"/>
      <c r="DS15" s="101"/>
      <c r="DT15" s="101"/>
      <c r="DU15" s="101" t="s">
        <v>534</v>
      </c>
      <c r="DV15" s="101"/>
      <c r="DW15" s="101"/>
      <c r="DX15" s="101"/>
      <c r="DY15" s="101"/>
      <c r="DZ15" s="101"/>
      <c r="EA15" s="101"/>
      <c r="EB15" s="101"/>
      <c r="EC15" s="101"/>
      <c r="ED15" s="101"/>
      <c r="EE15" s="101"/>
      <c r="EF15" s="101"/>
      <c r="EG15" s="101"/>
      <c r="EH15" s="101"/>
      <c r="EI15" s="101"/>
      <c r="EJ15" s="101"/>
      <c r="EK15" s="101"/>
      <c r="EL15" s="101" t="s">
        <v>536</v>
      </c>
      <c r="EM15" s="101"/>
      <c r="EN15" s="101"/>
      <c r="EO15" s="101"/>
      <c r="EP15" s="101"/>
      <c r="EQ15" s="101"/>
      <c r="ER15" s="101" t="s">
        <v>1400</v>
      </c>
      <c r="ES15" s="101"/>
      <c r="ET15" s="101"/>
      <c r="EU15" s="101"/>
      <c r="EV15" s="101"/>
      <c r="EW15" s="101"/>
      <c r="EX15" s="101"/>
      <c r="EY15" s="101"/>
      <c r="EZ15" s="101"/>
      <c r="FA15" s="101"/>
      <c r="FB15" s="101"/>
      <c r="FC15" s="101"/>
      <c r="FD15" s="101"/>
      <c r="FE15" s="101"/>
      <c r="FF15" s="101"/>
      <c r="FG15" s="101"/>
      <c r="FH15" s="101"/>
      <c r="FI15" s="101"/>
      <c r="FJ15" s="101"/>
      <c r="FK15" s="101"/>
      <c r="FL15" s="101"/>
      <c r="FM15" s="101"/>
      <c r="FN15" s="101"/>
      <c r="FO15" s="101"/>
      <c r="FP15" s="101"/>
      <c r="FQ15" s="101"/>
      <c r="FR15" s="101"/>
      <c r="FS15" s="101"/>
      <c r="FT15" s="101"/>
      <c r="FU15" s="101"/>
      <c r="FV15" s="101"/>
      <c r="FW15" s="101"/>
      <c r="FX15" s="101" t="s">
        <v>540</v>
      </c>
      <c r="FY15" s="101" t="s">
        <v>541</v>
      </c>
      <c r="FZ15" s="101"/>
      <c r="GA15" s="101"/>
      <c r="GB15" s="101"/>
      <c r="GC15" s="101"/>
      <c r="GD15" s="101"/>
      <c r="GE15" s="101"/>
      <c r="GF15" s="101"/>
      <c r="GG15" s="101" t="s">
        <v>540</v>
      </c>
      <c r="GH15" s="101"/>
      <c r="GI15" s="101"/>
      <c r="GJ15" s="101"/>
      <c r="GK15" s="101"/>
      <c r="GL15" s="101" t="s">
        <v>1192</v>
      </c>
      <c r="GM15" s="101"/>
      <c r="GN15" s="101"/>
      <c r="GO15" s="101"/>
      <c r="GP15" s="101" t="s">
        <v>1429</v>
      </c>
      <c r="GQ15" s="101"/>
      <c r="GR15" s="101"/>
      <c r="GS15" s="101"/>
      <c r="GT15" s="101"/>
      <c r="GU15" s="101"/>
      <c r="GV15" s="101"/>
      <c r="GW15" s="101"/>
      <c r="GX15" s="101"/>
    </row>
    <row r="16" spans="1:206" x14ac:dyDescent="0.2">
      <c r="A16" s="104" t="s">
        <v>53</v>
      </c>
      <c r="B16" s="104" t="s">
        <v>54</v>
      </c>
      <c r="C16" s="101"/>
      <c r="D16" s="101"/>
      <c r="E16" s="101"/>
      <c r="F16" s="101"/>
      <c r="G16" s="101" t="s">
        <v>1000</v>
      </c>
      <c r="H16" s="101"/>
      <c r="I16" s="101" t="s">
        <v>544</v>
      </c>
      <c r="J16" s="101"/>
      <c r="K16" s="101"/>
      <c r="L16" s="101"/>
      <c r="M16" s="101"/>
      <c r="N16" s="101"/>
      <c r="O16" s="101"/>
      <c r="P16" s="101"/>
      <c r="Q16" s="101"/>
      <c r="R16" s="101"/>
      <c r="S16" s="101"/>
      <c r="T16" s="101"/>
      <c r="U16" s="101"/>
      <c r="V16" s="101"/>
      <c r="W16" s="101"/>
      <c r="X16" s="101" t="s">
        <v>545</v>
      </c>
      <c r="Y16" s="101"/>
      <c r="Z16" s="101"/>
      <c r="AA16" s="101"/>
      <c r="AB16" s="101"/>
      <c r="AC16" s="101"/>
      <c r="AD16" s="101"/>
      <c r="AE16" s="101"/>
      <c r="AF16" s="101"/>
      <c r="AG16" s="101" t="s">
        <v>546</v>
      </c>
      <c r="AH16" s="101"/>
      <c r="AI16" s="101"/>
      <c r="AJ16" s="101"/>
      <c r="AK16" s="101"/>
      <c r="AL16" s="101" t="s">
        <v>547</v>
      </c>
      <c r="AM16" s="101"/>
      <c r="AN16" s="101"/>
      <c r="AO16" s="101"/>
      <c r="AP16" s="101"/>
      <c r="AQ16" s="101"/>
      <c r="AR16" s="101"/>
      <c r="AS16" s="101"/>
      <c r="AT16" s="101"/>
      <c r="AU16" s="101"/>
      <c r="AV16" s="101" t="s">
        <v>548</v>
      </c>
      <c r="AW16" s="101"/>
      <c r="AX16" s="101" t="s">
        <v>548</v>
      </c>
      <c r="AY16" s="101"/>
      <c r="AZ16" s="101" t="s">
        <v>1001</v>
      </c>
      <c r="BA16" s="101"/>
      <c r="BB16" s="101" t="s">
        <v>549</v>
      </c>
      <c r="BC16" s="101"/>
      <c r="BD16" s="101" t="s">
        <v>548</v>
      </c>
      <c r="BE16" s="101"/>
      <c r="BF16" s="101"/>
      <c r="BG16" s="101"/>
      <c r="BH16" s="101"/>
      <c r="BI16" s="101"/>
      <c r="BJ16" s="101"/>
      <c r="BK16" s="101"/>
      <c r="BL16" s="101" t="s">
        <v>550</v>
      </c>
      <c r="BM16" s="101"/>
      <c r="BN16" s="101" t="s">
        <v>548</v>
      </c>
      <c r="BO16" s="101" t="s">
        <v>1002</v>
      </c>
      <c r="BP16" s="101"/>
      <c r="BQ16" s="101"/>
      <c r="BR16" s="101" t="s">
        <v>551</v>
      </c>
      <c r="BS16" s="101"/>
      <c r="BT16" s="101"/>
      <c r="BU16" s="101"/>
      <c r="BV16" s="101"/>
      <c r="BW16" s="101"/>
      <c r="BX16" s="101"/>
      <c r="BY16" s="101" t="s">
        <v>548</v>
      </c>
      <c r="BZ16" s="101"/>
      <c r="CA16" s="101"/>
      <c r="CB16" s="101"/>
      <c r="CC16" s="101"/>
      <c r="CD16" s="101"/>
      <c r="CE16" s="101" t="s">
        <v>548</v>
      </c>
      <c r="CF16" s="101" t="s">
        <v>548</v>
      </c>
      <c r="CG16" s="101"/>
      <c r="CH16" s="101" t="s">
        <v>551</v>
      </c>
      <c r="CI16" s="101"/>
      <c r="CJ16" s="101"/>
      <c r="CK16" s="101" t="s">
        <v>548</v>
      </c>
      <c r="CL16" s="101" t="s">
        <v>548</v>
      </c>
      <c r="CM16" s="101"/>
      <c r="CN16" s="101"/>
      <c r="CO16" s="101"/>
      <c r="CP16" s="101"/>
      <c r="CQ16" s="101"/>
      <c r="CR16" s="101"/>
      <c r="CS16" s="101"/>
      <c r="CT16" s="101"/>
      <c r="CU16" s="101" t="s">
        <v>1003</v>
      </c>
      <c r="CV16" s="101"/>
      <c r="CW16" s="101" t="s">
        <v>552</v>
      </c>
      <c r="CX16" s="101"/>
      <c r="CY16" s="101"/>
      <c r="CZ16" s="101"/>
      <c r="DA16" s="101"/>
      <c r="DB16" s="101"/>
      <c r="DC16" s="101"/>
      <c r="DD16" s="101"/>
      <c r="DE16" s="101"/>
      <c r="DF16" s="101"/>
      <c r="DG16" s="101" t="s">
        <v>554</v>
      </c>
      <c r="DH16" s="101" t="s">
        <v>1004</v>
      </c>
      <c r="DI16" s="101" t="s">
        <v>514</v>
      </c>
      <c r="DJ16" s="101"/>
      <c r="DK16" s="101"/>
      <c r="DL16" s="101"/>
      <c r="DM16" s="101"/>
      <c r="DN16" s="101"/>
      <c r="DO16" s="101"/>
      <c r="DP16" s="101"/>
      <c r="DQ16" s="101"/>
      <c r="DR16" s="101" t="s">
        <v>548</v>
      </c>
      <c r="DS16" s="101"/>
      <c r="DT16" s="101"/>
      <c r="DU16" s="101"/>
      <c r="DV16" s="101" t="s">
        <v>548</v>
      </c>
      <c r="DW16" s="101"/>
      <c r="DX16" s="101" t="s">
        <v>555</v>
      </c>
      <c r="DY16" s="101" t="s">
        <v>1005</v>
      </c>
      <c r="DZ16" s="101" t="s">
        <v>548</v>
      </c>
      <c r="EA16" s="101"/>
      <c r="EB16" s="101" t="s">
        <v>556</v>
      </c>
      <c r="EC16" s="101" t="s">
        <v>1006</v>
      </c>
      <c r="ED16" s="101"/>
      <c r="EE16" s="101"/>
      <c r="EF16" s="101"/>
      <c r="EG16" s="101"/>
      <c r="EH16" s="101"/>
      <c r="EI16" s="101"/>
      <c r="EJ16" s="101"/>
      <c r="EK16" s="101"/>
      <c r="EL16" s="101"/>
      <c r="EM16" s="101"/>
      <c r="EN16" s="101" t="s">
        <v>557</v>
      </c>
      <c r="EO16" s="101"/>
      <c r="EP16" s="101"/>
      <c r="EQ16" s="101"/>
      <c r="ER16" s="101" t="s">
        <v>558</v>
      </c>
      <c r="ES16" s="101"/>
      <c r="ET16" s="101"/>
      <c r="EU16" s="101" t="s">
        <v>1007</v>
      </c>
      <c r="EV16" s="101" t="s">
        <v>559</v>
      </c>
      <c r="EW16" s="101"/>
      <c r="EX16" s="101"/>
      <c r="EY16" s="101"/>
      <c r="EZ16" s="101" t="s">
        <v>544</v>
      </c>
      <c r="FA16" s="101"/>
      <c r="FB16" s="101"/>
      <c r="FC16" s="101"/>
      <c r="FD16" s="101" t="s">
        <v>560</v>
      </c>
      <c r="FE16" s="101"/>
      <c r="FF16" s="101"/>
      <c r="FG16" s="101"/>
      <c r="FH16" s="101"/>
      <c r="FI16" s="101"/>
      <c r="FJ16" s="101"/>
      <c r="FK16" s="101"/>
      <c r="FL16" s="101" t="s">
        <v>548</v>
      </c>
      <c r="FM16" s="101"/>
      <c r="FN16" s="101" t="s">
        <v>1413</v>
      </c>
      <c r="FO16" s="101"/>
      <c r="FP16" s="101" t="s">
        <v>562</v>
      </c>
      <c r="FQ16" s="101"/>
      <c r="FR16" s="101"/>
      <c r="FS16" s="101"/>
      <c r="FT16" s="101"/>
      <c r="FU16" s="101"/>
      <c r="FV16" s="101" t="s">
        <v>548</v>
      </c>
      <c r="FW16" s="101"/>
      <c r="FX16" s="101"/>
      <c r="FY16" s="101"/>
      <c r="FZ16" s="101"/>
      <c r="GA16" s="101"/>
      <c r="GB16" s="101"/>
      <c r="GC16" s="101"/>
      <c r="GD16" s="101"/>
      <c r="GE16" s="101"/>
      <c r="GF16" s="101"/>
      <c r="GG16" s="101" t="s">
        <v>563</v>
      </c>
      <c r="GH16" s="101" t="s">
        <v>548</v>
      </c>
      <c r="GI16" s="101" t="s">
        <v>564</v>
      </c>
      <c r="GJ16" s="101"/>
      <c r="GK16" s="101"/>
      <c r="GL16" s="101"/>
      <c r="GM16" s="101"/>
      <c r="GN16" s="101"/>
      <c r="GO16" s="101"/>
      <c r="GP16" s="101"/>
      <c r="GQ16" s="101"/>
      <c r="GR16" s="101"/>
      <c r="GS16" s="101" t="s">
        <v>565</v>
      </c>
      <c r="GT16" s="101"/>
      <c r="GU16" s="101"/>
      <c r="GV16" s="101"/>
      <c r="GW16" s="101" t="s">
        <v>548</v>
      </c>
      <c r="GX16" s="101"/>
    </row>
    <row r="17" spans="1:206" x14ac:dyDescent="0.2">
      <c r="A17" s="104" t="s">
        <v>16</v>
      </c>
      <c r="B17" s="104" t="s">
        <v>17</v>
      </c>
      <c r="C17" s="101"/>
      <c r="D17" s="101"/>
      <c r="E17" s="101"/>
      <c r="F17" s="101"/>
      <c r="G17" s="101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1"/>
      <c r="BF17" s="101"/>
      <c r="BG17" s="101"/>
      <c r="BH17" s="101"/>
      <c r="BI17" s="101"/>
      <c r="BJ17" s="101"/>
      <c r="BK17" s="101"/>
      <c r="BL17" s="101"/>
      <c r="BM17" s="101"/>
      <c r="BN17" s="101"/>
      <c r="BO17" s="101"/>
      <c r="BP17" s="101"/>
      <c r="BQ17" s="101"/>
      <c r="BR17" s="101"/>
      <c r="BS17" s="101"/>
      <c r="BT17" s="101"/>
      <c r="BU17" s="101"/>
      <c r="BV17" s="101"/>
      <c r="BW17" s="101"/>
      <c r="BX17" s="101"/>
      <c r="BY17" s="101"/>
      <c r="BZ17" s="101"/>
      <c r="CA17" s="101"/>
      <c r="CB17" s="101"/>
      <c r="CC17" s="101"/>
      <c r="CD17" s="101"/>
      <c r="CE17" s="101"/>
      <c r="CF17" s="101" t="s">
        <v>1008</v>
      </c>
      <c r="CG17" s="101"/>
      <c r="CH17" s="101"/>
      <c r="CI17" s="101"/>
      <c r="CJ17" s="101"/>
      <c r="CK17" s="101"/>
      <c r="CL17" s="101"/>
      <c r="CM17" s="101"/>
      <c r="CN17" s="101"/>
      <c r="CO17" s="101"/>
      <c r="CP17" s="101"/>
      <c r="CQ17" s="101"/>
      <c r="CR17" s="101"/>
      <c r="CS17" s="101"/>
      <c r="CT17" s="101"/>
      <c r="CU17" s="101"/>
      <c r="CV17" s="101"/>
      <c r="CW17" s="101"/>
      <c r="CX17" s="101"/>
      <c r="CY17" s="101"/>
      <c r="CZ17" s="101"/>
      <c r="DA17" s="101"/>
      <c r="DB17" s="101"/>
      <c r="DC17" s="101"/>
      <c r="DD17" s="101" t="s">
        <v>1140</v>
      </c>
      <c r="DE17" s="101"/>
      <c r="DF17" s="101"/>
      <c r="DG17" s="101"/>
      <c r="DH17" s="101"/>
      <c r="DI17" s="101" t="s">
        <v>514</v>
      </c>
      <c r="DJ17" s="101"/>
      <c r="DK17" s="101"/>
      <c r="DL17" s="101"/>
      <c r="DM17" s="101"/>
      <c r="DN17" s="101"/>
      <c r="DO17" s="101"/>
      <c r="DP17" s="101"/>
      <c r="DQ17" s="101"/>
      <c r="DR17" s="101"/>
      <c r="DS17" s="101"/>
      <c r="DT17" s="101"/>
      <c r="DU17" s="101"/>
      <c r="DV17" s="101"/>
      <c r="DW17" s="101"/>
      <c r="DX17" s="101" t="s">
        <v>566</v>
      </c>
      <c r="DY17" s="101"/>
      <c r="DZ17" s="101"/>
      <c r="EA17" s="101" t="s">
        <v>1010</v>
      </c>
      <c r="EB17" s="101" t="s">
        <v>1365</v>
      </c>
      <c r="EC17" s="101"/>
      <c r="ED17" s="101"/>
      <c r="EE17" s="101"/>
      <c r="EF17" s="101"/>
      <c r="EG17" s="101"/>
      <c r="EH17" s="101"/>
      <c r="EI17" s="101"/>
      <c r="EJ17" s="101"/>
      <c r="EK17" s="101"/>
      <c r="EL17" s="101"/>
      <c r="EM17" s="101"/>
      <c r="EN17" s="101" t="s">
        <v>568</v>
      </c>
      <c r="EO17" s="101"/>
      <c r="EP17" s="101"/>
      <c r="EQ17" s="101"/>
      <c r="ER17" s="101"/>
      <c r="ES17" s="101"/>
      <c r="ET17" s="101"/>
      <c r="EU17" s="101"/>
      <c r="EV17" s="101"/>
      <c r="EW17" s="101"/>
      <c r="EX17" s="101"/>
      <c r="EY17" s="101"/>
      <c r="EZ17" s="101"/>
      <c r="FA17" s="101"/>
      <c r="FB17" s="101"/>
      <c r="FC17" s="101"/>
      <c r="FD17" s="101"/>
      <c r="FE17" s="101" t="s">
        <v>1011</v>
      </c>
      <c r="FF17" s="101"/>
      <c r="FG17" s="101"/>
      <c r="FH17" s="101"/>
      <c r="FI17" s="101"/>
      <c r="FJ17" s="101"/>
      <c r="FK17" s="101"/>
      <c r="FL17" s="101"/>
      <c r="FM17" s="101"/>
      <c r="FN17" s="101"/>
      <c r="FO17" s="101"/>
      <c r="FP17" s="101"/>
      <c r="FQ17" s="101"/>
      <c r="FR17" s="101"/>
      <c r="FS17" s="101"/>
      <c r="FT17" s="101"/>
      <c r="FU17" s="101"/>
      <c r="FV17" s="101"/>
      <c r="FW17" s="101"/>
      <c r="FX17" s="101"/>
      <c r="FY17" s="101"/>
      <c r="FZ17" s="101"/>
      <c r="GA17" s="101"/>
      <c r="GB17" s="101"/>
      <c r="GC17" s="101"/>
      <c r="GD17" s="101"/>
      <c r="GE17" s="101"/>
      <c r="GF17" s="101"/>
      <c r="GG17" s="101"/>
      <c r="GH17" s="101"/>
      <c r="GI17" s="101"/>
      <c r="GJ17" s="101"/>
      <c r="GK17" s="101"/>
      <c r="GL17" s="101"/>
      <c r="GM17" s="101"/>
      <c r="GN17" s="101"/>
      <c r="GO17" s="101"/>
      <c r="GP17" s="101"/>
      <c r="GQ17" s="101"/>
      <c r="GR17" s="101"/>
      <c r="GS17" s="101" t="s">
        <v>569</v>
      </c>
      <c r="GT17" s="101"/>
      <c r="GU17" s="101"/>
      <c r="GV17" s="101"/>
      <c r="GW17" s="101"/>
      <c r="GX17" s="101"/>
    </row>
    <row r="18" spans="1:206" x14ac:dyDescent="0.2">
      <c r="A18" s="104" t="s">
        <v>18</v>
      </c>
      <c r="B18" s="104" t="s">
        <v>112</v>
      </c>
      <c r="C18" s="101"/>
      <c r="D18" s="101"/>
      <c r="E18" s="101"/>
      <c r="F18" s="100"/>
      <c r="G18" s="101"/>
      <c r="H18" s="101" t="s">
        <v>570</v>
      </c>
      <c r="I18" s="101"/>
      <c r="J18" s="101"/>
      <c r="K18" s="101"/>
      <c r="L18" s="101"/>
      <c r="M18" s="101" t="s">
        <v>1341</v>
      </c>
      <c r="N18" s="101"/>
      <c r="O18" s="101"/>
      <c r="P18" s="101"/>
      <c r="Q18" s="101"/>
      <c r="R18" s="101"/>
      <c r="S18" s="101"/>
      <c r="T18" s="101"/>
      <c r="U18" s="101"/>
      <c r="V18" s="101"/>
      <c r="W18" s="101"/>
      <c r="X18" s="101"/>
      <c r="Y18" s="101"/>
      <c r="Z18" s="101"/>
      <c r="AA18" s="101"/>
      <c r="AB18" s="101"/>
      <c r="AC18" s="101"/>
      <c r="AD18" s="101"/>
      <c r="AE18" s="101"/>
      <c r="AF18" s="101"/>
      <c r="AG18" s="101"/>
      <c r="AH18" s="101"/>
      <c r="AI18" s="101"/>
      <c r="AJ18" s="101"/>
      <c r="AK18" s="101"/>
      <c r="AL18" s="101"/>
      <c r="AM18" s="101"/>
      <c r="AN18" s="101"/>
      <c r="AO18" s="101"/>
      <c r="AP18" s="101"/>
      <c r="AQ18" s="101" t="s">
        <v>573</v>
      </c>
      <c r="AR18" s="101"/>
      <c r="AS18" s="101"/>
      <c r="AT18" s="101"/>
      <c r="AU18" s="101"/>
      <c r="AV18" s="101" t="s">
        <v>575</v>
      </c>
      <c r="AW18" s="101"/>
      <c r="AX18" s="101" t="s">
        <v>575</v>
      </c>
      <c r="AY18" s="101"/>
      <c r="AZ18" s="101"/>
      <c r="BA18" s="101"/>
      <c r="BB18" s="101"/>
      <c r="BC18" s="101"/>
      <c r="BD18" s="101" t="s">
        <v>575</v>
      </c>
      <c r="BE18" s="101"/>
      <c r="BF18" s="101"/>
      <c r="BG18" s="101"/>
      <c r="BH18" s="101" t="s">
        <v>1193</v>
      </c>
      <c r="BI18" s="101"/>
      <c r="BJ18" s="101"/>
      <c r="BK18" s="101" t="s">
        <v>577</v>
      </c>
      <c r="BL18" s="101"/>
      <c r="BM18" s="101"/>
      <c r="BN18" s="101" t="s">
        <v>575</v>
      </c>
      <c r="BO18" s="101"/>
      <c r="BP18" s="101"/>
      <c r="BQ18" s="101"/>
      <c r="BR18" s="101"/>
      <c r="BS18" s="101"/>
      <c r="BT18" s="101"/>
      <c r="BU18" s="101"/>
      <c r="BV18" s="101"/>
      <c r="BW18" s="101"/>
      <c r="BX18" s="101" t="s">
        <v>577</v>
      </c>
      <c r="BY18" s="101" t="s">
        <v>575</v>
      </c>
      <c r="BZ18" s="101"/>
      <c r="CA18" s="101"/>
      <c r="CB18" s="101"/>
      <c r="CC18" s="101"/>
      <c r="CD18" s="101"/>
      <c r="CE18" s="101" t="s">
        <v>575</v>
      </c>
      <c r="CF18" s="101" t="s">
        <v>575</v>
      </c>
      <c r="CG18" s="101"/>
      <c r="CH18" s="101"/>
      <c r="CI18" s="101"/>
      <c r="CJ18" s="101"/>
      <c r="CK18" s="101" t="s">
        <v>575</v>
      </c>
      <c r="CL18" s="101" t="s">
        <v>575</v>
      </c>
      <c r="CM18" s="101"/>
      <c r="CN18" s="101"/>
      <c r="CO18" s="101"/>
      <c r="CP18" s="101"/>
      <c r="CQ18" s="101"/>
      <c r="CR18" s="101"/>
      <c r="CS18" s="101"/>
      <c r="CT18" s="101"/>
      <c r="CU18" s="101"/>
      <c r="CV18" s="101"/>
      <c r="CW18" s="101"/>
      <c r="CX18" s="101"/>
      <c r="CY18" s="101"/>
      <c r="CZ18" s="101"/>
      <c r="DA18" s="101"/>
      <c r="DB18" s="101"/>
      <c r="DC18" s="101" t="s">
        <v>578</v>
      </c>
      <c r="DD18" s="101"/>
      <c r="DE18" s="101"/>
      <c r="DF18" s="101"/>
      <c r="DG18" s="101"/>
      <c r="DH18" s="101"/>
      <c r="DI18" s="101"/>
      <c r="DJ18" s="101"/>
      <c r="DK18" s="101"/>
      <c r="DL18" s="101" t="s">
        <v>1194</v>
      </c>
      <c r="DM18" s="101"/>
      <c r="DN18" s="101"/>
      <c r="DO18" s="101"/>
      <c r="DP18" s="101" t="s">
        <v>1195</v>
      </c>
      <c r="DQ18" s="101"/>
      <c r="DR18" s="101" t="s">
        <v>1195</v>
      </c>
      <c r="DS18" s="101"/>
      <c r="DT18" s="101"/>
      <c r="DU18" s="101"/>
      <c r="DV18" s="101" t="s">
        <v>1195</v>
      </c>
      <c r="DW18" s="101"/>
      <c r="DX18" s="101" t="s">
        <v>580</v>
      </c>
      <c r="DY18" s="101"/>
      <c r="DZ18" s="101" t="s">
        <v>1195</v>
      </c>
      <c r="EA18" s="101"/>
      <c r="EB18" s="101"/>
      <c r="EC18" s="101"/>
      <c r="ED18" s="101"/>
      <c r="EE18" s="101"/>
      <c r="EF18" s="101" t="s">
        <v>578</v>
      </c>
      <c r="EG18" s="101" t="s">
        <v>1381</v>
      </c>
      <c r="EH18" s="101" t="s">
        <v>577</v>
      </c>
      <c r="EI18" s="101"/>
      <c r="EJ18" s="101"/>
      <c r="EK18" s="101"/>
      <c r="EL18" s="101"/>
      <c r="EM18" s="101"/>
      <c r="EN18" s="101"/>
      <c r="EO18" s="101"/>
      <c r="EP18" s="101"/>
      <c r="EQ18" s="101"/>
      <c r="ER18" s="101" t="s">
        <v>1399</v>
      </c>
      <c r="ES18" s="101"/>
      <c r="ET18" s="101"/>
      <c r="EU18" s="101"/>
      <c r="EV18" s="101"/>
      <c r="EW18" s="101" t="s">
        <v>577</v>
      </c>
      <c r="EX18" s="101"/>
      <c r="EY18" s="101"/>
      <c r="EZ18" s="101"/>
      <c r="FA18" s="101"/>
      <c r="FB18" s="101"/>
      <c r="FC18" s="101" t="s">
        <v>1196</v>
      </c>
      <c r="FD18" s="101"/>
      <c r="FE18" s="101"/>
      <c r="FF18" s="101"/>
      <c r="FG18" s="101"/>
      <c r="FH18" s="101"/>
      <c r="FI18" s="101"/>
      <c r="FJ18" s="101"/>
      <c r="FK18" s="101"/>
      <c r="FL18" s="101" t="s">
        <v>1195</v>
      </c>
      <c r="FM18" s="101"/>
      <c r="FN18" s="101"/>
      <c r="FO18" s="101"/>
      <c r="FP18" s="101"/>
      <c r="FQ18" s="101"/>
      <c r="FR18" s="101"/>
      <c r="FS18" s="101"/>
      <c r="FT18" s="101"/>
      <c r="FU18" s="101"/>
      <c r="FV18" s="101" t="s">
        <v>1195</v>
      </c>
      <c r="FW18" s="101"/>
      <c r="FX18" s="101"/>
      <c r="FY18" s="101"/>
      <c r="FZ18" s="101"/>
      <c r="GA18" s="101"/>
      <c r="GB18" s="101"/>
      <c r="GC18" s="101" t="s">
        <v>578</v>
      </c>
      <c r="GD18" s="101"/>
      <c r="GE18" s="101" t="s">
        <v>584</v>
      </c>
      <c r="GF18" s="101"/>
      <c r="GG18" s="101"/>
      <c r="GH18" s="101" t="s">
        <v>1195</v>
      </c>
      <c r="GI18" s="101"/>
      <c r="GJ18" s="101"/>
      <c r="GK18" s="101"/>
      <c r="GL18" s="101"/>
      <c r="GM18" s="101"/>
      <c r="GN18" s="101"/>
      <c r="GO18" s="101"/>
      <c r="GP18" s="101"/>
      <c r="GQ18" s="101"/>
      <c r="GR18" s="101"/>
      <c r="GS18" s="101"/>
      <c r="GT18" s="101"/>
      <c r="GU18" s="101"/>
      <c r="GV18" s="101"/>
      <c r="GW18" s="101" t="s">
        <v>1195</v>
      </c>
      <c r="GX18" s="101"/>
    </row>
    <row r="19" spans="1:206" x14ac:dyDescent="0.2">
      <c r="A19" s="104" t="s">
        <v>55</v>
      </c>
      <c r="B19" s="104" t="s">
        <v>56</v>
      </c>
      <c r="C19" s="101"/>
      <c r="D19" s="101"/>
      <c r="E19" s="101"/>
      <c r="F19" s="101"/>
      <c r="G19" s="101"/>
      <c r="H19" s="101"/>
      <c r="I19" s="101"/>
      <c r="J19" s="101"/>
      <c r="K19" s="101"/>
      <c r="L19" s="101"/>
      <c r="M19" s="101"/>
      <c r="N19" s="101"/>
      <c r="O19" s="101"/>
      <c r="P19" s="101"/>
      <c r="Q19" s="101" t="s">
        <v>1344</v>
      </c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 t="s">
        <v>586</v>
      </c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 t="s">
        <v>1197</v>
      </c>
      <c r="AS19" s="101"/>
      <c r="AT19" s="101"/>
      <c r="AU19" s="101"/>
      <c r="AV19" s="101"/>
      <c r="AW19" s="101"/>
      <c r="AX19" s="101"/>
      <c r="AY19" s="101"/>
      <c r="AZ19" s="101" t="s">
        <v>588</v>
      </c>
      <c r="BA19" s="101"/>
      <c r="BB19" s="101" t="s">
        <v>1198</v>
      </c>
      <c r="BC19" s="101"/>
      <c r="BD19" s="101"/>
      <c r="BE19" s="101"/>
      <c r="BF19" s="101"/>
      <c r="BG19" s="101"/>
      <c r="BH19" s="101"/>
      <c r="BI19" s="101"/>
      <c r="BJ19" s="101"/>
      <c r="BK19" s="101"/>
      <c r="BL19" s="101"/>
      <c r="BM19" s="101"/>
      <c r="BN19" s="101"/>
      <c r="BO19" s="101"/>
      <c r="BP19" s="101"/>
      <c r="BQ19" s="101"/>
      <c r="BR19" s="101"/>
      <c r="BS19" s="101"/>
      <c r="BT19" s="101"/>
      <c r="BU19" s="101"/>
      <c r="BV19" s="101"/>
      <c r="BW19" s="101"/>
      <c r="BX19" s="101" t="s">
        <v>1199</v>
      </c>
      <c r="BY19" s="101"/>
      <c r="BZ19" s="101"/>
      <c r="CA19" s="101"/>
      <c r="CB19" s="101" t="s">
        <v>1200</v>
      </c>
      <c r="CC19" s="101"/>
      <c r="CD19" s="101" t="s">
        <v>1200</v>
      </c>
      <c r="CE19" s="101"/>
      <c r="CF19" s="101"/>
      <c r="CG19" s="101"/>
      <c r="CH19" s="101"/>
      <c r="CI19" s="101"/>
      <c r="CJ19" s="101" t="s">
        <v>1201</v>
      </c>
      <c r="CK19" s="101"/>
      <c r="CL19" s="101"/>
      <c r="CM19" s="101"/>
      <c r="CN19" s="101"/>
      <c r="CO19" s="101"/>
      <c r="CP19" s="101" t="s">
        <v>1202</v>
      </c>
      <c r="CQ19" s="101"/>
      <c r="CR19" s="101"/>
      <c r="CS19" s="101"/>
      <c r="CT19" s="101"/>
      <c r="CU19" s="101" t="s">
        <v>1203</v>
      </c>
      <c r="CV19" s="101" t="s">
        <v>1204</v>
      </c>
      <c r="CW19" s="101"/>
      <c r="CX19" s="101"/>
      <c r="CY19" s="101"/>
      <c r="CZ19" s="101"/>
      <c r="DA19" s="101"/>
      <c r="DB19" s="101"/>
      <c r="DC19" s="101"/>
      <c r="DD19" s="101"/>
      <c r="DE19" s="101"/>
      <c r="DF19" s="101"/>
      <c r="DG19" s="101"/>
      <c r="DH19" s="101"/>
      <c r="DI19" s="101"/>
      <c r="DJ19" s="101"/>
      <c r="DK19" s="101" t="s">
        <v>1205</v>
      </c>
      <c r="DL19" s="101"/>
      <c r="DM19" s="101"/>
      <c r="DN19" s="101"/>
      <c r="DO19" s="101"/>
      <c r="DP19" s="101"/>
      <c r="DQ19" s="101" t="s">
        <v>597</v>
      </c>
      <c r="DR19" s="101"/>
      <c r="DS19" s="101"/>
      <c r="DT19" s="101"/>
      <c r="DU19" s="101" t="s">
        <v>1206</v>
      </c>
      <c r="DV19" s="101"/>
      <c r="DW19" s="101"/>
      <c r="DX19" s="101"/>
      <c r="DY19" s="101"/>
      <c r="DZ19" s="101"/>
      <c r="EA19" s="101"/>
      <c r="EB19" s="101"/>
      <c r="EC19" s="101" t="s">
        <v>1370</v>
      </c>
      <c r="ED19" s="101"/>
      <c r="EE19" s="101" t="s">
        <v>1207</v>
      </c>
      <c r="EF19" s="101" t="s">
        <v>601</v>
      </c>
      <c r="EG19" s="101" t="s">
        <v>1380</v>
      </c>
      <c r="EH19" s="101"/>
      <c r="EI19" s="101"/>
      <c r="EJ19" s="101"/>
      <c r="EK19" s="101"/>
      <c r="EL19" s="101" t="s">
        <v>1208</v>
      </c>
      <c r="EM19" s="101"/>
      <c r="EN19" s="101" t="s">
        <v>1209</v>
      </c>
      <c r="EO19" s="101" t="s">
        <v>1210</v>
      </c>
      <c r="EP19" s="101" t="s">
        <v>1208</v>
      </c>
      <c r="EQ19" s="101" t="s">
        <v>514</v>
      </c>
      <c r="ER19" s="101" t="s">
        <v>1083</v>
      </c>
      <c r="ES19" s="101"/>
      <c r="ET19" s="101"/>
      <c r="EU19" s="101"/>
      <c r="EV19" s="101"/>
      <c r="EW19" s="101" t="s">
        <v>1211</v>
      </c>
      <c r="EX19" s="101"/>
      <c r="EY19" s="101"/>
      <c r="EZ19" s="101"/>
      <c r="FA19" s="101"/>
      <c r="FB19" s="101"/>
      <c r="FC19" s="101" t="s">
        <v>1409</v>
      </c>
      <c r="FD19" s="101"/>
      <c r="FE19" s="101"/>
      <c r="FF19" s="101"/>
      <c r="FG19" s="101"/>
      <c r="FH19" s="101"/>
      <c r="FI19" s="101"/>
      <c r="FJ19" s="101"/>
      <c r="FK19" s="101" t="s">
        <v>608</v>
      </c>
      <c r="FL19" s="101"/>
      <c r="FM19" s="101"/>
      <c r="FN19" s="101"/>
      <c r="FO19" s="101"/>
      <c r="FP19" s="101"/>
      <c r="FQ19" s="101"/>
      <c r="FR19" s="101"/>
      <c r="FS19" s="101"/>
      <c r="FT19" s="101"/>
      <c r="FU19" s="101"/>
      <c r="FV19" s="101"/>
      <c r="FW19" s="101"/>
      <c r="FX19" s="101"/>
      <c r="FY19" s="101"/>
      <c r="FZ19" s="101"/>
      <c r="GA19" s="101"/>
      <c r="GB19" s="101"/>
      <c r="GC19" s="101"/>
      <c r="GD19" s="101"/>
      <c r="GE19" s="101"/>
      <c r="GF19" s="101"/>
      <c r="GG19" s="101"/>
      <c r="GH19" s="101"/>
      <c r="GI19" s="101" t="s">
        <v>1212</v>
      </c>
      <c r="GJ19" s="101"/>
      <c r="GK19" s="101"/>
      <c r="GL19" s="101"/>
      <c r="GM19" s="101"/>
      <c r="GN19" s="101"/>
      <c r="GO19" s="101"/>
      <c r="GP19" s="101"/>
      <c r="GQ19" s="101" t="s">
        <v>1430</v>
      </c>
      <c r="GR19" s="101"/>
      <c r="GS19" s="101"/>
      <c r="GT19" s="101"/>
      <c r="GU19" s="101"/>
      <c r="GV19" s="101" t="s">
        <v>1213</v>
      </c>
      <c r="GW19" s="101"/>
      <c r="GX19" s="101" t="s">
        <v>1214</v>
      </c>
    </row>
    <row r="20" spans="1:206" x14ac:dyDescent="0.2">
      <c r="A20" s="104" t="s">
        <v>57</v>
      </c>
      <c r="B20" s="104" t="s">
        <v>58</v>
      </c>
      <c r="C20" s="101" t="s">
        <v>1215</v>
      </c>
      <c r="D20" s="101" t="s">
        <v>1216</v>
      </c>
      <c r="E20" s="101" t="s">
        <v>1215</v>
      </c>
      <c r="F20" s="101" t="s">
        <v>613</v>
      </c>
      <c r="G20" s="101" t="s">
        <v>1215</v>
      </c>
      <c r="H20" s="101" t="s">
        <v>1215</v>
      </c>
      <c r="I20" s="101" t="s">
        <v>1215</v>
      </c>
      <c r="J20" s="101" t="s">
        <v>1216</v>
      </c>
      <c r="K20" s="101" t="s">
        <v>1215</v>
      </c>
      <c r="L20" s="101" t="s">
        <v>1216</v>
      </c>
      <c r="M20" s="101" t="s">
        <v>1215</v>
      </c>
      <c r="N20" s="101" t="s">
        <v>1215</v>
      </c>
      <c r="O20" s="101" t="s">
        <v>1215</v>
      </c>
      <c r="P20" s="101" t="s">
        <v>1215</v>
      </c>
      <c r="Q20" s="101" t="s">
        <v>1343</v>
      </c>
      <c r="R20" s="101" t="s">
        <v>1215</v>
      </c>
      <c r="S20" s="101" t="s">
        <v>1216</v>
      </c>
      <c r="T20" s="101" t="s">
        <v>613</v>
      </c>
      <c r="U20" s="101" t="s">
        <v>1215</v>
      </c>
      <c r="V20" s="101" t="s">
        <v>1215</v>
      </c>
      <c r="W20" s="101" t="s">
        <v>1216</v>
      </c>
      <c r="X20" s="101" t="s">
        <v>1216</v>
      </c>
      <c r="Y20" s="101" t="s">
        <v>1215</v>
      </c>
      <c r="Z20" s="101" t="s">
        <v>1215</v>
      </c>
      <c r="AA20" s="101"/>
      <c r="AB20" s="101" t="s">
        <v>613</v>
      </c>
      <c r="AC20" s="101" t="s">
        <v>613</v>
      </c>
      <c r="AD20" s="101" t="s">
        <v>613</v>
      </c>
      <c r="AE20" s="101" t="s">
        <v>613</v>
      </c>
      <c r="AF20" s="101" t="s">
        <v>613</v>
      </c>
      <c r="AG20" s="101" t="s">
        <v>613</v>
      </c>
      <c r="AH20" s="101" t="s">
        <v>613</v>
      </c>
      <c r="AI20" s="101" t="s">
        <v>613</v>
      </c>
      <c r="AJ20" s="101" t="s">
        <v>613</v>
      </c>
      <c r="AK20" s="101" t="s">
        <v>613</v>
      </c>
      <c r="AL20" s="101" t="s">
        <v>613</v>
      </c>
      <c r="AM20" s="101" t="s">
        <v>613</v>
      </c>
      <c r="AN20" s="101" t="s">
        <v>613</v>
      </c>
      <c r="AO20" s="101" t="s">
        <v>613</v>
      </c>
      <c r="AP20" s="101" t="s">
        <v>613</v>
      </c>
      <c r="AQ20" s="101" t="s">
        <v>613</v>
      </c>
      <c r="AR20" s="101" t="s">
        <v>613</v>
      </c>
      <c r="AS20" s="101" t="s">
        <v>613</v>
      </c>
      <c r="AT20" s="101" t="s">
        <v>613</v>
      </c>
      <c r="AU20" s="101" t="s">
        <v>613</v>
      </c>
      <c r="AV20" s="101" t="s">
        <v>613</v>
      </c>
      <c r="AW20" s="101" t="s">
        <v>613</v>
      </c>
      <c r="AX20" s="101" t="s">
        <v>613</v>
      </c>
      <c r="AY20" s="101" t="s">
        <v>613</v>
      </c>
      <c r="AZ20" s="101" t="s">
        <v>613</v>
      </c>
      <c r="BA20" s="101" t="s">
        <v>613</v>
      </c>
      <c r="BB20" s="101" t="s">
        <v>613</v>
      </c>
      <c r="BC20" s="101" t="s">
        <v>613</v>
      </c>
      <c r="BD20" s="101" t="s">
        <v>613</v>
      </c>
      <c r="BE20" s="101" t="s">
        <v>613</v>
      </c>
      <c r="BF20" s="101" t="s">
        <v>613</v>
      </c>
      <c r="BG20" s="101" t="s">
        <v>613</v>
      </c>
      <c r="BH20" s="101" t="s">
        <v>613</v>
      </c>
      <c r="BI20" s="101" t="s">
        <v>613</v>
      </c>
      <c r="BJ20" s="101" t="s">
        <v>613</v>
      </c>
      <c r="BK20" s="101" t="s">
        <v>613</v>
      </c>
      <c r="BL20" s="101" t="s">
        <v>1350</v>
      </c>
      <c r="BM20" s="101" t="s">
        <v>613</v>
      </c>
      <c r="BN20" s="101" t="s">
        <v>613</v>
      </c>
      <c r="BO20" s="101" t="s">
        <v>613</v>
      </c>
      <c r="BP20" s="101" t="s">
        <v>613</v>
      </c>
      <c r="BQ20" s="101" t="s">
        <v>613</v>
      </c>
      <c r="BR20" s="101" t="s">
        <v>613</v>
      </c>
      <c r="BS20" s="101" t="s">
        <v>613</v>
      </c>
      <c r="BT20" s="101" t="s">
        <v>613</v>
      </c>
      <c r="BU20" s="101" t="s">
        <v>613</v>
      </c>
      <c r="BV20" s="101" t="s">
        <v>613</v>
      </c>
      <c r="BW20" s="101" t="s">
        <v>613</v>
      </c>
      <c r="BX20" s="101" t="s">
        <v>613</v>
      </c>
      <c r="BY20" s="101" t="s">
        <v>613</v>
      </c>
      <c r="BZ20" s="101" t="s">
        <v>613</v>
      </c>
      <c r="CA20" s="101" t="s">
        <v>613</v>
      </c>
      <c r="CB20" s="101" t="s">
        <v>613</v>
      </c>
      <c r="CC20" s="101" t="s">
        <v>613</v>
      </c>
      <c r="CD20" s="101" t="s">
        <v>613</v>
      </c>
      <c r="CE20" s="101" t="s">
        <v>613</v>
      </c>
      <c r="CF20" s="101" t="s">
        <v>613</v>
      </c>
      <c r="CG20" s="101" t="s">
        <v>613</v>
      </c>
      <c r="CH20" s="101" t="s">
        <v>613</v>
      </c>
      <c r="CI20" s="101" t="s">
        <v>613</v>
      </c>
      <c r="CJ20" s="101" t="s">
        <v>613</v>
      </c>
      <c r="CK20" s="101" t="s">
        <v>613</v>
      </c>
      <c r="CL20" s="101" t="s">
        <v>613</v>
      </c>
      <c r="CM20" s="101" t="s">
        <v>613</v>
      </c>
      <c r="CN20" s="101" t="s">
        <v>1353</v>
      </c>
      <c r="CO20" s="101" t="s">
        <v>613</v>
      </c>
      <c r="CP20" s="101" t="s">
        <v>1354</v>
      </c>
      <c r="CQ20" s="101" t="s">
        <v>1215</v>
      </c>
      <c r="CR20" s="101" t="s">
        <v>1215</v>
      </c>
      <c r="CS20" s="101" t="s">
        <v>1215</v>
      </c>
      <c r="CT20" s="101" t="s">
        <v>1215</v>
      </c>
      <c r="CU20" s="101" t="s">
        <v>1356</v>
      </c>
      <c r="CV20" s="101" t="s">
        <v>1215</v>
      </c>
      <c r="CW20" s="101" t="s">
        <v>1215</v>
      </c>
      <c r="CX20" s="101" t="s">
        <v>613</v>
      </c>
      <c r="CY20" s="101" t="s">
        <v>613</v>
      </c>
      <c r="CZ20" s="101" t="s">
        <v>613</v>
      </c>
      <c r="DA20" s="101" t="s">
        <v>613</v>
      </c>
      <c r="DB20" s="101" t="s">
        <v>613</v>
      </c>
      <c r="DC20" s="101" t="s">
        <v>613</v>
      </c>
      <c r="DD20" s="101" t="s">
        <v>613</v>
      </c>
      <c r="DE20" s="101" t="s">
        <v>613</v>
      </c>
      <c r="DF20" s="101" t="s">
        <v>613</v>
      </c>
      <c r="DG20" s="101" t="s">
        <v>613</v>
      </c>
      <c r="DH20" s="101" t="s">
        <v>613</v>
      </c>
      <c r="DI20" s="101" t="s">
        <v>613</v>
      </c>
      <c r="DJ20" s="101" t="s">
        <v>613</v>
      </c>
      <c r="DK20" s="101" t="s">
        <v>613</v>
      </c>
      <c r="DL20" s="101" t="s">
        <v>613</v>
      </c>
      <c r="DM20" s="101" t="s">
        <v>613</v>
      </c>
      <c r="DN20" s="101" t="s">
        <v>613</v>
      </c>
      <c r="DO20" s="101" t="s">
        <v>613</v>
      </c>
      <c r="DP20" s="101" t="s">
        <v>613</v>
      </c>
      <c r="DQ20" s="101" t="s">
        <v>613</v>
      </c>
      <c r="DR20" s="101" t="s">
        <v>613</v>
      </c>
      <c r="DS20" s="101" t="s">
        <v>613</v>
      </c>
      <c r="DT20" s="101" t="s">
        <v>613</v>
      </c>
      <c r="DU20" s="101" t="s">
        <v>613</v>
      </c>
      <c r="DV20" s="101" t="s">
        <v>613</v>
      </c>
      <c r="DW20" s="101" t="s">
        <v>613</v>
      </c>
      <c r="DX20" s="101" t="s">
        <v>613</v>
      </c>
      <c r="DY20" s="101" t="s">
        <v>613</v>
      </c>
      <c r="DZ20" s="101" t="s">
        <v>613</v>
      </c>
      <c r="EA20" s="101" t="s">
        <v>613</v>
      </c>
      <c r="EB20" s="101" t="s">
        <v>613</v>
      </c>
      <c r="EC20" s="101" t="s">
        <v>1369</v>
      </c>
      <c r="ED20" s="101" t="s">
        <v>613</v>
      </c>
      <c r="EE20" s="101" t="s">
        <v>1372</v>
      </c>
      <c r="EF20" s="101" t="s">
        <v>1373</v>
      </c>
      <c r="EG20" s="101" t="s">
        <v>613</v>
      </c>
      <c r="EH20" s="101" t="s">
        <v>613</v>
      </c>
      <c r="EI20" s="101" t="s">
        <v>613</v>
      </c>
      <c r="EJ20" s="101" t="s">
        <v>613</v>
      </c>
      <c r="EK20" s="101" t="s">
        <v>613</v>
      </c>
      <c r="EL20" s="101" t="s">
        <v>613</v>
      </c>
      <c r="EM20" s="101" t="s">
        <v>613</v>
      </c>
      <c r="EN20" s="101" t="s">
        <v>613</v>
      </c>
      <c r="EO20" s="101" t="s">
        <v>613</v>
      </c>
      <c r="EP20" s="101" t="s">
        <v>613</v>
      </c>
      <c r="EQ20" s="101" t="s">
        <v>514</v>
      </c>
      <c r="ER20" s="101" t="s">
        <v>1215</v>
      </c>
      <c r="ES20" s="101" t="s">
        <v>1215</v>
      </c>
      <c r="ET20" s="101" t="s">
        <v>613</v>
      </c>
      <c r="EU20" s="101" t="s">
        <v>613</v>
      </c>
      <c r="EV20" s="101" t="s">
        <v>613</v>
      </c>
      <c r="EW20" s="101" t="s">
        <v>613</v>
      </c>
      <c r="EX20" s="101" t="s">
        <v>613</v>
      </c>
      <c r="EY20" s="101" t="s">
        <v>613</v>
      </c>
      <c r="EZ20" s="101" t="s">
        <v>613</v>
      </c>
      <c r="FA20" s="101" t="s">
        <v>613</v>
      </c>
      <c r="FB20" s="101" t="s">
        <v>613</v>
      </c>
      <c r="FC20" s="101" t="s">
        <v>613</v>
      </c>
      <c r="FD20" s="101" t="s">
        <v>613</v>
      </c>
      <c r="FE20" s="101" t="s">
        <v>613</v>
      </c>
      <c r="FF20" s="101" t="s">
        <v>613</v>
      </c>
      <c r="FG20" s="101" t="s">
        <v>613</v>
      </c>
      <c r="FH20" s="101" t="s">
        <v>613</v>
      </c>
      <c r="FI20" s="101" t="s">
        <v>613</v>
      </c>
      <c r="FJ20" s="101" t="s">
        <v>613</v>
      </c>
      <c r="FK20" s="101" t="s">
        <v>613</v>
      </c>
      <c r="FL20" s="101" t="s">
        <v>613</v>
      </c>
      <c r="FM20" s="101" t="s">
        <v>613</v>
      </c>
      <c r="FN20" s="101" t="s">
        <v>613</v>
      </c>
      <c r="FO20" s="101" t="s">
        <v>613</v>
      </c>
      <c r="FP20" s="101" t="s">
        <v>613</v>
      </c>
      <c r="FQ20" s="101" t="s">
        <v>613</v>
      </c>
      <c r="FR20" s="101" t="s">
        <v>613</v>
      </c>
      <c r="FS20" s="101" t="s">
        <v>613</v>
      </c>
      <c r="FT20" s="101" t="s">
        <v>613</v>
      </c>
      <c r="FU20" s="101" t="s">
        <v>613</v>
      </c>
      <c r="FV20" s="101" t="s">
        <v>613</v>
      </c>
      <c r="FW20" s="101" t="s">
        <v>1417</v>
      </c>
      <c r="FX20" s="101" t="s">
        <v>1215</v>
      </c>
      <c r="FY20" s="101" t="s">
        <v>1216</v>
      </c>
      <c r="FZ20" s="101" t="s">
        <v>1215</v>
      </c>
      <c r="GA20" s="101" t="s">
        <v>1215</v>
      </c>
      <c r="GB20" s="101" t="s">
        <v>1215</v>
      </c>
      <c r="GC20" s="101" t="s">
        <v>613</v>
      </c>
      <c r="GD20" s="101" t="s">
        <v>613</v>
      </c>
      <c r="GE20" s="101" t="s">
        <v>613</v>
      </c>
      <c r="GF20" s="101" t="s">
        <v>613</v>
      </c>
      <c r="GG20" s="101" t="s">
        <v>613</v>
      </c>
      <c r="GH20" s="101" t="s">
        <v>613</v>
      </c>
      <c r="GI20" s="101" t="s">
        <v>613</v>
      </c>
      <c r="GJ20" s="101" t="s">
        <v>613</v>
      </c>
      <c r="GK20" s="101" t="s">
        <v>613</v>
      </c>
      <c r="GL20" s="101" t="s">
        <v>613</v>
      </c>
      <c r="GM20" s="101" t="s">
        <v>613</v>
      </c>
      <c r="GN20" s="101" t="s">
        <v>613</v>
      </c>
      <c r="GO20" s="101" t="s">
        <v>613</v>
      </c>
      <c r="GP20" s="101" t="s">
        <v>613</v>
      </c>
      <c r="GQ20" s="101" t="s">
        <v>613</v>
      </c>
      <c r="GR20" s="101" t="s">
        <v>613</v>
      </c>
      <c r="GS20" s="101" t="s">
        <v>613</v>
      </c>
      <c r="GT20" s="101" t="s">
        <v>613</v>
      </c>
      <c r="GU20" s="101" t="s">
        <v>613</v>
      </c>
      <c r="GV20" s="101" t="s">
        <v>613</v>
      </c>
      <c r="GW20" s="101" t="s">
        <v>613</v>
      </c>
      <c r="GX20" s="101" t="s">
        <v>613</v>
      </c>
    </row>
    <row r="21" spans="1:206" x14ac:dyDescent="0.2">
      <c r="A21" s="104" t="s">
        <v>82</v>
      </c>
      <c r="B21" s="104" t="s">
        <v>85</v>
      </c>
      <c r="C21" s="101"/>
      <c r="D21" s="101"/>
      <c r="E21" s="101" t="s">
        <v>623</v>
      </c>
      <c r="F21" s="101"/>
      <c r="G21" s="101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 t="s">
        <v>624</v>
      </c>
      <c r="U21" s="101"/>
      <c r="V21" s="101"/>
      <c r="W21" s="101" t="s">
        <v>1217</v>
      </c>
      <c r="X21" s="101"/>
      <c r="Y21" s="101"/>
      <c r="Z21" s="101"/>
      <c r="AA21" s="101"/>
      <c r="AB21" s="101"/>
      <c r="AC21" s="101"/>
      <c r="AD21" s="101"/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 t="s">
        <v>1217</v>
      </c>
      <c r="BD21" s="101"/>
      <c r="BE21" s="101"/>
      <c r="BF21" s="101"/>
      <c r="BG21" s="101"/>
      <c r="BH21" s="101"/>
      <c r="BI21" s="101"/>
      <c r="BJ21" s="101"/>
      <c r="BK21" s="101"/>
      <c r="BL21" s="101"/>
      <c r="BM21" s="101"/>
      <c r="BN21" s="101"/>
      <c r="BO21" s="101"/>
      <c r="BP21" s="101"/>
      <c r="BQ21" s="101"/>
      <c r="BR21" s="101"/>
      <c r="BS21" s="101" t="s">
        <v>626</v>
      </c>
      <c r="BT21" s="101"/>
      <c r="BU21" s="101"/>
      <c r="BV21" s="101"/>
      <c r="BW21" s="101"/>
      <c r="BX21" s="101"/>
      <c r="BY21" s="101"/>
      <c r="BZ21" s="101"/>
      <c r="CA21" s="101"/>
      <c r="CB21" s="101"/>
      <c r="CC21" s="101"/>
      <c r="CD21" s="101"/>
      <c r="CE21" s="101"/>
      <c r="CF21" s="101"/>
      <c r="CG21" s="101"/>
      <c r="CH21" s="101"/>
      <c r="CI21" s="101"/>
      <c r="CJ21" s="101" t="s">
        <v>627</v>
      </c>
      <c r="CK21" s="101"/>
      <c r="CL21" s="101"/>
      <c r="CM21" s="101"/>
      <c r="CN21" s="101" t="s">
        <v>628</v>
      </c>
      <c r="CO21" s="101"/>
      <c r="CP21" s="101"/>
      <c r="CQ21" s="101"/>
      <c r="CR21" s="101"/>
      <c r="CS21" s="101"/>
      <c r="CT21" s="101"/>
      <c r="CU21" s="101"/>
      <c r="CV21" s="101"/>
      <c r="CW21" s="101"/>
      <c r="CX21" s="101"/>
      <c r="CY21" s="101"/>
      <c r="CZ21" s="101"/>
      <c r="DA21" s="101"/>
      <c r="DB21" s="101"/>
      <c r="DC21" s="101"/>
      <c r="DD21" s="101"/>
      <c r="DE21" s="101"/>
      <c r="DF21" s="101"/>
      <c r="DG21" s="101"/>
      <c r="DH21" s="101"/>
      <c r="DI21" s="101"/>
      <c r="DJ21" s="101"/>
      <c r="DK21" s="101"/>
      <c r="DL21" s="101"/>
      <c r="DM21" s="101"/>
      <c r="DN21" s="101"/>
      <c r="DO21" s="101"/>
      <c r="DP21" s="101"/>
      <c r="DQ21" s="101"/>
      <c r="DR21" s="101"/>
      <c r="DS21" s="101"/>
      <c r="DT21" s="101"/>
      <c r="DU21" s="101"/>
      <c r="DV21" s="101"/>
      <c r="DW21" s="101"/>
      <c r="DX21" s="101"/>
      <c r="DY21" s="101"/>
      <c r="DZ21" s="101"/>
      <c r="EA21" s="101"/>
      <c r="EB21" s="101"/>
      <c r="EC21" s="101"/>
      <c r="ED21" s="101"/>
      <c r="EE21" s="101"/>
      <c r="EF21" s="101"/>
      <c r="EG21" s="101"/>
      <c r="EH21" s="101"/>
      <c r="EI21" s="101"/>
      <c r="EJ21" s="101"/>
      <c r="EK21" s="101"/>
      <c r="EL21" s="101"/>
      <c r="EM21" s="101"/>
      <c r="EN21" s="101"/>
      <c r="EO21" s="101"/>
      <c r="EP21" s="101"/>
      <c r="EQ21" s="101" t="s">
        <v>514</v>
      </c>
      <c r="ER21" s="101"/>
      <c r="ES21" s="101"/>
      <c r="ET21" s="101"/>
      <c r="EU21" s="101"/>
      <c r="EV21" s="101"/>
      <c r="EW21" s="101"/>
      <c r="EX21" s="101"/>
      <c r="EY21" s="101"/>
      <c r="EZ21" s="101"/>
      <c r="FA21" s="101"/>
      <c r="FB21" s="101"/>
      <c r="FC21" s="101"/>
      <c r="FD21" s="101"/>
      <c r="FE21" s="101"/>
      <c r="FF21" s="101"/>
      <c r="FG21" s="101"/>
      <c r="FH21" s="101"/>
      <c r="FI21" s="101"/>
      <c r="FJ21" s="101" t="s">
        <v>624</v>
      </c>
      <c r="FK21" s="101"/>
      <c r="FL21" s="101"/>
      <c r="FM21" s="101"/>
      <c r="FN21" s="101"/>
      <c r="FO21" s="101"/>
      <c r="FP21" s="101"/>
      <c r="FQ21" s="101"/>
      <c r="FR21" s="101"/>
      <c r="FS21" s="101"/>
      <c r="FT21" s="101"/>
      <c r="FU21" s="101"/>
      <c r="FV21" s="101"/>
      <c r="FW21" s="101"/>
      <c r="FX21" s="101"/>
      <c r="FY21" s="101"/>
      <c r="FZ21" s="101"/>
      <c r="GA21" s="101"/>
      <c r="GB21" s="101"/>
      <c r="GC21" s="101"/>
      <c r="GD21" s="101"/>
      <c r="GE21" s="101"/>
      <c r="GF21" s="101"/>
      <c r="GG21" s="101"/>
      <c r="GH21" s="101"/>
      <c r="GI21" s="101"/>
      <c r="GJ21" s="101"/>
      <c r="GK21" s="101"/>
      <c r="GL21" s="101"/>
      <c r="GM21" s="101"/>
      <c r="GN21" s="101"/>
      <c r="GO21" s="101"/>
      <c r="GP21" s="101"/>
      <c r="GQ21" s="101"/>
      <c r="GR21" s="101"/>
      <c r="GS21" s="101"/>
      <c r="GT21" s="101"/>
      <c r="GU21" s="101"/>
      <c r="GV21" s="101"/>
      <c r="GW21" s="101"/>
      <c r="GX21" s="101"/>
    </row>
    <row r="22" spans="1:206" x14ac:dyDescent="0.2">
      <c r="A22" s="104" t="s">
        <v>83</v>
      </c>
      <c r="B22" s="104" t="s">
        <v>86</v>
      </c>
      <c r="C22" s="101"/>
      <c r="D22" s="101"/>
      <c r="E22" s="101"/>
      <c r="F22" s="101"/>
      <c r="G22" s="101"/>
      <c r="H22" s="101"/>
      <c r="I22" s="101"/>
      <c r="J22" s="101"/>
      <c r="K22" s="101"/>
      <c r="L22" s="101"/>
      <c r="M22" s="101"/>
      <c r="N22" s="101"/>
      <c r="O22" s="101"/>
      <c r="P22" s="101"/>
      <c r="Q22" s="101"/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 t="s">
        <v>631</v>
      </c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 t="s">
        <v>632</v>
      </c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1"/>
      <c r="BF22" s="101"/>
      <c r="BG22" s="101" t="s">
        <v>633</v>
      </c>
      <c r="BH22" s="101"/>
      <c r="BI22" s="101"/>
      <c r="BJ22" s="101"/>
      <c r="BK22" s="101"/>
      <c r="BL22" s="101"/>
      <c r="BM22" s="101"/>
      <c r="BN22" s="101"/>
      <c r="BO22" s="101"/>
      <c r="BP22" s="101"/>
      <c r="BQ22" s="101"/>
      <c r="BR22" s="101"/>
      <c r="BS22" s="101"/>
      <c r="BT22" s="101"/>
      <c r="BU22" s="101"/>
      <c r="BV22" s="101"/>
      <c r="BW22" s="101"/>
      <c r="BX22" s="101"/>
      <c r="BY22" s="101"/>
      <c r="BZ22" s="101"/>
      <c r="CA22" s="101"/>
      <c r="CB22" s="101"/>
      <c r="CC22" s="101"/>
      <c r="CD22" s="101"/>
      <c r="CE22" s="101"/>
      <c r="CF22" s="101"/>
      <c r="CG22" s="101"/>
      <c r="CH22" s="101"/>
      <c r="CI22" s="101"/>
      <c r="CJ22" s="101"/>
      <c r="CK22" s="101"/>
      <c r="CL22" s="101"/>
      <c r="CM22" s="101"/>
      <c r="CN22" s="101"/>
      <c r="CO22" s="101"/>
      <c r="CP22" s="101"/>
      <c r="CQ22" s="101"/>
      <c r="CR22" s="101"/>
      <c r="CS22" s="101"/>
      <c r="CT22" s="101"/>
      <c r="CU22" s="101"/>
      <c r="CV22" s="101"/>
      <c r="CW22" s="101"/>
      <c r="CX22" s="101"/>
      <c r="CY22" s="101"/>
      <c r="CZ22" s="101"/>
      <c r="DA22" s="101"/>
      <c r="DB22" s="101"/>
      <c r="DC22" s="101" t="s">
        <v>634</v>
      </c>
      <c r="DD22" s="101"/>
      <c r="DE22" s="101"/>
      <c r="DF22" s="101"/>
      <c r="DG22" s="101"/>
      <c r="DH22" s="101"/>
      <c r="DI22" s="101"/>
      <c r="DJ22" s="101"/>
      <c r="DK22" s="101"/>
      <c r="DL22" s="101"/>
      <c r="DM22" s="101"/>
      <c r="DN22" s="101"/>
      <c r="DO22" s="101"/>
      <c r="DP22" s="101"/>
      <c r="DQ22" s="101"/>
      <c r="DR22" s="101"/>
      <c r="DS22" s="101"/>
      <c r="DT22" s="101"/>
      <c r="DU22" s="101"/>
      <c r="DV22" s="101"/>
      <c r="DW22" s="101"/>
      <c r="DX22" s="101" t="s">
        <v>635</v>
      </c>
      <c r="DY22" s="101" t="s">
        <v>636</v>
      </c>
      <c r="DZ22" s="101"/>
      <c r="EA22" s="101"/>
      <c r="EB22" s="101" t="s">
        <v>637</v>
      </c>
      <c r="EC22" s="101" t="s">
        <v>638</v>
      </c>
      <c r="ED22" s="101"/>
      <c r="EE22" s="101"/>
      <c r="EF22" s="101"/>
      <c r="EG22" s="101"/>
      <c r="EH22" s="101"/>
      <c r="EI22" s="101"/>
      <c r="EJ22" s="101"/>
      <c r="EK22" s="101"/>
      <c r="EL22" s="101"/>
      <c r="EM22" s="101"/>
      <c r="EN22" s="101"/>
      <c r="EO22" s="101"/>
      <c r="EP22" s="101"/>
      <c r="EQ22" s="101" t="s">
        <v>514</v>
      </c>
      <c r="ER22" s="101" t="s">
        <v>1398</v>
      </c>
      <c r="ES22" s="101"/>
      <c r="ET22" s="101"/>
      <c r="EU22" s="101"/>
      <c r="EV22" s="101"/>
      <c r="EW22" s="101"/>
      <c r="EX22" s="101"/>
      <c r="EY22" s="101"/>
      <c r="EZ22" s="101"/>
      <c r="FA22" s="101"/>
      <c r="FB22" s="101"/>
      <c r="FC22" s="101"/>
      <c r="FD22" s="101"/>
      <c r="FE22" s="101"/>
      <c r="FF22" s="101"/>
      <c r="FG22" s="101"/>
      <c r="FH22" s="101"/>
      <c r="FI22" s="101"/>
      <c r="FJ22" s="101"/>
      <c r="FK22" s="101"/>
      <c r="FL22" s="101"/>
      <c r="FM22" s="101"/>
      <c r="FN22" s="101"/>
      <c r="FO22" s="101"/>
      <c r="FP22" s="101"/>
      <c r="FQ22" s="101"/>
      <c r="FR22" s="101" t="s">
        <v>640</v>
      </c>
      <c r="FS22" s="101"/>
      <c r="FT22" s="101"/>
      <c r="FU22" s="101"/>
      <c r="FV22" s="101"/>
      <c r="FW22" s="101"/>
      <c r="FX22" s="101"/>
      <c r="FY22" s="101"/>
      <c r="FZ22" s="101"/>
      <c r="GA22" s="101" t="s">
        <v>641</v>
      </c>
      <c r="GB22" s="101"/>
      <c r="GC22" s="101"/>
      <c r="GD22" s="101" t="s">
        <v>641</v>
      </c>
      <c r="GE22" s="101"/>
      <c r="GF22" s="101"/>
      <c r="GG22" s="101"/>
      <c r="GH22" s="101"/>
      <c r="GI22" s="101"/>
      <c r="GJ22" s="101"/>
      <c r="GK22" s="101"/>
      <c r="GL22" s="101"/>
      <c r="GM22" s="101"/>
      <c r="GN22" s="101"/>
      <c r="GO22" s="101"/>
      <c r="GP22" s="101"/>
      <c r="GQ22" s="101"/>
      <c r="GR22" s="101"/>
      <c r="GS22" s="101"/>
      <c r="GT22" s="101"/>
      <c r="GU22" s="101"/>
      <c r="GV22" s="101"/>
      <c r="GW22" s="101"/>
      <c r="GX22" s="101"/>
    </row>
    <row r="23" spans="1:206" x14ac:dyDescent="0.2">
      <c r="A23" s="104" t="s">
        <v>84</v>
      </c>
      <c r="B23" s="104" t="s">
        <v>87</v>
      </c>
      <c r="C23" s="101" t="s">
        <v>1218</v>
      </c>
      <c r="D23" s="101"/>
      <c r="E23" s="101"/>
      <c r="F23" s="101"/>
      <c r="G23" s="101"/>
      <c r="H23" s="101"/>
      <c r="I23" s="101"/>
      <c r="J23" s="101"/>
      <c r="K23" s="101"/>
      <c r="L23" s="101" t="s">
        <v>643</v>
      </c>
      <c r="M23" s="101"/>
      <c r="N23" s="101"/>
      <c r="O23" s="101"/>
      <c r="P23" s="101"/>
      <c r="Q23" s="101"/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 t="s">
        <v>1219</v>
      </c>
      <c r="AD23" s="101"/>
      <c r="AE23" s="101"/>
      <c r="AF23" s="101"/>
      <c r="AG23" s="101"/>
      <c r="AH23" s="101"/>
      <c r="AI23" s="101"/>
      <c r="AJ23" s="101"/>
      <c r="AK23" s="101" t="s">
        <v>645</v>
      </c>
      <c r="AL23" s="101"/>
      <c r="AM23" s="101"/>
      <c r="AN23" s="101"/>
      <c r="AO23" s="101"/>
      <c r="AP23" s="101"/>
      <c r="AQ23" s="101"/>
      <c r="AR23" s="101"/>
      <c r="AS23" s="101" t="s">
        <v>646</v>
      </c>
      <c r="AT23" s="101"/>
      <c r="AU23" s="101"/>
      <c r="AV23" s="101"/>
      <c r="AW23" s="101"/>
      <c r="AX23" s="101"/>
      <c r="AY23" s="101"/>
      <c r="AZ23" s="101"/>
      <c r="BA23" s="101" t="s">
        <v>647</v>
      </c>
      <c r="BB23" s="101"/>
      <c r="BC23" s="101" t="s">
        <v>1220</v>
      </c>
      <c r="BD23" s="101"/>
      <c r="BE23" s="101"/>
      <c r="BF23" s="101"/>
      <c r="BG23" s="101"/>
      <c r="BH23" s="101"/>
      <c r="BI23" s="101"/>
      <c r="BJ23" s="101"/>
      <c r="BK23" s="101"/>
      <c r="BL23" s="101"/>
      <c r="BM23" s="101"/>
      <c r="BN23" s="101"/>
      <c r="BO23" s="101"/>
      <c r="BP23" s="101"/>
      <c r="BQ23" s="101"/>
      <c r="BR23" s="101"/>
      <c r="BS23" s="101"/>
      <c r="BT23" s="101"/>
      <c r="BU23" s="101"/>
      <c r="BV23" s="101"/>
      <c r="BW23" s="101"/>
      <c r="BX23" s="101"/>
      <c r="BY23" s="101"/>
      <c r="BZ23" s="101"/>
      <c r="CA23" s="101"/>
      <c r="CB23" s="101"/>
      <c r="CC23" s="101"/>
      <c r="CD23" s="101"/>
      <c r="CE23" s="101"/>
      <c r="CF23" s="101"/>
      <c r="CG23" s="101"/>
      <c r="CH23" s="101"/>
      <c r="CI23" s="101"/>
      <c r="CJ23" s="101" t="s">
        <v>1221</v>
      </c>
      <c r="CK23" s="101"/>
      <c r="CL23" s="101"/>
      <c r="CM23" s="101" t="s">
        <v>1222</v>
      </c>
      <c r="CN23" s="101"/>
      <c r="CO23" s="101"/>
      <c r="CP23" s="101"/>
      <c r="CQ23" s="101"/>
      <c r="CR23" s="101"/>
      <c r="CS23" s="101"/>
      <c r="CT23" s="101"/>
      <c r="CU23" s="101"/>
      <c r="CV23" s="101"/>
      <c r="CW23" s="101"/>
      <c r="CX23" s="101"/>
      <c r="CY23" s="101"/>
      <c r="CZ23" s="101"/>
      <c r="DA23" s="101"/>
      <c r="DB23" s="101"/>
      <c r="DC23" s="101" t="s">
        <v>1218</v>
      </c>
      <c r="DD23" s="101"/>
      <c r="DE23" s="101"/>
      <c r="DF23" s="101"/>
      <c r="DG23" s="101"/>
      <c r="DH23" s="101"/>
      <c r="DI23" s="101"/>
      <c r="DJ23" s="101"/>
      <c r="DK23" s="101" t="s">
        <v>645</v>
      </c>
      <c r="DL23" s="101"/>
      <c r="DM23" s="101"/>
      <c r="DN23" s="101" t="s">
        <v>1223</v>
      </c>
      <c r="DO23" s="101"/>
      <c r="DP23" s="101" t="s">
        <v>652</v>
      </c>
      <c r="DQ23" s="101"/>
      <c r="DR23" s="101"/>
      <c r="DS23" s="101"/>
      <c r="DT23" s="101"/>
      <c r="DU23" s="101"/>
      <c r="DV23" s="101"/>
      <c r="DW23" s="101"/>
      <c r="DX23" s="101"/>
      <c r="DY23" s="101"/>
      <c r="DZ23" s="101"/>
      <c r="EA23" s="101"/>
      <c r="EB23" s="101"/>
      <c r="EC23" s="101"/>
      <c r="ED23" s="101"/>
      <c r="EE23" s="101"/>
      <c r="EF23" s="101" t="s">
        <v>1218</v>
      </c>
      <c r="EG23" s="101"/>
      <c r="EH23" s="101"/>
      <c r="EI23" s="101"/>
      <c r="EJ23" s="101"/>
      <c r="EK23" s="101"/>
      <c r="EL23" s="101"/>
      <c r="EM23" s="101"/>
      <c r="EN23" s="101"/>
      <c r="EO23" s="101"/>
      <c r="EP23" s="101"/>
      <c r="EQ23" s="101" t="s">
        <v>514</v>
      </c>
      <c r="ER23" s="101" t="s">
        <v>1224</v>
      </c>
      <c r="ES23" s="101"/>
      <c r="ET23" s="101"/>
      <c r="EU23" s="101"/>
      <c r="EV23" s="101"/>
      <c r="EW23" s="101"/>
      <c r="EX23" s="101"/>
      <c r="EY23" s="101"/>
      <c r="EZ23" s="101"/>
      <c r="FA23" s="101"/>
      <c r="FB23" s="101"/>
      <c r="FC23" s="101"/>
      <c r="FD23" s="101"/>
      <c r="FE23" s="101"/>
      <c r="FF23" s="101"/>
      <c r="FG23" s="101"/>
      <c r="FH23" s="101"/>
      <c r="FI23" s="101"/>
      <c r="FJ23" s="101"/>
      <c r="FK23" s="101"/>
      <c r="FL23" s="101"/>
      <c r="FM23" s="101"/>
      <c r="FN23" s="101"/>
      <c r="FO23" s="101"/>
      <c r="FP23" s="101"/>
      <c r="FQ23" s="101"/>
      <c r="FR23" s="101"/>
      <c r="FS23" s="101"/>
      <c r="FT23" s="101"/>
      <c r="FU23" s="101"/>
      <c r="FV23" s="101"/>
      <c r="FW23" s="101"/>
      <c r="FX23" s="101"/>
      <c r="FY23" s="101"/>
      <c r="FZ23" s="101" t="s">
        <v>1225</v>
      </c>
      <c r="GA23" s="101"/>
      <c r="GB23" s="101"/>
      <c r="GC23" s="101" t="s">
        <v>658</v>
      </c>
      <c r="GD23" s="101"/>
      <c r="GE23" s="101"/>
      <c r="GF23" s="101"/>
      <c r="GG23" s="101"/>
      <c r="GH23" s="101"/>
      <c r="GI23" s="101"/>
      <c r="GJ23" s="101"/>
      <c r="GK23" s="101"/>
      <c r="GL23" s="101"/>
      <c r="GM23" s="101" t="s">
        <v>1223</v>
      </c>
      <c r="GN23" s="101"/>
      <c r="GO23" s="101"/>
      <c r="GP23" s="101"/>
      <c r="GQ23" s="101"/>
      <c r="GR23" s="101" t="s">
        <v>659</v>
      </c>
      <c r="GS23" s="101"/>
      <c r="GT23" s="101"/>
      <c r="GU23" s="101"/>
      <c r="GV23" s="101"/>
      <c r="GW23" s="101"/>
      <c r="GX23" s="101"/>
    </row>
    <row r="24" spans="1:206" x14ac:dyDescent="0.2">
      <c r="A24" s="104" t="s">
        <v>19</v>
      </c>
      <c r="B24" s="104" t="s">
        <v>113</v>
      </c>
      <c r="C24" s="101"/>
      <c r="D24" s="101"/>
      <c r="E24" s="101"/>
      <c r="F24" s="100"/>
      <c r="G24" s="101"/>
      <c r="H24" s="101"/>
      <c r="I24" s="101"/>
      <c r="J24" s="101"/>
      <c r="K24" s="101"/>
      <c r="L24" s="101"/>
      <c r="M24" s="101"/>
      <c r="N24" s="101"/>
      <c r="O24" s="101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 t="s">
        <v>661</v>
      </c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 t="s">
        <v>662</v>
      </c>
      <c r="BR24" s="101"/>
      <c r="BS24" s="101" t="s">
        <v>663</v>
      </c>
      <c r="BT24" s="101"/>
      <c r="BU24" s="101"/>
      <c r="BV24" s="101" t="s">
        <v>664</v>
      </c>
      <c r="BW24" s="101"/>
      <c r="BX24" s="101"/>
      <c r="BY24" s="101"/>
      <c r="BZ24" s="101"/>
      <c r="CA24" s="101"/>
      <c r="CB24" s="101"/>
      <c r="CC24" s="101"/>
      <c r="CD24" s="101"/>
      <c r="CE24" s="101"/>
      <c r="CF24" s="101"/>
      <c r="CG24" s="101"/>
      <c r="CH24" s="101"/>
      <c r="CI24" s="101"/>
      <c r="CJ24" s="101"/>
      <c r="CK24" s="101"/>
      <c r="CL24" s="101" t="s">
        <v>665</v>
      </c>
      <c r="CM24" s="101"/>
      <c r="CN24" s="101"/>
      <c r="CO24" s="101"/>
      <c r="CP24" s="101"/>
      <c r="CQ24" s="101"/>
      <c r="CR24" s="101"/>
      <c r="CS24" s="101"/>
      <c r="CT24" s="101"/>
      <c r="CU24" s="101"/>
      <c r="CV24" s="101"/>
      <c r="CW24" s="101"/>
      <c r="CX24" s="101"/>
      <c r="CY24" s="101"/>
      <c r="CZ24" s="101"/>
      <c r="DA24" s="101"/>
      <c r="DB24" s="101"/>
      <c r="DC24" s="101"/>
      <c r="DD24" s="101"/>
      <c r="DE24" s="101"/>
      <c r="DF24" s="101"/>
      <c r="DG24" s="101"/>
      <c r="DH24" s="101"/>
      <c r="DI24" s="101"/>
      <c r="DJ24" s="101"/>
      <c r="DK24" s="101"/>
      <c r="DL24" s="101"/>
      <c r="DM24" s="101"/>
      <c r="DN24" s="101"/>
      <c r="DO24" s="101"/>
      <c r="DP24" s="101"/>
      <c r="DQ24" s="101"/>
      <c r="DR24" s="101"/>
      <c r="DS24" s="101"/>
      <c r="DT24" s="101"/>
      <c r="DU24" s="101"/>
      <c r="DV24" s="101"/>
      <c r="DW24" s="101"/>
      <c r="DX24" s="101"/>
      <c r="DY24" s="101"/>
      <c r="DZ24" s="101"/>
      <c r="EA24" s="101"/>
      <c r="EB24" s="101"/>
      <c r="EC24" s="101" t="s">
        <v>1368</v>
      </c>
      <c r="ED24" s="101"/>
      <c r="EE24" s="101"/>
      <c r="EF24" s="101"/>
      <c r="EG24" s="101"/>
      <c r="EH24" s="101"/>
      <c r="EI24" s="101"/>
      <c r="EJ24" s="101"/>
      <c r="EK24" s="101"/>
      <c r="EL24" s="101"/>
      <c r="EM24" s="101"/>
      <c r="EN24" s="101"/>
      <c r="EO24" s="101"/>
      <c r="EP24" s="101"/>
      <c r="EQ24" s="101"/>
      <c r="ER24" s="101" t="s">
        <v>667</v>
      </c>
      <c r="ES24" s="101"/>
      <c r="ET24" s="101"/>
      <c r="EU24" s="101"/>
      <c r="EV24" s="101"/>
      <c r="EW24" s="101"/>
      <c r="EX24" s="101"/>
      <c r="EY24" s="101"/>
      <c r="EZ24" s="101"/>
      <c r="FA24" s="101"/>
      <c r="FB24" s="101"/>
      <c r="FC24" s="101"/>
      <c r="FD24" s="101" t="s">
        <v>668</v>
      </c>
      <c r="FE24" s="101"/>
      <c r="FF24" s="101"/>
      <c r="FG24" s="101" t="s">
        <v>1049</v>
      </c>
      <c r="FH24" s="101"/>
      <c r="FI24" s="101"/>
      <c r="FJ24" s="101"/>
      <c r="FK24" s="101"/>
      <c r="FL24" s="101"/>
      <c r="FM24" s="101"/>
      <c r="FN24" s="101"/>
      <c r="FO24" s="101"/>
      <c r="FP24" s="101"/>
      <c r="FQ24" s="101"/>
      <c r="FR24" s="101"/>
      <c r="FS24" s="101"/>
      <c r="FT24" s="101"/>
      <c r="FU24" s="101"/>
      <c r="FV24" s="101"/>
      <c r="FW24" s="101"/>
      <c r="FX24" s="101"/>
      <c r="FY24" s="101"/>
      <c r="FZ24" s="101"/>
      <c r="GA24" s="101"/>
      <c r="GB24" s="101"/>
      <c r="GC24" s="101"/>
      <c r="GD24" s="101"/>
      <c r="GE24" s="101"/>
      <c r="GF24" s="101"/>
      <c r="GG24" s="101"/>
      <c r="GH24" s="101"/>
      <c r="GI24" s="101"/>
      <c r="GJ24" s="101"/>
      <c r="GK24" s="101"/>
      <c r="GL24" s="101"/>
      <c r="GM24" s="101"/>
      <c r="GN24" s="101" t="s">
        <v>669</v>
      </c>
      <c r="GO24" s="101"/>
      <c r="GP24" s="101"/>
      <c r="GQ24" s="101"/>
      <c r="GR24" s="101"/>
      <c r="GS24" s="101"/>
      <c r="GT24" s="101" t="s">
        <v>670</v>
      </c>
      <c r="GU24" s="101"/>
      <c r="GV24" s="101"/>
      <c r="GW24" s="101"/>
      <c r="GX24" s="101"/>
    </row>
    <row r="25" spans="1:206" x14ac:dyDescent="0.2">
      <c r="A25" s="104" t="s">
        <v>64</v>
      </c>
      <c r="B25" s="104" t="s">
        <v>65</v>
      </c>
      <c r="C25" s="101"/>
      <c r="D25" s="101"/>
      <c r="E25" s="101"/>
      <c r="F25" s="100" t="s">
        <v>671</v>
      </c>
      <c r="G25" s="101" t="s">
        <v>671</v>
      </c>
      <c r="H25" s="101"/>
      <c r="I25" s="101" t="s">
        <v>671</v>
      </c>
      <c r="J25" s="101"/>
      <c r="K25" s="101"/>
      <c r="L25" s="101"/>
      <c r="M25" s="101"/>
      <c r="N25" s="101"/>
      <c r="O25" s="101"/>
      <c r="P25" s="101"/>
      <c r="Q25" s="101" t="s">
        <v>1342</v>
      </c>
      <c r="R25" s="101"/>
      <c r="S25" s="101"/>
      <c r="T25" s="101"/>
      <c r="U25" s="101"/>
      <c r="V25" s="101"/>
      <c r="W25" s="101"/>
      <c r="X25" s="101" t="s">
        <v>672</v>
      </c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 t="s">
        <v>1226</v>
      </c>
      <c r="AM25" s="101"/>
      <c r="AN25" s="101"/>
      <c r="AO25" s="101"/>
      <c r="AP25" s="101" t="s">
        <v>672</v>
      </c>
      <c r="AQ25" s="101"/>
      <c r="AR25" s="101"/>
      <c r="AS25" s="101"/>
      <c r="AT25" s="101"/>
      <c r="AU25" s="101"/>
      <c r="AV25" s="101" t="s">
        <v>1348</v>
      </c>
      <c r="AW25" s="101"/>
      <c r="AX25" s="101" t="s">
        <v>1348</v>
      </c>
      <c r="AY25" s="101"/>
      <c r="AZ25" s="101"/>
      <c r="BA25" s="101"/>
      <c r="BB25" s="101"/>
      <c r="BC25" s="101"/>
      <c r="BD25" s="101" t="s">
        <v>1348</v>
      </c>
      <c r="BE25" s="101"/>
      <c r="BF25" s="101" t="s">
        <v>674</v>
      </c>
      <c r="BG25" s="101"/>
      <c r="BH25" s="101"/>
      <c r="BI25" s="101" t="s">
        <v>671</v>
      </c>
      <c r="BJ25" s="101"/>
      <c r="BK25" s="101"/>
      <c r="BL25" s="101"/>
      <c r="BM25" s="101" t="s">
        <v>1351</v>
      </c>
      <c r="BN25" s="101" t="s">
        <v>1348</v>
      </c>
      <c r="BO25" s="101" t="s">
        <v>671</v>
      </c>
      <c r="BP25" s="101"/>
      <c r="BQ25" s="101"/>
      <c r="BR25" s="101" t="s">
        <v>1352</v>
      </c>
      <c r="BS25" s="101"/>
      <c r="BT25" s="101"/>
      <c r="BU25" s="101"/>
      <c r="BV25" s="101"/>
      <c r="BW25" s="101"/>
      <c r="BX25" s="101"/>
      <c r="BY25" s="101" t="s">
        <v>1348</v>
      </c>
      <c r="BZ25" s="101"/>
      <c r="CA25" s="101" t="s">
        <v>1227</v>
      </c>
      <c r="CB25" s="101"/>
      <c r="CC25" s="101"/>
      <c r="CD25" s="101"/>
      <c r="CE25" s="101" t="s">
        <v>1348</v>
      </c>
      <c r="CF25" s="101" t="s">
        <v>1348</v>
      </c>
      <c r="CG25" s="101"/>
      <c r="CH25" s="101" t="s">
        <v>1351</v>
      </c>
      <c r="CI25" s="101"/>
      <c r="CJ25" s="101"/>
      <c r="CK25" s="101" t="s">
        <v>1348</v>
      </c>
      <c r="CL25" s="101" t="s">
        <v>1348</v>
      </c>
      <c r="CM25" s="101"/>
      <c r="CN25" s="101"/>
      <c r="CO25" s="101" t="s">
        <v>1228</v>
      </c>
      <c r="CP25" s="101"/>
      <c r="CQ25" s="101"/>
      <c r="CR25" s="101" t="s">
        <v>671</v>
      </c>
      <c r="CS25" s="101"/>
      <c r="CT25" s="101"/>
      <c r="CU25" s="101" t="s">
        <v>671</v>
      </c>
      <c r="CV25" s="101"/>
      <c r="CW25" s="101"/>
      <c r="CX25" s="101"/>
      <c r="CY25" s="101"/>
      <c r="CZ25" s="101"/>
      <c r="DA25" s="101"/>
      <c r="DB25" s="101"/>
      <c r="DC25" s="101" t="s">
        <v>1229</v>
      </c>
      <c r="DD25" s="101"/>
      <c r="DE25" s="101" t="s">
        <v>671</v>
      </c>
      <c r="DF25" s="101" t="s">
        <v>671</v>
      </c>
      <c r="DG25" s="101" t="s">
        <v>1227</v>
      </c>
      <c r="DH25" s="101"/>
      <c r="DI25" s="101"/>
      <c r="DJ25" s="101" t="s">
        <v>1230</v>
      </c>
      <c r="DK25" s="101" t="s">
        <v>671</v>
      </c>
      <c r="DL25" s="101"/>
      <c r="DM25" s="101"/>
      <c r="DN25" s="101"/>
      <c r="DO25" s="101"/>
      <c r="DP25" s="101" t="s">
        <v>671</v>
      </c>
      <c r="DQ25" s="101" t="s">
        <v>671</v>
      </c>
      <c r="DR25" s="101" t="s">
        <v>671</v>
      </c>
      <c r="DS25" s="101"/>
      <c r="DT25" s="101" t="s">
        <v>672</v>
      </c>
      <c r="DU25" s="101"/>
      <c r="DV25" s="101" t="s">
        <v>1348</v>
      </c>
      <c r="DW25" s="101"/>
      <c r="DX25" s="101"/>
      <c r="DY25" s="101"/>
      <c r="DZ25" s="101" t="s">
        <v>1348</v>
      </c>
      <c r="EA25" s="101"/>
      <c r="EB25" s="101" t="s">
        <v>1348</v>
      </c>
      <c r="EC25" s="101" t="s">
        <v>1351</v>
      </c>
      <c r="ED25" s="101"/>
      <c r="EE25" s="101" t="s">
        <v>1227</v>
      </c>
      <c r="EF25" s="101" t="s">
        <v>1374</v>
      </c>
      <c r="EG25" s="101"/>
      <c r="EH25" s="101"/>
      <c r="EI25" s="101" t="s">
        <v>671</v>
      </c>
      <c r="EJ25" s="101"/>
      <c r="EK25" s="101"/>
      <c r="EL25" s="101" t="s">
        <v>671</v>
      </c>
      <c r="EM25" s="101"/>
      <c r="EN25" s="101"/>
      <c r="EO25" s="101" t="s">
        <v>1231</v>
      </c>
      <c r="EP25" s="101" t="s">
        <v>671</v>
      </c>
      <c r="EQ25" s="101" t="s">
        <v>672</v>
      </c>
      <c r="ER25" s="101"/>
      <c r="ES25" s="101" t="s">
        <v>1232</v>
      </c>
      <c r="ET25" s="101"/>
      <c r="EU25" s="101"/>
      <c r="EV25" s="101" t="s">
        <v>671</v>
      </c>
      <c r="EW25" s="101"/>
      <c r="EX25" s="101" t="s">
        <v>1227</v>
      </c>
      <c r="EY25" s="101"/>
      <c r="EZ25" s="101" t="s">
        <v>671</v>
      </c>
      <c r="FA25" s="101"/>
      <c r="FB25" s="101"/>
      <c r="FC25" s="101"/>
      <c r="FD25" s="101" t="s">
        <v>1348</v>
      </c>
      <c r="FE25" s="101"/>
      <c r="FF25" s="101"/>
      <c r="FG25" s="101" t="s">
        <v>671</v>
      </c>
      <c r="FH25" s="101"/>
      <c r="FI25" s="101"/>
      <c r="FJ25" s="101"/>
      <c r="FK25" s="101"/>
      <c r="FL25" s="101" t="s">
        <v>1348</v>
      </c>
      <c r="FM25" s="101"/>
      <c r="FN25" s="101"/>
      <c r="FO25" s="101"/>
      <c r="FP25" s="101"/>
      <c r="FQ25" s="101"/>
      <c r="FR25" s="101" t="s">
        <v>1416</v>
      </c>
      <c r="FS25" s="101"/>
      <c r="FT25" s="101"/>
      <c r="FU25" s="101"/>
      <c r="FV25" s="101" t="s">
        <v>1348</v>
      </c>
      <c r="FW25" s="101" t="s">
        <v>671</v>
      </c>
      <c r="FX25" s="101" t="s">
        <v>1230</v>
      </c>
      <c r="FY25" s="101"/>
      <c r="FZ25" s="101"/>
      <c r="GA25" s="101"/>
      <c r="GB25" s="101"/>
      <c r="GC25" s="101"/>
      <c r="GD25" s="101"/>
      <c r="GE25" s="101" t="s">
        <v>1233</v>
      </c>
      <c r="GF25" s="101"/>
      <c r="GG25" s="101"/>
      <c r="GH25" s="101" t="s">
        <v>1348</v>
      </c>
      <c r="GI25" s="101"/>
      <c r="GJ25" s="101"/>
      <c r="GK25" s="101"/>
      <c r="GL25" s="101"/>
      <c r="GM25" s="101"/>
      <c r="GN25" s="101" t="s">
        <v>1234</v>
      </c>
      <c r="GO25" s="101"/>
      <c r="GP25" s="101"/>
      <c r="GQ25" s="101"/>
      <c r="GR25" s="101" t="s">
        <v>1235</v>
      </c>
      <c r="GS25" s="101"/>
      <c r="GT25" s="101" t="s">
        <v>1351</v>
      </c>
      <c r="GU25" s="101"/>
      <c r="GV25" s="101" t="s">
        <v>671</v>
      </c>
      <c r="GW25" s="101" t="s">
        <v>1348</v>
      </c>
      <c r="GX25" s="101"/>
    </row>
    <row r="26" spans="1:206" x14ac:dyDescent="0.2">
      <c r="A26" s="104" t="s">
        <v>20</v>
      </c>
      <c r="B26" s="104" t="s">
        <v>21</v>
      </c>
      <c r="C26" s="101"/>
      <c r="D26" s="101"/>
      <c r="E26" s="101"/>
      <c r="F26" s="100" t="s">
        <v>1337</v>
      </c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 t="s">
        <v>677</v>
      </c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 t="s">
        <v>1012</v>
      </c>
      <c r="BF26" s="101"/>
      <c r="BG26" s="101"/>
      <c r="BH26" s="101"/>
      <c r="BI26" s="101"/>
      <c r="BJ26" s="101"/>
      <c r="BK26" s="101"/>
      <c r="BL26" s="101"/>
      <c r="BM26" s="101"/>
      <c r="BN26" s="101"/>
      <c r="BO26" s="101" t="s">
        <v>678</v>
      </c>
      <c r="BP26" s="101"/>
      <c r="BQ26" s="101"/>
      <c r="BR26" s="101" t="s">
        <v>1142</v>
      </c>
      <c r="BS26" s="101"/>
      <c r="BT26" s="101"/>
      <c r="BU26" s="101"/>
      <c r="BV26" s="101"/>
      <c r="BW26" s="101"/>
      <c r="BX26" s="101"/>
      <c r="BY26" s="101"/>
      <c r="BZ26" s="101"/>
      <c r="CA26" s="101"/>
      <c r="CB26" s="101"/>
      <c r="CC26" s="101"/>
      <c r="CD26" s="101"/>
      <c r="CE26" s="101"/>
      <c r="CF26" s="101"/>
      <c r="CG26" s="101"/>
      <c r="CH26" s="101"/>
      <c r="CI26" s="101"/>
      <c r="CJ26" s="101"/>
      <c r="CK26" s="101"/>
      <c r="CL26" s="101"/>
      <c r="CM26" s="101"/>
      <c r="CN26" s="101"/>
      <c r="CO26" s="101"/>
      <c r="CP26" s="101"/>
      <c r="CQ26" s="101"/>
      <c r="CR26" s="101"/>
      <c r="CS26" s="101" t="s">
        <v>679</v>
      </c>
      <c r="CT26" s="101"/>
      <c r="CU26" s="101" t="s">
        <v>1013</v>
      </c>
      <c r="CV26" s="101"/>
      <c r="CW26" s="101"/>
      <c r="CX26" s="101"/>
      <c r="CY26" s="101"/>
      <c r="CZ26" s="101"/>
      <c r="DA26" s="101"/>
      <c r="DB26" s="101"/>
      <c r="DC26" s="101"/>
      <c r="DD26" s="101"/>
      <c r="DE26" s="101"/>
      <c r="DF26" s="101" t="s">
        <v>1014</v>
      </c>
      <c r="DG26" s="101"/>
      <c r="DH26" s="101"/>
      <c r="DI26" s="101"/>
      <c r="DJ26" s="101"/>
      <c r="DK26" s="101" t="s">
        <v>680</v>
      </c>
      <c r="DL26" s="101"/>
      <c r="DM26" s="101"/>
      <c r="DN26" s="101"/>
      <c r="DO26" s="101"/>
      <c r="DP26" s="101"/>
      <c r="DQ26" s="101"/>
      <c r="DR26" s="101"/>
      <c r="DS26" s="101"/>
      <c r="DT26" s="101"/>
      <c r="DU26" s="101"/>
      <c r="DV26" s="101"/>
      <c r="DW26" s="101"/>
      <c r="DX26" s="101"/>
      <c r="DY26" s="101"/>
      <c r="DZ26" s="101"/>
      <c r="EA26" s="101"/>
      <c r="EB26" s="101"/>
      <c r="EC26" s="101" t="s">
        <v>1367</v>
      </c>
      <c r="ED26" s="101"/>
      <c r="EE26" s="101"/>
      <c r="EF26" s="101"/>
      <c r="EG26" s="101"/>
      <c r="EH26" s="101"/>
      <c r="EI26" s="101"/>
      <c r="EJ26" s="101"/>
      <c r="EK26" s="101"/>
      <c r="EL26" s="101" t="s">
        <v>681</v>
      </c>
      <c r="EM26" s="101"/>
      <c r="EN26" s="101"/>
      <c r="EO26" s="101"/>
      <c r="EP26" s="101" t="s">
        <v>681</v>
      </c>
      <c r="EQ26" s="101"/>
      <c r="ER26" s="101" t="s">
        <v>682</v>
      </c>
      <c r="ES26" s="101"/>
      <c r="ET26" s="101"/>
      <c r="EU26" s="101"/>
      <c r="EV26" s="101" t="s">
        <v>1016</v>
      </c>
      <c r="EW26" s="101"/>
      <c r="EX26" s="101" t="s">
        <v>679</v>
      </c>
      <c r="EY26" s="101"/>
      <c r="EZ26" s="101"/>
      <c r="FA26" s="101"/>
      <c r="FB26" s="101"/>
      <c r="FC26" s="101"/>
      <c r="FD26" s="101" t="s">
        <v>1143</v>
      </c>
      <c r="FE26" s="101"/>
      <c r="FF26" s="101"/>
      <c r="FG26" s="101"/>
      <c r="FH26" s="101"/>
      <c r="FI26" s="101"/>
      <c r="FJ26" s="101"/>
      <c r="FK26" s="101"/>
      <c r="FL26" s="101"/>
      <c r="FM26" s="101"/>
      <c r="FN26" s="101"/>
      <c r="FO26" s="101"/>
      <c r="FP26" s="101"/>
      <c r="FQ26" s="101"/>
      <c r="FR26" s="101"/>
      <c r="FS26" s="101"/>
      <c r="FT26" s="101"/>
      <c r="FU26" s="101"/>
      <c r="FV26" s="101"/>
      <c r="FW26" s="101" t="s">
        <v>1017</v>
      </c>
      <c r="FX26" s="101"/>
      <c r="FY26" s="101"/>
      <c r="FZ26" s="101"/>
      <c r="GA26" s="101" t="s">
        <v>679</v>
      </c>
      <c r="GB26" s="101"/>
      <c r="GC26" s="101"/>
      <c r="GD26" s="101" t="s">
        <v>679</v>
      </c>
      <c r="GE26" s="101"/>
      <c r="GF26" s="101"/>
      <c r="GG26" s="101"/>
      <c r="GH26" s="101"/>
      <c r="GI26" s="101"/>
      <c r="GJ26" s="101" t="s">
        <v>679</v>
      </c>
      <c r="GK26" s="101"/>
      <c r="GL26" s="101"/>
      <c r="GM26" s="101"/>
      <c r="GN26" s="101"/>
      <c r="GO26" s="101"/>
      <c r="GP26" s="101"/>
      <c r="GQ26" s="101" t="s">
        <v>683</v>
      </c>
      <c r="GR26" s="101"/>
      <c r="GS26" s="101"/>
      <c r="GT26" s="101"/>
      <c r="GU26" s="101"/>
      <c r="GV26" s="101"/>
      <c r="GW26" s="101"/>
      <c r="GX26" s="101"/>
    </row>
    <row r="27" spans="1:206" x14ac:dyDescent="0.2">
      <c r="A27" s="104" t="s">
        <v>22</v>
      </c>
      <c r="B27" s="104" t="s">
        <v>23</v>
      </c>
      <c r="C27" s="101" t="s">
        <v>1236</v>
      </c>
      <c r="D27" s="101"/>
      <c r="E27" s="101"/>
      <c r="F27" s="100"/>
      <c r="G27" s="101"/>
      <c r="H27" s="101"/>
      <c r="I27" s="101"/>
      <c r="J27" s="101"/>
      <c r="K27" s="101"/>
      <c r="L27" s="101"/>
      <c r="M27" s="101" t="s">
        <v>1237</v>
      </c>
      <c r="N27" s="101"/>
      <c r="O27" s="101"/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  <c r="AB27" s="101"/>
      <c r="AC27" s="101"/>
      <c r="AD27" s="101"/>
      <c r="AE27" s="101"/>
      <c r="AF27" s="101"/>
      <c r="AG27" s="101"/>
      <c r="AH27" s="101"/>
      <c r="AI27" s="101"/>
      <c r="AJ27" s="101"/>
      <c r="AK27" s="101"/>
      <c r="AL27" s="101"/>
      <c r="AM27" s="101"/>
      <c r="AN27" s="101"/>
      <c r="AO27" s="101"/>
      <c r="AP27" s="101"/>
      <c r="AQ27" s="101"/>
      <c r="AR27" s="101"/>
      <c r="AS27" s="101"/>
      <c r="AT27" s="101"/>
      <c r="AU27" s="101"/>
      <c r="AV27" s="101"/>
      <c r="AW27" s="101"/>
      <c r="AX27" s="101"/>
      <c r="AY27" s="101"/>
      <c r="AZ27" s="101"/>
      <c r="BA27" s="101"/>
      <c r="BB27" s="101"/>
      <c r="BC27" s="101"/>
      <c r="BD27" s="101"/>
      <c r="BE27" s="101"/>
      <c r="BF27" s="101"/>
      <c r="BG27" s="101"/>
      <c r="BH27" s="101"/>
      <c r="BI27" s="101"/>
      <c r="BJ27" s="101"/>
      <c r="BK27" s="101"/>
      <c r="BL27" s="101"/>
      <c r="BM27" s="101"/>
      <c r="BN27" s="101"/>
      <c r="BO27" s="101"/>
      <c r="BP27" s="101"/>
      <c r="BQ27" s="101"/>
      <c r="BR27" s="101"/>
      <c r="BS27" s="101"/>
      <c r="BT27" s="101"/>
      <c r="BU27" s="101"/>
      <c r="BV27" s="101"/>
      <c r="BW27" s="101"/>
      <c r="BX27" s="101"/>
      <c r="BY27" s="101"/>
      <c r="BZ27" s="101"/>
      <c r="CA27" s="101"/>
      <c r="CB27" s="101"/>
      <c r="CC27" s="101"/>
      <c r="CD27" s="101"/>
      <c r="CE27" s="101"/>
      <c r="CF27" s="101"/>
      <c r="CG27" s="101"/>
      <c r="CH27" s="101"/>
      <c r="CI27" s="101"/>
      <c r="CJ27" s="101"/>
      <c r="CK27" s="101"/>
      <c r="CL27" s="101"/>
      <c r="CM27" s="101"/>
      <c r="CN27" s="101"/>
      <c r="CO27" s="101"/>
      <c r="CP27" s="101"/>
      <c r="CQ27" s="101"/>
      <c r="CR27" s="101"/>
      <c r="CS27" s="101"/>
      <c r="CT27" s="101"/>
      <c r="CU27" s="101"/>
      <c r="CV27" s="101"/>
      <c r="CW27" s="101"/>
      <c r="CX27" s="101"/>
      <c r="CY27" s="101"/>
      <c r="CZ27" s="101"/>
      <c r="DA27" s="101"/>
      <c r="DB27" s="101"/>
      <c r="DC27" s="101"/>
      <c r="DD27" s="101" t="s">
        <v>1238</v>
      </c>
      <c r="DE27" s="101" t="s">
        <v>1093</v>
      </c>
      <c r="DF27" s="101"/>
      <c r="DG27" s="101"/>
      <c r="DH27" s="101"/>
      <c r="DI27" s="101"/>
      <c r="DJ27" s="101"/>
      <c r="DK27" s="101"/>
      <c r="DL27" s="101"/>
      <c r="DM27" s="101"/>
      <c r="DN27" s="101"/>
      <c r="DO27" s="101"/>
      <c r="DP27" s="101"/>
      <c r="DQ27" s="101"/>
      <c r="DR27" s="101"/>
      <c r="DS27" s="101"/>
      <c r="DT27" s="101"/>
      <c r="DU27" s="101"/>
      <c r="DV27" s="101"/>
      <c r="DW27" s="101" t="s">
        <v>689</v>
      </c>
      <c r="DX27" s="101"/>
      <c r="DY27" s="101"/>
      <c r="DZ27" s="101"/>
      <c r="EA27" s="101"/>
      <c r="EB27" s="101"/>
      <c r="EC27" s="101"/>
      <c r="ED27" s="101"/>
      <c r="EE27" s="101"/>
      <c r="EF27" s="101"/>
      <c r="EG27" s="101"/>
      <c r="EH27" s="101"/>
      <c r="EI27" s="101"/>
      <c r="EJ27" s="101"/>
      <c r="EK27" s="101"/>
      <c r="EL27" s="101"/>
      <c r="EM27" s="101"/>
      <c r="EN27" s="101"/>
      <c r="EO27" s="101"/>
      <c r="EP27" s="101"/>
      <c r="EQ27" s="101"/>
      <c r="ER27" s="101" t="s">
        <v>690</v>
      </c>
      <c r="ES27" s="101"/>
      <c r="ET27" s="101"/>
      <c r="EU27" s="101"/>
      <c r="EV27" s="101"/>
      <c r="EW27" s="101"/>
      <c r="EX27" s="101" t="s">
        <v>689</v>
      </c>
      <c r="EY27" s="101"/>
      <c r="EZ27" s="101"/>
      <c r="FA27" s="101"/>
      <c r="FB27" s="101"/>
      <c r="FC27" s="101"/>
      <c r="FD27" s="101"/>
      <c r="FE27" s="101"/>
      <c r="FF27" s="101"/>
      <c r="FG27" s="101"/>
      <c r="FH27" s="101"/>
      <c r="FI27" s="101"/>
      <c r="FJ27" s="101"/>
      <c r="FK27" s="101"/>
      <c r="FL27" s="101"/>
      <c r="FM27" s="101"/>
      <c r="FN27" s="101"/>
      <c r="FO27" s="101"/>
      <c r="FP27" s="101"/>
      <c r="FQ27" s="101"/>
      <c r="FR27" s="101"/>
      <c r="FS27" s="101"/>
      <c r="FT27" s="101"/>
      <c r="FU27" s="101"/>
      <c r="FV27" s="101"/>
      <c r="FW27" s="101"/>
      <c r="FX27" s="101"/>
      <c r="FY27" s="101"/>
      <c r="FZ27" s="101"/>
      <c r="GA27" s="101"/>
      <c r="GB27" s="101"/>
      <c r="GC27" s="101"/>
      <c r="GD27" s="101"/>
      <c r="GE27" s="101"/>
      <c r="GF27" s="101"/>
      <c r="GG27" s="101"/>
      <c r="GH27" s="101"/>
      <c r="GI27" s="101"/>
      <c r="GJ27" s="101"/>
      <c r="GK27" s="101"/>
      <c r="GL27" s="101"/>
      <c r="GM27" s="101"/>
      <c r="GN27" s="101"/>
      <c r="GO27" s="101" t="s">
        <v>1426</v>
      </c>
      <c r="GP27" s="101"/>
      <c r="GQ27" s="101"/>
      <c r="GR27" s="101"/>
      <c r="GS27" s="101"/>
      <c r="GT27" s="101"/>
      <c r="GU27" s="101"/>
      <c r="GV27" s="101"/>
      <c r="GW27" s="101"/>
      <c r="GX27" s="101"/>
    </row>
    <row r="28" spans="1:206" x14ac:dyDescent="0.2">
      <c r="A28" s="104" t="s">
        <v>24</v>
      </c>
      <c r="B28" s="104" t="s">
        <v>114</v>
      </c>
      <c r="C28" s="101"/>
      <c r="D28" s="101"/>
      <c r="E28" s="101"/>
      <c r="F28" s="101"/>
      <c r="G28" s="101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1"/>
      <c r="AQ28" s="101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1"/>
      <c r="BF28" s="101"/>
      <c r="BG28" s="101"/>
      <c r="BH28" s="101"/>
      <c r="BI28" s="101"/>
      <c r="BJ28" s="101"/>
      <c r="BK28" s="101"/>
      <c r="BL28" s="101"/>
      <c r="BM28" s="101"/>
      <c r="BN28" s="101"/>
      <c r="BO28" s="101"/>
      <c r="BP28" s="101"/>
      <c r="BQ28" s="101"/>
      <c r="BR28" s="101"/>
      <c r="BS28" s="101"/>
      <c r="BT28" s="101"/>
      <c r="BU28" s="101"/>
      <c r="BV28" s="101"/>
      <c r="BW28" s="101"/>
      <c r="BX28" s="101"/>
      <c r="BY28" s="101"/>
      <c r="BZ28" s="101"/>
      <c r="CA28" s="101"/>
      <c r="CB28" s="101"/>
      <c r="CC28" s="101"/>
      <c r="CD28" s="101"/>
      <c r="CE28" s="101"/>
      <c r="CF28" s="101"/>
      <c r="CG28" s="101"/>
      <c r="CH28" s="101"/>
      <c r="CI28" s="101"/>
      <c r="CJ28" s="101"/>
      <c r="CK28" s="101"/>
      <c r="CL28" s="101"/>
      <c r="CM28" s="101"/>
      <c r="CN28" s="101"/>
      <c r="CO28" s="101"/>
      <c r="CP28" s="101"/>
      <c r="CQ28" s="101"/>
      <c r="CR28" s="101"/>
      <c r="CS28" s="101"/>
      <c r="CT28" s="101"/>
      <c r="CU28" s="101"/>
      <c r="CV28" s="101"/>
      <c r="CW28" s="101"/>
      <c r="CX28" s="101"/>
      <c r="CY28" s="101"/>
      <c r="CZ28" s="101"/>
      <c r="DA28" s="101"/>
      <c r="DB28" s="101"/>
      <c r="DC28" s="101"/>
      <c r="DD28" s="101"/>
      <c r="DE28" s="101"/>
      <c r="DF28" s="101"/>
      <c r="DG28" s="101"/>
      <c r="DH28" s="101"/>
      <c r="DI28" s="101"/>
      <c r="DJ28" s="101"/>
      <c r="DK28" s="101"/>
      <c r="DL28" s="101"/>
      <c r="DM28" s="101"/>
      <c r="DN28" s="101"/>
      <c r="DO28" s="101"/>
      <c r="DP28" s="101"/>
      <c r="DQ28" s="101"/>
      <c r="DR28" s="101"/>
      <c r="DS28" s="101"/>
      <c r="DT28" s="101"/>
      <c r="DU28" s="101"/>
      <c r="DV28" s="101"/>
      <c r="DW28" s="101"/>
      <c r="DX28" s="101"/>
      <c r="DY28" s="101"/>
      <c r="DZ28" s="101"/>
      <c r="EA28" s="101"/>
      <c r="EB28" s="101" t="s">
        <v>693</v>
      </c>
      <c r="EC28" s="101"/>
      <c r="ED28" s="101"/>
      <c r="EE28" s="101"/>
      <c r="EF28" s="101"/>
      <c r="EG28" s="101"/>
      <c r="EH28" s="101"/>
      <c r="EI28" s="101"/>
      <c r="EJ28" s="101"/>
      <c r="EK28" s="101"/>
      <c r="EL28" s="101"/>
      <c r="EM28" s="101"/>
      <c r="EN28" s="101"/>
      <c r="EO28" s="101"/>
      <c r="EP28" s="101"/>
      <c r="EQ28" s="101"/>
      <c r="ER28" s="101" t="s">
        <v>1397</v>
      </c>
      <c r="ES28" s="101"/>
      <c r="ET28" s="101"/>
      <c r="EU28" s="101"/>
      <c r="EV28" s="101"/>
      <c r="EW28" s="101"/>
      <c r="EX28" s="101"/>
      <c r="EY28" s="101"/>
      <c r="EZ28" s="101"/>
      <c r="FA28" s="101"/>
      <c r="FB28" s="101"/>
      <c r="FC28" s="101"/>
      <c r="FD28" s="101"/>
      <c r="FE28" s="101"/>
      <c r="FF28" s="101"/>
      <c r="FG28" s="101"/>
      <c r="FH28" s="101"/>
      <c r="FI28" s="101"/>
      <c r="FJ28" s="101"/>
      <c r="FK28" s="101"/>
      <c r="FL28" s="101"/>
      <c r="FM28" s="101"/>
      <c r="FN28" s="101"/>
      <c r="FO28" s="101"/>
      <c r="FP28" s="101"/>
      <c r="FQ28" s="101"/>
      <c r="FR28" s="101"/>
      <c r="FS28" s="101"/>
      <c r="FT28" s="101" t="s">
        <v>695</v>
      </c>
      <c r="FU28" s="101"/>
      <c r="FV28" s="101"/>
      <c r="FW28" s="101"/>
      <c r="FX28" s="101"/>
      <c r="FY28" s="101"/>
      <c r="FZ28" s="101"/>
      <c r="GA28" s="101"/>
      <c r="GB28" s="101"/>
      <c r="GC28" s="101"/>
      <c r="GD28" s="101"/>
      <c r="GE28" s="101"/>
      <c r="GF28" s="101"/>
      <c r="GG28" s="101"/>
      <c r="GH28" s="101"/>
      <c r="GI28" s="101"/>
      <c r="GJ28" s="101"/>
      <c r="GK28" s="101"/>
      <c r="GL28" s="101"/>
      <c r="GM28" s="101"/>
      <c r="GN28" s="101"/>
      <c r="GO28" s="101"/>
      <c r="GP28" s="101"/>
      <c r="GQ28" s="101"/>
      <c r="GR28" s="101"/>
      <c r="GS28" s="101"/>
      <c r="GT28" s="101"/>
      <c r="GU28" s="101"/>
      <c r="GV28" s="101"/>
      <c r="GW28" s="101"/>
      <c r="GX28" s="101"/>
    </row>
    <row r="29" spans="1:206" x14ac:dyDescent="0.2">
      <c r="A29" s="104" t="s">
        <v>25</v>
      </c>
      <c r="B29" s="104" t="s">
        <v>115</v>
      </c>
      <c r="C29" s="101"/>
      <c r="D29" s="101"/>
      <c r="E29" s="101"/>
      <c r="F29" s="101"/>
      <c r="G29" s="101"/>
      <c r="H29" s="101"/>
      <c r="I29" s="101"/>
      <c r="J29" s="101"/>
      <c r="K29" s="101"/>
      <c r="L29" s="101"/>
      <c r="M29" s="101"/>
      <c r="N29" s="101"/>
      <c r="O29" s="101"/>
      <c r="P29" s="101"/>
      <c r="Q29" s="101"/>
      <c r="R29" s="101"/>
      <c r="S29" s="101"/>
      <c r="T29" s="101"/>
      <c r="U29" s="101"/>
      <c r="V29" s="101"/>
      <c r="W29" s="101"/>
      <c r="X29" s="101"/>
      <c r="Y29" s="101"/>
      <c r="Z29" s="101"/>
      <c r="AA29" s="101"/>
      <c r="AB29" s="101"/>
      <c r="AC29" s="101"/>
      <c r="AD29" s="101"/>
      <c r="AE29" s="101"/>
      <c r="AF29" s="101" t="s">
        <v>696</v>
      </c>
      <c r="AG29" s="101"/>
      <c r="AH29" s="101"/>
      <c r="AI29" s="101"/>
      <c r="AJ29" s="101"/>
      <c r="AK29" s="101"/>
      <c r="AL29" s="101"/>
      <c r="AM29" s="101"/>
      <c r="AN29" s="101"/>
      <c r="AO29" s="101"/>
      <c r="AP29" s="101"/>
      <c r="AQ29" s="101"/>
      <c r="AR29" s="101"/>
      <c r="AS29" s="101"/>
      <c r="AT29" s="101"/>
      <c r="AU29" s="101"/>
      <c r="AV29" s="101"/>
      <c r="AW29" s="101"/>
      <c r="AX29" s="101"/>
      <c r="AY29" s="101"/>
      <c r="AZ29" s="101"/>
      <c r="BA29" s="101"/>
      <c r="BB29" s="101"/>
      <c r="BC29" s="101"/>
      <c r="BD29" s="101"/>
      <c r="BE29" s="101"/>
      <c r="BF29" s="101"/>
      <c r="BG29" s="101"/>
      <c r="BH29" s="101"/>
      <c r="BI29" s="101"/>
      <c r="BJ29" s="101"/>
      <c r="BK29" s="101"/>
      <c r="BL29" s="101"/>
      <c r="BM29" s="101"/>
      <c r="BN29" s="101"/>
      <c r="BO29" s="101" t="s">
        <v>697</v>
      </c>
      <c r="BP29" s="101"/>
      <c r="BQ29" s="101"/>
      <c r="BR29" s="101" t="s">
        <v>696</v>
      </c>
      <c r="BS29" s="101"/>
      <c r="BT29" s="101"/>
      <c r="BU29" s="101"/>
      <c r="BV29" s="101"/>
      <c r="BW29" s="101"/>
      <c r="BX29" s="101"/>
      <c r="BY29" s="101"/>
      <c r="BZ29" s="101"/>
      <c r="CA29" s="101" t="s">
        <v>696</v>
      </c>
      <c r="CB29" s="101"/>
      <c r="CC29" s="101"/>
      <c r="CD29" s="101"/>
      <c r="CE29" s="101"/>
      <c r="CF29" s="101"/>
      <c r="CG29" s="101" t="s">
        <v>698</v>
      </c>
      <c r="CH29" s="101" t="s">
        <v>696</v>
      </c>
      <c r="CI29" s="101"/>
      <c r="CJ29" s="101"/>
      <c r="CK29" s="101"/>
      <c r="CL29" s="101"/>
      <c r="CM29" s="101"/>
      <c r="CN29" s="101"/>
      <c r="CO29" s="101"/>
      <c r="CP29" s="101"/>
      <c r="CQ29" s="101"/>
      <c r="CR29" s="101"/>
      <c r="CS29" s="101"/>
      <c r="CT29" s="101"/>
      <c r="CU29" s="101"/>
      <c r="CV29" s="101"/>
      <c r="CW29" s="101"/>
      <c r="CX29" s="101"/>
      <c r="CY29" s="101"/>
      <c r="CZ29" s="101"/>
      <c r="DA29" s="101"/>
      <c r="DB29" s="101"/>
      <c r="DC29" s="101"/>
      <c r="DD29" s="101"/>
      <c r="DE29" s="101"/>
      <c r="DF29" s="101"/>
      <c r="DG29" s="101"/>
      <c r="DH29" s="101"/>
      <c r="DI29" s="101"/>
      <c r="DJ29" s="101"/>
      <c r="DK29" s="101"/>
      <c r="DL29" s="101"/>
      <c r="DM29" s="101"/>
      <c r="DN29" s="101"/>
      <c r="DO29" s="101"/>
      <c r="DP29" s="101"/>
      <c r="DQ29" s="101"/>
      <c r="DR29" s="101"/>
      <c r="DS29" s="101"/>
      <c r="DT29" s="101"/>
      <c r="DU29" s="101"/>
      <c r="DV29" s="101"/>
      <c r="DW29" s="101"/>
      <c r="DX29" s="101"/>
      <c r="DY29" s="101"/>
      <c r="DZ29" s="101"/>
      <c r="EA29" s="101"/>
      <c r="EB29" s="101" t="s">
        <v>699</v>
      </c>
      <c r="EC29" s="101"/>
      <c r="ED29" s="101" t="s">
        <v>692</v>
      </c>
      <c r="EE29" s="101"/>
      <c r="EF29" s="101"/>
      <c r="EG29" s="101"/>
      <c r="EH29" s="101"/>
      <c r="EI29" s="101"/>
      <c r="EJ29" s="101"/>
      <c r="EK29" s="101"/>
      <c r="EL29" s="101"/>
      <c r="EM29" s="101"/>
      <c r="EN29" s="101"/>
      <c r="EO29" s="101"/>
      <c r="EP29" s="101"/>
      <c r="EQ29" s="101"/>
      <c r="ER29" s="101" t="s">
        <v>700</v>
      </c>
      <c r="ES29" s="101"/>
      <c r="ET29" s="101" t="s">
        <v>701</v>
      </c>
      <c r="EU29" s="101"/>
      <c r="EV29" s="101"/>
      <c r="EW29" s="101"/>
      <c r="EX29" s="101"/>
      <c r="EY29" s="101"/>
      <c r="EZ29" s="101"/>
      <c r="FA29" s="101"/>
      <c r="FB29" s="101"/>
      <c r="FC29" s="101"/>
      <c r="FD29" s="101"/>
      <c r="FE29" s="101"/>
      <c r="FF29" s="101"/>
      <c r="FG29" s="101"/>
      <c r="FH29" s="101"/>
      <c r="FI29" s="101"/>
      <c r="FJ29" s="101"/>
      <c r="FK29" s="101"/>
      <c r="FL29" s="101"/>
      <c r="FM29" s="101"/>
      <c r="FN29" s="101"/>
      <c r="FO29" s="101"/>
      <c r="FP29" s="101"/>
      <c r="FQ29" s="101"/>
      <c r="FR29" s="101"/>
      <c r="FS29" s="101"/>
      <c r="FT29" s="101"/>
      <c r="FU29" s="101"/>
      <c r="FV29" s="101"/>
      <c r="FW29" s="101"/>
      <c r="FX29" s="101"/>
      <c r="FY29" s="101"/>
      <c r="FZ29" s="101"/>
      <c r="GA29" s="101"/>
      <c r="GB29" s="101"/>
      <c r="GC29" s="101"/>
      <c r="GD29" s="101"/>
      <c r="GE29" s="101"/>
      <c r="GF29" s="101"/>
      <c r="GG29" s="101"/>
      <c r="GH29" s="101"/>
      <c r="GI29" s="101"/>
      <c r="GJ29" s="101"/>
      <c r="GK29" s="101"/>
      <c r="GL29" s="101"/>
      <c r="GM29" s="101"/>
      <c r="GN29" s="101" t="s">
        <v>702</v>
      </c>
      <c r="GO29" s="101"/>
      <c r="GP29" s="101"/>
      <c r="GQ29" s="101"/>
      <c r="GR29" s="101"/>
      <c r="GS29" s="101"/>
      <c r="GT29" s="101"/>
      <c r="GU29" s="101"/>
      <c r="GV29" s="101"/>
      <c r="GW29" s="101"/>
      <c r="GX29" s="101"/>
    </row>
    <row r="30" spans="1:206" x14ac:dyDescent="0.2">
      <c r="A30" s="104" t="s">
        <v>26</v>
      </c>
      <c r="B30" s="104" t="s">
        <v>27</v>
      </c>
      <c r="C30" s="101"/>
      <c r="D30" s="101" t="s">
        <v>1239</v>
      </c>
      <c r="E30" s="101"/>
      <c r="F30" s="101"/>
      <c r="G30" s="101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  <c r="AA30" s="101"/>
      <c r="AB30" s="101"/>
      <c r="AC30" s="101" t="s">
        <v>1240</v>
      </c>
      <c r="AD30" s="101"/>
      <c r="AE30" s="101"/>
      <c r="AF30" s="101"/>
      <c r="AG30" s="101"/>
      <c r="AH30" s="101"/>
      <c r="AI30" s="101"/>
      <c r="AJ30" s="101" t="s">
        <v>707</v>
      </c>
      <c r="AK30" s="101"/>
      <c r="AL30" s="101"/>
      <c r="AM30" s="101"/>
      <c r="AN30" s="101"/>
      <c r="AO30" s="101" t="s">
        <v>1241</v>
      </c>
      <c r="AP30" s="101"/>
      <c r="AQ30" s="101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1"/>
      <c r="BF30" s="101"/>
      <c r="BG30" s="101"/>
      <c r="BH30" s="101"/>
      <c r="BI30" s="101"/>
      <c r="BJ30" s="101"/>
      <c r="BK30" s="101"/>
      <c r="BL30" s="101"/>
      <c r="BM30" s="101" t="s">
        <v>1242</v>
      </c>
      <c r="BN30" s="101"/>
      <c r="BO30" s="101"/>
      <c r="BP30" s="101"/>
      <c r="BQ30" s="101"/>
      <c r="BR30" s="101"/>
      <c r="BS30" s="101"/>
      <c r="BT30" s="101"/>
      <c r="BU30" s="101"/>
      <c r="BV30" s="101"/>
      <c r="BW30" s="101"/>
      <c r="BX30" s="101"/>
      <c r="BY30" s="101"/>
      <c r="BZ30" s="101"/>
      <c r="CA30" s="101" t="s">
        <v>711</v>
      </c>
      <c r="CB30" s="101"/>
      <c r="CC30" s="101"/>
      <c r="CD30" s="101"/>
      <c r="CE30" s="101"/>
      <c r="CF30" s="101"/>
      <c r="CG30" s="101"/>
      <c r="CH30" s="101"/>
      <c r="CI30" s="101"/>
      <c r="CJ30" s="101"/>
      <c r="CK30" s="101"/>
      <c r="CL30" s="101"/>
      <c r="CM30" s="101"/>
      <c r="CN30" s="101" t="s">
        <v>1327</v>
      </c>
      <c r="CO30" s="101"/>
      <c r="CP30" s="101" t="s">
        <v>713</v>
      </c>
      <c r="CQ30" s="101"/>
      <c r="CR30" s="101"/>
      <c r="CS30" s="101"/>
      <c r="CT30" s="101"/>
      <c r="CU30" s="101"/>
      <c r="CV30" s="101"/>
      <c r="CW30" s="101"/>
      <c r="CX30" s="101"/>
      <c r="CY30" s="101"/>
      <c r="CZ30" s="101"/>
      <c r="DA30" s="101"/>
      <c r="DB30" s="101"/>
      <c r="DC30" s="101" t="s">
        <v>714</v>
      </c>
      <c r="DD30" s="101"/>
      <c r="DE30" s="101"/>
      <c r="DF30" s="101"/>
      <c r="DG30" s="101" t="s">
        <v>1328</v>
      </c>
      <c r="DH30" s="101"/>
      <c r="DI30" s="101"/>
      <c r="DJ30" s="101"/>
      <c r="DK30" s="101"/>
      <c r="DL30" s="101"/>
      <c r="DM30" s="101"/>
      <c r="DN30" s="101" t="s">
        <v>1243</v>
      </c>
      <c r="DO30" s="101"/>
      <c r="DP30" s="101"/>
      <c r="DQ30" s="101"/>
      <c r="DR30" s="101"/>
      <c r="DS30" s="101"/>
      <c r="DT30" s="101"/>
      <c r="DU30" s="101"/>
      <c r="DV30" s="101"/>
      <c r="DW30" s="101"/>
      <c r="DX30" s="101" t="s">
        <v>1364</v>
      </c>
      <c r="DY30" s="101"/>
      <c r="DZ30" s="101"/>
      <c r="EA30" s="101"/>
      <c r="EB30" s="101"/>
      <c r="EC30" s="101"/>
      <c r="ED30" s="101"/>
      <c r="EE30" s="101" t="s">
        <v>1244</v>
      </c>
      <c r="EF30" s="101" t="s">
        <v>714</v>
      </c>
      <c r="EG30" s="101" t="s">
        <v>1379</v>
      </c>
      <c r="EH30" s="101"/>
      <c r="EI30" s="101" t="s">
        <v>719</v>
      </c>
      <c r="EJ30" s="101"/>
      <c r="EK30" s="101"/>
      <c r="EL30" s="101"/>
      <c r="EM30" s="101"/>
      <c r="EN30" s="101"/>
      <c r="EO30" s="101" t="s">
        <v>1245</v>
      </c>
      <c r="EP30" s="101" t="s">
        <v>719</v>
      </c>
      <c r="EQ30" s="101"/>
      <c r="ER30" s="101" t="s">
        <v>1396</v>
      </c>
      <c r="ES30" s="101"/>
      <c r="ET30" s="101"/>
      <c r="EU30" s="101"/>
      <c r="EV30" s="101"/>
      <c r="EW30" s="101"/>
      <c r="EX30" s="101"/>
      <c r="EY30" s="101"/>
      <c r="EZ30" s="101"/>
      <c r="FA30" s="101"/>
      <c r="FB30" s="101"/>
      <c r="FC30" s="101"/>
      <c r="FD30" s="101" t="s">
        <v>1410</v>
      </c>
      <c r="FE30" s="101"/>
      <c r="FF30" s="101"/>
      <c r="FG30" s="101" t="s">
        <v>723</v>
      </c>
      <c r="FH30" s="101"/>
      <c r="FI30" s="101"/>
      <c r="FJ30" s="101"/>
      <c r="FK30" s="101"/>
      <c r="FL30" s="101" t="s">
        <v>724</v>
      </c>
      <c r="FM30" s="101"/>
      <c r="FN30" s="101"/>
      <c r="FO30" s="101"/>
      <c r="FP30" s="101"/>
      <c r="FQ30" s="101"/>
      <c r="FR30" s="101"/>
      <c r="FS30" s="101"/>
      <c r="FT30" s="101"/>
      <c r="FU30" s="101"/>
      <c r="FV30" s="101"/>
      <c r="FW30" s="101" t="s">
        <v>725</v>
      </c>
      <c r="FX30" s="101"/>
      <c r="FY30" s="101"/>
      <c r="FZ30" s="101"/>
      <c r="GA30" s="101"/>
      <c r="GB30" s="101"/>
      <c r="GC30" s="101"/>
      <c r="GD30" s="101"/>
      <c r="GE30" s="101"/>
      <c r="GF30" s="101"/>
      <c r="GG30" s="101"/>
      <c r="GH30" s="101"/>
      <c r="GI30" s="101"/>
      <c r="GJ30" s="101"/>
      <c r="GK30" s="101"/>
      <c r="GL30" s="101"/>
      <c r="GM30" s="101"/>
      <c r="GN30" s="101"/>
      <c r="GO30" s="101"/>
      <c r="GP30" s="101"/>
      <c r="GQ30" s="101"/>
      <c r="GR30" s="101"/>
      <c r="GS30" s="101"/>
      <c r="GT30" s="101"/>
      <c r="GU30" s="101"/>
      <c r="GV30" s="101"/>
      <c r="GW30" s="101"/>
      <c r="GX30" s="101"/>
    </row>
    <row r="31" spans="1:206" x14ac:dyDescent="0.2">
      <c r="A31" s="104" t="s">
        <v>28</v>
      </c>
      <c r="B31" s="104" t="s">
        <v>29</v>
      </c>
      <c r="C31" s="101"/>
      <c r="D31" s="101"/>
      <c r="E31" s="101"/>
      <c r="F31" s="100" t="s">
        <v>1246</v>
      </c>
      <c r="G31" s="101"/>
      <c r="H31" s="101"/>
      <c r="I31" s="101"/>
      <c r="J31" s="101"/>
      <c r="K31" s="101"/>
      <c r="L31" s="101"/>
      <c r="M31" s="101"/>
      <c r="N31" s="101"/>
      <c r="O31" s="101"/>
      <c r="P31" s="101"/>
      <c r="Q31" s="101"/>
      <c r="R31" s="101"/>
      <c r="S31" s="101"/>
      <c r="T31" s="101"/>
      <c r="U31" s="101"/>
      <c r="V31" s="101"/>
      <c r="W31" s="101"/>
      <c r="X31" s="101"/>
      <c r="Y31" s="101"/>
      <c r="Z31" s="101"/>
      <c r="AA31" s="101"/>
      <c r="AB31" s="101"/>
      <c r="AC31" s="101"/>
      <c r="AD31" s="101"/>
      <c r="AE31" s="101"/>
      <c r="AF31" s="101"/>
      <c r="AG31" s="101"/>
      <c r="AH31" s="101" t="s">
        <v>726</v>
      </c>
      <c r="AI31" s="101"/>
      <c r="AJ31" s="101"/>
      <c r="AK31" s="101"/>
      <c r="AL31" s="101"/>
      <c r="AM31" s="101"/>
      <c r="AN31" s="101"/>
      <c r="AO31" s="101"/>
      <c r="AP31" s="101"/>
      <c r="AQ31" s="101"/>
      <c r="AR31" s="101"/>
      <c r="AS31" s="101"/>
      <c r="AT31" s="101"/>
      <c r="AU31" s="101"/>
      <c r="AV31" s="101" t="s">
        <v>727</v>
      </c>
      <c r="AW31" s="101"/>
      <c r="AX31" s="101" t="s">
        <v>727</v>
      </c>
      <c r="AY31" s="101"/>
      <c r="AZ31" s="101"/>
      <c r="BA31" s="101"/>
      <c r="BB31" s="101" t="s">
        <v>728</v>
      </c>
      <c r="BC31" s="101"/>
      <c r="BD31" s="101" t="s">
        <v>727</v>
      </c>
      <c r="BE31" s="101"/>
      <c r="BF31" s="101" t="s">
        <v>1096</v>
      </c>
      <c r="BG31" s="101"/>
      <c r="BH31" s="101" t="s">
        <v>729</v>
      </c>
      <c r="BI31" s="101" t="s">
        <v>730</v>
      </c>
      <c r="BJ31" s="101"/>
      <c r="BK31" s="101"/>
      <c r="BL31" s="101"/>
      <c r="BM31" s="101"/>
      <c r="BN31" s="101"/>
      <c r="BO31" s="101"/>
      <c r="BP31" s="101"/>
      <c r="BQ31" s="101"/>
      <c r="BR31" s="101"/>
      <c r="BS31" s="101" t="s">
        <v>1247</v>
      </c>
      <c r="BT31" s="101"/>
      <c r="BU31" s="101"/>
      <c r="BV31" s="101"/>
      <c r="BW31" s="101"/>
      <c r="BX31" s="101"/>
      <c r="BY31" s="101" t="s">
        <v>727</v>
      </c>
      <c r="BZ31" s="101"/>
      <c r="CA31" s="101"/>
      <c r="CB31" s="101"/>
      <c r="CC31" s="101"/>
      <c r="CD31" s="101"/>
      <c r="CE31" s="101" t="s">
        <v>727</v>
      </c>
      <c r="CF31" s="101" t="s">
        <v>727</v>
      </c>
      <c r="CG31" s="101"/>
      <c r="CH31" s="101"/>
      <c r="CI31" s="101"/>
      <c r="CJ31" s="101" t="s">
        <v>1248</v>
      </c>
      <c r="CK31" s="101" t="s">
        <v>727</v>
      </c>
      <c r="CL31" s="101" t="s">
        <v>727</v>
      </c>
      <c r="CM31" s="101"/>
      <c r="CN31" s="101"/>
      <c r="CO31" s="101"/>
      <c r="CP31" s="101"/>
      <c r="CQ31" s="101"/>
      <c r="CR31" s="101"/>
      <c r="CS31" s="101"/>
      <c r="CT31" s="101"/>
      <c r="CU31" s="101"/>
      <c r="CV31" s="101"/>
      <c r="CW31" s="101"/>
      <c r="CX31" s="101"/>
      <c r="CY31" s="101"/>
      <c r="CZ31" s="101"/>
      <c r="DA31" s="101"/>
      <c r="DB31" s="101"/>
      <c r="DC31" s="101"/>
      <c r="DD31" s="101"/>
      <c r="DE31" s="101" t="s">
        <v>1249</v>
      </c>
      <c r="DF31" s="101"/>
      <c r="DG31" s="101"/>
      <c r="DH31" s="101"/>
      <c r="DI31" s="101"/>
      <c r="DJ31" s="101"/>
      <c r="DK31" s="101"/>
      <c r="DL31" s="101"/>
      <c r="DM31" s="101" t="s">
        <v>733</v>
      </c>
      <c r="DN31" s="101"/>
      <c r="DO31" s="101"/>
      <c r="DP31" s="101"/>
      <c r="DQ31" s="101"/>
      <c r="DR31" s="101"/>
      <c r="DS31" s="101"/>
      <c r="DU31" s="101"/>
      <c r="DV31" s="101"/>
      <c r="DW31" s="101" t="s">
        <v>726</v>
      </c>
      <c r="DX31" s="101" t="s">
        <v>729</v>
      </c>
      <c r="DY31" s="101"/>
      <c r="DZ31" s="101"/>
      <c r="EA31" s="101"/>
      <c r="EB31" s="101"/>
      <c r="EC31" s="101"/>
      <c r="ED31" s="101"/>
      <c r="EE31" s="101"/>
      <c r="EF31" s="101"/>
      <c r="EG31" s="101"/>
      <c r="EH31" s="101"/>
      <c r="EI31" s="101"/>
      <c r="EJ31" s="101"/>
      <c r="EK31" s="101"/>
      <c r="EL31" s="101"/>
      <c r="EM31" s="101"/>
      <c r="EN31" s="101"/>
      <c r="EO31" s="101"/>
      <c r="EP31" s="101"/>
      <c r="EQ31" s="101"/>
      <c r="ER31" s="101"/>
      <c r="ES31" s="101"/>
      <c r="ET31" s="101"/>
      <c r="EU31" s="101"/>
      <c r="EV31" s="101"/>
      <c r="EW31" s="101"/>
      <c r="EX31" s="101"/>
      <c r="EY31" s="101"/>
      <c r="EZ31" s="101"/>
      <c r="FA31" s="101"/>
      <c r="FB31" s="101"/>
      <c r="FC31" s="101"/>
      <c r="FD31" s="101" t="s">
        <v>1097</v>
      </c>
      <c r="FE31" s="101"/>
      <c r="FF31" s="101"/>
      <c r="FG31" s="101"/>
      <c r="FH31" s="101"/>
      <c r="FI31" s="101" t="s">
        <v>1412</v>
      </c>
      <c r="FJ31" s="101" t="s">
        <v>736</v>
      </c>
      <c r="FK31" s="101"/>
      <c r="FL31" s="101"/>
      <c r="FM31" s="101"/>
      <c r="FN31" s="101"/>
      <c r="FO31" s="101"/>
      <c r="FP31" s="101"/>
      <c r="FQ31" s="101"/>
      <c r="FR31" s="101"/>
      <c r="FS31" s="101"/>
      <c r="FT31" s="101"/>
      <c r="FU31" s="101"/>
      <c r="FV31" s="101"/>
      <c r="FW31" s="101"/>
      <c r="FX31" s="101"/>
      <c r="FY31" s="101"/>
      <c r="FZ31" s="101"/>
      <c r="GA31" s="101"/>
      <c r="GB31" s="101"/>
      <c r="GC31" s="101"/>
      <c r="GD31" s="101"/>
      <c r="GE31" s="101"/>
      <c r="GF31" s="101"/>
      <c r="GG31" s="101"/>
      <c r="GH31" s="101"/>
      <c r="GI31" s="101"/>
      <c r="GJ31" s="101"/>
      <c r="GK31" s="101"/>
      <c r="GL31" s="101"/>
      <c r="GM31" s="101"/>
      <c r="GN31" s="101"/>
      <c r="GO31" s="101"/>
      <c r="GP31" s="101"/>
      <c r="GQ31" s="101" t="s">
        <v>737</v>
      </c>
      <c r="GR31" s="101"/>
      <c r="GS31" s="101"/>
      <c r="GT31" s="101"/>
      <c r="GU31" s="101"/>
      <c r="GV31" s="101"/>
      <c r="GW31" s="101" t="s">
        <v>727</v>
      </c>
      <c r="GX31" s="101"/>
    </row>
    <row r="32" spans="1:206" x14ac:dyDescent="0.2">
      <c r="A32" s="104" t="s">
        <v>30</v>
      </c>
      <c r="B32" s="104" t="s">
        <v>31</v>
      </c>
      <c r="C32" s="101"/>
      <c r="D32" s="101"/>
      <c r="E32" s="101" t="s">
        <v>1250</v>
      </c>
      <c r="F32" s="100"/>
      <c r="G32" s="101"/>
      <c r="H32" s="101" t="s">
        <v>1251</v>
      </c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 t="s">
        <v>1345</v>
      </c>
      <c r="AI32" s="101"/>
      <c r="AJ32" s="101"/>
      <c r="AK32" s="101"/>
      <c r="AL32" s="101"/>
      <c r="AM32" s="101"/>
      <c r="AN32" s="101"/>
      <c r="AO32" s="101"/>
      <c r="AP32" s="101"/>
      <c r="AQ32" s="101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 t="s">
        <v>739</v>
      </c>
      <c r="BE32" s="101"/>
      <c r="BF32" s="101"/>
      <c r="BG32" s="101"/>
      <c r="BH32" s="101" t="s">
        <v>1102</v>
      </c>
      <c r="BI32" s="101"/>
      <c r="BJ32" s="101"/>
      <c r="BK32" s="101"/>
      <c r="BL32" s="101"/>
      <c r="BM32" s="101"/>
      <c r="BN32" s="101"/>
      <c r="BO32" s="101"/>
      <c r="BP32" s="101"/>
      <c r="BQ32" s="101"/>
      <c r="BR32" s="101"/>
      <c r="BS32" s="101"/>
      <c r="BT32" s="101"/>
      <c r="BU32" s="101"/>
      <c r="BV32" s="101"/>
      <c r="BW32" s="101"/>
      <c r="BX32" s="101"/>
      <c r="BY32" s="101"/>
      <c r="BZ32" s="101"/>
      <c r="CA32" s="101"/>
      <c r="CB32" s="101"/>
      <c r="CC32" s="101"/>
      <c r="CD32" s="101"/>
      <c r="CE32" s="101"/>
      <c r="CF32" s="101"/>
      <c r="CG32" s="101"/>
      <c r="CH32" s="101"/>
      <c r="CI32" s="101"/>
      <c r="CJ32" s="101"/>
      <c r="CK32" s="101"/>
      <c r="CL32" s="101"/>
      <c r="CM32" s="101"/>
      <c r="CN32" s="101"/>
      <c r="CO32" s="101"/>
      <c r="CP32" s="101"/>
      <c r="CQ32" s="101"/>
      <c r="CR32" s="101"/>
      <c r="CS32" s="101"/>
      <c r="CT32" s="101"/>
      <c r="CU32" s="101"/>
      <c r="CV32" s="101"/>
      <c r="CW32" s="101"/>
      <c r="CX32" s="101"/>
      <c r="CY32" s="101"/>
      <c r="CZ32" s="101"/>
      <c r="DA32" s="101"/>
      <c r="DB32" s="101"/>
      <c r="DC32" s="101"/>
      <c r="DD32" s="101"/>
      <c r="DE32" s="101"/>
      <c r="DF32" s="101"/>
      <c r="DG32" s="101"/>
      <c r="DH32" s="101" t="s">
        <v>1363</v>
      </c>
      <c r="DI32" s="101"/>
      <c r="DJ32" s="101"/>
      <c r="DK32" s="101"/>
      <c r="DL32" s="101"/>
      <c r="DM32" s="101"/>
      <c r="DN32" s="101"/>
      <c r="DO32" s="101"/>
      <c r="DP32" s="101"/>
      <c r="DQ32" s="101"/>
      <c r="DR32" s="101"/>
      <c r="DS32" s="101"/>
      <c r="DT32" s="101"/>
      <c r="DU32" s="101"/>
      <c r="DV32" s="101"/>
      <c r="DW32" s="101" t="s">
        <v>1345</v>
      </c>
      <c r="DX32" s="101"/>
      <c r="DY32" s="101"/>
      <c r="DZ32" s="101"/>
      <c r="EA32" s="101"/>
      <c r="EB32" s="101"/>
      <c r="EC32" s="101"/>
      <c r="ED32" s="101" t="s">
        <v>1371</v>
      </c>
      <c r="EE32" s="101"/>
      <c r="EF32" s="101"/>
      <c r="EG32" s="101" t="s">
        <v>1378</v>
      </c>
      <c r="EH32" s="101"/>
      <c r="EI32" s="101"/>
      <c r="EJ32" s="101"/>
      <c r="EK32" s="101"/>
      <c r="EL32" s="101"/>
      <c r="EM32" s="101"/>
      <c r="EN32" s="101"/>
      <c r="EO32" s="101" t="s">
        <v>1382</v>
      </c>
      <c r="EP32" s="101"/>
      <c r="EQ32" s="101"/>
      <c r="ER32" s="101" t="s">
        <v>1395</v>
      </c>
      <c r="ES32" s="101"/>
      <c r="ET32" s="101"/>
      <c r="EU32" s="101"/>
      <c r="EV32" s="101"/>
      <c r="EW32" s="101"/>
      <c r="EX32" s="101" t="s">
        <v>1252</v>
      </c>
      <c r="EY32" s="101"/>
      <c r="EZ32" s="101"/>
      <c r="FA32" s="101"/>
      <c r="FB32" s="101"/>
      <c r="FC32" s="101"/>
      <c r="FD32" s="101"/>
      <c r="FE32" s="101"/>
      <c r="FF32" s="101"/>
      <c r="FG32" s="101"/>
      <c r="FH32" s="101"/>
      <c r="FI32" s="101" t="s">
        <v>1345</v>
      </c>
      <c r="FJ32" s="101"/>
      <c r="FK32" s="101"/>
      <c r="FL32" s="101"/>
      <c r="FM32" s="101"/>
      <c r="FN32" s="101" t="s">
        <v>1109</v>
      </c>
      <c r="FO32" s="101"/>
      <c r="FP32" s="101"/>
      <c r="FQ32" s="101"/>
      <c r="FR32" s="101"/>
      <c r="FS32" s="101"/>
      <c r="FT32" s="101"/>
      <c r="FU32" s="101"/>
      <c r="FV32" s="101"/>
      <c r="FW32" s="101"/>
      <c r="FX32" s="101" t="s">
        <v>1110</v>
      </c>
      <c r="FY32" s="101"/>
      <c r="FZ32" s="101"/>
      <c r="GA32" s="101"/>
      <c r="GB32" s="101"/>
      <c r="GC32" s="101"/>
      <c r="GD32" s="101"/>
      <c r="GE32" s="101"/>
      <c r="GF32" s="101"/>
      <c r="GG32" s="101"/>
      <c r="GH32" s="101"/>
      <c r="GI32" s="101"/>
      <c r="GJ32" s="101"/>
      <c r="GK32" s="101"/>
      <c r="GL32" s="101"/>
      <c r="GM32" s="101"/>
      <c r="GN32" s="101"/>
      <c r="GO32" s="101"/>
      <c r="GP32" s="101" t="s">
        <v>1428</v>
      </c>
      <c r="GQ32" s="101"/>
      <c r="GR32" s="101"/>
      <c r="GS32" s="101"/>
      <c r="GT32" s="101"/>
      <c r="GU32" s="101"/>
      <c r="GV32" s="101"/>
      <c r="GW32" s="101"/>
      <c r="GX32" s="101"/>
    </row>
    <row r="33" spans="1:206" x14ac:dyDescent="0.2">
      <c r="A33" s="104" t="s">
        <v>60</v>
      </c>
      <c r="B33" s="104" t="s">
        <v>61</v>
      </c>
      <c r="C33" s="101"/>
      <c r="D33" s="101"/>
      <c r="E33" s="101"/>
      <c r="F33" s="101"/>
      <c r="G33" s="101"/>
      <c r="H33" s="101"/>
      <c r="I33" s="101"/>
      <c r="J33" s="101"/>
      <c r="K33" s="101"/>
      <c r="L33" s="101"/>
      <c r="M33" s="101"/>
      <c r="N33" s="101"/>
      <c r="O33" s="101"/>
      <c r="P33" s="101"/>
      <c r="Q33" s="101"/>
      <c r="R33" s="101"/>
      <c r="S33" s="101"/>
      <c r="T33" s="101"/>
      <c r="U33" s="101"/>
      <c r="V33" s="101"/>
      <c r="W33" s="101"/>
      <c r="X33" s="101"/>
      <c r="Y33" s="101"/>
      <c r="Z33" s="101"/>
      <c r="AA33" s="101"/>
      <c r="AB33" s="101"/>
      <c r="AC33" s="101"/>
      <c r="AD33" s="101"/>
      <c r="AE33" s="101"/>
      <c r="AF33" s="101"/>
      <c r="AG33" s="101"/>
      <c r="AH33" s="101"/>
      <c r="AI33" s="101"/>
      <c r="AJ33" s="101"/>
      <c r="AK33" s="101"/>
      <c r="AL33" s="101"/>
      <c r="AM33" s="101"/>
      <c r="AN33" s="101"/>
      <c r="AO33" s="101"/>
      <c r="AP33" s="101"/>
      <c r="AQ33" s="101"/>
      <c r="AR33" s="101"/>
      <c r="AS33" s="101"/>
      <c r="AT33" s="101"/>
      <c r="AU33" s="101"/>
      <c r="AV33" s="101"/>
      <c r="AW33" s="101"/>
      <c r="AX33" s="101"/>
      <c r="AY33" s="101"/>
      <c r="AZ33" s="101"/>
      <c r="BA33" s="101"/>
      <c r="BB33" s="101"/>
      <c r="BC33" s="101"/>
      <c r="BD33" s="101"/>
      <c r="BE33" s="101"/>
      <c r="BF33" s="101"/>
      <c r="BG33" s="101"/>
      <c r="BH33" s="101"/>
      <c r="BI33" s="101"/>
      <c r="BJ33" s="101"/>
      <c r="BK33" s="101"/>
      <c r="BL33" s="101"/>
      <c r="BM33" s="101"/>
      <c r="BN33" s="101"/>
      <c r="BO33" s="101"/>
      <c r="BP33" s="101"/>
      <c r="BQ33" s="101"/>
      <c r="BR33" s="101"/>
      <c r="BS33" s="101"/>
      <c r="BT33" s="101"/>
      <c r="BU33" s="101"/>
      <c r="BV33" s="101"/>
      <c r="BW33" s="101"/>
      <c r="BX33" s="101"/>
      <c r="BY33" s="101"/>
      <c r="BZ33" s="101"/>
      <c r="CA33" s="101"/>
      <c r="CB33" s="101"/>
      <c r="CC33" s="101"/>
      <c r="CD33" s="101"/>
      <c r="CE33" s="101"/>
      <c r="CF33" s="101"/>
      <c r="CG33" s="101"/>
      <c r="CH33" s="101"/>
      <c r="CI33" s="101"/>
      <c r="CJ33" s="101"/>
      <c r="CK33" s="101"/>
      <c r="CL33" s="101"/>
      <c r="CM33" s="101"/>
      <c r="CN33" s="101"/>
      <c r="CO33" s="101"/>
      <c r="CP33" s="101"/>
      <c r="CQ33" s="101"/>
      <c r="CR33" s="101"/>
      <c r="CS33" s="101"/>
      <c r="CT33" s="101"/>
      <c r="CU33" s="101"/>
      <c r="CV33" s="101"/>
      <c r="CW33" s="101"/>
      <c r="CX33" s="101"/>
      <c r="CY33" s="101"/>
      <c r="CZ33" s="101"/>
      <c r="DA33" s="101"/>
      <c r="DB33" s="101"/>
      <c r="DC33" s="101"/>
      <c r="DD33" s="101"/>
      <c r="DE33" s="101"/>
      <c r="DF33" s="101"/>
      <c r="DG33" s="101"/>
      <c r="DH33" s="101"/>
      <c r="DI33" s="101"/>
      <c r="DJ33" s="101"/>
      <c r="DK33" s="101"/>
      <c r="DL33" s="101"/>
      <c r="DM33" s="101" t="s">
        <v>743</v>
      </c>
      <c r="DN33" s="101"/>
      <c r="DO33" s="101"/>
      <c r="DP33" s="101"/>
      <c r="DQ33" s="101" t="s">
        <v>744</v>
      </c>
      <c r="DR33" s="101"/>
      <c r="DS33" s="101"/>
      <c r="DT33" s="101"/>
      <c r="DU33" s="101"/>
      <c r="DV33" s="101"/>
      <c r="DW33" s="101"/>
      <c r="DX33" s="101"/>
      <c r="DY33" s="101" t="s">
        <v>745</v>
      </c>
      <c r="DZ33" s="101"/>
      <c r="EA33" s="101"/>
      <c r="EB33" s="101"/>
      <c r="EC33" s="101"/>
      <c r="ED33" s="101" t="s">
        <v>746</v>
      </c>
      <c r="EE33" s="101"/>
      <c r="EF33" s="101"/>
      <c r="EG33" s="101"/>
      <c r="EH33" s="101"/>
      <c r="EI33" s="101"/>
      <c r="EJ33" s="101"/>
      <c r="EK33" s="101"/>
      <c r="EL33" s="101"/>
      <c r="EM33" s="101"/>
      <c r="EN33" s="101"/>
      <c r="EO33" s="101" t="s">
        <v>747</v>
      </c>
      <c r="EP33" s="101"/>
      <c r="EQ33" s="101"/>
      <c r="ER33" s="101"/>
      <c r="ES33" s="101"/>
      <c r="ET33" s="101"/>
      <c r="EU33" s="101"/>
      <c r="EV33" s="101"/>
      <c r="EW33" s="101"/>
      <c r="EX33" s="101"/>
      <c r="EY33" s="101"/>
      <c r="EZ33" s="101"/>
      <c r="FA33" s="101"/>
      <c r="FB33" s="101"/>
      <c r="FC33" s="101"/>
      <c r="FD33" s="101"/>
      <c r="FE33" s="101"/>
      <c r="FF33" s="101"/>
      <c r="FG33" s="101"/>
      <c r="FH33" s="101"/>
      <c r="FI33" s="101"/>
      <c r="FJ33" s="101"/>
      <c r="FK33" s="101"/>
      <c r="FL33" s="101"/>
      <c r="FM33" s="101"/>
      <c r="FN33" s="101"/>
      <c r="FO33" s="101"/>
      <c r="FP33" s="101"/>
      <c r="FQ33" s="101"/>
      <c r="FR33" s="101"/>
      <c r="FS33" s="101"/>
      <c r="FT33" s="101"/>
      <c r="FU33" s="101"/>
      <c r="FV33" s="101"/>
      <c r="FW33" s="101"/>
      <c r="FX33" s="101"/>
      <c r="FY33" s="101"/>
      <c r="FZ33" s="101"/>
      <c r="GA33" s="101"/>
      <c r="GB33" s="101"/>
      <c r="GC33" s="101"/>
      <c r="GD33" s="101"/>
      <c r="GE33" s="101" t="s">
        <v>748</v>
      </c>
      <c r="GF33" s="101"/>
      <c r="GG33" s="101"/>
      <c r="GH33" s="101"/>
      <c r="GI33" s="101"/>
      <c r="GJ33" s="101"/>
      <c r="GK33" s="101"/>
      <c r="GL33" s="101"/>
      <c r="GM33" s="101"/>
      <c r="GN33" s="101"/>
      <c r="GO33" s="101"/>
      <c r="GP33" s="101"/>
      <c r="GQ33" s="101"/>
      <c r="GR33" s="101"/>
      <c r="GS33" s="101" t="s">
        <v>1253</v>
      </c>
      <c r="GT33" s="101"/>
      <c r="GU33" s="101"/>
      <c r="GV33" s="101"/>
      <c r="GW33" s="101"/>
      <c r="GX33" s="101"/>
    </row>
    <row r="34" spans="1:206" x14ac:dyDescent="0.2">
      <c r="A34" s="104" t="s">
        <v>32</v>
      </c>
      <c r="B34" s="104" t="s">
        <v>116</v>
      </c>
      <c r="C34" s="101"/>
      <c r="D34" s="101"/>
      <c r="E34" s="101"/>
      <c r="F34" s="101"/>
      <c r="G34" s="101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1"/>
      <c r="AR34" s="101"/>
      <c r="AS34" s="101"/>
      <c r="AT34" s="101"/>
      <c r="AU34" s="101"/>
      <c r="AV34" s="101"/>
      <c r="AW34" s="101" t="s">
        <v>750</v>
      </c>
      <c r="AX34" s="101"/>
      <c r="AY34" s="101"/>
      <c r="AZ34" s="101"/>
      <c r="BA34" s="101"/>
      <c r="BB34" s="101"/>
      <c r="BC34" s="101"/>
      <c r="BD34" s="101"/>
      <c r="BE34" s="101"/>
      <c r="BF34" s="101"/>
      <c r="BG34" s="101"/>
      <c r="BH34" s="101"/>
      <c r="BI34" s="101" t="s">
        <v>751</v>
      </c>
      <c r="BJ34" s="101"/>
      <c r="BK34" s="101" t="s">
        <v>752</v>
      </c>
      <c r="BL34" s="101"/>
      <c r="BM34" s="101"/>
      <c r="BN34" s="101"/>
      <c r="BO34" s="101" t="s">
        <v>753</v>
      </c>
      <c r="BP34" s="101"/>
      <c r="BQ34" s="101"/>
      <c r="BR34" s="101"/>
      <c r="BS34" s="101"/>
      <c r="BT34" s="101"/>
      <c r="BU34" s="101"/>
      <c r="BV34" s="101"/>
      <c r="BW34" s="101"/>
      <c r="BX34" s="101"/>
      <c r="BY34" s="101"/>
      <c r="BZ34" s="101"/>
      <c r="CA34" s="101"/>
      <c r="CB34" s="101"/>
      <c r="CC34" s="101"/>
      <c r="CD34" s="101"/>
      <c r="CE34" s="101"/>
      <c r="CF34" s="101"/>
      <c r="CG34" s="101"/>
      <c r="CH34" s="101"/>
      <c r="CI34" s="101"/>
      <c r="CJ34" s="101"/>
      <c r="CK34" s="101"/>
      <c r="CL34" s="101"/>
      <c r="CM34" s="101"/>
      <c r="CN34" s="101"/>
      <c r="CO34" s="101"/>
      <c r="CP34" s="101"/>
      <c r="CQ34" s="101"/>
      <c r="CR34" s="101"/>
      <c r="CS34" s="101"/>
      <c r="CT34" s="101"/>
      <c r="CU34" s="101"/>
      <c r="CV34" s="101"/>
      <c r="CW34" s="101"/>
      <c r="CX34" s="101"/>
      <c r="CY34" s="101"/>
      <c r="CZ34" s="101"/>
      <c r="DA34" s="101"/>
      <c r="DB34" s="101"/>
      <c r="DC34" s="101"/>
      <c r="DD34" s="101"/>
      <c r="DE34" s="101"/>
      <c r="DF34" s="101"/>
      <c r="DG34" s="101"/>
      <c r="DH34" s="101"/>
      <c r="DI34" s="101"/>
      <c r="DJ34" s="101"/>
      <c r="DK34" s="101"/>
      <c r="DL34" s="101"/>
      <c r="DM34" s="101"/>
      <c r="DN34" s="101"/>
      <c r="DO34" s="101"/>
      <c r="DP34" s="101"/>
      <c r="DQ34" s="101"/>
      <c r="DR34" s="101"/>
      <c r="DS34" s="101"/>
      <c r="DT34" s="101"/>
      <c r="DU34" s="101"/>
      <c r="DV34" s="101"/>
      <c r="DW34" s="101"/>
      <c r="DX34" s="101"/>
      <c r="DY34" s="101"/>
      <c r="DZ34" s="101"/>
      <c r="EA34" s="101"/>
      <c r="EB34" s="101"/>
      <c r="EC34" s="101"/>
      <c r="ED34" s="101"/>
      <c r="EE34" s="101"/>
      <c r="EF34" s="101"/>
      <c r="EG34" s="101" t="s">
        <v>755</v>
      </c>
      <c r="EH34" s="101"/>
      <c r="EI34" s="101"/>
      <c r="EJ34" s="101"/>
      <c r="EK34" s="101"/>
      <c r="EL34" s="101"/>
      <c r="EM34" s="101"/>
      <c r="EN34" s="101"/>
      <c r="EO34" s="101"/>
      <c r="EP34" s="101"/>
      <c r="EQ34" s="101"/>
      <c r="ER34" s="101" t="s">
        <v>1394</v>
      </c>
      <c r="ES34" s="101"/>
      <c r="ET34" s="101"/>
      <c r="EU34" s="101"/>
      <c r="EV34" s="101"/>
      <c r="EW34" s="101"/>
      <c r="EX34" s="101"/>
      <c r="EY34" s="101"/>
      <c r="EZ34" s="101"/>
      <c r="FA34" s="101"/>
      <c r="FB34" s="101"/>
      <c r="FC34" s="101"/>
      <c r="FD34" s="101"/>
      <c r="FE34" s="101"/>
      <c r="FF34" s="101"/>
      <c r="FG34" s="101"/>
      <c r="FH34" s="101"/>
      <c r="FI34" s="101"/>
      <c r="FJ34" s="101"/>
      <c r="FK34" s="101"/>
      <c r="FL34" s="101"/>
      <c r="FM34" s="101"/>
      <c r="FN34" s="101"/>
      <c r="FO34" s="101"/>
      <c r="FP34" s="101"/>
      <c r="FQ34" s="101"/>
      <c r="FR34" s="101"/>
      <c r="FS34" s="101" t="s">
        <v>757</v>
      </c>
      <c r="FT34" s="101"/>
      <c r="FU34" s="101"/>
      <c r="FV34" s="101"/>
      <c r="FW34" s="101" t="s">
        <v>758</v>
      </c>
      <c r="FX34" s="101"/>
      <c r="FY34" s="101"/>
      <c r="FZ34" s="101"/>
      <c r="GA34" s="101"/>
      <c r="GB34" s="101"/>
      <c r="GC34" s="101"/>
      <c r="GD34" s="101"/>
      <c r="GE34" s="101"/>
      <c r="GF34" s="101"/>
      <c r="GG34" s="101"/>
      <c r="GH34" s="101"/>
      <c r="GI34" s="101"/>
      <c r="GJ34" s="101"/>
      <c r="GK34" s="101"/>
      <c r="GL34" s="101"/>
      <c r="GM34" s="101" t="s">
        <v>1422</v>
      </c>
      <c r="GN34" s="101"/>
      <c r="GO34" s="101"/>
      <c r="GP34" s="101"/>
      <c r="GQ34" s="101"/>
      <c r="GR34" s="101"/>
      <c r="GS34" s="101"/>
      <c r="GT34" s="101"/>
      <c r="GU34" s="101"/>
      <c r="GV34" s="101"/>
      <c r="GW34" s="101"/>
      <c r="GX34" s="101"/>
    </row>
    <row r="35" spans="1:206" x14ac:dyDescent="0.2">
      <c r="A35" s="104" t="s">
        <v>33</v>
      </c>
      <c r="B35" s="104" t="s">
        <v>34</v>
      </c>
      <c r="C35" s="101"/>
      <c r="D35" s="101"/>
      <c r="E35" s="101"/>
      <c r="F35" s="101"/>
      <c r="G35" s="101" t="s">
        <v>1254</v>
      </c>
      <c r="H35" s="101"/>
      <c r="I35" s="101" t="s">
        <v>762</v>
      </c>
      <c r="J35" s="101"/>
      <c r="K35" s="101"/>
      <c r="L35" s="101"/>
      <c r="M35" s="101"/>
      <c r="N35" s="101"/>
      <c r="O35" s="101"/>
      <c r="P35" s="101"/>
      <c r="Q35" s="101" t="s">
        <v>1255</v>
      </c>
      <c r="R35" s="101"/>
      <c r="S35" s="101"/>
      <c r="T35" s="101"/>
      <c r="U35" s="101"/>
      <c r="V35" s="101"/>
      <c r="W35" s="101"/>
      <c r="X35" s="101"/>
      <c r="Y35" s="101"/>
      <c r="Z35" s="101"/>
      <c r="AA35" s="101"/>
      <c r="AB35" s="101"/>
      <c r="AC35" s="101"/>
      <c r="AD35" s="101"/>
      <c r="AE35" s="101"/>
      <c r="AF35" s="101"/>
      <c r="AG35" s="101"/>
      <c r="AH35" s="101"/>
      <c r="AI35" s="101"/>
      <c r="AJ35" s="101"/>
      <c r="AK35" s="101"/>
      <c r="AL35" s="101"/>
      <c r="AM35" s="101"/>
      <c r="AN35" s="101"/>
      <c r="AO35" s="101"/>
      <c r="AP35" s="101" t="s">
        <v>767</v>
      </c>
      <c r="AQ35" s="101"/>
      <c r="AR35" s="101"/>
      <c r="AS35" s="101"/>
      <c r="AT35" s="101"/>
      <c r="AU35" s="101"/>
      <c r="AV35" s="101"/>
      <c r="AW35" s="101"/>
      <c r="AX35" s="101"/>
      <c r="AY35" s="101"/>
      <c r="AZ35" s="101"/>
      <c r="BA35" s="101"/>
      <c r="BB35" s="101" t="s">
        <v>1256</v>
      </c>
      <c r="BC35" s="101"/>
      <c r="BD35" s="101"/>
      <c r="BE35" s="101"/>
      <c r="BF35" s="101"/>
      <c r="BG35" s="101"/>
      <c r="BH35" s="101"/>
      <c r="BI35" s="101"/>
      <c r="BJ35" s="101"/>
      <c r="BK35" s="101"/>
      <c r="BL35" s="101"/>
      <c r="BM35" s="101"/>
      <c r="BN35" s="101" t="s">
        <v>1257</v>
      </c>
      <c r="BO35" s="101"/>
      <c r="BP35" s="101"/>
      <c r="BQ35" s="101"/>
      <c r="BR35" s="101"/>
      <c r="BS35" s="101"/>
      <c r="BT35" s="101"/>
      <c r="BU35" s="101"/>
      <c r="BV35" s="101"/>
      <c r="BW35" s="101"/>
      <c r="BX35" s="101"/>
      <c r="BY35" s="101"/>
      <c r="BZ35" s="101"/>
      <c r="CA35" s="101" t="s">
        <v>771</v>
      </c>
      <c r="CB35" s="101"/>
      <c r="CC35" s="101"/>
      <c r="CD35" s="101"/>
      <c r="CE35" s="101"/>
      <c r="CF35" s="101"/>
      <c r="CG35" s="101"/>
      <c r="CH35" s="101"/>
      <c r="CI35" s="101"/>
      <c r="CJ35" s="101" t="s">
        <v>772</v>
      </c>
      <c r="CK35" s="101"/>
      <c r="CL35" s="101"/>
      <c r="CM35" s="101"/>
      <c r="CN35" s="101"/>
      <c r="CO35" s="101" t="s">
        <v>1258</v>
      </c>
      <c r="CP35" s="101"/>
      <c r="CQ35" s="101"/>
      <c r="CR35" s="101"/>
      <c r="CS35" s="101"/>
      <c r="CT35" s="101"/>
      <c r="CU35" s="101"/>
      <c r="CV35" s="101"/>
      <c r="CW35" s="101"/>
      <c r="CX35" s="101"/>
      <c r="CY35" s="101" t="s">
        <v>1357</v>
      </c>
      <c r="CZ35" s="101"/>
      <c r="DA35" s="101"/>
      <c r="DB35" s="101"/>
      <c r="DC35" s="101"/>
      <c r="DD35" s="101"/>
      <c r="DE35" s="101"/>
      <c r="DF35" s="101" t="s">
        <v>1259</v>
      </c>
      <c r="DG35" s="101"/>
      <c r="DH35" s="101"/>
      <c r="DI35" s="101"/>
      <c r="DJ35" s="101" t="s">
        <v>776</v>
      </c>
      <c r="DK35" s="101"/>
      <c r="DL35" s="101"/>
      <c r="DM35" s="101"/>
      <c r="DN35" s="101"/>
      <c r="DO35" s="101"/>
      <c r="DP35" s="101" t="s">
        <v>1260</v>
      </c>
      <c r="DQ35" s="101"/>
      <c r="DR35" s="101" t="s">
        <v>1260</v>
      </c>
      <c r="DS35" s="101"/>
      <c r="DT35" s="101"/>
      <c r="DU35" s="101"/>
      <c r="DV35" s="101"/>
      <c r="DW35" s="101"/>
      <c r="DX35" s="101"/>
      <c r="DY35" s="101"/>
      <c r="DZ35" s="101" t="s">
        <v>1261</v>
      </c>
      <c r="EA35" s="101"/>
      <c r="EB35" s="101"/>
      <c r="EC35" s="101" t="s">
        <v>1366</v>
      </c>
      <c r="ED35" s="101"/>
      <c r="EE35" s="101"/>
      <c r="EF35" s="101"/>
      <c r="EG35" s="101" t="s">
        <v>1262</v>
      </c>
      <c r="EH35" s="101"/>
      <c r="EI35" s="101"/>
      <c r="EJ35" s="101"/>
      <c r="EK35" s="101"/>
      <c r="EL35" s="101"/>
      <c r="EM35" s="101"/>
      <c r="EN35" s="101"/>
      <c r="EO35" s="101"/>
      <c r="EP35" s="101"/>
      <c r="EQ35" s="101"/>
      <c r="ER35" s="101" t="s">
        <v>1393</v>
      </c>
      <c r="ES35" s="101"/>
      <c r="ET35" s="101"/>
      <c r="EU35" s="101"/>
      <c r="EV35" s="101"/>
      <c r="EW35" s="101"/>
      <c r="EX35" s="101"/>
      <c r="EY35" s="101"/>
      <c r="EZ35" s="101" t="s">
        <v>762</v>
      </c>
      <c r="FA35" s="101"/>
      <c r="FB35" s="101"/>
      <c r="FC35" s="101"/>
      <c r="FD35" s="101" t="s">
        <v>1411</v>
      </c>
      <c r="FE35" s="101"/>
      <c r="FF35" s="101" t="s">
        <v>1263</v>
      </c>
      <c r="FG35" s="101"/>
      <c r="FH35" s="101"/>
      <c r="FI35" s="101"/>
      <c r="FJ35" s="101"/>
      <c r="FK35" s="101"/>
      <c r="FL35" s="101"/>
      <c r="FM35" s="101"/>
      <c r="FN35" s="101"/>
      <c r="FO35" s="101"/>
      <c r="FP35" s="101"/>
      <c r="FQ35" s="101"/>
      <c r="FR35" s="101"/>
      <c r="FS35" s="101"/>
      <c r="FT35" s="101"/>
      <c r="FU35" s="101"/>
      <c r="FV35" s="101"/>
      <c r="FW35" s="101"/>
      <c r="FX35" s="101"/>
      <c r="FY35" s="101"/>
      <c r="FZ35" s="101"/>
      <c r="GA35" s="101"/>
      <c r="GB35" s="101"/>
      <c r="GC35" s="101"/>
      <c r="GD35" s="101"/>
      <c r="GE35" s="101"/>
      <c r="GF35" s="101"/>
      <c r="GG35" s="101"/>
      <c r="GH35" s="101"/>
      <c r="GI35" s="101" t="s">
        <v>1264</v>
      </c>
      <c r="GJ35" s="101" t="s">
        <v>1411</v>
      </c>
      <c r="GK35" s="101"/>
      <c r="GL35" s="101"/>
      <c r="GM35" s="101"/>
      <c r="GN35" s="101"/>
      <c r="GO35" s="101" t="s">
        <v>498</v>
      </c>
      <c r="GP35" s="101"/>
      <c r="GQ35" s="101"/>
      <c r="GR35" s="101"/>
      <c r="GS35" s="101"/>
      <c r="GT35" s="101"/>
      <c r="GU35" s="101"/>
      <c r="GV35" s="101"/>
      <c r="GW35" s="101"/>
      <c r="GX35" s="101"/>
    </row>
    <row r="36" spans="1:206" x14ac:dyDescent="0.2">
      <c r="A36" s="104" t="s">
        <v>90</v>
      </c>
      <c r="B36" s="104" t="s">
        <v>93</v>
      </c>
      <c r="C36" s="101"/>
      <c r="D36" s="101"/>
      <c r="E36" s="101"/>
      <c r="F36" s="101"/>
      <c r="G36" s="101"/>
      <c r="H36" s="101"/>
      <c r="I36" s="101"/>
      <c r="J36" s="101"/>
      <c r="K36" s="101"/>
      <c r="L36" s="101"/>
      <c r="M36" s="101"/>
      <c r="N36" s="101"/>
      <c r="O36" s="101" t="s">
        <v>785</v>
      </c>
      <c r="P36" s="101"/>
      <c r="Q36" s="101"/>
      <c r="R36" s="101"/>
      <c r="S36" s="101"/>
      <c r="T36" s="101" t="s">
        <v>1265</v>
      </c>
      <c r="U36" s="101"/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1"/>
      <c r="AV36" s="101"/>
      <c r="AW36" s="101"/>
      <c r="AX36" s="101"/>
      <c r="AY36" s="101"/>
      <c r="AZ36" s="101"/>
      <c r="BA36" s="101"/>
      <c r="BB36" s="101"/>
      <c r="BC36" s="101"/>
      <c r="BD36" s="101"/>
      <c r="BE36" s="101"/>
      <c r="BF36" s="101"/>
      <c r="BG36" s="101"/>
      <c r="BH36" s="101"/>
      <c r="BI36" s="101"/>
      <c r="BJ36" s="101"/>
      <c r="BK36" s="101"/>
      <c r="BL36" s="101"/>
      <c r="BM36" s="101"/>
      <c r="BN36" s="101"/>
      <c r="BO36" s="101"/>
      <c r="BP36" s="101"/>
      <c r="BQ36" s="101"/>
      <c r="BR36" s="101"/>
      <c r="BS36" s="101"/>
      <c r="BT36" s="101"/>
      <c r="BU36" s="101"/>
      <c r="BV36" s="101"/>
      <c r="BW36" s="101"/>
      <c r="BX36" s="101"/>
      <c r="BY36" s="101"/>
      <c r="BZ36" s="101"/>
      <c r="CA36" s="101"/>
      <c r="CB36" s="101"/>
      <c r="CC36" s="101"/>
      <c r="CD36" s="101"/>
      <c r="CE36" s="101"/>
      <c r="CF36" s="101"/>
      <c r="CG36" s="101"/>
      <c r="CH36" s="101"/>
      <c r="CI36" s="101"/>
      <c r="CJ36" s="101"/>
      <c r="CK36" s="101"/>
      <c r="CL36" s="101"/>
      <c r="CM36" s="101"/>
      <c r="CN36" s="101"/>
      <c r="CO36" s="101"/>
      <c r="CP36" s="101"/>
      <c r="CQ36" s="101" t="s">
        <v>1266</v>
      </c>
      <c r="CR36" s="101"/>
      <c r="CS36" s="101"/>
      <c r="CT36" s="101"/>
      <c r="CU36" s="101"/>
      <c r="CV36" s="101"/>
      <c r="CW36" s="101"/>
      <c r="CX36" s="101"/>
      <c r="CY36" s="101"/>
      <c r="CZ36" s="101"/>
      <c r="DA36" s="101"/>
      <c r="DB36" s="101"/>
      <c r="DC36" s="101"/>
      <c r="DD36" s="101"/>
      <c r="DE36" s="101"/>
      <c r="DF36" s="101"/>
      <c r="DG36" s="101"/>
      <c r="DH36" s="101"/>
      <c r="DI36" s="101"/>
      <c r="DJ36" s="101"/>
      <c r="DK36" s="101"/>
      <c r="DL36" s="101"/>
      <c r="DM36" s="101"/>
      <c r="DN36" s="101" t="s">
        <v>789</v>
      </c>
      <c r="DO36" s="101"/>
      <c r="DP36" s="101"/>
      <c r="DQ36" s="101"/>
      <c r="DR36" s="101"/>
      <c r="DS36" s="101" t="s">
        <v>790</v>
      </c>
      <c r="DT36" s="101"/>
      <c r="DU36" s="101"/>
      <c r="DV36" s="101"/>
      <c r="DW36" s="101"/>
      <c r="DX36" s="101" t="s">
        <v>791</v>
      </c>
      <c r="DY36" s="101"/>
      <c r="DZ36" s="101"/>
      <c r="EA36" s="101"/>
      <c r="EB36" s="101"/>
      <c r="EC36" s="101"/>
      <c r="ED36" s="101"/>
      <c r="EE36" s="101"/>
      <c r="EF36" s="101"/>
      <c r="EG36" s="101" t="s">
        <v>1377</v>
      </c>
      <c r="EH36" s="101"/>
      <c r="EI36" s="101"/>
      <c r="EJ36" s="101"/>
      <c r="EK36" s="101"/>
      <c r="EL36" s="101"/>
      <c r="EM36" s="101"/>
      <c r="EN36" s="101" t="s">
        <v>793</v>
      </c>
      <c r="EO36" s="101"/>
      <c r="EP36" s="101"/>
      <c r="EQ36" s="101"/>
      <c r="ER36" s="101" t="s">
        <v>1267</v>
      </c>
      <c r="ES36" s="101"/>
      <c r="ET36" s="101"/>
      <c r="EU36" s="101"/>
      <c r="EV36" s="101"/>
      <c r="EW36" s="101"/>
      <c r="EX36" s="101"/>
      <c r="EY36" s="101"/>
      <c r="EZ36" s="101"/>
      <c r="FA36" s="101"/>
      <c r="FB36" s="101"/>
      <c r="FC36" s="101"/>
      <c r="FD36" s="101"/>
      <c r="FE36" s="101"/>
      <c r="FF36" s="101"/>
      <c r="FG36" s="101"/>
      <c r="FH36" s="101"/>
      <c r="FI36" s="101"/>
      <c r="FJ36" s="101"/>
      <c r="FK36" s="101"/>
      <c r="FL36" s="101"/>
      <c r="FM36" s="101"/>
      <c r="FN36" s="101" t="s">
        <v>796</v>
      </c>
      <c r="FO36" s="101"/>
      <c r="FP36" s="101"/>
      <c r="FQ36" s="101"/>
      <c r="FR36" s="101"/>
      <c r="FS36" s="101"/>
      <c r="FT36" s="101"/>
      <c r="FU36" s="101"/>
      <c r="FV36" s="101"/>
      <c r="FW36" s="101"/>
      <c r="FX36" s="101"/>
      <c r="FY36" s="101"/>
      <c r="FZ36" s="101"/>
      <c r="GA36" s="101"/>
      <c r="GB36" s="101"/>
      <c r="GC36" s="101"/>
      <c r="GD36" s="101"/>
      <c r="GE36" s="101"/>
      <c r="GF36" s="101"/>
      <c r="GG36" s="101"/>
      <c r="GH36" s="101"/>
      <c r="GI36" s="101"/>
      <c r="GJ36" s="101"/>
      <c r="GK36" s="101"/>
      <c r="GL36" s="101" t="s">
        <v>1421</v>
      </c>
      <c r="GM36" s="101"/>
      <c r="GN36" s="101"/>
      <c r="GO36" s="101"/>
      <c r="GP36" s="101"/>
      <c r="GQ36" s="101"/>
      <c r="GR36" s="101"/>
      <c r="GS36" s="101"/>
      <c r="GT36" s="101"/>
      <c r="GU36" s="101"/>
      <c r="GV36" s="101"/>
      <c r="GW36" s="101"/>
      <c r="GX36" s="101"/>
    </row>
    <row r="37" spans="1:206" x14ac:dyDescent="0.2">
      <c r="A37" s="104" t="s">
        <v>89</v>
      </c>
      <c r="B37" s="104" t="s">
        <v>92</v>
      </c>
      <c r="C37" s="101"/>
      <c r="D37" s="101"/>
      <c r="E37" s="101"/>
      <c r="F37" s="101"/>
      <c r="G37" s="101"/>
      <c r="H37" s="101" t="s">
        <v>1338</v>
      </c>
      <c r="I37" s="101"/>
      <c r="J37" s="101"/>
      <c r="K37" s="101"/>
      <c r="L37" s="101"/>
      <c r="M37" s="101"/>
      <c r="N37" s="101"/>
      <c r="O37" s="101"/>
      <c r="P37" s="101"/>
      <c r="Q37" s="101"/>
      <c r="R37" s="101"/>
      <c r="S37" s="101"/>
      <c r="T37" s="101"/>
      <c r="U37" s="101"/>
      <c r="V37" s="101"/>
      <c r="W37" s="101" t="s">
        <v>1268</v>
      </c>
      <c r="X37" s="101"/>
      <c r="Y37" s="101"/>
      <c r="Z37" s="101"/>
      <c r="AA37" s="101"/>
      <c r="AB37" s="101"/>
      <c r="AC37" s="101"/>
      <c r="AD37" s="101"/>
      <c r="AE37" s="101"/>
      <c r="AF37" s="101"/>
      <c r="AG37" s="101"/>
      <c r="AH37" s="101"/>
      <c r="AI37" s="101"/>
      <c r="AJ37" s="101"/>
      <c r="AK37" s="101"/>
      <c r="AL37" s="101" t="s">
        <v>1347</v>
      </c>
      <c r="AM37" s="101"/>
      <c r="AN37" s="101"/>
      <c r="AO37" s="101"/>
      <c r="AP37" s="101"/>
      <c r="AQ37" s="101"/>
      <c r="AR37" s="101"/>
      <c r="AS37" s="101"/>
      <c r="AT37" s="101"/>
      <c r="AU37" s="101"/>
      <c r="AV37" s="101"/>
      <c r="AW37" s="101"/>
      <c r="AX37" s="101"/>
      <c r="AY37" s="101"/>
      <c r="AZ37" s="101"/>
      <c r="BA37" s="101"/>
      <c r="BB37" s="101"/>
      <c r="BC37" s="101" t="s">
        <v>1269</v>
      </c>
      <c r="BD37" s="101"/>
      <c r="BE37" s="101"/>
      <c r="BF37" s="101"/>
      <c r="BG37" s="101"/>
      <c r="BH37" s="101"/>
      <c r="BI37" s="101"/>
      <c r="BJ37" s="101"/>
      <c r="BK37" s="101"/>
      <c r="BL37" s="101"/>
      <c r="BM37" s="101"/>
      <c r="BN37" s="101"/>
      <c r="BO37" s="101"/>
      <c r="BP37" s="101"/>
      <c r="BQ37" s="101"/>
      <c r="BR37" s="101"/>
      <c r="BS37" s="101"/>
      <c r="BT37" s="101"/>
      <c r="BU37" s="101"/>
      <c r="BV37" s="101"/>
      <c r="BW37" s="101"/>
      <c r="BX37" s="101"/>
      <c r="BY37" s="101"/>
      <c r="BZ37" s="101"/>
      <c r="CA37" s="101"/>
      <c r="CB37" s="101"/>
      <c r="CC37" s="101"/>
      <c r="CD37" s="101"/>
      <c r="CE37" s="101"/>
      <c r="CF37" s="101"/>
      <c r="CG37" s="101"/>
      <c r="CH37" s="101"/>
      <c r="CI37" s="101"/>
      <c r="CJ37" s="101"/>
      <c r="CK37" s="101"/>
      <c r="CL37" s="101"/>
      <c r="CM37" s="101"/>
      <c r="CN37" s="101"/>
      <c r="CO37" s="101"/>
      <c r="CP37" s="101"/>
      <c r="CQ37" s="101"/>
      <c r="CR37" s="101"/>
      <c r="CS37" s="101"/>
      <c r="CT37" s="101"/>
      <c r="CU37" s="101"/>
      <c r="CV37" s="101"/>
      <c r="CW37" s="101"/>
      <c r="CX37" s="101"/>
      <c r="CY37" s="101" t="s">
        <v>1358</v>
      </c>
      <c r="CZ37" s="101"/>
      <c r="DA37" s="101"/>
      <c r="DB37" s="101"/>
      <c r="DC37" s="101"/>
      <c r="DD37" s="101"/>
      <c r="DE37" s="101"/>
      <c r="DF37" s="101"/>
      <c r="DG37" s="101"/>
      <c r="DH37" s="101"/>
      <c r="DI37" s="101"/>
      <c r="DJ37" s="101"/>
      <c r="DK37" s="101"/>
      <c r="DL37" s="101"/>
      <c r="DM37" s="101"/>
      <c r="DN37" s="101"/>
      <c r="DO37" s="101"/>
      <c r="DP37" s="101"/>
      <c r="DQ37" s="101"/>
      <c r="DR37" s="101"/>
      <c r="DS37" s="101"/>
      <c r="DT37" s="101" t="s">
        <v>1270</v>
      </c>
      <c r="DU37" s="101" t="s">
        <v>807</v>
      </c>
      <c r="DV37" s="101"/>
      <c r="DW37" s="101"/>
      <c r="DX37" s="101"/>
      <c r="DY37" s="101"/>
      <c r="DZ37" s="101"/>
      <c r="EA37" s="101"/>
      <c r="EB37" s="101"/>
      <c r="EC37" s="101"/>
      <c r="ED37" s="101"/>
      <c r="EE37" s="101"/>
      <c r="EF37" s="101" t="s">
        <v>1271</v>
      </c>
      <c r="EG37" s="101" t="s">
        <v>1376</v>
      </c>
      <c r="EH37" s="101"/>
      <c r="EI37" s="101"/>
      <c r="EJ37" s="101"/>
      <c r="EK37" s="101"/>
      <c r="EL37" s="101"/>
      <c r="EM37" s="101"/>
      <c r="EN37" s="101"/>
      <c r="EO37" s="101"/>
      <c r="EP37" s="101"/>
      <c r="EQ37" s="101"/>
      <c r="ER37" s="101" t="s">
        <v>1392</v>
      </c>
      <c r="ES37" s="101" t="s">
        <v>1404</v>
      </c>
      <c r="ET37" s="101"/>
      <c r="EU37" s="101"/>
      <c r="EV37" s="101"/>
      <c r="EW37" s="101"/>
      <c r="EX37" s="101" t="s">
        <v>1405</v>
      </c>
      <c r="EY37" s="101"/>
      <c r="EZ37" s="101"/>
      <c r="FA37" s="101"/>
      <c r="FB37" s="101"/>
      <c r="FC37" s="101" t="s">
        <v>1376</v>
      </c>
      <c r="FD37" s="101" t="s">
        <v>1272</v>
      </c>
      <c r="FE37" s="101"/>
      <c r="FF37" s="101"/>
      <c r="FG37" s="101"/>
      <c r="FH37" s="101"/>
      <c r="FI37" s="101"/>
      <c r="FJ37" s="101"/>
      <c r="FK37" s="101"/>
      <c r="FL37" s="101"/>
      <c r="FM37" s="101"/>
      <c r="FN37" s="101"/>
      <c r="FO37" s="101" t="s">
        <v>1415</v>
      </c>
      <c r="FP37" s="101"/>
      <c r="FQ37" s="101"/>
      <c r="FR37" s="101"/>
      <c r="FS37" s="101"/>
      <c r="FT37" s="101"/>
      <c r="FU37" s="101"/>
      <c r="FV37" s="101"/>
      <c r="FW37" s="101"/>
      <c r="FX37" s="101" t="s">
        <v>816</v>
      </c>
      <c r="FY37" s="101"/>
      <c r="FZ37" s="101"/>
      <c r="GA37" s="101"/>
      <c r="GB37" s="101"/>
      <c r="GC37" s="101"/>
      <c r="GD37" s="101"/>
      <c r="GE37" s="101"/>
      <c r="GF37" s="101"/>
      <c r="GG37" s="101"/>
      <c r="GH37" s="101"/>
      <c r="GI37" s="101"/>
      <c r="GJ37" s="101"/>
      <c r="GK37" s="101"/>
      <c r="GL37" s="101" t="s">
        <v>1420</v>
      </c>
      <c r="GM37" s="101"/>
      <c r="GN37" s="101"/>
      <c r="GO37" s="101"/>
      <c r="GP37" s="101"/>
      <c r="GQ37" s="101"/>
      <c r="GR37" s="101"/>
      <c r="GS37" s="101" t="s">
        <v>818</v>
      </c>
      <c r="GT37" s="101"/>
      <c r="GU37" s="101" t="s">
        <v>1273</v>
      </c>
      <c r="GV37" s="101"/>
      <c r="GW37" s="101"/>
      <c r="GX37" s="101"/>
    </row>
    <row r="38" spans="1:206" x14ac:dyDescent="0.2">
      <c r="A38" s="104" t="s">
        <v>88</v>
      </c>
      <c r="B38" s="104" t="s">
        <v>91</v>
      </c>
      <c r="C38" s="101"/>
      <c r="D38" s="101" t="s">
        <v>1274</v>
      </c>
      <c r="E38" s="101"/>
      <c r="F38" s="101"/>
      <c r="G38" s="101"/>
      <c r="H38" s="101" t="s">
        <v>821</v>
      </c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/>
      <c r="V38" s="101"/>
      <c r="W38" s="101"/>
      <c r="X38" s="101"/>
      <c r="Y38" s="101"/>
      <c r="Z38" s="101"/>
      <c r="AA38" s="101"/>
      <c r="AB38" s="101"/>
      <c r="AC38" s="101"/>
      <c r="AD38" s="101"/>
      <c r="AE38" s="101" t="s">
        <v>1275</v>
      </c>
      <c r="AF38" s="101"/>
      <c r="AG38" s="101"/>
      <c r="AH38" s="101"/>
      <c r="AI38" s="101"/>
      <c r="AJ38" s="101"/>
      <c r="AK38" s="101"/>
      <c r="AL38" s="101"/>
      <c r="AM38" s="101"/>
      <c r="AN38" s="101"/>
      <c r="AO38" s="101"/>
      <c r="AP38" s="101"/>
      <c r="AQ38" s="101"/>
      <c r="AR38" s="101"/>
      <c r="AS38" s="101"/>
      <c r="AT38" s="101"/>
      <c r="AU38" s="101"/>
      <c r="AV38" s="101"/>
      <c r="AW38" s="101"/>
      <c r="AX38" s="101"/>
      <c r="AY38" s="101"/>
      <c r="AZ38" s="101"/>
      <c r="BA38" s="101"/>
      <c r="BB38" s="101"/>
      <c r="BC38" s="101"/>
      <c r="BD38" s="101"/>
      <c r="BE38" s="101"/>
      <c r="BF38" s="101" t="s">
        <v>1276</v>
      </c>
      <c r="BG38" s="101"/>
      <c r="BH38" s="101"/>
      <c r="BI38" s="101"/>
      <c r="BJ38" s="101"/>
      <c r="BK38" s="101"/>
      <c r="BL38" s="101"/>
      <c r="BM38" s="101"/>
      <c r="BN38" s="101"/>
      <c r="BO38" s="101"/>
      <c r="BP38" s="101"/>
      <c r="BQ38" s="101"/>
      <c r="BR38" s="101"/>
      <c r="BS38" s="101"/>
      <c r="BT38" s="101"/>
      <c r="BU38" s="101"/>
      <c r="BV38" s="101"/>
      <c r="BW38" s="101"/>
      <c r="BX38" s="101"/>
      <c r="BY38" s="101"/>
      <c r="BZ38" s="101"/>
      <c r="CA38" s="101"/>
      <c r="CB38" s="101"/>
      <c r="CC38" s="101"/>
      <c r="CD38" s="101"/>
      <c r="CE38" s="101"/>
      <c r="CF38" s="101"/>
      <c r="CG38" s="101"/>
      <c r="CH38" s="101"/>
      <c r="CI38" s="101"/>
      <c r="CJ38" s="101"/>
      <c r="CK38" s="101"/>
      <c r="CL38" s="101"/>
      <c r="CM38" s="101"/>
      <c r="CN38" s="101"/>
      <c r="CO38" s="101"/>
      <c r="CP38" s="101"/>
      <c r="CQ38" s="101"/>
      <c r="CR38" s="101"/>
      <c r="CS38" s="101"/>
      <c r="CT38" s="101"/>
      <c r="CU38" s="101"/>
      <c r="CV38" s="101"/>
      <c r="CW38" s="101"/>
      <c r="CX38" s="101"/>
      <c r="CY38" s="101"/>
      <c r="CZ38" s="101"/>
      <c r="DA38" s="101"/>
      <c r="DB38" s="101"/>
      <c r="DC38" s="101"/>
      <c r="DD38" s="101"/>
      <c r="DE38" s="101"/>
      <c r="DF38" s="101"/>
      <c r="DG38" s="101"/>
      <c r="DH38" s="101"/>
      <c r="DI38" s="101"/>
      <c r="DJ38" s="101"/>
      <c r="DK38" s="101"/>
      <c r="DL38" s="101"/>
      <c r="DM38" s="101"/>
      <c r="DN38" s="101" t="s">
        <v>1277</v>
      </c>
      <c r="DO38" s="101"/>
      <c r="DP38" s="101"/>
      <c r="DQ38" s="101"/>
      <c r="DR38" s="101"/>
      <c r="DS38" s="101"/>
      <c r="DT38" s="101" t="s">
        <v>828</v>
      </c>
      <c r="DU38" s="101"/>
      <c r="DV38" s="101"/>
      <c r="DW38" s="101"/>
      <c r="DX38" s="101" t="s">
        <v>1278</v>
      </c>
      <c r="DY38" s="101"/>
      <c r="DZ38" s="101"/>
      <c r="EA38" s="101"/>
      <c r="EB38" s="101" t="s">
        <v>830</v>
      </c>
      <c r="EC38" s="101"/>
      <c r="ED38" s="101"/>
      <c r="EE38" s="101"/>
      <c r="EF38" s="101"/>
      <c r="EG38" s="101"/>
      <c r="EH38" s="101"/>
      <c r="EI38" s="101"/>
      <c r="EJ38" s="101"/>
      <c r="EK38" s="101"/>
      <c r="EL38" s="101"/>
      <c r="EM38" s="101"/>
      <c r="EN38" s="101"/>
      <c r="EO38" s="101"/>
      <c r="EP38" s="101"/>
      <c r="EQ38" s="101"/>
      <c r="ER38" s="101" t="s">
        <v>1391</v>
      </c>
      <c r="ES38" s="101"/>
      <c r="ET38" s="101"/>
      <c r="EU38" s="101"/>
      <c r="EV38" s="101"/>
      <c r="EW38" s="101"/>
      <c r="EX38" s="101"/>
      <c r="EY38" s="101"/>
      <c r="EZ38" s="101"/>
      <c r="FA38" s="101"/>
      <c r="FB38" s="101"/>
      <c r="FC38" s="101"/>
      <c r="FD38" s="101"/>
      <c r="FE38" s="101"/>
      <c r="FF38" s="101"/>
      <c r="FG38" s="101"/>
      <c r="FH38" s="101"/>
      <c r="FI38" s="101"/>
      <c r="FJ38" s="101"/>
      <c r="FK38" s="101"/>
      <c r="FL38" s="101"/>
      <c r="FM38" s="101" t="s">
        <v>1275</v>
      </c>
      <c r="FN38" s="101"/>
      <c r="FO38" s="101"/>
      <c r="FP38" s="101"/>
      <c r="FQ38" s="101"/>
      <c r="FR38" s="101"/>
      <c r="FS38" s="101"/>
      <c r="FT38" s="101"/>
      <c r="FU38" s="101"/>
      <c r="FV38" s="101"/>
      <c r="FW38" s="101"/>
      <c r="FX38" s="101"/>
      <c r="FY38" s="101"/>
      <c r="FZ38" s="101"/>
      <c r="GA38" s="101"/>
      <c r="GB38" s="101"/>
      <c r="GC38" s="101"/>
      <c r="GD38" s="101"/>
      <c r="GE38" s="101" t="s">
        <v>1279</v>
      </c>
      <c r="GF38" s="101"/>
      <c r="GG38" s="101"/>
      <c r="GH38" s="101"/>
      <c r="GI38" s="101"/>
      <c r="GJ38" s="101"/>
      <c r="GK38" s="101"/>
      <c r="GL38" s="101"/>
      <c r="GM38" s="101"/>
      <c r="GN38" s="101"/>
      <c r="GO38" s="101"/>
      <c r="GP38" s="101"/>
      <c r="GQ38" s="101"/>
      <c r="GR38" s="101"/>
      <c r="GS38" s="101" t="s">
        <v>821</v>
      </c>
      <c r="GT38" s="101"/>
      <c r="GU38" s="101" t="s">
        <v>821</v>
      </c>
      <c r="GV38" s="101"/>
      <c r="GW38" s="101"/>
      <c r="GX38" s="101"/>
    </row>
    <row r="39" spans="1:206" x14ac:dyDescent="0.2">
      <c r="A39" s="104" t="s">
        <v>66</v>
      </c>
      <c r="B39" s="104" t="s">
        <v>67</v>
      </c>
      <c r="C39" s="101"/>
      <c r="D39" s="101"/>
      <c r="E39" s="101"/>
      <c r="F39" s="101"/>
      <c r="G39" s="101"/>
      <c r="H39" s="101"/>
      <c r="I39" s="101"/>
      <c r="J39" s="101"/>
      <c r="K39" s="101"/>
      <c r="L39" s="101"/>
      <c r="M39" s="101"/>
      <c r="N39" s="101"/>
      <c r="O39" s="101"/>
      <c r="P39" s="101"/>
      <c r="Q39" s="101"/>
      <c r="R39" s="101"/>
      <c r="S39" s="101"/>
      <c r="T39" s="101"/>
      <c r="U39" s="101"/>
      <c r="V39" s="101"/>
      <c r="W39" s="101"/>
      <c r="X39" s="101"/>
      <c r="Y39" s="101"/>
      <c r="Z39" s="101"/>
      <c r="AA39" s="101"/>
      <c r="AB39" s="101"/>
      <c r="AC39" s="101"/>
      <c r="AD39" s="101"/>
      <c r="AE39" s="101" t="s">
        <v>833</v>
      </c>
      <c r="AF39" s="101"/>
      <c r="AG39" s="101"/>
      <c r="AH39" s="101"/>
      <c r="AI39" s="101"/>
      <c r="AJ39" s="101"/>
      <c r="AK39" s="101"/>
      <c r="AL39" s="101"/>
      <c r="AM39" s="101"/>
      <c r="AN39" s="101"/>
      <c r="AO39" s="101"/>
      <c r="AP39" s="101"/>
      <c r="AQ39" s="101"/>
      <c r="AR39" s="101"/>
      <c r="AS39" s="101"/>
      <c r="AT39" s="101"/>
      <c r="AU39" s="101"/>
      <c r="AV39" s="101"/>
      <c r="AW39" s="101"/>
      <c r="AX39" s="101"/>
      <c r="AY39" s="101"/>
      <c r="AZ39" s="101"/>
      <c r="BA39" s="101"/>
      <c r="BB39" s="101" t="s">
        <v>834</v>
      </c>
      <c r="BC39" s="101"/>
      <c r="BD39" s="101"/>
      <c r="BE39" s="101"/>
      <c r="BF39" s="101"/>
      <c r="BG39" s="101"/>
      <c r="BH39" s="101"/>
      <c r="BI39" s="101"/>
      <c r="BJ39" s="101"/>
      <c r="BK39" s="101"/>
      <c r="BL39" s="101"/>
      <c r="BM39" s="101"/>
      <c r="BN39" s="101"/>
      <c r="BO39" s="101"/>
      <c r="BP39" s="101"/>
      <c r="BQ39" s="101"/>
      <c r="BR39" s="101"/>
      <c r="BS39" s="101"/>
      <c r="BT39" s="101"/>
      <c r="BU39" s="101"/>
      <c r="BV39" s="101"/>
      <c r="BW39" s="101"/>
      <c r="BX39" s="101"/>
      <c r="BY39" s="101"/>
      <c r="BZ39" s="101"/>
      <c r="CA39" s="101"/>
      <c r="CB39" s="101"/>
      <c r="CC39" s="101"/>
      <c r="CD39" s="101"/>
      <c r="CE39" s="101"/>
      <c r="CF39" s="101"/>
      <c r="CG39" s="101"/>
      <c r="CH39" s="101"/>
      <c r="CI39" s="101"/>
      <c r="CJ39" s="101"/>
      <c r="CK39" s="101"/>
      <c r="CL39" s="101"/>
      <c r="CM39" s="101"/>
      <c r="CN39" s="101"/>
      <c r="CO39" s="101"/>
      <c r="CP39" s="101"/>
      <c r="CQ39" s="101" t="s">
        <v>836</v>
      </c>
      <c r="CR39" s="101"/>
      <c r="CS39" s="101"/>
      <c r="CT39" s="101"/>
      <c r="CU39" s="101"/>
      <c r="CV39" s="101"/>
      <c r="CW39" s="101"/>
      <c r="CX39" s="101"/>
      <c r="CY39" s="101"/>
      <c r="CZ39" s="101"/>
      <c r="DA39" s="101"/>
      <c r="DB39" s="101"/>
      <c r="DC39" s="101"/>
      <c r="DD39" s="101"/>
      <c r="DE39" s="101"/>
      <c r="DF39" s="101"/>
      <c r="DG39" s="101"/>
      <c r="DH39" s="101"/>
      <c r="DI39" s="101"/>
      <c r="DJ39" s="101"/>
      <c r="DK39" s="101"/>
      <c r="DL39" s="101"/>
      <c r="DM39" s="101"/>
      <c r="DN39" s="101"/>
      <c r="DO39" s="101"/>
      <c r="DP39" s="101"/>
      <c r="DQ39" s="101"/>
      <c r="DR39" s="101"/>
      <c r="DS39" s="101"/>
      <c r="DT39" s="101" t="s">
        <v>734</v>
      </c>
      <c r="DU39" s="101"/>
      <c r="DV39" s="101"/>
      <c r="DW39" s="101"/>
      <c r="DX39" s="101" t="s">
        <v>837</v>
      </c>
      <c r="DY39" s="101"/>
      <c r="DZ39" s="101"/>
      <c r="EA39" s="101"/>
      <c r="EB39" s="101" t="s">
        <v>838</v>
      </c>
      <c r="EC39" s="101"/>
      <c r="ED39" s="101"/>
      <c r="EE39" s="101"/>
      <c r="EF39" s="101" t="s">
        <v>1280</v>
      </c>
      <c r="EG39" s="101"/>
      <c r="EH39" s="101"/>
      <c r="EI39" s="101"/>
      <c r="EJ39" s="101"/>
      <c r="EK39" s="101"/>
      <c r="EL39" s="101"/>
      <c r="EM39" s="101"/>
      <c r="EN39" s="101"/>
      <c r="EO39" s="101"/>
      <c r="EP39" s="101"/>
      <c r="EQ39" s="101"/>
      <c r="ER39" s="101" t="s">
        <v>842</v>
      </c>
      <c r="ES39" s="101"/>
      <c r="ET39" s="101"/>
      <c r="EU39" s="101"/>
      <c r="EV39" s="101"/>
      <c r="EW39" s="101"/>
      <c r="EX39" s="101"/>
      <c r="EY39" s="101"/>
      <c r="EZ39" s="101"/>
      <c r="FA39" s="101"/>
      <c r="FB39" s="101"/>
      <c r="FC39" s="101"/>
      <c r="FD39" s="101"/>
      <c r="FE39" s="101"/>
      <c r="FF39" s="101"/>
      <c r="FG39" s="101"/>
      <c r="FH39" s="101"/>
      <c r="FI39" s="101"/>
      <c r="FJ39" s="101"/>
      <c r="FK39" s="101"/>
      <c r="FL39" s="101"/>
      <c r="FM39" s="101" t="s">
        <v>833</v>
      </c>
      <c r="FN39" s="101"/>
      <c r="FO39" s="101" t="s">
        <v>843</v>
      </c>
      <c r="FP39" s="101"/>
      <c r="FQ39" s="101"/>
      <c r="FR39" s="101"/>
      <c r="FS39" s="101"/>
      <c r="FT39" s="101"/>
      <c r="FU39" s="101"/>
      <c r="FV39" s="101"/>
      <c r="FW39" s="101"/>
      <c r="FX39" s="101"/>
      <c r="FY39" s="101"/>
      <c r="FZ39" s="101"/>
      <c r="GA39" s="101"/>
      <c r="GB39" s="101"/>
      <c r="GC39" s="101"/>
      <c r="GD39" s="101"/>
      <c r="GE39" s="101"/>
      <c r="GF39" s="101"/>
      <c r="GG39" s="101"/>
      <c r="GH39" s="101"/>
      <c r="GI39" s="101"/>
      <c r="GJ39" s="101"/>
      <c r="GK39" s="101"/>
      <c r="GL39" s="101"/>
      <c r="GM39" s="101"/>
      <c r="GN39" s="101"/>
      <c r="GO39" s="101"/>
      <c r="GP39" s="101"/>
      <c r="GQ39" s="101"/>
      <c r="GR39" s="101"/>
      <c r="GS39" s="101"/>
      <c r="GT39" s="101"/>
      <c r="GU39" s="101"/>
      <c r="GV39" s="101"/>
      <c r="GW39" s="101"/>
      <c r="GX39" s="101"/>
    </row>
    <row r="40" spans="1:206" x14ac:dyDescent="0.2">
      <c r="A40" s="104" t="s">
        <v>35</v>
      </c>
      <c r="B40" s="104" t="s">
        <v>117</v>
      </c>
      <c r="C40" s="101"/>
      <c r="D40" s="101" t="s">
        <v>1281</v>
      </c>
      <c r="E40" s="101"/>
      <c r="F40" s="100"/>
      <c r="G40" s="101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/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  <c r="AK40" s="101" t="s">
        <v>845</v>
      </c>
      <c r="AL40" s="101"/>
      <c r="AM40" s="101"/>
      <c r="AN40" s="101"/>
      <c r="AO40" s="101"/>
      <c r="AP40" s="101"/>
      <c r="AQ40" s="101"/>
      <c r="AR40" s="101"/>
      <c r="AS40" s="101"/>
      <c r="AT40" s="101"/>
      <c r="AU40" s="101"/>
      <c r="AV40" s="101"/>
      <c r="AW40" s="101"/>
      <c r="AX40" s="101"/>
      <c r="AY40" s="101"/>
      <c r="AZ40" s="101"/>
      <c r="BA40" s="101" t="s">
        <v>846</v>
      </c>
      <c r="BB40" s="101"/>
      <c r="BC40" s="101"/>
      <c r="BD40" s="101"/>
      <c r="BE40" s="101"/>
      <c r="BF40" s="101"/>
      <c r="BG40" s="101"/>
      <c r="BH40" s="101"/>
      <c r="BI40" s="101"/>
      <c r="BJ40" s="101"/>
      <c r="BK40" s="101"/>
      <c r="BL40" s="101" t="s">
        <v>847</v>
      </c>
      <c r="BM40" s="101" t="s">
        <v>847</v>
      </c>
      <c r="BN40" s="101"/>
      <c r="BO40" s="101"/>
      <c r="BP40" s="101"/>
      <c r="BQ40" s="101"/>
      <c r="BR40" s="101"/>
      <c r="BS40" s="101"/>
      <c r="BT40" s="101"/>
      <c r="BU40" s="101"/>
      <c r="BV40" s="101"/>
      <c r="BW40" s="101"/>
      <c r="BX40" s="101"/>
      <c r="BY40" s="101"/>
      <c r="BZ40" s="101"/>
      <c r="CA40" s="101"/>
      <c r="CB40" s="101"/>
      <c r="CC40" s="101"/>
      <c r="CD40" s="101"/>
      <c r="CE40" s="101"/>
      <c r="CF40" s="101"/>
      <c r="CG40" s="101"/>
      <c r="CH40" s="101"/>
      <c r="CI40" s="101"/>
      <c r="CJ40" s="101"/>
      <c r="CK40" s="101"/>
      <c r="CL40" s="101"/>
      <c r="CM40" s="101"/>
      <c r="CN40" s="101"/>
      <c r="CO40" s="101"/>
      <c r="CP40" s="101"/>
      <c r="CQ40" s="101"/>
      <c r="CR40" s="101"/>
      <c r="CS40" s="101"/>
      <c r="CT40" s="101"/>
      <c r="CU40" s="101"/>
      <c r="CV40" s="101"/>
      <c r="CW40" s="101"/>
      <c r="CX40" s="101"/>
      <c r="CY40" s="101"/>
      <c r="CZ40" s="101"/>
      <c r="DA40" s="101"/>
      <c r="DB40" s="101"/>
      <c r="DC40" s="101"/>
      <c r="DD40" s="101"/>
      <c r="DE40" s="101"/>
      <c r="DF40" s="101"/>
      <c r="DG40" s="101"/>
      <c r="DH40" s="101"/>
      <c r="DI40" s="101"/>
      <c r="DJ40" s="101"/>
      <c r="DK40" s="101" t="s">
        <v>1282</v>
      </c>
      <c r="DL40" s="101"/>
      <c r="DM40" s="101"/>
      <c r="DN40" s="101"/>
      <c r="DO40" s="101"/>
      <c r="DP40" s="101"/>
      <c r="DQ40" s="101"/>
      <c r="DR40" s="101"/>
      <c r="DS40" s="101"/>
      <c r="DT40" s="101"/>
      <c r="DU40" s="101"/>
      <c r="DV40" s="101"/>
      <c r="DW40" s="101"/>
      <c r="DX40" s="101"/>
      <c r="DY40" s="101"/>
      <c r="DZ40" s="101"/>
      <c r="EA40" s="101"/>
      <c r="EB40" s="101"/>
      <c r="EC40" s="101"/>
      <c r="ED40" s="101"/>
      <c r="EE40" s="101"/>
      <c r="EF40" s="101"/>
      <c r="EG40" s="101"/>
      <c r="EH40" s="101"/>
      <c r="EI40" s="101"/>
      <c r="EJ40" s="101"/>
      <c r="EK40" s="101"/>
      <c r="EL40" s="101"/>
      <c r="EM40" s="101"/>
      <c r="EN40" s="101"/>
      <c r="EO40" s="101"/>
      <c r="EP40" s="101"/>
      <c r="EQ40" s="101"/>
      <c r="ER40" s="101" t="s">
        <v>1390</v>
      </c>
      <c r="ES40" s="101"/>
      <c r="ET40" s="101"/>
      <c r="EU40" s="101"/>
      <c r="EV40" s="101"/>
      <c r="EW40" s="101"/>
      <c r="EX40" s="101"/>
      <c r="EY40" s="101"/>
      <c r="EZ40" s="101"/>
      <c r="FA40" s="101"/>
      <c r="FB40" s="101"/>
      <c r="FC40" s="101"/>
      <c r="FD40" s="101"/>
      <c r="FE40" s="101"/>
      <c r="FF40" s="101"/>
      <c r="FG40" s="101"/>
      <c r="FH40" s="101"/>
      <c r="FI40" s="101"/>
      <c r="FJ40" s="101"/>
      <c r="FK40" s="101"/>
      <c r="FL40" s="101"/>
      <c r="FM40" s="101"/>
      <c r="FN40" s="101"/>
      <c r="FO40" s="101"/>
      <c r="FP40" s="101"/>
      <c r="FQ40" s="101"/>
      <c r="FR40" s="101"/>
      <c r="FS40" s="101"/>
      <c r="FT40" s="101"/>
      <c r="FU40" s="101"/>
      <c r="FV40" s="101"/>
      <c r="FW40" s="101"/>
      <c r="FX40" s="101"/>
      <c r="FY40" s="101"/>
      <c r="FZ40" s="101"/>
      <c r="GA40" s="101"/>
      <c r="GB40" s="101"/>
      <c r="GC40" s="101" t="s">
        <v>850</v>
      </c>
      <c r="GD40" s="101"/>
      <c r="GE40" s="101"/>
      <c r="GF40" s="101"/>
      <c r="GG40" s="101"/>
      <c r="GH40" s="101"/>
      <c r="GI40" s="101"/>
      <c r="GJ40" s="101"/>
      <c r="GK40" s="101"/>
      <c r="GL40" s="101"/>
      <c r="GM40" s="101"/>
      <c r="GN40" s="101"/>
      <c r="GO40" s="101"/>
      <c r="GP40" s="101"/>
      <c r="GQ40" s="101"/>
      <c r="GR40" s="101"/>
      <c r="GS40" s="101"/>
      <c r="GT40" s="101" t="s">
        <v>847</v>
      </c>
      <c r="GU40" s="101"/>
      <c r="GV40" s="101" t="s">
        <v>847</v>
      </c>
      <c r="GW40" s="101"/>
      <c r="GX40" s="101"/>
    </row>
    <row r="41" spans="1:206" x14ac:dyDescent="0.2">
      <c r="A41" s="104" t="s">
        <v>118</v>
      </c>
      <c r="B41" s="104" t="s">
        <v>119</v>
      </c>
      <c r="C41" s="101"/>
      <c r="D41" s="101"/>
      <c r="E41" s="101"/>
      <c r="F41" s="100"/>
      <c r="G41" s="101"/>
      <c r="H41" s="101" t="s">
        <v>1283</v>
      </c>
      <c r="I41" s="101"/>
      <c r="J41" s="101"/>
      <c r="K41" s="101"/>
      <c r="L41" s="101"/>
      <c r="M41" s="101"/>
      <c r="N41" s="101"/>
      <c r="O41" s="101"/>
      <c r="P41" s="101"/>
      <c r="Q41" s="101"/>
      <c r="R41" s="101"/>
      <c r="S41" s="101"/>
      <c r="T41" s="101"/>
      <c r="U41" s="101"/>
      <c r="V41" s="101"/>
      <c r="W41" s="101"/>
      <c r="X41" s="101"/>
      <c r="Y41" s="101"/>
      <c r="Z41" s="101"/>
      <c r="AA41" s="101"/>
      <c r="AB41" s="101"/>
      <c r="AC41" s="101"/>
      <c r="AD41" s="101"/>
      <c r="AE41" s="101"/>
      <c r="AF41" s="101"/>
      <c r="AG41" s="101"/>
      <c r="AH41" s="101"/>
      <c r="AI41" s="101"/>
      <c r="AJ41" s="101"/>
      <c r="AK41" s="101"/>
      <c r="AL41" s="101"/>
      <c r="AM41" s="101"/>
      <c r="AN41" s="101"/>
      <c r="AO41" s="101"/>
      <c r="AP41" s="101"/>
      <c r="AQ41" s="101"/>
      <c r="AR41" s="101"/>
      <c r="AS41" s="101"/>
      <c r="AT41" s="101"/>
      <c r="AU41" s="101"/>
      <c r="AV41" s="101"/>
      <c r="AW41" s="101"/>
      <c r="AX41" s="101"/>
      <c r="AY41" s="101"/>
      <c r="AZ41" s="101"/>
      <c r="BA41" s="101"/>
      <c r="BB41" s="101"/>
      <c r="BC41" s="101"/>
      <c r="BD41" s="101"/>
      <c r="BE41" s="101"/>
      <c r="BF41" s="101"/>
      <c r="BG41" s="101"/>
      <c r="BH41" s="101"/>
      <c r="BI41" s="101"/>
      <c r="BJ41" s="101"/>
      <c r="BK41" s="101"/>
      <c r="BL41" s="101"/>
      <c r="BM41" s="101"/>
      <c r="BN41" s="101"/>
      <c r="BO41" s="101"/>
      <c r="BP41" s="101"/>
      <c r="BQ41" s="101"/>
      <c r="BR41" s="101"/>
      <c r="BS41" s="101"/>
      <c r="BT41" s="101"/>
      <c r="BU41" s="101"/>
      <c r="BV41" s="101"/>
      <c r="BW41" s="101"/>
      <c r="BX41" s="101" t="s">
        <v>853</v>
      </c>
      <c r="BY41" s="101"/>
      <c r="BZ41" s="101"/>
      <c r="CA41" s="101"/>
      <c r="CB41" s="101"/>
      <c r="CC41" s="101"/>
      <c r="CD41" s="101"/>
      <c r="CE41" s="101"/>
      <c r="CF41" s="101"/>
      <c r="CG41" s="101"/>
      <c r="CH41" s="101"/>
      <c r="CI41" s="101"/>
      <c r="CJ41" s="101"/>
      <c r="CK41" s="101"/>
      <c r="CL41" s="101"/>
      <c r="CM41" s="101"/>
      <c r="CN41" s="101"/>
      <c r="CO41" s="101"/>
      <c r="CP41" s="101"/>
      <c r="CQ41" s="101"/>
      <c r="CR41" s="101"/>
      <c r="CS41" s="101"/>
      <c r="CT41" s="101"/>
      <c r="CU41" s="101"/>
      <c r="CV41" s="101"/>
      <c r="CW41" s="101"/>
      <c r="CX41" s="101"/>
      <c r="CY41" s="101"/>
      <c r="CZ41" s="101"/>
      <c r="DA41" s="101"/>
      <c r="DB41" s="101"/>
      <c r="DC41" s="101"/>
      <c r="DD41" s="101"/>
      <c r="DE41" s="101"/>
      <c r="DF41" s="101"/>
      <c r="DG41" s="101"/>
      <c r="DH41" s="101"/>
      <c r="DI41" s="101"/>
      <c r="DJ41" s="101"/>
      <c r="DK41" s="101"/>
      <c r="DL41" s="101"/>
      <c r="DM41" s="101"/>
      <c r="DN41" s="101"/>
      <c r="DO41" s="101"/>
      <c r="DP41" s="101"/>
      <c r="DQ41" s="101"/>
      <c r="DR41" s="101"/>
      <c r="DS41" s="101"/>
      <c r="DT41" s="101"/>
      <c r="DU41" s="101"/>
      <c r="DV41" s="101"/>
      <c r="DW41" s="101"/>
      <c r="DX41" s="101"/>
      <c r="DY41" s="101"/>
      <c r="DZ41" s="101"/>
      <c r="EA41" s="101"/>
      <c r="EB41" s="101"/>
      <c r="EC41" s="101"/>
      <c r="ED41" s="101"/>
      <c r="EE41" s="101"/>
      <c r="EF41" s="101"/>
      <c r="EG41" s="101"/>
      <c r="EH41" s="101"/>
      <c r="EI41" s="101"/>
      <c r="EJ41" s="101"/>
      <c r="EK41" s="101"/>
      <c r="EL41" s="101"/>
      <c r="EM41" s="101"/>
      <c r="EN41" s="101"/>
      <c r="EO41" s="101"/>
      <c r="EP41" s="101"/>
      <c r="EQ41" s="101" t="s">
        <v>1284</v>
      </c>
      <c r="ER41" s="101"/>
      <c r="ES41" s="101"/>
      <c r="ET41" s="101"/>
      <c r="EU41" s="101"/>
      <c r="EV41" s="101"/>
      <c r="EW41" s="101"/>
      <c r="EX41" s="101"/>
      <c r="EY41" s="101"/>
      <c r="EZ41" s="101"/>
      <c r="FA41" s="101"/>
      <c r="FB41" s="101"/>
      <c r="FC41" s="101"/>
      <c r="FD41" s="101"/>
      <c r="FE41" s="101"/>
      <c r="FF41" s="101"/>
      <c r="FG41" s="101"/>
      <c r="FH41" s="101"/>
      <c r="FI41" s="101"/>
      <c r="FJ41" s="101"/>
      <c r="FK41" s="101"/>
      <c r="FL41" s="101"/>
      <c r="FM41" s="101"/>
      <c r="FN41" s="101"/>
      <c r="FO41" s="101"/>
      <c r="FP41" s="101"/>
      <c r="FQ41" s="101"/>
      <c r="FR41" s="101"/>
      <c r="FS41" s="101"/>
      <c r="FT41" s="101"/>
      <c r="FU41" s="101"/>
      <c r="FV41" s="101"/>
      <c r="FW41" s="101"/>
      <c r="FX41" s="101"/>
      <c r="FY41" s="101"/>
      <c r="FZ41" s="101" t="s">
        <v>856</v>
      </c>
      <c r="GA41" s="101"/>
      <c r="GB41" s="101"/>
      <c r="GC41" s="101"/>
      <c r="GD41" s="101"/>
      <c r="GE41" s="101"/>
      <c r="GF41" s="101"/>
      <c r="GG41" s="101"/>
      <c r="GH41" s="101"/>
      <c r="GI41" s="101"/>
      <c r="GJ41" s="101"/>
      <c r="GK41" s="101"/>
      <c r="GL41" s="101"/>
      <c r="GM41" s="101"/>
      <c r="GN41" s="101"/>
      <c r="GO41" s="101"/>
      <c r="GP41" s="101"/>
      <c r="GQ41" s="101"/>
      <c r="GR41" s="101"/>
      <c r="GS41" s="101" t="s">
        <v>1283</v>
      </c>
      <c r="GT41" s="101"/>
      <c r="GU41" s="101"/>
      <c r="GV41" s="101"/>
      <c r="GW41" s="101"/>
      <c r="GX41" s="101"/>
    </row>
    <row r="42" spans="1:206" x14ac:dyDescent="0.2">
      <c r="A42" s="104" t="s">
        <v>120</v>
      </c>
      <c r="B42" s="104" t="s">
        <v>121</v>
      </c>
      <c r="C42" s="101"/>
      <c r="D42" s="101"/>
      <c r="E42" s="101"/>
      <c r="F42" s="100"/>
      <c r="G42" s="101"/>
      <c r="H42" s="101"/>
      <c r="I42" s="101"/>
      <c r="J42" s="101"/>
      <c r="K42" s="101"/>
      <c r="L42" s="101"/>
      <c r="M42" s="101" t="s">
        <v>1340</v>
      </c>
      <c r="N42" s="101"/>
      <c r="O42" s="101"/>
      <c r="P42" s="101"/>
      <c r="Q42" s="101"/>
      <c r="R42" s="101"/>
      <c r="S42" s="101"/>
      <c r="T42" s="101"/>
      <c r="U42" s="101"/>
      <c r="V42" s="101"/>
      <c r="W42" s="101"/>
      <c r="X42" s="101" t="s">
        <v>1285</v>
      </c>
      <c r="Y42" s="101"/>
      <c r="Z42" s="101"/>
      <c r="AA42" s="101"/>
      <c r="AB42" s="101"/>
      <c r="AC42" s="101"/>
      <c r="AD42" s="101"/>
      <c r="AE42" s="101"/>
      <c r="AF42" s="101"/>
      <c r="AG42" s="101"/>
      <c r="AH42" s="101"/>
      <c r="AI42" s="101"/>
      <c r="AJ42" s="101"/>
      <c r="AK42" s="101"/>
      <c r="AL42" s="101"/>
      <c r="AM42" s="101"/>
      <c r="AN42" s="101"/>
      <c r="AO42" s="101"/>
      <c r="AP42" s="101"/>
      <c r="AQ42" s="101"/>
      <c r="AR42" s="101"/>
      <c r="AS42" s="101"/>
      <c r="AT42" s="101"/>
      <c r="AU42" s="101"/>
      <c r="AV42" s="101"/>
      <c r="AW42" s="101"/>
      <c r="AX42" s="101"/>
      <c r="AY42" s="101"/>
      <c r="AZ42" s="101"/>
      <c r="BA42" s="101" t="s">
        <v>860</v>
      </c>
      <c r="BB42" s="101"/>
      <c r="BC42" s="101"/>
      <c r="BD42" s="101"/>
      <c r="BE42" s="101"/>
      <c r="BF42" s="101"/>
      <c r="BG42" s="101"/>
      <c r="BH42" s="101"/>
      <c r="BI42" s="101"/>
      <c r="BJ42" s="101"/>
      <c r="BK42" s="101"/>
      <c r="BL42" s="101"/>
      <c r="BM42" s="101"/>
      <c r="BN42" s="101"/>
      <c r="BO42" s="101"/>
      <c r="BP42" s="101"/>
      <c r="BQ42" s="101"/>
      <c r="BR42" s="101"/>
      <c r="BS42" s="101"/>
      <c r="BT42" s="101"/>
      <c r="BU42" s="101"/>
      <c r="BV42" s="101"/>
      <c r="BW42" s="101"/>
      <c r="BX42" s="101"/>
      <c r="BY42" s="101"/>
      <c r="BZ42" s="101"/>
      <c r="CA42" s="101"/>
      <c r="CB42" s="101"/>
      <c r="CC42" s="101"/>
      <c r="CD42" s="101"/>
      <c r="CE42" s="101"/>
      <c r="CF42" s="101"/>
      <c r="CG42" s="101"/>
      <c r="CH42" s="101"/>
      <c r="CI42" s="101"/>
      <c r="CJ42" s="101"/>
      <c r="CK42" s="101"/>
      <c r="CL42" s="101"/>
      <c r="CM42" s="101"/>
      <c r="CN42" s="101"/>
      <c r="CO42" s="101"/>
      <c r="CP42" s="101"/>
      <c r="CQ42" s="101"/>
      <c r="CR42" s="101"/>
      <c r="CS42" s="101"/>
      <c r="CT42" s="101"/>
      <c r="CU42" s="101"/>
      <c r="CV42" s="101"/>
      <c r="CW42" s="101"/>
      <c r="CX42" s="101"/>
      <c r="CY42" s="101" t="s">
        <v>1286</v>
      </c>
      <c r="CZ42" s="101"/>
      <c r="DA42" s="101"/>
      <c r="DB42" s="101"/>
      <c r="DC42" s="101"/>
      <c r="DD42" s="101"/>
      <c r="DE42" s="101"/>
      <c r="DF42" s="101"/>
      <c r="DG42" s="101"/>
      <c r="DH42" s="101"/>
      <c r="DI42" s="101"/>
      <c r="DJ42" s="101"/>
      <c r="DK42" s="101"/>
      <c r="DL42" s="101"/>
      <c r="DM42" s="101"/>
      <c r="DN42" s="101"/>
      <c r="DO42" s="101"/>
      <c r="DP42" s="101"/>
      <c r="DQ42" s="101"/>
      <c r="DR42" s="101"/>
      <c r="DS42" s="101"/>
      <c r="DT42" s="101"/>
      <c r="DU42" s="101"/>
      <c r="DV42" s="101"/>
      <c r="DW42" s="101"/>
      <c r="DX42" s="101"/>
      <c r="DY42" s="101"/>
      <c r="DZ42" s="101"/>
      <c r="EA42" s="101"/>
      <c r="EB42" s="101"/>
      <c r="EC42" s="101"/>
      <c r="ED42" s="101"/>
      <c r="EE42" s="101"/>
      <c r="EF42" s="101"/>
      <c r="EG42" s="101"/>
      <c r="EH42" s="101"/>
      <c r="EI42" s="101"/>
      <c r="EJ42" s="101"/>
      <c r="EK42" s="101"/>
      <c r="EL42" s="101"/>
      <c r="EM42" s="101"/>
      <c r="EN42" s="101" t="s">
        <v>1287</v>
      </c>
      <c r="EO42" s="101"/>
      <c r="EP42" s="101"/>
      <c r="EQ42" s="101"/>
      <c r="ER42" s="101" t="s">
        <v>1389</v>
      </c>
      <c r="ES42" s="101" t="s">
        <v>1288</v>
      </c>
      <c r="ET42" s="101"/>
      <c r="EU42" s="101"/>
      <c r="EV42" s="101"/>
      <c r="EW42" s="101"/>
      <c r="EX42" s="101"/>
      <c r="EY42" s="101"/>
      <c r="EZ42" s="101"/>
      <c r="FA42" s="101"/>
      <c r="FB42" s="101" t="s">
        <v>1289</v>
      </c>
      <c r="FC42" s="101"/>
      <c r="FD42" s="101"/>
      <c r="FE42" s="101"/>
      <c r="FF42" s="101"/>
      <c r="FG42" s="101"/>
      <c r="FH42" s="101"/>
      <c r="FI42" s="101"/>
      <c r="FJ42" s="101"/>
      <c r="FK42" s="101"/>
      <c r="FL42" s="101"/>
      <c r="FM42" s="101"/>
      <c r="FN42" s="101"/>
      <c r="FO42" s="101"/>
      <c r="FP42" s="101"/>
      <c r="FQ42" s="101" t="s">
        <v>1285</v>
      </c>
      <c r="FR42" s="101" t="s">
        <v>1289</v>
      </c>
      <c r="FS42" s="101"/>
      <c r="FT42" s="101"/>
      <c r="FU42" s="101"/>
      <c r="FV42" s="101"/>
      <c r="FW42" s="101"/>
      <c r="FX42" s="101"/>
      <c r="FY42" s="101"/>
      <c r="FZ42" s="101"/>
      <c r="GA42" s="101"/>
      <c r="GB42" s="101"/>
      <c r="GC42" s="101"/>
      <c r="GD42" s="101"/>
      <c r="GE42" s="101"/>
      <c r="GF42" s="101"/>
      <c r="GG42" s="101"/>
      <c r="GH42" s="101"/>
      <c r="GI42" s="101"/>
      <c r="GJ42" s="101"/>
      <c r="GK42" s="101"/>
      <c r="GL42" s="101"/>
      <c r="GM42" s="101"/>
      <c r="GN42" s="101"/>
      <c r="GO42" s="101"/>
      <c r="GP42" s="101"/>
      <c r="GQ42" s="101"/>
      <c r="GR42" s="101"/>
      <c r="GS42" s="101" t="s">
        <v>1431</v>
      </c>
      <c r="GT42" s="101"/>
      <c r="GU42" s="101"/>
      <c r="GV42" s="101"/>
      <c r="GW42" s="101"/>
      <c r="GX42" s="101"/>
    </row>
    <row r="43" spans="1:206" x14ac:dyDescent="0.2">
      <c r="A43" s="104" t="s">
        <v>68</v>
      </c>
      <c r="B43" s="104" t="s">
        <v>69</v>
      </c>
      <c r="C43" s="101"/>
      <c r="D43" s="101"/>
      <c r="E43" s="101" t="s">
        <v>1116</v>
      </c>
      <c r="F43" s="100" t="s">
        <v>1290</v>
      </c>
      <c r="G43" s="101"/>
      <c r="H43" s="101"/>
      <c r="I43" s="101" t="s">
        <v>1291</v>
      </c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1"/>
      <c r="AE43" s="101" t="s">
        <v>1117</v>
      </c>
      <c r="AF43" s="101"/>
      <c r="AG43" s="101"/>
      <c r="AH43" s="101" t="s">
        <v>1118</v>
      </c>
      <c r="AI43" s="101"/>
      <c r="AJ43" s="101"/>
      <c r="AK43" s="101"/>
      <c r="AL43" s="101"/>
      <c r="AM43" s="101"/>
      <c r="AN43" s="101"/>
      <c r="AO43" s="101"/>
      <c r="AP43" s="101"/>
      <c r="AQ43" s="101"/>
      <c r="AR43" s="101"/>
      <c r="AS43" s="101" t="s">
        <v>1119</v>
      </c>
      <c r="AT43" s="101"/>
      <c r="AU43" s="101"/>
      <c r="AV43" s="101" t="s">
        <v>1349</v>
      </c>
      <c r="AW43" s="101"/>
      <c r="AX43" s="101" t="s">
        <v>1349</v>
      </c>
      <c r="AY43" s="101"/>
      <c r="AZ43" s="101"/>
      <c r="BA43" s="101"/>
      <c r="BB43" s="101"/>
      <c r="BC43" s="101"/>
      <c r="BD43" s="101" t="s">
        <v>1349</v>
      </c>
      <c r="BE43" s="101"/>
      <c r="BF43" s="101"/>
      <c r="BG43" s="101"/>
      <c r="BH43" s="101"/>
      <c r="BI43" s="101" t="s">
        <v>1121</v>
      </c>
      <c r="BJ43" s="101"/>
      <c r="BK43" s="101"/>
      <c r="BL43" s="101"/>
      <c r="BM43" s="101" t="s">
        <v>872</v>
      </c>
      <c r="BN43" s="101" t="s">
        <v>1349</v>
      </c>
      <c r="BO43" s="101"/>
      <c r="BP43" s="101"/>
      <c r="BQ43" s="101"/>
      <c r="BR43" s="101" t="s">
        <v>873</v>
      </c>
      <c r="BS43" s="101"/>
      <c r="BT43" s="101"/>
      <c r="BU43" s="101"/>
      <c r="BV43" s="101"/>
      <c r="BW43" s="101"/>
      <c r="BX43" s="101"/>
      <c r="BY43" s="101" t="s">
        <v>1349</v>
      </c>
      <c r="BZ43" s="101"/>
      <c r="CA43" s="101" t="s">
        <v>873</v>
      </c>
      <c r="CB43" s="101"/>
      <c r="CC43" s="101"/>
      <c r="CD43" s="101"/>
      <c r="CE43" s="101" t="s">
        <v>1349</v>
      </c>
      <c r="CF43" s="101" t="s">
        <v>1349</v>
      </c>
      <c r="CG43" s="101"/>
      <c r="CH43" s="101" t="s">
        <v>873</v>
      </c>
      <c r="CI43" s="101"/>
      <c r="CJ43" s="101"/>
      <c r="CK43" s="101" t="s">
        <v>1349</v>
      </c>
      <c r="CL43" s="101" t="s">
        <v>1349</v>
      </c>
      <c r="CM43" s="101"/>
      <c r="CN43" s="101"/>
      <c r="CO43" s="101"/>
      <c r="CP43" s="101"/>
      <c r="CQ43" s="101"/>
      <c r="CR43" s="101" t="s">
        <v>872</v>
      </c>
      <c r="CS43" s="101"/>
      <c r="CT43" s="101"/>
      <c r="CU43" s="101" t="s">
        <v>872</v>
      </c>
      <c r="CV43" s="101"/>
      <c r="CW43" s="101"/>
      <c r="CX43" s="101"/>
      <c r="CY43" s="101"/>
      <c r="CZ43" s="101"/>
      <c r="DA43" s="101"/>
      <c r="DB43" s="101"/>
      <c r="DC43" s="101"/>
      <c r="DD43" s="101"/>
      <c r="DE43" s="101" t="s">
        <v>872</v>
      </c>
      <c r="DF43" s="101" t="s">
        <v>1362</v>
      </c>
      <c r="DG43" s="101" t="s">
        <v>872</v>
      </c>
      <c r="DH43" s="101"/>
      <c r="DI43" s="101"/>
      <c r="DJ43" s="101"/>
      <c r="DK43" s="101"/>
      <c r="DL43" s="101"/>
      <c r="DM43" s="101"/>
      <c r="DN43" s="101"/>
      <c r="DO43" s="101"/>
      <c r="DP43" s="101" t="s">
        <v>1349</v>
      </c>
      <c r="DQ43" s="101"/>
      <c r="DR43" s="101" t="s">
        <v>1349</v>
      </c>
      <c r="DS43" s="101"/>
      <c r="DT43" s="101"/>
      <c r="DU43" s="101"/>
      <c r="DV43" s="101" t="s">
        <v>1349</v>
      </c>
      <c r="DW43" s="101" t="s">
        <v>1118</v>
      </c>
      <c r="DX43" s="101"/>
      <c r="DY43" s="101"/>
      <c r="DZ43" s="101" t="s">
        <v>1349</v>
      </c>
      <c r="EA43" s="101"/>
      <c r="EB43" s="101"/>
      <c r="EC43" s="101" t="s">
        <v>872</v>
      </c>
      <c r="ED43" s="101"/>
      <c r="EE43" s="101" t="s">
        <v>1292</v>
      </c>
      <c r="EF43" s="101" t="s">
        <v>872</v>
      </c>
      <c r="EG43" s="101"/>
      <c r="EH43" s="101"/>
      <c r="EI43" s="101"/>
      <c r="EJ43" s="101"/>
      <c r="EK43" s="101"/>
      <c r="EL43" s="101"/>
      <c r="EM43" s="101"/>
      <c r="EN43" s="101"/>
      <c r="EO43" s="101"/>
      <c r="EP43" s="101"/>
      <c r="EQ43" s="101"/>
      <c r="ER43" s="101" t="s">
        <v>1388</v>
      </c>
      <c r="ES43" s="101"/>
      <c r="ET43" s="101"/>
      <c r="EU43" s="101"/>
      <c r="EV43" s="101" t="s">
        <v>872</v>
      </c>
      <c r="EW43" s="101"/>
      <c r="EX43" s="101"/>
      <c r="EY43" s="101"/>
      <c r="EZ43" s="101" t="s">
        <v>1291</v>
      </c>
      <c r="FA43" s="101"/>
      <c r="FB43" s="101"/>
      <c r="FC43" s="101"/>
      <c r="FD43" s="101" t="s">
        <v>872</v>
      </c>
      <c r="FE43" s="101"/>
      <c r="FF43" s="101"/>
      <c r="FG43" s="101" t="s">
        <v>1291</v>
      </c>
      <c r="FH43" s="101"/>
      <c r="FI43" s="101" t="s">
        <v>1118</v>
      </c>
      <c r="FJ43" s="101"/>
      <c r="FK43" s="101"/>
      <c r="FL43" s="101" t="s">
        <v>1349</v>
      </c>
      <c r="FM43" s="101" t="s">
        <v>1117</v>
      </c>
      <c r="FN43" s="101"/>
      <c r="FO43" s="101"/>
      <c r="FP43" s="101"/>
      <c r="FQ43" s="101"/>
      <c r="FR43" s="101" t="s">
        <v>1291</v>
      </c>
      <c r="FS43" s="101"/>
      <c r="FT43" s="101"/>
      <c r="FU43" s="101"/>
      <c r="FV43" s="101" t="s">
        <v>1349</v>
      </c>
      <c r="FW43" s="101" t="s">
        <v>872</v>
      </c>
      <c r="FX43" s="101"/>
      <c r="FY43" s="101"/>
      <c r="FZ43" s="101" t="s">
        <v>1125</v>
      </c>
      <c r="GA43" s="101"/>
      <c r="GB43" s="101" t="s">
        <v>1126</v>
      </c>
      <c r="GC43" s="101"/>
      <c r="GD43" s="101"/>
      <c r="GE43" s="101"/>
      <c r="GF43" s="101"/>
      <c r="GG43" s="101"/>
      <c r="GH43" s="101" t="s">
        <v>1349</v>
      </c>
      <c r="GI43" s="101"/>
      <c r="GJ43" s="101"/>
      <c r="GK43" s="101"/>
      <c r="GL43" s="101"/>
      <c r="GM43" s="101"/>
      <c r="GN43" s="101"/>
      <c r="GO43" s="101"/>
      <c r="GP43" s="101"/>
      <c r="GQ43" s="101"/>
      <c r="GR43" s="101"/>
      <c r="GS43" s="101"/>
      <c r="GT43" s="101" t="s">
        <v>1123</v>
      </c>
      <c r="GU43" s="101"/>
      <c r="GV43" s="101" t="s">
        <v>1127</v>
      </c>
      <c r="GW43" s="101" t="s">
        <v>1349</v>
      </c>
      <c r="GX43" s="101"/>
    </row>
    <row r="44" spans="1:206" x14ac:dyDescent="0.2">
      <c r="A44" s="104" t="s">
        <v>70</v>
      </c>
      <c r="B44" s="104" t="s">
        <v>71</v>
      </c>
      <c r="C44" s="101"/>
      <c r="D44" s="101"/>
      <c r="E44" s="101"/>
      <c r="F44" s="100"/>
      <c r="G44" s="101" t="s">
        <v>874</v>
      </c>
      <c r="H44" s="101"/>
      <c r="I44" s="101" t="s">
        <v>1293</v>
      </c>
      <c r="J44" s="101"/>
      <c r="K44" s="101"/>
      <c r="L44" s="101"/>
      <c r="M44" s="101"/>
      <c r="N44" s="101"/>
      <c r="O44" s="101"/>
      <c r="P44" s="101"/>
      <c r="Q44" s="101"/>
      <c r="R44" s="101"/>
      <c r="S44" s="101"/>
      <c r="T44" s="101"/>
      <c r="U44" s="101"/>
      <c r="V44" s="101"/>
      <c r="W44" s="101"/>
      <c r="X44" s="101"/>
      <c r="Y44" s="101"/>
      <c r="Z44" s="101"/>
      <c r="AA44" s="101"/>
      <c r="AB44" s="101"/>
      <c r="AC44" s="101"/>
      <c r="AD44" s="101"/>
      <c r="AE44" s="101"/>
      <c r="AF44" s="101"/>
      <c r="AG44" s="101"/>
      <c r="AH44" s="101"/>
      <c r="AI44" s="101"/>
      <c r="AJ44" s="101"/>
      <c r="AK44" s="101"/>
      <c r="AL44" s="101"/>
      <c r="AM44" s="101"/>
      <c r="AN44" s="101"/>
      <c r="AO44" s="101"/>
      <c r="AP44" s="101"/>
      <c r="AQ44" s="101"/>
      <c r="AR44" s="101"/>
      <c r="AS44" s="101"/>
      <c r="AT44" s="101"/>
      <c r="AU44" s="101"/>
      <c r="AV44" s="101"/>
      <c r="AW44" s="101"/>
      <c r="AX44" s="101"/>
      <c r="AY44" s="101"/>
      <c r="AZ44" s="101"/>
      <c r="BA44" s="101"/>
      <c r="BB44" s="101"/>
      <c r="BC44" s="101"/>
      <c r="BD44" s="101"/>
      <c r="BE44" s="101"/>
      <c r="BF44" s="101"/>
      <c r="BG44" s="101"/>
      <c r="BH44" s="101" t="s">
        <v>878</v>
      </c>
      <c r="BI44" s="101"/>
      <c r="BJ44" s="101"/>
      <c r="BK44" s="101"/>
      <c r="BL44" s="101"/>
      <c r="BM44" s="101"/>
      <c r="BN44" s="101"/>
      <c r="BO44" s="101"/>
      <c r="BP44" s="101"/>
      <c r="BQ44" s="101"/>
      <c r="BR44" s="101"/>
      <c r="BS44" s="101"/>
      <c r="BT44" s="101"/>
      <c r="BU44" s="101"/>
      <c r="BV44" s="101"/>
      <c r="BW44" s="101"/>
      <c r="BX44" s="101"/>
      <c r="BY44" s="101"/>
      <c r="BZ44" s="101"/>
      <c r="CA44" s="101"/>
      <c r="CB44" s="101"/>
      <c r="CC44" s="101"/>
      <c r="CD44" s="101"/>
      <c r="CE44" s="101"/>
      <c r="CF44" s="101"/>
      <c r="CG44" s="101"/>
      <c r="CH44" s="101"/>
      <c r="CI44" s="101"/>
      <c r="CJ44" s="101" t="s">
        <v>879</v>
      </c>
      <c r="CK44" s="101"/>
      <c r="CL44" s="101"/>
      <c r="CM44" s="101"/>
      <c r="CN44" s="101"/>
      <c r="CO44" s="101"/>
      <c r="CP44" s="101"/>
      <c r="CQ44" s="101"/>
      <c r="CR44" s="101"/>
      <c r="CS44" s="101"/>
      <c r="CT44" s="101"/>
      <c r="CU44" s="101"/>
      <c r="CV44" s="101"/>
      <c r="CW44" s="101"/>
      <c r="CX44" s="101"/>
      <c r="CY44" s="101"/>
      <c r="CZ44" s="101" t="s">
        <v>880</v>
      </c>
      <c r="DA44" s="101"/>
      <c r="DB44" s="101"/>
      <c r="DC44" s="101"/>
      <c r="DD44" s="101"/>
      <c r="DE44" s="101"/>
      <c r="DF44" s="101" t="s">
        <v>878</v>
      </c>
      <c r="DG44" s="101"/>
      <c r="DH44" s="101"/>
      <c r="DI44" s="101"/>
      <c r="DJ44" s="101"/>
      <c r="DK44" s="101"/>
      <c r="DL44" s="101"/>
      <c r="DM44" s="101"/>
      <c r="DN44" s="101"/>
      <c r="DO44" s="101"/>
      <c r="DP44" s="101"/>
      <c r="DQ44" s="101"/>
      <c r="DR44" s="101"/>
      <c r="DS44" s="101"/>
      <c r="DT44" s="101"/>
      <c r="DU44" s="101"/>
      <c r="DV44" s="101"/>
      <c r="DW44" s="101"/>
      <c r="DX44" s="101"/>
      <c r="DY44" s="101"/>
      <c r="DZ44" s="101"/>
      <c r="EA44" s="101"/>
      <c r="EB44" s="101"/>
      <c r="EC44" s="101"/>
      <c r="ED44" s="101"/>
      <c r="EE44" s="101"/>
      <c r="EF44" s="101"/>
      <c r="EG44" s="101"/>
      <c r="EH44" s="101"/>
      <c r="EI44" s="101"/>
      <c r="EJ44" s="101"/>
      <c r="EK44" s="101"/>
      <c r="EL44" s="101" t="s">
        <v>1294</v>
      </c>
      <c r="EM44" s="101"/>
      <c r="EN44" s="101"/>
      <c r="EO44" s="101"/>
      <c r="EP44" s="101" t="s">
        <v>1294</v>
      </c>
      <c r="EQ44" s="101" t="s">
        <v>878</v>
      </c>
      <c r="ER44" s="101"/>
      <c r="ES44" s="101"/>
      <c r="ET44" s="101"/>
      <c r="EU44" s="101"/>
      <c r="EV44" s="101"/>
      <c r="EW44" s="101"/>
      <c r="EX44" s="101" t="s">
        <v>1295</v>
      </c>
      <c r="EY44" s="101"/>
      <c r="EZ44" s="101" t="s">
        <v>1293</v>
      </c>
      <c r="FA44" s="101"/>
      <c r="FB44" s="101"/>
      <c r="FC44" s="101"/>
      <c r="FD44" s="101"/>
      <c r="FE44" s="101"/>
      <c r="FF44" s="101"/>
      <c r="FG44" s="101"/>
      <c r="FH44" s="101"/>
      <c r="FI44" s="101"/>
      <c r="FJ44" s="101"/>
      <c r="FK44" s="101"/>
      <c r="FL44" s="101"/>
      <c r="FM44" s="101"/>
      <c r="FN44" s="101"/>
      <c r="FO44" s="101"/>
      <c r="FP44" s="101"/>
      <c r="FQ44" s="101"/>
      <c r="FR44" s="101"/>
      <c r="FS44" s="101"/>
      <c r="FT44" s="101"/>
      <c r="FU44" s="101"/>
      <c r="FV44" s="101"/>
      <c r="FW44" s="101"/>
      <c r="FX44" s="101" t="s">
        <v>883</v>
      </c>
      <c r="FY44" s="101"/>
      <c r="FZ44" s="101"/>
      <c r="GA44" s="101"/>
      <c r="GB44" s="101"/>
      <c r="GC44" s="101"/>
      <c r="GD44" s="101"/>
      <c r="GE44" s="101"/>
      <c r="GF44" s="101"/>
      <c r="GG44" s="101"/>
      <c r="GH44" s="101"/>
      <c r="GI44" s="101"/>
      <c r="GJ44" s="101"/>
      <c r="GK44" s="101"/>
      <c r="GL44" s="101"/>
      <c r="GM44" s="101"/>
      <c r="GN44" s="101" t="s">
        <v>1296</v>
      </c>
      <c r="GO44" s="101"/>
      <c r="GP44" s="101"/>
      <c r="GQ44" s="101"/>
      <c r="GR44" s="101"/>
      <c r="GS44" s="101"/>
      <c r="GT44" s="101"/>
      <c r="GU44" s="101"/>
      <c r="GV44" s="101"/>
      <c r="GW44" s="101"/>
      <c r="GX44" s="101"/>
    </row>
    <row r="45" spans="1:206" x14ac:dyDescent="0.2">
      <c r="A45" s="104" t="s">
        <v>36</v>
      </c>
      <c r="B45" s="104" t="s">
        <v>122</v>
      </c>
      <c r="C45" s="101" t="s">
        <v>1297</v>
      </c>
      <c r="D45" s="101"/>
      <c r="E45" s="101" t="s">
        <v>1298</v>
      </c>
      <c r="F45" s="100" t="s">
        <v>1299</v>
      </c>
      <c r="G45" s="101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101"/>
      <c r="AD45" s="101"/>
      <c r="AE45" s="101"/>
      <c r="AF45" s="101"/>
      <c r="AG45" s="101"/>
      <c r="AH45" s="101"/>
      <c r="AI45" s="101"/>
      <c r="AJ45" s="101"/>
      <c r="AK45" s="101"/>
      <c r="AL45" s="101"/>
      <c r="AM45" s="101"/>
      <c r="AN45" s="101"/>
      <c r="AO45" s="101"/>
      <c r="AP45" s="101"/>
      <c r="AQ45" s="101"/>
      <c r="AR45" s="101"/>
      <c r="AS45" s="101"/>
      <c r="AT45" s="101"/>
      <c r="AU45" s="101"/>
      <c r="AV45" s="101" t="s">
        <v>889</v>
      </c>
      <c r="AW45" s="101"/>
      <c r="AX45" s="101" t="s">
        <v>889</v>
      </c>
      <c r="AY45" s="101"/>
      <c r="AZ45" s="101"/>
      <c r="BA45" s="101"/>
      <c r="BB45" s="101"/>
      <c r="BC45" s="101"/>
      <c r="BD45" s="101" t="s">
        <v>889</v>
      </c>
      <c r="BE45" s="101"/>
      <c r="BF45" s="101"/>
      <c r="BG45" s="101"/>
      <c r="BH45" s="101"/>
      <c r="BI45" s="101"/>
      <c r="BJ45" s="101"/>
      <c r="BK45" s="101"/>
      <c r="BL45" s="101"/>
      <c r="BM45" s="101"/>
      <c r="BN45" s="101" t="s">
        <v>889</v>
      </c>
      <c r="BO45" s="101" t="s">
        <v>890</v>
      </c>
      <c r="BP45" s="101"/>
      <c r="BQ45" s="101"/>
      <c r="BR45" s="101"/>
      <c r="BS45" s="101"/>
      <c r="BT45" s="101"/>
      <c r="BU45" s="101"/>
      <c r="BV45" s="101"/>
      <c r="BW45" s="101" t="s">
        <v>1300</v>
      </c>
      <c r="BX45" s="101"/>
      <c r="BY45" s="101" t="s">
        <v>889</v>
      </c>
      <c r="BZ45" s="101"/>
      <c r="CA45" s="101"/>
      <c r="CB45" s="101"/>
      <c r="CC45" s="101"/>
      <c r="CD45" s="101"/>
      <c r="CE45" s="101" t="s">
        <v>889</v>
      </c>
      <c r="CF45" s="101" t="s">
        <v>889</v>
      </c>
      <c r="CG45" s="101"/>
      <c r="CH45" s="101"/>
      <c r="CI45" s="101"/>
      <c r="CJ45" s="101"/>
      <c r="CK45" s="101" t="s">
        <v>889</v>
      </c>
      <c r="CL45" s="101" t="s">
        <v>889</v>
      </c>
      <c r="CM45" s="101"/>
      <c r="CN45" s="101"/>
      <c r="CO45" s="101"/>
      <c r="CP45" s="101"/>
      <c r="CQ45" s="101"/>
      <c r="CR45" s="101"/>
      <c r="CS45" s="101"/>
      <c r="CT45" s="101"/>
      <c r="CU45" s="101"/>
      <c r="CV45" s="101"/>
      <c r="CW45" s="101"/>
      <c r="CX45" s="101"/>
      <c r="CY45" s="101"/>
      <c r="CZ45" s="101"/>
      <c r="DA45" s="101"/>
      <c r="DB45" s="101"/>
      <c r="DC45" s="101"/>
      <c r="DD45" s="101"/>
      <c r="DE45" s="101"/>
      <c r="DF45" s="101"/>
      <c r="DG45" s="101"/>
      <c r="DH45" s="101"/>
      <c r="DI45" s="101"/>
      <c r="DJ45" s="101"/>
      <c r="DK45" s="101"/>
      <c r="DL45" s="101"/>
      <c r="DM45" s="101"/>
      <c r="DN45" s="101"/>
      <c r="DO45" s="101"/>
      <c r="DP45" s="101" t="s">
        <v>889</v>
      </c>
      <c r="DQ45" s="101"/>
      <c r="DR45" s="101" t="s">
        <v>889</v>
      </c>
      <c r="DS45" s="101"/>
      <c r="DT45" s="101"/>
      <c r="DU45" s="101"/>
      <c r="DV45" s="101" t="s">
        <v>889</v>
      </c>
      <c r="DW45" s="101"/>
      <c r="DX45" s="101"/>
      <c r="DY45" s="101"/>
      <c r="DZ45" s="101" t="s">
        <v>889</v>
      </c>
      <c r="EA45" s="101"/>
      <c r="EB45" s="101"/>
      <c r="EC45" s="101"/>
      <c r="ED45" s="101"/>
      <c r="EE45" s="101"/>
      <c r="EF45" s="101"/>
      <c r="EG45" s="101"/>
      <c r="EH45" s="101"/>
      <c r="EI45" s="101"/>
      <c r="EJ45" s="101"/>
      <c r="EK45" s="101"/>
      <c r="EL45" s="101"/>
      <c r="EM45" s="101"/>
      <c r="EN45" s="101"/>
      <c r="EO45" s="101"/>
      <c r="EP45" s="101"/>
      <c r="EQ45" s="101"/>
      <c r="ER45" s="101" t="s">
        <v>1387</v>
      </c>
      <c r="ES45" s="101"/>
      <c r="ET45" s="101"/>
      <c r="EU45" s="101"/>
      <c r="EV45" s="101"/>
      <c r="EW45" s="101"/>
      <c r="EX45" s="101"/>
      <c r="EY45" s="101"/>
      <c r="EZ45" s="101"/>
      <c r="FA45" s="101"/>
      <c r="FB45" s="101"/>
      <c r="FC45" s="101" t="s">
        <v>1301</v>
      </c>
      <c r="FD45" s="101"/>
      <c r="FE45" s="101"/>
      <c r="FF45" s="101"/>
      <c r="FG45" s="101"/>
      <c r="FH45" s="101"/>
      <c r="FI45" s="101"/>
      <c r="FJ45" s="101"/>
      <c r="FK45" s="101"/>
      <c r="FL45" s="101" t="s">
        <v>889</v>
      </c>
      <c r="FM45" s="101"/>
      <c r="FN45" s="101"/>
      <c r="FO45" s="101"/>
      <c r="FP45" s="101"/>
      <c r="FQ45" s="101"/>
      <c r="FR45" s="101" t="s">
        <v>894</v>
      </c>
      <c r="FS45" s="101"/>
      <c r="FT45" s="101"/>
      <c r="FU45" s="101"/>
      <c r="FV45" s="101" t="s">
        <v>889</v>
      </c>
      <c r="FW45" s="101"/>
      <c r="FX45" s="101" t="s">
        <v>895</v>
      </c>
      <c r="FY45" s="101"/>
      <c r="FZ45" s="101"/>
      <c r="GA45" s="101"/>
      <c r="GB45" s="101"/>
      <c r="GC45" s="101"/>
      <c r="GD45" s="101"/>
      <c r="GE45" s="101"/>
      <c r="GF45" s="101"/>
      <c r="GG45" s="101"/>
      <c r="GH45" s="101" t="s">
        <v>889</v>
      </c>
      <c r="GI45" s="101"/>
      <c r="GJ45" s="101" t="s">
        <v>897</v>
      </c>
      <c r="GK45" s="101"/>
      <c r="GL45" s="101"/>
      <c r="GM45" s="101" t="s">
        <v>895</v>
      </c>
      <c r="GN45" s="101"/>
      <c r="GO45" s="101" t="s">
        <v>898</v>
      </c>
      <c r="GP45" s="101"/>
      <c r="GQ45" s="101" t="s">
        <v>899</v>
      </c>
      <c r="GR45" s="101"/>
      <c r="GS45" s="101"/>
      <c r="GT45" s="101" t="s">
        <v>900</v>
      </c>
      <c r="GU45" s="101" t="s">
        <v>1302</v>
      </c>
      <c r="GV45" s="101"/>
      <c r="GW45" s="101" t="s">
        <v>889</v>
      </c>
      <c r="GX45" s="101"/>
    </row>
    <row r="46" spans="1:206" x14ac:dyDescent="0.2">
      <c r="A46" s="104" t="s">
        <v>123</v>
      </c>
      <c r="B46" s="104" t="s">
        <v>124</v>
      </c>
      <c r="C46" s="101"/>
      <c r="D46" s="101"/>
      <c r="E46" s="101"/>
      <c r="F46" s="100"/>
      <c r="G46" s="101"/>
      <c r="H46" s="101"/>
      <c r="I46" s="101"/>
      <c r="J46" s="101"/>
      <c r="K46" s="101"/>
      <c r="L46" s="101"/>
      <c r="M46" s="101"/>
      <c r="N46" s="101"/>
      <c r="O46" s="101"/>
      <c r="P46" s="101"/>
      <c r="Q46" s="101" t="s">
        <v>1303</v>
      </c>
      <c r="R46" s="101"/>
      <c r="S46" s="101"/>
      <c r="T46" s="101"/>
      <c r="U46" s="101"/>
      <c r="V46" s="101"/>
      <c r="W46" s="101"/>
      <c r="X46" s="101"/>
      <c r="Y46" s="101"/>
      <c r="Z46" s="101"/>
      <c r="AA46" s="101"/>
      <c r="AB46" s="101"/>
      <c r="AC46" s="101"/>
      <c r="AD46" s="101"/>
      <c r="AE46" s="101" t="s">
        <v>1304</v>
      </c>
      <c r="AF46" s="101"/>
      <c r="AG46" s="101"/>
      <c r="AH46" s="101"/>
      <c r="AI46" s="101"/>
      <c r="AJ46" s="101"/>
      <c r="AK46" s="101"/>
      <c r="AL46" s="101"/>
      <c r="AM46" s="101"/>
      <c r="AN46" s="101"/>
      <c r="AO46" s="101"/>
      <c r="AP46" s="101"/>
      <c r="AQ46" s="101"/>
      <c r="AR46" s="101"/>
      <c r="AS46" s="101" t="s">
        <v>905</v>
      </c>
      <c r="AT46" s="101"/>
      <c r="AU46" s="101"/>
      <c r="AV46" s="101" t="s">
        <v>907</v>
      </c>
      <c r="AW46" s="101"/>
      <c r="AX46" s="101" t="s">
        <v>907</v>
      </c>
      <c r="AY46" s="101"/>
      <c r="AZ46" s="101"/>
      <c r="BA46" s="101"/>
      <c r="BB46" s="101"/>
      <c r="BC46" s="101"/>
      <c r="BD46" s="101" t="s">
        <v>907</v>
      </c>
      <c r="BE46" s="101"/>
      <c r="BF46" s="101"/>
      <c r="BG46" s="101"/>
      <c r="BH46" s="101"/>
      <c r="BI46" s="101" t="s">
        <v>1018</v>
      </c>
      <c r="BJ46" s="101"/>
      <c r="BK46" s="101"/>
      <c r="BL46" s="101"/>
      <c r="BM46" s="101" t="s">
        <v>908</v>
      </c>
      <c r="BN46" s="101"/>
      <c r="BO46" s="101"/>
      <c r="BP46" s="101"/>
      <c r="BQ46" s="101"/>
      <c r="BR46" s="101"/>
      <c r="BS46" s="101"/>
      <c r="BT46" s="101"/>
      <c r="BU46" s="101"/>
      <c r="BV46" s="101" t="s">
        <v>1305</v>
      </c>
      <c r="BW46" s="101"/>
      <c r="BX46" s="101"/>
      <c r="BY46" s="101" t="s">
        <v>907</v>
      </c>
      <c r="BZ46" s="101"/>
      <c r="CA46" s="101"/>
      <c r="CB46" s="101"/>
      <c r="CC46" s="101"/>
      <c r="CD46" s="101"/>
      <c r="CE46" s="101" t="s">
        <v>907</v>
      </c>
      <c r="CF46" s="101" t="s">
        <v>907</v>
      </c>
      <c r="CG46" s="101"/>
      <c r="CH46" s="101"/>
      <c r="CI46" s="101"/>
      <c r="CJ46" s="101"/>
      <c r="CK46" s="101" t="s">
        <v>907</v>
      </c>
      <c r="CL46" s="101" t="s">
        <v>907</v>
      </c>
      <c r="CM46" s="101" t="s">
        <v>1306</v>
      </c>
      <c r="CN46" s="101"/>
      <c r="CO46" s="101"/>
      <c r="CP46" s="101"/>
      <c r="CQ46" s="101"/>
      <c r="CR46" s="101"/>
      <c r="CS46" s="101"/>
      <c r="CT46" s="101"/>
      <c r="CU46" s="101"/>
      <c r="CV46" s="101"/>
      <c r="CW46" s="101"/>
      <c r="CX46" s="101"/>
      <c r="CY46" s="101"/>
      <c r="CZ46" s="101"/>
      <c r="DA46" s="101"/>
      <c r="DB46" s="101"/>
      <c r="DC46" s="101"/>
      <c r="DD46" s="101"/>
      <c r="DE46" s="101" t="s">
        <v>912</v>
      </c>
      <c r="DF46" s="101"/>
      <c r="DG46" s="101" t="s">
        <v>913</v>
      </c>
      <c r="DH46" s="101"/>
      <c r="DI46" s="101"/>
      <c r="DJ46" s="101"/>
      <c r="DK46" s="101"/>
      <c r="DL46" s="101"/>
      <c r="DM46" s="101"/>
      <c r="DN46" s="101"/>
      <c r="DO46" s="101"/>
      <c r="DP46" s="101"/>
      <c r="DQ46" s="101"/>
      <c r="DR46" s="101"/>
      <c r="DS46" s="101"/>
      <c r="DT46" s="101"/>
      <c r="DU46" s="101"/>
      <c r="DV46" s="101"/>
      <c r="DW46" s="101"/>
      <c r="DX46" s="101"/>
      <c r="DY46" s="101"/>
      <c r="DZ46" s="101"/>
      <c r="EA46" s="101"/>
      <c r="EB46" s="101"/>
      <c r="EC46" s="101" t="s">
        <v>914</v>
      </c>
      <c r="ED46" s="101"/>
      <c r="EE46" s="101"/>
      <c r="EF46" s="101"/>
      <c r="EG46" s="101"/>
      <c r="EH46" s="101"/>
      <c r="EI46" s="101"/>
      <c r="EJ46" s="101"/>
      <c r="EK46" s="101"/>
      <c r="EL46" s="101"/>
      <c r="EM46" s="101"/>
      <c r="EN46" s="101"/>
      <c r="EO46" s="101"/>
      <c r="EP46" s="101"/>
      <c r="EQ46" s="101"/>
      <c r="ER46" s="101" t="s">
        <v>913</v>
      </c>
      <c r="ES46" s="101"/>
      <c r="ET46" s="101"/>
      <c r="EU46" s="101"/>
      <c r="EV46" s="101" t="s">
        <v>1019</v>
      </c>
      <c r="EW46" s="101"/>
      <c r="EX46" s="101"/>
      <c r="EY46" s="101"/>
      <c r="EZ46" s="101"/>
      <c r="FA46" s="101"/>
      <c r="FB46" s="101"/>
      <c r="FC46" s="101"/>
      <c r="FD46" s="101" t="s">
        <v>1019</v>
      </c>
      <c r="FE46" s="101"/>
      <c r="FF46" s="101"/>
      <c r="FG46" s="101"/>
      <c r="FH46" s="101"/>
      <c r="FI46" s="101"/>
      <c r="FJ46" s="101"/>
      <c r="FK46" s="101"/>
      <c r="FL46" s="101" t="s">
        <v>915</v>
      </c>
      <c r="FM46" s="101" t="s">
        <v>1304</v>
      </c>
      <c r="FN46" s="101"/>
      <c r="FO46" s="101"/>
      <c r="FP46" s="101"/>
      <c r="FQ46" s="101"/>
      <c r="FR46" s="101"/>
      <c r="FS46" s="101"/>
      <c r="FT46" s="101"/>
      <c r="FU46" s="101"/>
      <c r="FV46" s="101"/>
      <c r="FW46" s="101" t="s">
        <v>916</v>
      </c>
      <c r="FX46" s="101"/>
      <c r="FY46" s="101" t="s">
        <v>917</v>
      </c>
      <c r="FZ46" s="101" t="s">
        <v>918</v>
      </c>
      <c r="GA46" s="101"/>
      <c r="GB46" s="101"/>
      <c r="GC46" s="101"/>
      <c r="GD46" s="101"/>
      <c r="GE46" s="101"/>
      <c r="GF46" s="101"/>
      <c r="GG46" s="101"/>
      <c r="GH46" s="101"/>
      <c r="GI46" s="101"/>
      <c r="GJ46" s="101"/>
      <c r="GK46" s="101"/>
      <c r="GL46" s="101"/>
      <c r="GM46" s="101"/>
      <c r="GN46" s="101"/>
      <c r="GO46" s="101" t="s">
        <v>1307</v>
      </c>
      <c r="GP46" s="101" t="s">
        <v>919</v>
      </c>
      <c r="GQ46" s="101"/>
      <c r="GR46" s="101"/>
      <c r="GS46" s="101" t="s">
        <v>920</v>
      </c>
      <c r="GT46" s="101"/>
      <c r="GU46" s="101"/>
      <c r="GV46" s="101"/>
      <c r="GW46" s="101" t="s">
        <v>907</v>
      </c>
      <c r="GX46" s="101"/>
    </row>
    <row r="47" spans="1:206" x14ac:dyDescent="0.2">
      <c r="A47" s="104" t="s">
        <v>125</v>
      </c>
      <c r="B47" s="104" t="s">
        <v>59</v>
      </c>
      <c r="C47" s="101"/>
      <c r="D47" s="101"/>
      <c r="E47" s="101"/>
      <c r="F47" s="100"/>
      <c r="G47" s="101"/>
      <c r="H47" s="101" t="s">
        <v>1308</v>
      </c>
      <c r="I47" s="101"/>
      <c r="J47" s="101"/>
      <c r="K47" s="101"/>
      <c r="L47" s="101"/>
      <c r="M47" s="101"/>
      <c r="N47" s="101"/>
      <c r="O47" s="101"/>
      <c r="P47" s="101"/>
      <c r="Q47" s="101"/>
      <c r="R47" s="101"/>
      <c r="S47" s="101"/>
      <c r="T47" s="101"/>
      <c r="U47" s="101"/>
      <c r="V47" s="101"/>
      <c r="W47" s="101"/>
      <c r="X47" s="101"/>
      <c r="Y47" s="101"/>
      <c r="Z47" s="101"/>
      <c r="AA47" s="101"/>
      <c r="AB47" s="101"/>
      <c r="AC47" s="101"/>
      <c r="AD47" s="101"/>
      <c r="AE47" s="101"/>
      <c r="AF47" s="101"/>
      <c r="AG47" s="101"/>
      <c r="AH47" s="101"/>
      <c r="AI47" s="101"/>
      <c r="AJ47" s="101"/>
      <c r="AK47" s="101" t="s">
        <v>922</v>
      </c>
      <c r="AL47" s="101"/>
      <c r="AM47" s="101"/>
      <c r="AN47" s="101"/>
      <c r="AO47" s="101"/>
      <c r="AP47" s="101"/>
      <c r="AQ47" s="101"/>
      <c r="AR47" s="101"/>
      <c r="AS47" s="101"/>
      <c r="AT47" s="101"/>
      <c r="AU47" s="101"/>
      <c r="AV47" s="101" t="s">
        <v>924</v>
      </c>
      <c r="AW47" s="101"/>
      <c r="AX47" s="101" t="s">
        <v>924</v>
      </c>
      <c r="AY47" s="101"/>
      <c r="AZ47" s="101"/>
      <c r="BA47" s="101"/>
      <c r="BB47" s="101"/>
      <c r="BC47" s="101"/>
      <c r="BD47" s="101" t="s">
        <v>924</v>
      </c>
      <c r="BE47" s="101"/>
      <c r="BF47" s="101"/>
      <c r="BG47" s="101"/>
      <c r="BH47" s="101" t="s">
        <v>1132</v>
      </c>
      <c r="BI47" s="101"/>
      <c r="BJ47" s="101"/>
      <c r="BK47" s="101"/>
      <c r="BL47" s="101"/>
      <c r="BM47" s="101"/>
      <c r="BN47" s="101" t="s">
        <v>924</v>
      </c>
      <c r="BO47" s="101" t="s">
        <v>921</v>
      </c>
      <c r="BP47" s="101"/>
      <c r="BQ47" s="101"/>
      <c r="BR47" s="101"/>
      <c r="BS47" s="101"/>
      <c r="BT47" s="101"/>
      <c r="BU47" s="101" t="s">
        <v>1309</v>
      </c>
      <c r="BV47" s="101"/>
      <c r="BW47" s="101"/>
      <c r="BX47" s="101"/>
      <c r="BY47" s="101" t="s">
        <v>924</v>
      </c>
      <c r="BZ47" s="101"/>
      <c r="CA47" s="101"/>
      <c r="CB47" s="101"/>
      <c r="CC47" s="101"/>
      <c r="CD47" s="101"/>
      <c r="CE47" s="101" t="s">
        <v>924</v>
      </c>
      <c r="CF47" s="101" t="s">
        <v>924</v>
      </c>
      <c r="CG47" s="101"/>
      <c r="CH47" s="101"/>
      <c r="CI47" s="101"/>
      <c r="CJ47" s="101"/>
      <c r="CK47" s="101" t="s">
        <v>924</v>
      </c>
      <c r="CL47" s="101" t="s">
        <v>924</v>
      </c>
      <c r="CM47" s="101"/>
      <c r="CN47" s="101"/>
      <c r="CO47" s="101"/>
      <c r="CP47" s="101"/>
      <c r="CQ47" s="101"/>
      <c r="CR47" s="101"/>
      <c r="CS47" s="101"/>
      <c r="CT47" s="101"/>
      <c r="CU47" s="101"/>
      <c r="CV47" s="101"/>
      <c r="CW47" s="101"/>
      <c r="CX47" s="101"/>
      <c r="CY47" s="101"/>
      <c r="CZ47" s="101"/>
      <c r="DA47" s="101"/>
      <c r="DB47" s="101"/>
      <c r="DC47" s="101" t="s">
        <v>1360</v>
      </c>
      <c r="DD47" s="101"/>
      <c r="DE47" s="101"/>
      <c r="DF47" s="101" t="s">
        <v>921</v>
      </c>
      <c r="DG47" s="101"/>
      <c r="DH47" s="101"/>
      <c r="DI47" s="101"/>
      <c r="DJ47" s="101"/>
      <c r="DK47" s="101"/>
      <c r="DL47" s="101"/>
      <c r="DM47" s="101"/>
      <c r="DN47" s="101"/>
      <c r="DO47" s="101"/>
      <c r="DP47" s="101" t="s">
        <v>924</v>
      </c>
      <c r="DQ47" s="101"/>
      <c r="DR47" s="101" t="s">
        <v>924</v>
      </c>
      <c r="DS47" s="101"/>
      <c r="DT47" s="101"/>
      <c r="DU47" s="101"/>
      <c r="DV47" s="101" t="s">
        <v>924</v>
      </c>
      <c r="DW47" s="101"/>
      <c r="DX47" s="101"/>
      <c r="DY47" s="101"/>
      <c r="DZ47" s="101" t="s">
        <v>924</v>
      </c>
      <c r="EA47" s="101"/>
      <c r="EB47" s="101"/>
      <c r="EC47" s="101"/>
      <c r="ED47" s="101"/>
      <c r="EE47" s="101"/>
      <c r="EF47" s="101" t="s">
        <v>1360</v>
      </c>
      <c r="EG47" s="101"/>
      <c r="EH47" s="101"/>
      <c r="EI47" s="101"/>
      <c r="EJ47" s="101"/>
      <c r="EK47" s="101"/>
      <c r="EL47" s="101"/>
      <c r="EM47" s="101"/>
      <c r="EN47" s="101"/>
      <c r="EO47" s="101"/>
      <c r="EP47" s="101"/>
      <c r="EQ47" s="101" t="s">
        <v>921</v>
      </c>
      <c r="ER47" s="101" t="s">
        <v>1386</v>
      </c>
      <c r="ES47" s="101"/>
      <c r="ET47" s="101"/>
      <c r="EU47" s="101"/>
      <c r="EV47" s="101"/>
      <c r="EW47" s="101"/>
      <c r="EX47" s="101"/>
      <c r="EY47" s="101"/>
      <c r="EZ47" s="101"/>
      <c r="FA47" s="101"/>
      <c r="FB47" s="101" t="s">
        <v>1406</v>
      </c>
      <c r="FC47" s="101"/>
      <c r="FD47" s="101"/>
      <c r="FE47" s="101"/>
      <c r="FF47" s="101"/>
      <c r="FG47" s="101"/>
      <c r="FH47" s="101"/>
      <c r="FI47" s="101"/>
      <c r="FJ47" s="101" t="s">
        <v>924</v>
      </c>
      <c r="FK47" s="101"/>
      <c r="FL47" s="101" t="s">
        <v>924</v>
      </c>
      <c r="FM47" s="101"/>
      <c r="FN47" s="101" t="s">
        <v>1310</v>
      </c>
      <c r="FO47" s="101"/>
      <c r="FP47" s="101"/>
      <c r="FQ47" s="101"/>
      <c r="FR47" s="101" t="s">
        <v>1406</v>
      </c>
      <c r="FS47" s="101"/>
      <c r="FT47" s="101"/>
      <c r="FU47" s="101"/>
      <c r="FV47" s="101" t="s">
        <v>924</v>
      </c>
      <c r="FW47" s="101"/>
      <c r="FX47" s="101"/>
      <c r="FY47" s="101"/>
      <c r="FZ47" s="101"/>
      <c r="GA47" s="101"/>
      <c r="GB47" s="101"/>
      <c r="GC47" s="101"/>
      <c r="GD47" s="101"/>
      <c r="GE47" s="101"/>
      <c r="GF47" s="101"/>
      <c r="GG47" s="101"/>
      <c r="GH47" s="101" t="s">
        <v>924</v>
      </c>
      <c r="GI47" s="101"/>
      <c r="GJ47" s="101"/>
      <c r="GK47" s="101"/>
      <c r="GL47" s="101"/>
      <c r="GM47" s="101"/>
      <c r="GN47" s="101"/>
      <c r="GO47" s="101"/>
      <c r="GP47" s="101" t="s">
        <v>1427</v>
      </c>
      <c r="GQ47" s="101"/>
      <c r="GR47" s="101"/>
      <c r="GS47" s="101" t="s">
        <v>921</v>
      </c>
      <c r="GT47" s="101"/>
      <c r="GU47" s="101"/>
      <c r="GV47" s="101"/>
      <c r="GW47" s="101" t="s">
        <v>924</v>
      </c>
      <c r="GX47" s="101"/>
    </row>
    <row r="48" spans="1:206" x14ac:dyDescent="0.2">
      <c r="A48" s="104" t="s">
        <v>37</v>
      </c>
      <c r="B48" s="104" t="s">
        <v>38</v>
      </c>
      <c r="C48" s="101"/>
      <c r="D48" s="101"/>
      <c r="E48" s="101"/>
      <c r="F48" s="100"/>
      <c r="G48" s="101"/>
      <c r="H48" s="101"/>
      <c r="I48" s="101"/>
      <c r="J48" s="101"/>
      <c r="K48" s="101"/>
      <c r="L48" s="101"/>
      <c r="M48" s="101"/>
      <c r="N48" s="101"/>
      <c r="O48" s="101"/>
      <c r="P48" s="101"/>
      <c r="Q48" s="101"/>
      <c r="R48" s="101"/>
      <c r="S48" s="101"/>
      <c r="T48" s="101"/>
      <c r="U48" s="101"/>
      <c r="V48" s="101"/>
      <c r="W48" s="101" t="s">
        <v>938</v>
      </c>
      <c r="X48" s="101"/>
      <c r="Y48" s="101"/>
      <c r="Z48" s="101"/>
      <c r="AA48" s="101"/>
      <c r="AB48" s="101"/>
      <c r="AC48" s="101" t="s">
        <v>939</v>
      </c>
      <c r="AD48" s="101"/>
      <c r="AE48" s="101"/>
      <c r="AF48" s="101"/>
      <c r="AG48" s="101"/>
      <c r="AH48" s="101"/>
      <c r="AI48" s="101"/>
      <c r="AJ48" s="101"/>
      <c r="AK48" s="101"/>
      <c r="AL48" s="101"/>
      <c r="AM48" s="101"/>
      <c r="AN48" s="101"/>
      <c r="AO48" s="101"/>
      <c r="AP48" s="101"/>
      <c r="AQ48" s="101"/>
      <c r="AR48" s="101"/>
      <c r="AS48" s="101"/>
      <c r="AT48" s="101"/>
      <c r="AU48" s="101"/>
      <c r="AV48" s="101"/>
      <c r="AW48" s="101"/>
      <c r="AX48" s="101"/>
      <c r="AY48" s="101"/>
      <c r="AZ48" s="101"/>
      <c r="BA48" s="101"/>
      <c r="BB48" s="101"/>
      <c r="BC48" s="101" t="s">
        <v>938</v>
      </c>
      <c r="BD48" s="101"/>
      <c r="BE48" s="101"/>
      <c r="BF48" s="101"/>
      <c r="BG48" s="101"/>
      <c r="BH48" s="101"/>
      <c r="BI48" s="101"/>
      <c r="BJ48" s="101"/>
      <c r="BK48" s="101"/>
      <c r="BL48" s="101"/>
      <c r="BM48" s="101"/>
      <c r="BN48" s="101"/>
      <c r="BO48" s="101"/>
      <c r="BP48" s="101"/>
      <c r="BQ48" s="101"/>
      <c r="BR48" s="101"/>
      <c r="BS48" s="101"/>
      <c r="BT48" s="101"/>
      <c r="BU48" s="101"/>
      <c r="BV48" s="101"/>
      <c r="BW48" s="101"/>
      <c r="BX48" s="101"/>
      <c r="BY48" s="101"/>
      <c r="BZ48" s="101"/>
      <c r="CA48" s="101"/>
      <c r="CB48" s="101"/>
      <c r="CC48" s="101"/>
      <c r="CD48" s="101"/>
      <c r="CE48" s="101"/>
      <c r="CF48" s="101"/>
      <c r="CG48" s="101"/>
      <c r="CH48" s="101"/>
      <c r="CI48" s="101"/>
      <c r="CJ48" s="101"/>
      <c r="CK48" s="101"/>
      <c r="CL48" s="101"/>
      <c r="CM48" s="101"/>
      <c r="CN48" s="101"/>
      <c r="CO48" s="101"/>
      <c r="CP48" s="101"/>
      <c r="CQ48" s="101"/>
      <c r="CR48" s="101"/>
      <c r="CS48" s="101"/>
      <c r="CT48" s="101"/>
      <c r="CU48" s="101"/>
      <c r="CV48" s="101"/>
      <c r="CW48" s="101"/>
      <c r="CX48" s="101"/>
      <c r="CY48" s="101"/>
      <c r="CZ48" s="101"/>
      <c r="DA48" s="101"/>
      <c r="DB48" s="101"/>
      <c r="DC48" s="101"/>
      <c r="DD48" s="101"/>
      <c r="DE48" s="101"/>
      <c r="DF48" s="101"/>
      <c r="DG48" s="101"/>
      <c r="DH48" s="101"/>
      <c r="DI48" s="101"/>
      <c r="DJ48" s="101"/>
      <c r="DK48" s="101"/>
      <c r="DL48" s="101"/>
      <c r="DM48" s="101"/>
      <c r="DN48" s="101"/>
      <c r="DO48" s="101"/>
      <c r="DP48" s="101"/>
      <c r="DQ48" s="101"/>
      <c r="DR48" s="101"/>
      <c r="DS48" s="101"/>
      <c r="DT48" s="101"/>
      <c r="DU48" s="101"/>
      <c r="DV48" s="101"/>
      <c r="DW48" s="101"/>
      <c r="DX48" s="101"/>
      <c r="DY48" s="101"/>
      <c r="DZ48" s="101"/>
      <c r="EA48" s="101"/>
      <c r="EB48" s="101"/>
      <c r="EC48" s="101"/>
      <c r="ED48" s="101"/>
      <c r="EE48" s="101"/>
      <c r="EF48" s="101"/>
      <c r="EG48" s="101"/>
      <c r="EH48" s="101"/>
      <c r="EI48" s="101"/>
      <c r="EJ48" s="101"/>
      <c r="EK48" s="101"/>
      <c r="EL48" s="101"/>
      <c r="EM48" s="101"/>
      <c r="EN48" s="101"/>
      <c r="EO48" s="101"/>
      <c r="EP48" s="101"/>
      <c r="EQ48" s="101"/>
      <c r="ER48" s="101" t="s">
        <v>1385</v>
      </c>
      <c r="ES48" s="101"/>
      <c r="ET48" s="101"/>
      <c r="EU48" s="101"/>
      <c r="EV48" s="101"/>
      <c r="EW48" s="101"/>
      <c r="EX48" s="101"/>
      <c r="EY48" s="101"/>
      <c r="EZ48" s="101"/>
      <c r="FA48" s="101"/>
      <c r="FB48" s="101"/>
      <c r="FC48" s="101"/>
      <c r="FD48" s="101"/>
      <c r="FE48" s="101"/>
      <c r="FF48" s="101"/>
      <c r="FG48" s="101"/>
      <c r="FH48" s="101"/>
      <c r="FI48" s="101"/>
      <c r="FJ48" s="101"/>
      <c r="FK48" s="101"/>
      <c r="FL48" s="101"/>
      <c r="FM48" s="101"/>
      <c r="FN48" s="101"/>
      <c r="FO48" s="101"/>
      <c r="FP48" s="101"/>
      <c r="FQ48" s="101"/>
      <c r="FR48" s="101"/>
      <c r="FS48" s="101"/>
      <c r="FT48" s="101" t="s">
        <v>942</v>
      </c>
      <c r="FU48" s="101"/>
      <c r="FV48" s="101"/>
      <c r="FW48" s="101"/>
      <c r="FX48" s="101"/>
      <c r="FY48" s="101"/>
      <c r="FZ48" s="101"/>
      <c r="GA48" s="101"/>
      <c r="GB48" s="101"/>
      <c r="GC48" s="101"/>
      <c r="GD48" s="101"/>
      <c r="GE48" s="101"/>
      <c r="GF48" s="101"/>
      <c r="GG48" s="101"/>
      <c r="GH48" s="101"/>
      <c r="GI48" s="101"/>
      <c r="GJ48" s="101"/>
      <c r="GK48" s="101"/>
      <c r="GL48" s="101"/>
      <c r="GM48" s="101"/>
      <c r="GN48" s="101"/>
      <c r="GO48" s="101"/>
      <c r="GP48" s="101"/>
      <c r="GQ48" s="101"/>
      <c r="GR48" s="101"/>
      <c r="GS48" s="101"/>
      <c r="GT48" s="101"/>
      <c r="GU48" s="101"/>
      <c r="GV48" s="101"/>
      <c r="GW48" s="101"/>
      <c r="GX48" s="101" t="s">
        <v>943</v>
      </c>
    </row>
    <row r="49" spans="1:206" x14ac:dyDescent="0.2">
      <c r="A49" s="104" t="s">
        <v>126</v>
      </c>
      <c r="B49" s="104" t="s">
        <v>127</v>
      </c>
      <c r="C49" s="101" t="s">
        <v>1311</v>
      </c>
      <c r="D49" s="101"/>
      <c r="E49" s="101"/>
      <c r="F49" s="101"/>
      <c r="G49" s="101"/>
      <c r="H49" s="101"/>
      <c r="I49" s="101"/>
      <c r="J49" s="101"/>
      <c r="K49" s="101"/>
      <c r="L49" s="101"/>
      <c r="M49" s="101" t="s">
        <v>1339</v>
      </c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1"/>
      <c r="AJ49" s="101"/>
      <c r="AK49" s="101"/>
      <c r="AL49" s="101"/>
      <c r="AM49" s="101"/>
      <c r="AN49" s="101"/>
      <c r="AO49" s="101"/>
      <c r="AP49" s="101"/>
      <c r="AQ49" s="101"/>
      <c r="AR49" s="101"/>
      <c r="AS49" s="101"/>
      <c r="AT49" s="101"/>
      <c r="AU49" s="101"/>
      <c r="AV49" s="101"/>
      <c r="AW49" s="101"/>
      <c r="AX49" s="101"/>
      <c r="AY49" s="101"/>
      <c r="AZ49" s="101"/>
      <c r="BA49" s="101" t="s">
        <v>947</v>
      </c>
      <c r="BB49" s="101"/>
      <c r="BC49" s="101"/>
      <c r="BD49" s="101"/>
      <c r="BE49" s="101"/>
      <c r="BF49" s="101"/>
      <c r="BG49" s="101"/>
      <c r="BH49" s="101"/>
      <c r="BI49" s="101"/>
      <c r="BJ49" s="101"/>
      <c r="BK49" s="101"/>
      <c r="BL49" s="101"/>
      <c r="BM49" s="101"/>
      <c r="BN49" s="101"/>
      <c r="BO49" s="101"/>
      <c r="BP49" s="101"/>
      <c r="BQ49" s="101"/>
      <c r="BR49" s="101"/>
      <c r="BS49" s="101"/>
      <c r="BT49" s="101"/>
      <c r="BU49" s="101"/>
      <c r="BV49" s="101"/>
      <c r="BW49" s="101"/>
      <c r="BX49" s="101"/>
      <c r="BY49" s="101"/>
      <c r="BZ49" s="101"/>
      <c r="CA49" s="101"/>
      <c r="CB49" s="101"/>
      <c r="CC49" s="101" t="s">
        <v>1312</v>
      </c>
      <c r="CD49" s="101"/>
      <c r="CE49" s="101"/>
      <c r="CF49" s="101"/>
      <c r="CG49" s="101"/>
      <c r="CH49" s="101"/>
      <c r="CI49" s="101"/>
      <c r="CJ49" s="101"/>
      <c r="CK49" s="101"/>
      <c r="CL49" s="101"/>
      <c r="CM49" s="101"/>
      <c r="CN49" s="101"/>
      <c r="CO49" s="101" t="s">
        <v>1313</v>
      </c>
      <c r="CP49" s="101"/>
      <c r="CQ49" s="101"/>
      <c r="CR49" s="101"/>
      <c r="CS49" s="101"/>
      <c r="CT49" s="101"/>
      <c r="CU49" s="101"/>
      <c r="CV49" s="101"/>
      <c r="CW49" s="101"/>
      <c r="CX49" s="101"/>
      <c r="CY49" s="101"/>
      <c r="CZ49" s="101"/>
      <c r="DA49" s="101"/>
      <c r="DB49" s="101"/>
      <c r="DC49" s="101"/>
      <c r="DD49" s="101"/>
      <c r="DE49" s="101" t="s">
        <v>1314</v>
      </c>
      <c r="DF49" s="101"/>
      <c r="DG49" s="101"/>
      <c r="DH49" s="101"/>
      <c r="DI49" s="101"/>
      <c r="DJ49" s="101"/>
      <c r="DK49" s="101"/>
      <c r="DL49" s="101"/>
      <c r="DM49" s="101"/>
      <c r="DN49" s="101"/>
      <c r="DO49" s="101"/>
      <c r="DP49" s="101"/>
      <c r="DQ49" s="101"/>
      <c r="DR49" s="101"/>
      <c r="DS49" s="101" t="s">
        <v>952</v>
      </c>
      <c r="DT49" s="101"/>
      <c r="DU49" s="101"/>
      <c r="DV49" s="101"/>
      <c r="DW49" s="101"/>
      <c r="DX49" s="101"/>
      <c r="DY49" s="101"/>
      <c r="DZ49" s="101"/>
      <c r="EA49" s="101"/>
      <c r="EB49" s="101"/>
      <c r="EC49" s="101"/>
      <c r="ED49" s="101"/>
      <c r="EE49" s="101"/>
      <c r="EF49" s="101"/>
      <c r="EG49" s="101"/>
      <c r="EH49" s="101"/>
      <c r="EI49" s="101"/>
      <c r="EJ49" s="101"/>
      <c r="EK49" s="101"/>
      <c r="EL49" s="101"/>
      <c r="EM49" s="101"/>
      <c r="EN49" s="101"/>
      <c r="EO49" s="101"/>
      <c r="EP49" s="101"/>
      <c r="EQ49" s="101"/>
      <c r="ER49" s="101" t="s">
        <v>1384</v>
      </c>
      <c r="ES49" s="101"/>
      <c r="ET49" s="101"/>
      <c r="EU49" s="101"/>
      <c r="EV49" s="101"/>
      <c r="EW49" s="101"/>
      <c r="EX49" s="101"/>
      <c r="EY49" s="101"/>
      <c r="EZ49" s="101"/>
      <c r="FA49" s="101"/>
      <c r="FB49" s="101" t="s">
        <v>1407</v>
      </c>
      <c r="FC49" s="101"/>
      <c r="FD49" s="101"/>
      <c r="FE49" s="101"/>
      <c r="FF49" s="101"/>
      <c r="FG49" s="101"/>
      <c r="FH49" s="101"/>
      <c r="FI49" s="101"/>
      <c r="FJ49" s="101"/>
      <c r="FK49" s="101"/>
      <c r="FL49" s="101"/>
      <c r="FM49" s="101"/>
      <c r="FN49" s="101"/>
      <c r="FO49" s="101" t="s">
        <v>1414</v>
      </c>
      <c r="FP49" s="101"/>
      <c r="FQ49" s="101"/>
      <c r="FR49" s="101" t="s">
        <v>1315</v>
      </c>
      <c r="FS49" s="101"/>
      <c r="FT49" s="101"/>
      <c r="FU49" s="101"/>
      <c r="FV49" s="101"/>
      <c r="FW49" s="101"/>
      <c r="FX49" s="101"/>
      <c r="FY49" s="101"/>
      <c r="FZ49" s="101"/>
      <c r="GA49" s="101"/>
      <c r="GB49" s="101"/>
      <c r="GC49" s="101"/>
      <c r="GD49" s="101"/>
      <c r="GE49" s="101" t="s">
        <v>1418</v>
      </c>
      <c r="GF49" s="101"/>
      <c r="GG49" s="101"/>
      <c r="GH49" s="101"/>
      <c r="GI49" s="101"/>
      <c r="GJ49" s="101"/>
      <c r="GK49" s="101"/>
      <c r="GL49" s="101" t="s">
        <v>1418</v>
      </c>
      <c r="GM49" s="101"/>
      <c r="GN49" s="101" t="s">
        <v>1423</v>
      </c>
      <c r="GO49" s="101"/>
      <c r="GP49" s="101"/>
      <c r="GQ49" s="101"/>
      <c r="GR49" s="101"/>
      <c r="GS49" s="101"/>
      <c r="GT49" s="101"/>
      <c r="GU49" s="101"/>
      <c r="GV49" s="101"/>
      <c r="GW49" s="101"/>
      <c r="GX49" s="101"/>
    </row>
    <row r="50" spans="1:206" x14ac:dyDescent="0.2">
      <c r="A50" s="104" t="s">
        <v>128</v>
      </c>
      <c r="B50" s="104" t="s">
        <v>129</v>
      </c>
      <c r="C50" s="101"/>
      <c r="D50" s="101" t="s">
        <v>958</v>
      </c>
      <c r="E50" s="101" t="s">
        <v>1316</v>
      </c>
      <c r="F50" s="101"/>
      <c r="G50" s="101"/>
      <c r="H50" s="101"/>
      <c r="I50" s="101"/>
      <c r="J50" s="101"/>
      <c r="K50" s="101"/>
      <c r="L50" s="101"/>
      <c r="M50" s="101"/>
      <c r="N50" s="101"/>
      <c r="O50" s="101"/>
      <c r="P50" s="101"/>
      <c r="Q50" s="101"/>
      <c r="R50" s="101"/>
      <c r="S50" s="101"/>
      <c r="T50" s="101"/>
      <c r="U50" s="101"/>
      <c r="V50" s="101"/>
      <c r="W50" s="101"/>
      <c r="X50" s="101"/>
      <c r="Y50" s="101"/>
      <c r="Z50" s="101" t="s">
        <v>1317</v>
      </c>
      <c r="AA50" s="101"/>
      <c r="AB50" s="101"/>
      <c r="AC50" s="101"/>
      <c r="AD50" s="101"/>
      <c r="AE50" s="101"/>
      <c r="AF50" s="101"/>
      <c r="AG50" s="101"/>
      <c r="AH50" s="101" t="s">
        <v>961</v>
      </c>
      <c r="AI50" s="101"/>
      <c r="AJ50" s="101"/>
      <c r="AK50" s="101" t="s">
        <v>1346</v>
      </c>
      <c r="AL50" s="101"/>
      <c r="AM50" s="101"/>
      <c r="AN50" s="101"/>
      <c r="AO50" s="101"/>
      <c r="AP50" s="101"/>
      <c r="AQ50" s="101"/>
      <c r="AR50" s="101"/>
      <c r="AS50" s="101"/>
      <c r="AT50" s="101"/>
      <c r="AU50" s="101"/>
      <c r="AV50" s="101"/>
      <c r="AW50" s="101"/>
      <c r="AX50" s="101"/>
      <c r="AY50" s="101"/>
      <c r="AZ50" s="101"/>
      <c r="BA50" s="101"/>
      <c r="BB50" s="101"/>
      <c r="BC50" s="101"/>
      <c r="BD50" s="101"/>
      <c r="BE50" s="101"/>
      <c r="BF50" s="101"/>
      <c r="BG50" s="101"/>
      <c r="BH50" s="101"/>
      <c r="BI50" s="101"/>
      <c r="BJ50" s="101"/>
      <c r="BK50" s="101"/>
      <c r="BL50" s="101"/>
      <c r="BM50" s="101"/>
      <c r="BN50" s="101"/>
      <c r="BO50" s="101"/>
      <c r="BP50" s="101"/>
      <c r="BQ50" s="101"/>
      <c r="BR50" s="101"/>
      <c r="BS50" s="101"/>
      <c r="BT50" s="101"/>
      <c r="BU50" s="101"/>
      <c r="BV50" s="101"/>
      <c r="BW50" s="101"/>
      <c r="BX50" s="101"/>
      <c r="BY50" s="101"/>
      <c r="BZ50" s="101"/>
      <c r="CA50" s="101"/>
      <c r="CB50" s="101"/>
      <c r="CC50" s="101"/>
      <c r="CD50" s="101"/>
      <c r="CE50" s="101"/>
      <c r="CF50" s="101"/>
      <c r="CG50" s="101"/>
      <c r="CH50" s="101"/>
      <c r="CI50" s="101"/>
      <c r="CJ50" s="101"/>
      <c r="CK50" s="101"/>
      <c r="CL50" s="101"/>
      <c r="CM50" s="101"/>
      <c r="CN50" s="101"/>
      <c r="CO50" s="101"/>
      <c r="CP50" s="101"/>
      <c r="CQ50" s="101"/>
      <c r="CR50" s="101"/>
      <c r="CS50" s="101"/>
      <c r="CT50" s="101"/>
      <c r="CU50" s="101"/>
      <c r="CV50" s="101"/>
      <c r="CW50" s="101"/>
      <c r="CX50" s="101"/>
      <c r="CY50" s="101"/>
      <c r="CZ50" s="101"/>
      <c r="DA50" s="101" t="s">
        <v>1318</v>
      </c>
      <c r="DB50" s="101"/>
      <c r="DC50" s="101" t="s">
        <v>1361</v>
      </c>
      <c r="DD50" s="101"/>
      <c r="DE50" s="101"/>
      <c r="DF50" s="101"/>
      <c r="DG50" s="101"/>
      <c r="DH50" s="101"/>
      <c r="DI50" s="101"/>
      <c r="DJ50" s="101"/>
      <c r="DK50" s="101" t="s">
        <v>1346</v>
      </c>
      <c r="DL50" s="101" t="s">
        <v>1319</v>
      </c>
      <c r="DM50" s="101"/>
      <c r="DN50" s="101"/>
      <c r="DO50" s="101"/>
      <c r="DP50" s="101"/>
      <c r="DQ50" s="101"/>
      <c r="DR50" s="101"/>
      <c r="DS50" s="101" t="s">
        <v>1020</v>
      </c>
      <c r="DT50" s="101"/>
      <c r="DU50" s="101" t="s">
        <v>959</v>
      </c>
      <c r="DV50" s="101"/>
      <c r="DW50" s="101" t="s">
        <v>961</v>
      </c>
      <c r="DX50" s="101"/>
      <c r="DY50" s="101"/>
      <c r="DZ50" s="101"/>
      <c r="EA50" s="101"/>
      <c r="EB50" s="101"/>
      <c r="EC50" s="101"/>
      <c r="ED50" s="101"/>
      <c r="EE50" s="101"/>
      <c r="EF50" s="101" t="s">
        <v>1361</v>
      </c>
      <c r="EG50" s="101"/>
      <c r="EH50" s="101"/>
      <c r="EI50" s="101"/>
      <c r="EJ50" s="101"/>
      <c r="EK50" s="101"/>
      <c r="EL50" s="101"/>
      <c r="EM50" s="101"/>
      <c r="EN50" s="101"/>
      <c r="EO50" s="101"/>
      <c r="EP50" s="101"/>
      <c r="EQ50" s="101"/>
      <c r="ER50" s="101" t="s">
        <v>966</v>
      </c>
      <c r="ES50" s="101"/>
      <c r="ET50" s="101"/>
      <c r="EU50" s="101"/>
      <c r="EV50" s="101"/>
      <c r="EW50" s="101"/>
      <c r="EX50" s="101"/>
      <c r="EY50" s="101"/>
      <c r="EZ50" s="101"/>
      <c r="FA50" s="101"/>
      <c r="FB50" s="101"/>
      <c r="FC50" s="101"/>
      <c r="FD50" s="101"/>
      <c r="FE50" s="101"/>
      <c r="FF50" s="101"/>
      <c r="FG50" s="101"/>
      <c r="FH50" s="101"/>
      <c r="FI50" s="101" t="s">
        <v>961</v>
      </c>
      <c r="FJ50" s="101"/>
      <c r="FK50" s="101"/>
      <c r="FL50" s="101"/>
      <c r="FM50" s="101"/>
      <c r="FN50" s="101"/>
      <c r="FO50" s="101"/>
      <c r="FP50" s="101"/>
      <c r="FQ50" s="101"/>
      <c r="FR50" s="101"/>
      <c r="FS50" s="101"/>
      <c r="FT50" s="101"/>
      <c r="FU50" s="101"/>
      <c r="FV50" s="101"/>
      <c r="FW50" s="101"/>
      <c r="FX50" s="101" t="s">
        <v>967</v>
      </c>
      <c r="FY50" s="101"/>
      <c r="FZ50" s="101"/>
      <c r="GA50" s="101"/>
      <c r="GB50" s="101"/>
      <c r="GC50" s="101"/>
      <c r="GD50" s="101"/>
      <c r="GE50" s="101" t="s">
        <v>968</v>
      </c>
      <c r="GF50" s="101"/>
      <c r="GG50" s="101"/>
      <c r="GH50" s="101"/>
      <c r="GI50" s="101"/>
      <c r="GJ50" s="101"/>
      <c r="GK50" s="101"/>
      <c r="GL50" s="101"/>
      <c r="GM50" s="101"/>
      <c r="GN50" s="101" t="s">
        <v>1424</v>
      </c>
      <c r="GO50" s="101"/>
      <c r="GP50" s="101"/>
      <c r="GQ50" s="101"/>
      <c r="GR50" s="101"/>
      <c r="GS50" s="101" t="s">
        <v>1424</v>
      </c>
      <c r="GT50" s="101"/>
      <c r="GU50" s="101"/>
      <c r="GV50" s="101"/>
      <c r="GW50" s="101"/>
      <c r="GX50" s="101"/>
    </row>
    <row r="51" spans="1:206" x14ac:dyDescent="0.2">
      <c r="A51" s="104" t="s">
        <v>130</v>
      </c>
      <c r="B51" s="104" t="s">
        <v>131</v>
      </c>
      <c r="C51" s="101"/>
      <c r="D51" s="101"/>
      <c r="E51" s="101"/>
      <c r="F51" s="101"/>
      <c r="G51" s="101"/>
      <c r="H51" s="101"/>
      <c r="I51" s="101"/>
      <c r="J51" s="101"/>
      <c r="K51" s="101"/>
      <c r="L51" s="101"/>
      <c r="M51" s="101" t="s">
        <v>1320</v>
      </c>
      <c r="N51" s="101"/>
      <c r="O51" s="101"/>
      <c r="P51" s="101"/>
      <c r="Q51" s="101"/>
      <c r="R51" s="101"/>
      <c r="S51" s="101"/>
      <c r="T51" s="101"/>
      <c r="U51" s="101"/>
      <c r="V51" s="101"/>
      <c r="W51" s="101"/>
      <c r="X51" s="101"/>
      <c r="Y51" s="101"/>
      <c r="Z51" s="101"/>
      <c r="AA51" s="101"/>
      <c r="AB51" s="101"/>
      <c r="AC51" s="101"/>
      <c r="AD51" s="101"/>
      <c r="AE51" s="101" t="s">
        <v>973</v>
      </c>
      <c r="AF51" s="101" t="s">
        <v>1321</v>
      </c>
      <c r="AG51" s="101"/>
      <c r="AH51" s="101"/>
      <c r="AI51" s="101"/>
      <c r="AJ51" s="101" t="s">
        <v>1322</v>
      </c>
      <c r="AK51" s="101"/>
      <c r="AL51" s="101"/>
      <c r="AM51" s="101"/>
      <c r="AN51" s="101"/>
      <c r="AO51" s="101"/>
      <c r="AP51" s="101"/>
      <c r="AQ51" s="101"/>
      <c r="AR51" s="101"/>
      <c r="AS51" s="101"/>
      <c r="AT51" s="101"/>
      <c r="AU51" s="101"/>
      <c r="AV51" s="101"/>
      <c r="AW51" s="101" t="s">
        <v>1321</v>
      </c>
      <c r="AX51" s="101"/>
      <c r="AY51" s="101" t="s">
        <v>1321</v>
      </c>
      <c r="AZ51" s="101"/>
      <c r="BA51" s="101"/>
      <c r="BB51" s="101"/>
      <c r="BC51" s="101"/>
      <c r="BD51" s="101"/>
      <c r="BE51" s="101"/>
      <c r="BF51" s="101"/>
      <c r="BG51" s="101"/>
      <c r="BH51" s="101"/>
      <c r="BI51" s="101"/>
      <c r="BJ51" s="101"/>
      <c r="BK51" s="101"/>
      <c r="BL51" s="101" t="s">
        <v>1323</v>
      </c>
      <c r="BM51" s="101" t="s">
        <v>1324</v>
      </c>
      <c r="BN51" s="101"/>
      <c r="BO51" s="101"/>
      <c r="BP51" s="101"/>
      <c r="BQ51" s="101"/>
      <c r="BR51" s="101" t="s">
        <v>1321</v>
      </c>
      <c r="BS51" s="101"/>
      <c r="BT51" s="101"/>
      <c r="BU51" s="101"/>
      <c r="BV51" s="101"/>
      <c r="BW51" s="101"/>
      <c r="BX51" s="101"/>
      <c r="BY51" s="101"/>
      <c r="BZ51" s="101" t="s">
        <v>1321</v>
      </c>
      <c r="CA51" s="101" t="s">
        <v>1321</v>
      </c>
      <c r="CB51" s="101"/>
      <c r="CC51" s="101"/>
      <c r="CD51" s="101"/>
      <c r="CE51" s="101"/>
      <c r="CF51" s="101"/>
      <c r="CG51" s="101"/>
      <c r="CH51" s="101" t="s">
        <v>1321</v>
      </c>
      <c r="CI51" s="101" t="s">
        <v>977</v>
      </c>
      <c r="CJ51" s="101"/>
      <c r="CK51" s="101"/>
      <c r="CL51" s="101"/>
      <c r="CM51" s="101"/>
      <c r="CN51" s="101"/>
      <c r="CO51" s="101"/>
      <c r="CP51" s="101"/>
      <c r="CQ51" s="101"/>
      <c r="CR51" s="101"/>
      <c r="CS51" s="101"/>
      <c r="CT51" s="101"/>
      <c r="CU51" s="101"/>
      <c r="CV51" s="101"/>
      <c r="CW51" s="101" t="s">
        <v>1321</v>
      </c>
      <c r="CX51" s="101"/>
      <c r="CY51" s="101" t="s">
        <v>1359</v>
      </c>
      <c r="CZ51" s="101"/>
      <c r="DA51" s="101"/>
      <c r="DB51" s="101"/>
      <c r="DC51" s="101"/>
      <c r="DD51" s="101"/>
      <c r="DE51" s="101"/>
      <c r="DF51" s="101"/>
      <c r="DG51" s="101"/>
      <c r="DH51" s="101" t="s">
        <v>979</v>
      </c>
      <c r="DI51" s="101" t="s">
        <v>1321</v>
      </c>
      <c r="DJ51" s="101"/>
      <c r="DK51" s="101"/>
      <c r="DL51" s="101"/>
      <c r="DM51" s="101"/>
      <c r="DN51" s="101"/>
      <c r="DO51" s="101" t="s">
        <v>1321</v>
      </c>
      <c r="DP51" s="101"/>
      <c r="DQ51" s="101"/>
      <c r="DR51" s="101"/>
      <c r="DS51" s="101" t="s">
        <v>980</v>
      </c>
      <c r="DT51" s="101"/>
      <c r="DU51" s="101"/>
      <c r="DV51" s="101"/>
      <c r="DW51" s="101"/>
      <c r="DX51" s="101"/>
      <c r="DY51" s="101"/>
      <c r="DZ51" s="101"/>
      <c r="EA51" s="101"/>
      <c r="EB51" s="101"/>
      <c r="EC51" s="101"/>
      <c r="ED51" s="101"/>
      <c r="EE51" s="101"/>
      <c r="EF51" s="101"/>
      <c r="EG51" s="101" t="s">
        <v>1375</v>
      </c>
      <c r="EH51" s="101"/>
      <c r="EI51" s="101"/>
      <c r="EJ51" s="101"/>
      <c r="EK51" s="101"/>
      <c r="EL51" s="101"/>
      <c r="EM51" s="101"/>
      <c r="EN51" s="101"/>
      <c r="EO51" s="101"/>
      <c r="EP51" s="101"/>
      <c r="EQ51" s="101"/>
      <c r="ER51" s="101" t="s">
        <v>1383</v>
      </c>
      <c r="ES51" s="101"/>
      <c r="ET51" s="101"/>
      <c r="EU51" s="101"/>
      <c r="EV51" s="101"/>
      <c r="EW51" s="101"/>
      <c r="EX51" s="101"/>
      <c r="EY51" s="101"/>
      <c r="EZ51" s="101"/>
      <c r="FA51" s="101"/>
      <c r="FB51" s="101"/>
      <c r="FC51" s="101" t="s">
        <v>1408</v>
      </c>
      <c r="FD51" s="101"/>
      <c r="FE51" s="101" t="s">
        <v>1321</v>
      </c>
      <c r="FF51" s="101"/>
      <c r="FG51" s="101"/>
      <c r="FH51" s="101"/>
      <c r="FI51" s="101"/>
      <c r="FJ51" s="101"/>
      <c r="FK51" s="101"/>
      <c r="FL51" s="101"/>
      <c r="FM51" s="101" t="s">
        <v>973</v>
      </c>
      <c r="FN51" s="101"/>
      <c r="FO51" s="101"/>
      <c r="FP51" s="101"/>
      <c r="FQ51" s="101"/>
      <c r="FR51" s="101"/>
      <c r="FS51" s="101"/>
      <c r="FT51" s="101" t="s">
        <v>973</v>
      </c>
      <c r="FU51" s="101" t="s">
        <v>1321</v>
      </c>
      <c r="FV51" s="101"/>
      <c r="FW51" s="101"/>
      <c r="FX51" s="101" t="s">
        <v>986</v>
      </c>
      <c r="FY51" s="101"/>
      <c r="FZ51" s="101"/>
      <c r="GA51" s="101"/>
      <c r="GB51" s="101"/>
      <c r="GC51" s="101"/>
      <c r="GD51" s="101"/>
      <c r="GE51" s="101"/>
      <c r="GF51" s="101"/>
      <c r="GG51" s="101"/>
      <c r="GH51" s="101"/>
      <c r="GI51" s="101"/>
      <c r="GJ51" s="101"/>
      <c r="GK51" s="101"/>
      <c r="GL51" s="101"/>
      <c r="GM51" s="101"/>
      <c r="GN51" s="101"/>
      <c r="GO51" s="101"/>
      <c r="GP51" s="101" t="s">
        <v>1325</v>
      </c>
      <c r="GQ51" s="101"/>
      <c r="GR51" s="101"/>
      <c r="GS51" s="101" t="s">
        <v>1432</v>
      </c>
      <c r="GT51" s="101" t="s">
        <v>1323</v>
      </c>
      <c r="GU51" s="101"/>
      <c r="GV51" s="101" t="s">
        <v>1323</v>
      </c>
      <c r="GW51" s="101"/>
      <c r="GX51" s="101"/>
    </row>
    <row r="52" spans="1:206" x14ac:dyDescent="0.2">
      <c r="A52" s="104" t="s">
        <v>94</v>
      </c>
      <c r="B52" s="104" t="s">
        <v>0</v>
      </c>
      <c r="C52" s="105"/>
      <c r="D52" s="105"/>
      <c r="E52" s="105"/>
      <c r="F52" s="105"/>
      <c r="G52" s="105"/>
      <c r="H52" s="105"/>
      <c r="I52" s="106" t="s">
        <v>1335</v>
      </c>
      <c r="J52" s="105"/>
      <c r="K52" s="105"/>
      <c r="L52" s="105"/>
      <c r="M52" s="105"/>
      <c r="N52" s="105"/>
      <c r="O52" s="105"/>
      <c r="P52" s="105"/>
      <c r="Q52" s="105"/>
      <c r="R52" s="105"/>
      <c r="S52" s="105"/>
      <c r="T52" s="105"/>
      <c r="U52" s="105"/>
      <c r="V52" s="105"/>
      <c r="W52" s="105"/>
      <c r="X52" s="105"/>
      <c r="Y52" s="105"/>
      <c r="Z52" s="105"/>
      <c r="AA52" s="105"/>
      <c r="AB52" s="105"/>
      <c r="AC52" s="105"/>
      <c r="AD52" s="105"/>
      <c r="AE52" s="105"/>
      <c r="AF52" s="105"/>
      <c r="AG52" s="105"/>
      <c r="AH52" s="105"/>
      <c r="AI52" s="105"/>
      <c r="AJ52" s="105"/>
      <c r="AK52" s="105"/>
      <c r="AL52" s="105"/>
      <c r="AM52" s="105"/>
      <c r="AN52" s="106" t="s">
        <v>1154</v>
      </c>
      <c r="AO52" s="105"/>
      <c r="AP52" s="105"/>
      <c r="AQ52" s="105"/>
      <c r="AR52" s="105"/>
      <c r="AS52" s="105"/>
      <c r="AT52" s="105"/>
      <c r="AU52" s="105"/>
      <c r="AV52" s="101" t="s">
        <v>1023</v>
      </c>
      <c r="AW52" s="105"/>
      <c r="AX52" s="101" t="s">
        <v>1023</v>
      </c>
      <c r="AY52" s="105"/>
      <c r="AZ52" s="105"/>
      <c r="BA52" s="105"/>
      <c r="BB52" s="105"/>
      <c r="BC52" s="105"/>
      <c r="BD52" s="101" t="s">
        <v>1023</v>
      </c>
      <c r="BE52" s="101" t="s">
        <v>1329</v>
      </c>
      <c r="BF52" s="105"/>
      <c r="BG52" s="105"/>
      <c r="BH52" s="105"/>
      <c r="BI52" s="105"/>
      <c r="BJ52" s="105"/>
      <c r="BK52" s="105"/>
      <c r="BL52" s="105"/>
      <c r="BM52" s="101" t="s">
        <v>1024</v>
      </c>
      <c r="BN52" s="101" t="s">
        <v>1023</v>
      </c>
      <c r="BO52" s="101" t="s">
        <v>1025</v>
      </c>
      <c r="BP52" s="105"/>
      <c r="BQ52" s="105"/>
      <c r="BR52" s="105"/>
      <c r="BS52" s="105"/>
      <c r="BT52" s="105"/>
      <c r="BU52" s="105"/>
      <c r="BV52" s="105"/>
      <c r="BW52" s="105"/>
      <c r="BX52" s="105"/>
      <c r="BY52" s="101" t="s">
        <v>1023</v>
      </c>
      <c r="BZ52" s="105"/>
      <c r="CA52" s="105"/>
      <c r="CB52" s="105"/>
      <c r="CC52" s="105"/>
      <c r="CD52" s="105"/>
      <c r="CE52" s="101" t="s">
        <v>1023</v>
      </c>
      <c r="CF52" s="101" t="s">
        <v>1023</v>
      </c>
      <c r="CG52" s="105"/>
      <c r="CH52" s="101" t="s">
        <v>1026</v>
      </c>
      <c r="CI52" s="105"/>
      <c r="CJ52" s="105"/>
      <c r="CK52" s="101" t="s">
        <v>1023</v>
      </c>
      <c r="CL52" s="101" t="s">
        <v>1027</v>
      </c>
      <c r="CM52" s="105"/>
      <c r="CN52" s="105"/>
      <c r="CO52" s="105"/>
      <c r="CP52" s="105"/>
      <c r="CQ52" s="105"/>
      <c r="CR52" s="105"/>
      <c r="CS52" s="105"/>
      <c r="CT52" s="105"/>
      <c r="CU52" s="101" t="s">
        <v>1330</v>
      </c>
      <c r="CV52" s="105"/>
      <c r="CW52" s="101" t="s">
        <v>1024</v>
      </c>
      <c r="CX52" s="105"/>
      <c r="CY52" s="105"/>
      <c r="CZ52" s="105"/>
      <c r="DA52" s="105"/>
      <c r="DB52" s="105"/>
      <c r="DC52" s="105"/>
      <c r="DD52" s="105"/>
      <c r="DE52" s="101" t="s">
        <v>1029</v>
      </c>
      <c r="DF52" s="101" t="s">
        <v>1331</v>
      </c>
      <c r="DG52" s="105"/>
      <c r="DH52" s="105"/>
      <c r="DI52" s="105"/>
      <c r="DJ52" s="105"/>
      <c r="DK52" s="105"/>
      <c r="DL52" s="105"/>
      <c r="DM52" s="105"/>
      <c r="DN52" s="105"/>
      <c r="DO52" s="105"/>
      <c r="DP52" s="101" t="s">
        <v>1023</v>
      </c>
      <c r="DQ52" s="105"/>
      <c r="DR52" s="101" t="s">
        <v>1023</v>
      </c>
      <c r="DS52" s="105"/>
      <c r="DT52" s="105"/>
      <c r="DU52" s="105"/>
      <c r="DV52" s="101" t="s">
        <v>1030</v>
      </c>
      <c r="DW52" s="105"/>
      <c r="DX52" s="105"/>
      <c r="DY52" s="105"/>
      <c r="DZ52" s="101" t="s">
        <v>1031</v>
      </c>
      <c r="EA52" s="105"/>
      <c r="EB52" s="105"/>
      <c r="EC52" s="105"/>
      <c r="ED52" s="105"/>
      <c r="EE52" s="105"/>
      <c r="EF52" s="105"/>
      <c r="EG52" s="105"/>
      <c r="EH52" s="105"/>
      <c r="EI52" s="105"/>
      <c r="EJ52" s="105"/>
      <c r="EK52" s="105"/>
      <c r="EL52" s="105"/>
      <c r="EM52" s="105"/>
      <c r="EN52" s="105"/>
      <c r="EO52" s="105"/>
      <c r="EP52" s="105"/>
      <c r="EQ52" s="105"/>
      <c r="ER52" s="105"/>
      <c r="ES52" s="105"/>
      <c r="ET52" s="105"/>
      <c r="EU52" s="105"/>
      <c r="EV52" s="101" t="s">
        <v>1032</v>
      </c>
      <c r="EW52" s="105"/>
      <c r="EX52" s="105"/>
      <c r="EY52" s="105"/>
      <c r="EZ52" s="101" t="s">
        <v>1332</v>
      </c>
      <c r="FA52" s="105"/>
      <c r="FB52" s="105"/>
      <c r="FC52" s="105"/>
      <c r="FD52" s="101" t="s">
        <v>1033</v>
      </c>
      <c r="FE52" s="105"/>
      <c r="FF52" s="105"/>
      <c r="FG52" s="101" t="s">
        <v>1333</v>
      </c>
      <c r="FH52" s="105"/>
      <c r="FI52" s="105"/>
      <c r="FJ52" s="105"/>
      <c r="FK52" s="105"/>
      <c r="FL52" s="101" t="s">
        <v>1023</v>
      </c>
      <c r="FM52" s="105"/>
      <c r="FN52" s="105"/>
      <c r="FO52" s="105"/>
      <c r="FP52" s="101" t="s">
        <v>1035</v>
      </c>
      <c r="FQ52" s="105"/>
      <c r="FR52" s="105"/>
      <c r="FS52" s="105"/>
      <c r="FT52" s="105"/>
      <c r="FU52" s="105"/>
      <c r="FV52" s="101" t="s">
        <v>1036</v>
      </c>
      <c r="FW52" s="105"/>
      <c r="FX52" s="105"/>
      <c r="FY52" s="105"/>
      <c r="FZ52" s="105"/>
      <c r="GA52" s="105"/>
      <c r="GB52" s="105"/>
      <c r="GC52" s="105"/>
      <c r="GD52" s="105"/>
      <c r="GE52" s="105"/>
      <c r="GF52" s="105"/>
      <c r="GG52" s="105"/>
      <c r="GH52" s="101" t="s">
        <v>1023</v>
      </c>
      <c r="GI52" s="105"/>
      <c r="GJ52" s="105"/>
      <c r="GK52" s="105"/>
      <c r="GL52" s="105"/>
      <c r="GM52" s="105"/>
      <c r="GN52" s="105"/>
      <c r="GO52" s="105"/>
      <c r="GP52" s="105"/>
      <c r="GQ52" s="105"/>
      <c r="GR52" s="105"/>
      <c r="GS52" s="105"/>
      <c r="GT52" s="101" t="s">
        <v>1037</v>
      </c>
      <c r="GU52" s="105"/>
      <c r="GV52" s="105"/>
      <c r="GW52" s="101" t="s">
        <v>1023</v>
      </c>
      <c r="GX52" s="105"/>
    </row>
    <row r="53" spans="1:206" x14ac:dyDescent="0.2">
      <c r="A53" s="104" t="s">
        <v>94</v>
      </c>
      <c r="B53" s="104" t="s">
        <v>1</v>
      </c>
      <c r="C53" s="105"/>
      <c r="D53" s="105"/>
      <c r="E53" s="105"/>
      <c r="F53" s="105"/>
      <c r="G53" s="105"/>
      <c r="H53" s="105"/>
      <c r="I53" s="105"/>
      <c r="J53" s="105"/>
      <c r="K53" s="105"/>
      <c r="L53" s="105"/>
      <c r="M53" s="105"/>
      <c r="N53" s="105"/>
      <c r="O53" s="105"/>
      <c r="P53" s="105"/>
      <c r="Q53" s="105"/>
      <c r="R53" s="105"/>
      <c r="S53" s="105"/>
      <c r="T53" s="105"/>
      <c r="U53" s="105"/>
      <c r="V53" s="105"/>
      <c r="W53" s="105"/>
      <c r="X53" s="105"/>
      <c r="Y53" s="105"/>
      <c r="Z53" s="105"/>
      <c r="AA53" s="105"/>
      <c r="AB53" s="105"/>
      <c r="AC53" s="105"/>
      <c r="AD53" s="105"/>
      <c r="AE53" s="105"/>
      <c r="AF53" s="105"/>
      <c r="AG53" s="105"/>
      <c r="AH53" s="105"/>
      <c r="AI53" s="105"/>
      <c r="AJ53" s="105"/>
      <c r="AK53" s="105"/>
      <c r="AL53" s="105"/>
      <c r="AM53" s="105"/>
      <c r="AN53" s="105"/>
      <c r="AO53" s="105"/>
      <c r="AP53" s="105"/>
      <c r="AQ53" s="105"/>
      <c r="AR53" s="105"/>
      <c r="AS53" s="105"/>
      <c r="AT53" s="105"/>
      <c r="AU53" s="105"/>
      <c r="AV53" s="105"/>
      <c r="AW53" s="105"/>
      <c r="AX53" s="105"/>
      <c r="AY53" s="105"/>
      <c r="AZ53" s="105"/>
      <c r="BA53" s="105"/>
      <c r="BB53" s="105"/>
      <c r="BC53" s="105"/>
      <c r="BD53" s="105"/>
      <c r="BE53" s="101" t="s">
        <v>1038</v>
      </c>
      <c r="BF53" s="105"/>
      <c r="BG53" s="105"/>
      <c r="BH53" s="105"/>
      <c r="BI53" s="105"/>
      <c r="BJ53" s="105"/>
      <c r="BK53" s="105"/>
      <c r="BL53" s="105"/>
      <c r="BM53" s="105" t="s">
        <v>1336</v>
      </c>
      <c r="BN53" s="105"/>
      <c r="BO53" s="105"/>
      <c r="BP53" s="105"/>
      <c r="BQ53" s="105"/>
      <c r="BR53" s="105"/>
      <c r="BS53" s="105"/>
      <c r="BT53" s="105"/>
      <c r="BU53" s="105"/>
      <c r="BV53" s="105"/>
      <c r="BW53" s="105"/>
      <c r="BX53" s="105"/>
      <c r="BY53" s="105"/>
      <c r="BZ53" s="105"/>
      <c r="CA53" s="105"/>
      <c r="CB53" s="105"/>
      <c r="CC53" s="105"/>
      <c r="CD53" s="105"/>
      <c r="CE53" s="105"/>
      <c r="CF53" s="105"/>
      <c r="CG53" s="105"/>
      <c r="CH53" s="101" t="s">
        <v>1039</v>
      </c>
      <c r="CI53" s="105"/>
      <c r="CJ53" s="105"/>
      <c r="CK53" s="105"/>
      <c r="CL53" s="105"/>
      <c r="CM53" s="105"/>
      <c r="CN53" s="105"/>
      <c r="CO53" s="105"/>
      <c r="CP53" s="105"/>
      <c r="CQ53" s="105"/>
      <c r="CR53" s="105"/>
      <c r="CS53" s="105"/>
      <c r="CT53" s="105"/>
      <c r="CU53" s="105" t="s">
        <v>1056</v>
      </c>
      <c r="CV53" s="105"/>
      <c r="CW53" s="105"/>
      <c r="CX53" s="105"/>
      <c r="CY53" s="105"/>
      <c r="CZ53" s="105"/>
      <c r="DA53" s="105"/>
      <c r="DB53" s="105"/>
      <c r="DC53" s="105"/>
      <c r="DD53" s="105"/>
      <c r="DE53" s="105"/>
      <c r="DF53" s="101" t="s">
        <v>1040</v>
      </c>
      <c r="DG53" s="105"/>
      <c r="DH53" s="105"/>
      <c r="DI53" s="105"/>
      <c r="DJ53" s="105"/>
      <c r="DK53" s="105"/>
      <c r="DL53" s="105"/>
      <c r="DM53" s="105"/>
      <c r="DN53" s="105"/>
      <c r="DO53" s="105"/>
      <c r="DP53" s="105"/>
      <c r="DQ53" s="105"/>
      <c r="DR53" s="105"/>
      <c r="DS53" s="105"/>
      <c r="DT53" s="105"/>
      <c r="DU53" s="105"/>
      <c r="DV53" s="105" t="s">
        <v>1334</v>
      </c>
      <c r="DW53" s="105"/>
      <c r="DX53" s="105"/>
      <c r="DY53" s="105"/>
      <c r="DZ53" s="105" t="s">
        <v>1042</v>
      </c>
      <c r="EA53" s="105"/>
      <c r="EB53" s="105"/>
      <c r="EC53" s="105"/>
      <c r="ED53" s="105"/>
      <c r="EE53" s="105"/>
      <c r="EF53" s="105"/>
      <c r="EG53" s="105"/>
      <c r="EH53" s="105"/>
      <c r="EI53" s="105"/>
      <c r="EJ53" s="105"/>
      <c r="EK53" s="105"/>
      <c r="EL53" s="105"/>
      <c r="EM53" s="105"/>
      <c r="EN53" s="105"/>
      <c r="EO53" s="105"/>
      <c r="EP53" s="105"/>
      <c r="EQ53" s="105"/>
      <c r="ER53" s="105"/>
      <c r="ES53" s="105"/>
      <c r="ET53" s="105"/>
      <c r="EU53" s="105"/>
      <c r="EV53" s="105"/>
      <c r="EW53" s="105"/>
      <c r="EX53" s="105"/>
      <c r="EY53" s="105"/>
      <c r="EZ53" s="105"/>
      <c r="FA53" s="105"/>
      <c r="FB53" s="105"/>
      <c r="FC53" s="105"/>
      <c r="FD53" s="105" t="s">
        <v>1155</v>
      </c>
      <c r="FE53" s="105"/>
      <c r="FF53" s="105"/>
      <c r="FG53" s="105"/>
      <c r="FH53" s="105"/>
      <c r="FI53" s="105"/>
      <c r="FJ53" s="105"/>
      <c r="FK53" s="105"/>
      <c r="FL53" s="105"/>
      <c r="FM53" s="105"/>
      <c r="FN53" s="105"/>
      <c r="FO53" s="105"/>
      <c r="FP53" s="105" t="s">
        <v>1156</v>
      </c>
      <c r="FQ53" s="105"/>
      <c r="FR53" s="105"/>
      <c r="FS53" s="105"/>
      <c r="FT53" s="105"/>
      <c r="FU53" s="105"/>
      <c r="FV53" s="101" t="s">
        <v>1043</v>
      </c>
      <c r="GT53" s="103" t="s">
        <v>1157</v>
      </c>
    </row>
    <row r="54" spans="1:206" x14ac:dyDescent="0.2">
      <c r="A54" s="104" t="s">
        <v>94</v>
      </c>
      <c r="B54" s="104" t="s">
        <v>2</v>
      </c>
      <c r="C54" s="105"/>
      <c r="D54" s="105"/>
      <c r="E54" s="105"/>
      <c r="F54" s="105"/>
      <c r="G54" s="105"/>
      <c r="H54" s="105"/>
      <c r="I54" s="105"/>
      <c r="J54" s="105"/>
      <c r="K54" s="105"/>
      <c r="L54" s="105"/>
      <c r="M54" s="105"/>
      <c r="N54" s="105"/>
      <c r="O54" s="105"/>
      <c r="P54" s="105"/>
      <c r="Q54" s="105"/>
      <c r="R54" s="105"/>
      <c r="S54" s="105"/>
      <c r="T54" s="105"/>
      <c r="U54" s="105"/>
      <c r="V54" s="105"/>
      <c r="W54" s="105"/>
      <c r="X54" s="105"/>
      <c r="Y54" s="105"/>
      <c r="Z54" s="105"/>
      <c r="AA54" s="105"/>
      <c r="AB54" s="105"/>
      <c r="AC54" s="105"/>
      <c r="AD54" s="105"/>
      <c r="AE54" s="105"/>
      <c r="AF54" s="105"/>
      <c r="AG54" s="105"/>
      <c r="AH54" s="105"/>
      <c r="AI54" s="105"/>
      <c r="AJ54" s="105"/>
      <c r="AK54" s="105"/>
      <c r="AL54" s="105"/>
      <c r="AM54" s="105"/>
      <c r="AN54" s="105"/>
      <c r="AO54" s="105"/>
      <c r="AP54" s="105"/>
      <c r="AQ54" s="105"/>
      <c r="AR54" s="105"/>
      <c r="AS54" s="105"/>
      <c r="AT54" s="105"/>
      <c r="AU54" s="105"/>
      <c r="AV54" s="105"/>
      <c r="AW54" s="105"/>
      <c r="AX54" s="105"/>
      <c r="AY54" s="105"/>
      <c r="AZ54" s="105"/>
      <c r="BA54" s="105"/>
      <c r="BB54" s="105"/>
      <c r="BC54" s="105"/>
      <c r="BD54" s="105"/>
      <c r="BE54" s="101" t="s">
        <v>1038</v>
      </c>
      <c r="BF54" s="105"/>
      <c r="BG54" s="105"/>
      <c r="BH54" s="105"/>
      <c r="BI54" s="105"/>
      <c r="BJ54" s="105"/>
      <c r="BK54" s="105"/>
      <c r="BL54" s="105"/>
      <c r="BM54" s="105" t="s">
        <v>1336</v>
      </c>
      <c r="BN54" s="105"/>
      <c r="BO54" s="105"/>
      <c r="BP54" s="105"/>
      <c r="BQ54" s="105"/>
      <c r="BR54" s="105"/>
      <c r="BS54" s="105"/>
      <c r="BT54" s="105"/>
      <c r="BU54" s="105"/>
      <c r="BV54" s="105"/>
      <c r="BW54" s="105"/>
      <c r="BX54" s="105"/>
      <c r="BY54" s="105"/>
      <c r="BZ54" s="105"/>
      <c r="CA54" s="105"/>
      <c r="CB54" s="105"/>
      <c r="CC54" s="105"/>
      <c r="CD54" s="105"/>
      <c r="CE54" s="105"/>
      <c r="CF54" s="105"/>
      <c r="CG54" s="105"/>
      <c r="CH54" s="101" t="s">
        <v>1039</v>
      </c>
      <c r="CI54" s="105"/>
      <c r="CJ54" s="105"/>
      <c r="CK54" s="105"/>
      <c r="CL54" s="105"/>
      <c r="CM54" s="105"/>
      <c r="CN54" s="105"/>
      <c r="CO54" s="105"/>
      <c r="CP54" s="105"/>
      <c r="CQ54" s="105"/>
      <c r="CR54" s="105"/>
      <c r="CS54" s="105"/>
      <c r="CT54" s="105"/>
      <c r="CU54" s="105" t="s">
        <v>1056</v>
      </c>
      <c r="CV54" s="105"/>
      <c r="CW54" s="105"/>
      <c r="CX54" s="105"/>
      <c r="CY54" s="105"/>
      <c r="CZ54" s="105"/>
      <c r="DA54" s="105"/>
      <c r="DB54" s="105"/>
      <c r="DC54" s="105"/>
      <c r="DD54" s="105"/>
      <c r="DE54" s="105"/>
      <c r="DF54" s="101" t="s">
        <v>1040</v>
      </c>
      <c r="DG54" s="105"/>
      <c r="DH54" s="105"/>
      <c r="DI54" s="105"/>
      <c r="DJ54" s="105"/>
      <c r="DK54" s="105"/>
      <c r="DL54" s="105"/>
      <c r="DM54" s="105"/>
      <c r="DN54" s="105"/>
      <c r="DO54" s="105"/>
      <c r="DP54" s="105"/>
      <c r="DQ54" s="105"/>
      <c r="DR54" s="105"/>
      <c r="DS54" s="105"/>
      <c r="DT54" s="105"/>
      <c r="DU54" s="105"/>
      <c r="DV54" s="105" t="s">
        <v>1334</v>
      </c>
      <c r="DW54" s="105"/>
      <c r="DX54" s="105"/>
      <c r="DY54" s="105"/>
      <c r="DZ54" s="105" t="s">
        <v>1042</v>
      </c>
      <c r="EA54" s="105"/>
      <c r="EB54" s="105"/>
      <c r="EC54" s="105"/>
      <c r="ED54" s="105"/>
      <c r="EE54" s="105"/>
      <c r="EF54" s="105"/>
      <c r="EG54" s="105"/>
      <c r="EH54" s="105"/>
      <c r="EI54" s="105"/>
      <c r="EJ54" s="105"/>
      <c r="EK54" s="105"/>
      <c r="EL54" s="105"/>
      <c r="EM54" s="105"/>
      <c r="EN54" s="105"/>
      <c r="EO54" s="105"/>
      <c r="EP54" s="105"/>
      <c r="EQ54" s="105"/>
      <c r="ER54" s="105"/>
      <c r="ES54" s="105"/>
      <c r="ET54" s="105"/>
      <c r="EU54" s="105"/>
      <c r="EV54" s="105"/>
      <c r="EW54" s="105"/>
      <c r="EX54" s="105"/>
      <c r="EY54" s="105"/>
      <c r="EZ54" s="105"/>
      <c r="FA54" s="105"/>
      <c r="FB54" s="105"/>
      <c r="FC54" s="105"/>
      <c r="FD54" s="105" t="s">
        <v>1155</v>
      </c>
      <c r="FE54" s="105"/>
      <c r="FF54" s="105"/>
      <c r="FG54" s="105"/>
      <c r="FH54" s="105"/>
      <c r="FI54" s="105"/>
      <c r="FJ54" s="105"/>
      <c r="FK54" s="105"/>
      <c r="FL54" s="105"/>
      <c r="FM54" s="105"/>
      <c r="FN54" s="105"/>
      <c r="FO54" s="105"/>
      <c r="FP54" s="105" t="s">
        <v>1156</v>
      </c>
      <c r="FQ54" s="105"/>
      <c r="FR54" s="105"/>
      <c r="FS54" s="105"/>
      <c r="FT54" s="105"/>
      <c r="FU54" s="105"/>
      <c r="FV54" s="101" t="s">
        <v>1043</v>
      </c>
      <c r="GT54" s="103" t="s">
        <v>1157</v>
      </c>
    </row>
    <row r="55" spans="1:206" x14ac:dyDescent="0.2">
      <c r="A55" s="104" t="s">
        <v>94</v>
      </c>
      <c r="B55" s="104" t="s">
        <v>4</v>
      </c>
      <c r="C55" s="105"/>
      <c r="D55" s="105"/>
      <c r="E55" s="105"/>
      <c r="F55" s="105"/>
      <c r="G55" s="105"/>
      <c r="H55" s="105"/>
      <c r="I55" s="101"/>
      <c r="J55" s="105"/>
      <c r="K55" s="105"/>
      <c r="L55" s="105"/>
      <c r="M55" s="105"/>
      <c r="N55" s="105"/>
      <c r="O55" s="105"/>
      <c r="P55" s="105"/>
      <c r="Q55" s="105"/>
      <c r="R55" s="105"/>
      <c r="S55" s="105"/>
      <c r="T55" s="105"/>
      <c r="U55" s="105"/>
      <c r="V55" s="105"/>
      <c r="W55" s="105"/>
      <c r="X55" s="105"/>
      <c r="Y55" s="105"/>
      <c r="Z55" s="105"/>
      <c r="AA55" s="105"/>
      <c r="AB55" s="105"/>
      <c r="AC55" s="105"/>
      <c r="AD55" s="105"/>
      <c r="AE55" s="105"/>
      <c r="AF55" s="105"/>
      <c r="AG55" s="105"/>
      <c r="AH55" s="105"/>
      <c r="AI55" s="105"/>
      <c r="AJ55" s="105"/>
      <c r="AK55" s="105"/>
      <c r="AL55" s="105"/>
      <c r="AM55" s="105"/>
      <c r="AN55" s="105"/>
      <c r="AO55" s="105"/>
      <c r="AP55" s="105"/>
      <c r="AQ55" s="105"/>
      <c r="AR55" s="105"/>
      <c r="AS55" s="105"/>
      <c r="AT55" s="105"/>
      <c r="AU55" s="105"/>
      <c r="AV55" s="105"/>
      <c r="AW55" s="105"/>
      <c r="AX55" s="105"/>
      <c r="AY55" s="105"/>
      <c r="AZ55" s="105"/>
      <c r="BA55" s="105"/>
      <c r="BB55" s="105"/>
      <c r="BC55" s="105"/>
      <c r="BD55" s="105"/>
      <c r="BE55" s="101"/>
      <c r="BF55" s="105"/>
      <c r="BG55" s="105"/>
      <c r="BH55" s="105"/>
      <c r="BI55" s="105"/>
      <c r="BJ55" s="105"/>
      <c r="BK55" s="105"/>
      <c r="BL55" s="105"/>
      <c r="BM55" s="101"/>
      <c r="BN55" s="105"/>
      <c r="BO55" s="105"/>
      <c r="BP55" s="105"/>
      <c r="BQ55" s="105"/>
      <c r="BR55" s="105"/>
      <c r="BS55" s="105"/>
      <c r="BT55" s="105"/>
      <c r="BU55" s="105"/>
      <c r="BV55" s="105"/>
      <c r="BW55" s="105"/>
      <c r="BX55" s="105"/>
      <c r="BY55" s="105"/>
      <c r="BZ55" s="105"/>
      <c r="CA55" s="105"/>
      <c r="CB55" s="105"/>
      <c r="CC55" s="105"/>
      <c r="CD55" s="105"/>
      <c r="CE55" s="105"/>
      <c r="CF55" s="105"/>
      <c r="CG55" s="105"/>
      <c r="CH55" s="105"/>
      <c r="CI55" s="105"/>
      <c r="CJ55" s="105"/>
      <c r="CK55" s="105"/>
      <c r="CL55" s="105"/>
      <c r="CM55" s="105"/>
      <c r="CN55" s="105"/>
      <c r="CO55" s="105"/>
      <c r="CP55" s="105"/>
      <c r="CQ55" s="105"/>
      <c r="CR55" s="105"/>
      <c r="CS55" s="105"/>
      <c r="CT55" s="105"/>
      <c r="CU55" s="105"/>
      <c r="CV55" s="105"/>
      <c r="CW55" s="101"/>
      <c r="CX55" s="105"/>
      <c r="CY55" s="105"/>
      <c r="CZ55" s="105"/>
      <c r="DA55" s="105"/>
      <c r="DB55" s="105"/>
      <c r="DC55" s="105"/>
      <c r="DD55" s="105"/>
      <c r="DE55" s="105"/>
      <c r="DF55" s="105"/>
      <c r="DG55" s="105"/>
      <c r="DH55" s="105"/>
      <c r="DI55" s="105"/>
      <c r="DJ55" s="105"/>
      <c r="DK55" s="105"/>
      <c r="DL55" s="105"/>
      <c r="DM55" s="105"/>
      <c r="DN55" s="105"/>
      <c r="DO55" s="105"/>
      <c r="DP55" s="105"/>
      <c r="DQ55" s="105"/>
      <c r="DR55" s="105"/>
      <c r="DS55" s="105"/>
      <c r="DT55" s="105"/>
      <c r="DU55" s="105"/>
      <c r="DV55" s="105"/>
      <c r="DW55" s="105"/>
      <c r="DX55" s="105"/>
      <c r="DY55" s="105"/>
      <c r="DZ55" s="105"/>
      <c r="EA55" s="105"/>
      <c r="EB55" s="105"/>
      <c r="EC55" s="105"/>
      <c r="ED55" s="105"/>
      <c r="EE55" s="105"/>
      <c r="EF55" s="105"/>
      <c r="EG55" s="105"/>
      <c r="EH55" s="105"/>
      <c r="EI55" s="105"/>
      <c r="EJ55" s="105"/>
      <c r="EK55" s="105"/>
      <c r="EL55" s="105"/>
      <c r="EM55" s="105"/>
      <c r="EN55" s="105"/>
      <c r="EO55" s="105"/>
      <c r="EP55" s="105"/>
      <c r="EQ55" s="105"/>
      <c r="ER55" s="105"/>
      <c r="ES55" s="105"/>
      <c r="ET55" s="105"/>
      <c r="EU55" s="105"/>
      <c r="EV55" s="105"/>
      <c r="EW55" s="105"/>
      <c r="EX55" s="105"/>
      <c r="EY55" s="105"/>
      <c r="EZ55" s="107"/>
      <c r="FA55" s="105"/>
      <c r="FB55" s="105"/>
      <c r="FC55" s="105"/>
      <c r="FD55" s="101"/>
      <c r="FE55" s="105"/>
      <c r="FF55" s="105"/>
      <c r="FG55" s="101"/>
      <c r="FH55" s="105"/>
      <c r="FI55" s="105"/>
      <c r="FJ55" s="105"/>
      <c r="FK55" s="105"/>
      <c r="FL55" s="105"/>
      <c r="FM55" s="105"/>
      <c r="FN55" s="105"/>
      <c r="FO55" s="105"/>
      <c r="FP55" s="101"/>
      <c r="FQ55" s="105"/>
      <c r="FR55" s="105"/>
      <c r="FS55" s="105"/>
      <c r="FT55" s="105"/>
      <c r="FU55" s="105"/>
      <c r="FV55" s="101"/>
      <c r="FW55" s="105"/>
      <c r="FX55" s="105"/>
      <c r="FY55" s="105"/>
      <c r="FZ55" s="105"/>
      <c r="GA55" s="105"/>
      <c r="GB55" s="105"/>
      <c r="GC55" s="105"/>
      <c r="GD55" s="105"/>
      <c r="GE55" s="105"/>
      <c r="GF55" s="105"/>
      <c r="GG55" s="105"/>
      <c r="GH55" s="105"/>
      <c r="GI55" s="105"/>
      <c r="GJ55" s="105"/>
      <c r="GK55" s="105"/>
      <c r="GL55" s="105"/>
      <c r="GM55" s="105"/>
      <c r="GN55" s="105"/>
      <c r="GO55" s="105"/>
      <c r="GP55" s="105"/>
      <c r="GQ55" s="105"/>
      <c r="GR55" s="105"/>
      <c r="GS55" s="105"/>
      <c r="GT55" s="105"/>
      <c r="GU55" s="105"/>
      <c r="GV55" s="105"/>
      <c r="GW55" s="105"/>
      <c r="GX55" s="105"/>
    </row>
    <row r="56" spans="1:206" x14ac:dyDescent="0.2">
      <c r="A56" s="104" t="s">
        <v>94</v>
      </c>
      <c r="B56" s="104" t="s">
        <v>3</v>
      </c>
      <c r="C56" s="105"/>
      <c r="D56" s="105"/>
      <c r="E56" s="105"/>
      <c r="F56" s="105"/>
      <c r="G56" s="105"/>
      <c r="H56" s="105"/>
      <c r="I56" s="105"/>
      <c r="J56" s="105"/>
      <c r="K56" s="105"/>
      <c r="L56" s="105"/>
      <c r="M56" s="105"/>
      <c r="N56" s="105"/>
      <c r="O56" s="105"/>
      <c r="P56" s="105"/>
      <c r="Q56" s="105"/>
      <c r="R56" s="105"/>
      <c r="S56" s="105"/>
      <c r="T56" s="105"/>
      <c r="U56" s="105"/>
      <c r="V56" s="105"/>
      <c r="W56" s="105"/>
      <c r="X56" s="105"/>
      <c r="Y56" s="105"/>
      <c r="Z56" s="105"/>
      <c r="AA56" s="105"/>
      <c r="AB56" s="105"/>
      <c r="AC56" s="105"/>
      <c r="AD56" s="105"/>
      <c r="AE56" s="105"/>
      <c r="AF56" s="105"/>
      <c r="AG56" s="105"/>
      <c r="AH56" s="105"/>
      <c r="AI56" s="105"/>
      <c r="AJ56" s="105"/>
      <c r="AK56" s="105"/>
      <c r="AL56" s="105"/>
      <c r="AM56" s="105"/>
      <c r="AN56" s="105"/>
      <c r="AO56" s="105"/>
      <c r="AP56" s="105"/>
      <c r="AQ56" s="105"/>
      <c r="AR56" s="105"/>
      <c r="AS56" s="105"/>
      <c r="AT56" s="105"/>
      <c r="AU56" s="105"/>
      <c r="AV56" s="105"/>
      <c r="AW56" s="105"/>
      <c r="AX56" s="105"/>
      <c r="AY56" s="105"/>
      <c r="AZ56" s="105"/>
      <c r="BA56" s="105"/>
      <c r="BB56" s="105"/>
      <c r="BC56" s="105"/>
      <c r="BD56" s="105"/>
      <c r="BE56" s="101" t="s">
        <v>1038</v>
      </c>
      <c r="BF56" s="105"/>
      <c r="BG56" s="105"/>
      <c r="BH56" s="105"/>
      <c r="BI56" s="105"/>
      <c r="BJ56" s="105"/>
      <c r="BK56" s="105"/>
      <c r="BL56" s="105"/>
      <c r="BM56" s="105" t="s">
        <v>1336</v>
      </c>
      <c r="BN56" s="105"/>
      <c r="BO56" s="105"/>
      <c r="BP56" s="105"/>
      <c r="BQ56" s="105"/>
      <c r="BR56" s="105"/>
      <c r="BS56" s="105"/>
      <c r="BT56" s="105"/>
      <c r="BU56" s="105"/>
      <c r="BV56" s="105"/>
      <c r="BW56" s="105"/>
      <c r="BX56" s="105"/>
      <c r="BY56" s="105"/>
      <c r="BZ56" s="105"/>
      <c r="CA56" s="105"/>
      <c r="CB56" s="105"/>
      <c r="CC56" s="105"/>
      <c r="CD56" s="105"/>
      <c r="CE56" s="105"/>
      <c r="CF56" s="105"/>
      <c r="CG56" s="105"/>
      <c r="CH56" s="101" t="s">
        <v>1039</v>
      </c>
      <c r="CI56" s="105"/>
      <c r="CJ56" s="105"/>
      <c r="CK56" s="105"/>
      <c r="CL56" s="105"/>
      <c r="CM56" s="105"/>
      <c r="CN56" s="105"/>
      <c r="CO56" s="105"/>
      <c r="CP56" s="105"/>
      <c r="CQ56" s="105"/>
      <c r="CR56" s="105"/>
      <c r="CS56" s="105"/>
      <c r="CT56" s="105"/>
      <c r="CU56" s="105" t="s">
        <v>1056</v>
      </c>
      <c r="CV56" s="105"/>
      <c r="CW56" s="105"/>
      <c r="CX56" s="105"/>
      <c r="CY56" s="105"/>
      <c r="CZ56" s="105"/>
      <c r="DA56" s="105"/>
      <c r="DB56" s="105"/>
      <c r="DC56" s="105"/>
      <c r="DD56" s="105"/>
      <c r="DE56" s="105"/>
      <c r="DF56" s="101" t="s">
        <v>1040</v>
      </c>
      <c r="DG56" s="105"/>
      <c r="DH56" s="105"/>
      <c r="DI56" s="105"/>
      <c r="DJ56" s="105"/>
      <c r="DK56" s="105"/>
      <c r="DL56" s="105"/>
      <c r="DM56" s="105"/>
      <c r="DN56" s="105"/>
      <c r="DO56" s="105"/>
      <c r="DP56" s="105"/>
      <c r="DQ56" s="105"/>
      <c r="DR56" s="105"/>
      <c r="DS56" s="105"/>
      <c r="DT56" s="105"/>
      <c r="DU56" s="105"/>
      <c r="DV56" s="105" t="s">
        <v>1334</v>
      </c>
      <c r="DW56" s="105"/>
      <c r="DX56" s="105"/>
      <c r="DY56" s="105"/>
      <c r="DZ56" s="105" t="s">
        <v>1042</v>
      </c>
      <c r="EA56" s="105"/>
      <c r="EB56" s="105"/>
      <c r="EC56" s="105"/>
      <c r="ED56" s="105"/>
      <c r="EE56" s="105"/>
      <c r="EF56" s="105"/>
      <c r="EG56" s="105"/>
      <c r="EH56" s="105"/>
      <c r="EI56" s="105"/>
      <c r="EJ56" s="105"/>
      <c r="EK56" s="105"/>
      <c r="EL56" s="105"/>
      <c r="EM56" s="105"/>
      <c r="EN56" s="105"/>
      <c r="EO56" s="105"/>
      <c r="EP56" s="105"/>
      <c r="EQ56" s="105"/>
      <c r="ER56" s="105"/>
      <c r="ES56" s="105"/>
      <c r="ET56" s="105"/>
      <c r="EU56" s="105"/>
      <c r="EV56" s="105"/>
      <c r="EW56" s="105"/>
      <c r="EX56" s="105"/>
      <c r="EY56" s="105"/>
      <c r="EZ56" s="105"/>
      <c r="FA56" s="105"/>
      <c r="FB56" s="105"/>
      <c r="FC56" s="105"/>
      <c r="FD56" s="105" t="s">
        <v>1155</v>
      </c>
      <c r="FE56" s="105"/>
      <c r="FF56" s="105"/>
      <c r="FG56" s="105"/>
      <c r="FH56" s="105"/>
      <c r="FI56" s="105"/>
      <c r="FJ56" s="105"/>
      <c r="FK56" s="105"/>
      <c r="FL56" s="105"/>
      <c r="FM56" s="105"/>
      <c r="FN56" s="105"/>
      <c r="FO56" s="105"/>
      <c r="FP56" s="105" t="s">
        <v>1156</v>
      </c>
      <c r="FQ56" s="105"/>
      <c r="FR56" s="105"/>
      <c r="FS56" s="105"/>
      <c r="FT56" s="105"/>
      <c r="FU56" s="105"/>
      <c r="FV56" s="101" t="s">
        <v>1043</v>
      </c>
      <c r="GT56" s="103" t="s">
        <v>1157</v>
      </c>
    </row>
  </sheetData>
  <pageMargins left="0.7" right="0.7" top="0.75" bottom="0.75" header="0.3" footer="0.3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TOB</vt:lpstr>
      <vt:lpstr>VC</vt:lpstr>
      <vt:lpstr>SCORES</vt:lpstr>
      <vt:lpstr>VC_NEW</vt:lpstr>
      <vt:lpstr>Hoja1</vt:lpstr>
      <vt:lpstr>VC_NEW2</vt:lpstr>
    </vt:vector>
  </TitlesOfParts>
  <Company>Hospital Universitari Son Espases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Carla López Causapé</dc:creator>
  <cp:lastModifiedBy>Carla Lopez Causape</cp:lastModifiedBy>
  <dcterms:created xsi:type="dcterms:W3CDTF">2019-03-27T10:58:33Z</dcterms:created>
  <dcterms:modified xsi:type="dcterms:W3CDTF">2025-12-02T10:15:47Z</dcterms:modified>
</cp:coreProperties>
</file>